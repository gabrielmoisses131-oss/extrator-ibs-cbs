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6660E1F5-C4E5-4DCE-8264-AE35771B9384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REGRAS_CST" sheetId="1" r:id="rId1"/>
    <sheet name="CLASSTRIB" sheetId="2" r:id="rId2"/>
    <sheet name="LANCAMENTOS" sheetId="3" r:id="rId3"/>
    <sheet name="IMPORT_CCLASSTRIB" sheetId="4" state="hidden" r:id="rId4"/>
    <sheet name="BASE_CCLASSTRIB" sheetId="5" r:id="rId5"/>
  </sheets>
  <definedNames>
    <definedName name="_xlnm._FilterDatabase" localSheetId="2" hidden="1">LANCAMENTOS!$A$1:$V$1737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0" i="4" l="1"/>
  <c r="G2000" i="4"/>
  <c r="F2000" i="4"/>
  <c r="E2000" i="4"/>
  <c r="D2000" i="4"/>
  <c r="C2000" i="4"/>
  <c r="B2000" i="4"/>
  <c r="A2000" i="4"/>
  <c r="H1999" i="4"/>
  <c r="G1999" i="4"/>
  <c r="F1999" i="4"/>
  <c r="E1999" i="4"/>
  <c r="D1999" i="4"/>
  <c r="C1999" i="4"/>
  <c r="B1999" i="4"/>
  <c r="A1999" i="4"/>
  <c r="H1998" i="4"/>
  <c r="G1998" i="4"/>
  <c r="F1998" i="4"/>
  <c r="E1998" i="4"/>
  <c r="D1998" i="4"/>
  <c r="C1998" i="4"/>
  <c r="B1998" i="4"/>
  <c r="A1998" i="4"/>
  <c r="H1997" i="4"/>
  <c r="G1997" i="4"/>
  <c r="F1997" i="4"/>
  <c r="E1997" i="4"/>
  <c r="D1997" i="4"/>
  <c r="C1997" i="4"/>
  <c r="B1997" i="4"/>
  <c r="A1997" i="4"/>
  <c r="H1996" i="4"/>
  <c r="G1996" i="4"/>
  <c r="F1996" i="4"/>
  <c r="E1996" i="4"/>
  <c r="D1996" i="4"/>
  <c r="C1996" i="4"/>
  <c r="B1996" i="4"/>
  <c r="A1996" i="4"/>
  <c r="H1995" i="4"/>
  <c r="G1995" i="4"/>
  <c r="F1995" i="4"/>
  <c r="E1995" i="4"/>
  <c r="D1995" i="4"/>
  <c r="C1995" i="4"/>
  <c r="B1995" i="4"/>
  <c r="A1995" i="4"/>
  <c r="H1994" i="4"/>
  <c r="G1994" i="4"/>
  <c r="F1994" i="4"/>
  <c r="E1994" i="4"/>
  <c r="D1994" i="4"/>
  <c r="C1994" i="4"/>
  <c r="B1994" i="4"/>
  <c r="A1994" i="4"/>
  <c r="H1993" i="4"/>
  <c r="G1993" i="4"/>
  <c r="F1993" i="4"/>
  <c r="E1993" i="4"/>
  <c r="D1993" i="4"/>
  <c r="C1993" i="4"/>
  <c r="B1993" i="4"/>
  <c r="A1993" i="4"/>
  <c r="H1992" i="4"/>
  <c r="G1992" i="4"/>
  <c r="F1992" i="4"/>
  <c r="E1992" i="4"/>
  <c r="D1992" i="4"/>
  <c r="C1992" i="4"/>
  <c r="B1992" i="4"/>
  <c r="A1992" i="4"/>
  <c r="H1991" i="4"/>
  <c r="G1991" i="4"/>
  <c r="F1991" i="4"/>
  <c r="E1991" i="4"/>
  <c r="D1991" i="4"/>
  <c r="C1991" i="4"/>
  <c r="B1991" i="4"/>
  <c r="A1991" i="4"/>
  <c r="H1990" i="4"/>
  <c r="G1990" i="4"/>
  <c r="F1990" i="4"/>
  <c r="E1990" i="4"/>
  <c r="D1990" i="4"/>
  <c r="C1990" i="4"/>
  <c r="B1990" i="4"/>
  <c r="A1990" i="4"/>
  <c r="H1989" i="4"/>
  <c r="G1989" i="4"/>
  <c r="F1989" i="4"/>
  <c r="E1989" i="4"/>
  <c r="D1989" i="4"/>
  <c r="C1989" i="4"/>
  <c r="B1989" i="4"/>
  <c r="A1989" i="4"/>
  <c r="H1988" i="4"/>
  <c r="G1988" i="4"/>
  <c r="F1988" i="4"/>
  <c r="E1988" i="4"/>
  <c r="D1988" i="4"/>
  <c r="C1988" i="4"/>
  <c r="B1988" i="4"/>
  <c r="A1988" i="4"/>
  <c r="H1987" i="4"/>
  <c r="G1987" i="4"/>
  <c r="F1987" i="4"/>
  <c r="E1987" i="4"/>
  <c r="D1987" i="4"/>
  <c r="C1987" i="4"/>
  <c r="B1987" i="4"/>
  <c r="A1987" i="4"/>
  <c r="H1986" i="4"/>
  <c r="G1986" i="4"/>
  <c r="F1986" i="4"/>
  <c r="E1986" i="4"/>
  <c r="D1986" i="4"/>
  <c r="C1986" i="4"/>
  <c r="B1986" i="4"/>
  <c r="A1986" i="4"/>
  <c r="H1985" i="4"/>
  <c r="G1985" i="4"/>
  <c r="F1985" i="4"/>
  <c r="E1985" i="4"/>
  <c r="D1985" i="4"/>
  <c r="C1985" i="4"/>
  <c r="B1985" i="4"/>
  <c r="A1985" i="4"/>
  <c r="H1984" i="4"/>
  <c r="G1984" i="4"/>
  <c r="F1984" i="4"/>
  <c r="E1984" i="4"/>
  <c r="D1984" i="4"/>
  <c r="C1984" i="4"/>
  <c r="B1984" i="4"/>
  <c r="A1984" i="4"/>
  <c r="H1983" i="4"/>
  <c r="G1983" i="4"/>
  <c r="F1983" i="4"/>
  <c r="E1983" i="4"/>
  <c r="D1983" i="4"/>
  <c r="C1983" i="4"/>
  <c r="B1983" i="4"/>
  <c r="A1983" i="4"/>
  <c r="H1982" i="4"/>
  <c r="G1982" i="4"/>
  <c r="F1982" i="4"/>
  <c r="E1982" i="4"/>
  <c r="D1982" i="4"/>
  <c r="C1982" i="4"/>
  <c r="B1982" i="4"/>
  <c r="A1982" i="4"/>
  <c r="H1981" i="4"/>
  <c r="G1981" i="4"/>
  <c r="F1981" i="4"/>
  <c r="E1981" i="4"/>
  <c r="D1981" i="4"/>
  <c r="C1981" i="4"/>
  <c r="B1981" i="4"/>
  <c r="A1981" i="4"/>
  <c r="H1980" i="4"/>
  <c r="G1980" i="4"/>
  <c r="F1980" i="4"/>
  <c r="E1980" i="4"/>
  <c r="D1980" i="4"/>
  <c r="C1980" i="4"/>
  <c r="B1980" i="4"/>
  <c r="A1980" i="4"/>
  <c r="H1979" i="4"/>
  <c r="G1979" i="4"/>
  <c r="F1979" i="4"/>
  <c r="E1979" i="4"/>
  <c r="D1979" i="4"/>
  <c r="C1979" i="4"/>
  <c r="B1979" i="4"/>
  <c r="A1979" i="4"/>
  <c r="H1978" i="4"/>
  <c r="G1978" i="4"/>
  <c r="F1978" i="4"/>
  <c r="E1978" i="4"/>
  <c r="D1978" i="4"/>
  <c r="C1978" i="4"/>
  <c r="B1978" i="4"/>
  <c r="A1978" i="4"/>
  <c r="H1977" i="4"/>
  <c r="G1977" i="4"/>
  <c r="F1977" i="4"/>
  <c r="E1977" i="4"/>
  <c r="D1977" i="4"/>
  <c r="C1977" i="4"/>
  <c r="B1977" i="4"/>
  <c r="A1977" i="4"/>
  <c r="H1976" i="4"/>
  <c r="G1976" i="4"/>
  <c r="F1976" i="4"/>
  <c r="E1976" i="4"/>
  <c r="D1976" i="4"/>
  <c r="C1976" i="4"/>
  <c r="B1976" i="4"/>
  <c r="A1976" i="4"/>
  <c r="H1975" i="4"/>
  <c r="G1975" i="4"/>
  <c r="F1975" i="4"/>
  <c r="E1975" i="4"/>
  <c r="D1975" i="4"/>
  <c r="C1975" i="4"/>
  <c r="B1975" i="4"/>
  <c r="A1975" i="4"/>
  <c r="H1974" i="4"/>
  <c r="G1974" i="4"/>
  <c r="F1974" i="4"/>
  <c r="E1974" i="4"/>
  <c r="D1974" i="4"/>
  <c r="C1974" i="4"/>
  <c r="B1974" i="4"/>
  <c r="A1974" i="4"/>
  <c r="H1973" i="4"/>
  <c r="G1973" i="4"/>
  <c r="F1973" i="4"/>
  <c r="E1973" i="4"/>
  <c r="D1973" i="4"/>
  <c r="C1973" i="4"/>
  <c r="B1973" i="4"/>
  <c r="A1973" i="4"/>
  <c r="H1972" i="4"/>
  <c r="G1972" i="4"/>
  <c r="F1972" i="4"/>
  <c r="E1972" i="4"/>
  <c r="D1972" i="4"/>
  <c r="C1972" i="4"/>
  <c r="B1972" i="4"/>
  <c r="A1972" i="4"/>
  <c r="H1971" i="4"/>
  <c r="G1971" i="4"/>
  <c r="F1971" i="4"/>
  <c r="E1971" i="4"/>
  <c r="D1971" i="4"/>
  <c r="C1971" i="4"/>
  <c r="B1971" i="4"/>
  <c r="A1971" i="4"/>
  <c r="H1970" i="4"/>
  <c r="G1970" i="4"/>
  <c r="F1970" i="4"/>
  <c r="E1970" i="4"/>
  <c r="D1970" i="4"/>
  <c r="C1970" i="4"/>
  <c r="B1970" i="4"/>
  <c r="A1970" i="4"/>
  <c r="H1969" i="4"/>
  <c r="G1969" i="4"/>
  <c r="F1969" i="4"/>
  <c r="E1969" i="4"/>
  <c r="D1969" i="4"/>
  <c r="C1969" i="4"/>
  <c r="B1969" i="4"/>
  <c r="A1969" i="4"/>
  <c r="H1968" i="4"/>
  <c r="G1968" i="4"/>
  <c r="F1968" i="4"/>
  <c r="E1968" i="4"/>
  <c r="D1968" i="4"/>
  <c r="C1968" i="4"/>
  <c r="B1968" i="4"/>
  <c r="A1968" i="4"/>
  <c r="H1967" i="4"/>
  <c r="G1967" i="4"/>
  <c r="F1967" i="4"/>
  <c r="E1967" i="4"/>
  <c r="D1967" i="4"/>
  <c r="C1967" i="4"/>
  <c r="B1967" i="4"/>
  <c r="A1967" i="4"/>
  <c r="H1966" i="4"/>
  <c r="G1966" i="4"/>
  <c r="F1966" i="4"/>
  <c r="E1966" i="4"/>
  <c r="D1966" i="4"/>
  <c r="C1966" i="4"/>
  <c r="B1966" i="4"/>
  <c r="A1966" i="4"/>
  <c r="H1965" i="4"/>
  <c r="G1965" i="4"/>
  <c r="F1965" i="4"/>
  <c r="E1965" i="4"/>
  <c r="D1965" i="4"/>
  <c r="C1965" i="4"/>
  <c r="B1965" i="4"/>
  <c r="A1965" i="4"/>
  <c r="H1964" i="4"/>
  <c r="G1964" i="4"/>
  <c r="F1964" i="4"/>
  <c r="E1964" i="4"/>
  <c r="D1964" i="4"/>
  <c r="C1964" i="4"/>
  <c r="B1964" i="4"/>
  <c r="A1964" i="4"/>
  <c r="H1963" i="4"/>
  <c r="G1963" i="4"/>
  <c r="F1963" i="4"/>
  <c r="E1963" i="4"/>
  <c r="D1963" i="4"/>
  <c r="C1963" i="4"/>
  <c r="B1963" i="4"/>
  <c r="A1963" i="4"/>
  <c r="H1962" i="4"/>
  <c r="G1962" i="4"/>
  <c r="F1962" i="4"/>
  <c r="E1962" i="4"/>
  <c r="D1962" i="4"/>
  <c r="C1962" i="4"/>
  <c r="B1962" i="4"/>
  <c r="A1962" i="4"/>
  <c r="H1961" i="4"/>
  <c r="G1961" i="4"/>
  <c r="F1961" i="4"/>
  <c r="E1961" i="4"/>
  <c r="D1961" i="4"/>
  <c r="C1961" i="4"/>
  <c r="B1961" i="4"/>
  <c r="A1961" i="4"/>
  <c r="H1960" i="4"/>
  <c r="G1960" i="4"/>
  <c r="F1960" i="4"/>
  <c r="E1960" i="4"/>
  <c r="D1960" i="4"/>
  <c r="C1960" i="4"/>
  <c r="B1960" i="4"/>
  <c r="A1960" i="4"/>
  <c r="H1959" i="4"/>
  <c r="G1959" i="4"/>
  <c r="F1959" i="4"/>
  <c r="E1959" i="4"/>
  <c r="D1959" i="4"/>
  <c r="C1959" i="4"/>
  <c r="B1959" i="4"/>
  <c r="A1959" i="4"/>
  <c r="H1958" i="4"/>
  <c r="G1958" i="4"/>
  <c r="F1958" i="4"/>
  <c r="E1958" i="4"/>
  <c r="D1958" i="4"/>
  <c r="C1958" i="4"/>
  <c r="B1958" i="4"/>
  <c r="A1958" i="4"/>
  <c r="H1957" i="4"/>
  <c r="G1957" i="4"/>
  <c r="F1957" i="4"/>
  <c r="E1957" i="4"/>
  <c r="D1957" i="4"/>
  <c r="C1957" i="4"/>
  <c r="B1957" i="4"/>
  <c r="A1957" i="4"/>
  <c r="H1956" i="4"/>
  <c r="G1956" i="4"/>
  <c r="F1956" i="4"/>
  <c r="E1956" i="4"/>
  <c r="D1956" i="4"/>
  <c r="C1956" i="4"/>
  <c r="B1956" i="4"/>
  <c r="A1956" i="4"/>
  <c r="H1955" i="4"/>
  <c r="G1955" i="4"/>
  <c r="F1955" i="4"/>
  <c r="E1955" i="4"/>
  <c r="D1955" i="4"/>
  <c r="C1955" i="4"/>
  <c r="B1955" i="4"/>
  <c r="A1955" i="4"/>
  <c r="H1954" i="4"/>
  <c r="G1954" i="4"/>
  <c r="F1954" i="4"/>
  <c r="E1954" i="4"/>
  <c r="D1954" i="4"/>
  <c r="C1954" i="4"/>
  <c r="B1954" i="4"/>
  <c r="A1954" i="4"/>
  <c r="H1953" i="4"/>
  <c r="G1953" i="4"/>
  <c r="F1953" i="4"/>
  <c r="E1953" i="4"/>
  <c r="D1953" i="4"/>
  <c r="C1953" i="4"/>
  <c r="B1953" i="4"/>
  <c r="A1953" i="4"/>
  <c r="H1952" i="4"/>
  <c r="G1952" i="4"/>
  <c r="F1952" i="4"/>
  <c r="E1952" i="4"/>
  <c r="D1952" i="4"/>
  <c r="C1952" i="4"/>
  <c r="B1952" i="4"/>
  <c r="A1952" i="4"/>
  <c r="H1951" i="4"/>
  <c r="G1951" i="4"/>
  <c r="F1951" i="4"/>
  <c r="E1951" i="4"/>
  <c r="D1951" i="4"/>
  <c r="C1951" i="4"/>
  <c r="B1951" i="4"/>
  <c r="A1951" i="4"/>
  <c r="H1950" i="4"/>
  <c r="G1950" i="4"/>
  <c r="F1950" i="4"/>
  <c r="E1950" i="4"/>
  <c r="D1950" i="4"/>
  <c r="C1950" i="4"/>
  <c r="B1950" i="4"/>
  <c r="A1950" i="4"/>
  <c r="H1949" i="4"/>
  <c r="G1949" i="4"/>
  <c r="F1949" i="4"/>
  <c r="E1949" i="4"/>
  <c r="D1949" i="4"/>
  <c r="C1949" i="4"/>
  <c r="B1949" i="4"/>
  <c r="A1949" i="4"/>
  <c r="H1948" i="4"/>
  <c r="G1948" i="4"/>
  <c r="F1948" i="4"/>
  <c r="E1948" i="4"/>
  <c r="D1948" i="4"/>
  <c r="C1948" i="4"/>
  <c r="B1948" i="4"/>
  <c r="A1948" i="4"/>
  <c r="H1947" i="4"/>
  <c r="G1947" i="4"/>
  <c r="F1947" i="4"/>
  <c r="E1947" i="4"/>
  <c r="D1947" i="4"/>
  <c r="C1947" i="4"/>
  <c r="B1947" i="4"/>
  <c r="A1947" i="4"/>
  <c r="H1946" i="4"/>
  <c r="G1946" i="4"/>
  <c r="F1946" i="4"/>
  <c r="E1946" i="4"/>
  <c r="D1946" i="4"/>
  <c r="C1946" i="4"/>
  <c r="B1946" i="4"/>
  <c r="A1946" i="4"/>
  <c r="H1945" i="4"/>
  <c r="G1945" i="4"/>
  <c r="F1945" i="4"/>
  <c r="E1945" i="4"/>
  <c r="D1945" i="4"/>
  <c r="C1945" i="4"/>
  <c r="B1945" i="4"/>
  <c r="A1945" i="4"/>
  <c r="H1944" i="4"/>
  <c r="G1944" i="4"/>
  <c r="F1944" i="4"/>
  <c r="E1944" i="4"/>
  <c r="D1944" i="4"/>
  <c r="C1944" i="4"/>
  <c r="B1944" i="4"/>
  <c r="A1944" i="4"/>
  <c r="H1943" i="4"/>
  <c r="G1943" i="4"/>
  <c r="F1943" i="4"/>
  <c r="E1943" i="4"/>
  <c r="D1943" i="4"/>
  <c r="C1943" i="4"/>
  <c r="B1943" i="4"/>
  <c r="A1943" i="4"/>
  <c r="H1942" i="4"/>
  <c r="G1942" i="4"/>
  <c r="F1942" i="4"/>
  <c r="E1942" i="4"/>
  <c r="D1942" i="4"/>
  <c r="C1942" i="4"/>
  <c r="B1942" i="4"/>
  <c r="A1942" i="4"/>
  <c r="H1941" i="4"/>
  <c r="G1941" i="4"/>
  <c r="F1941" i="4"/>
  <c r="E1941" i="4"/>
  <c r="D1941" i="4"/>
  <c r="C1941" i="4"/>
  <c r="B1941" i="4"/>
  <c r="A1941" i="4"/>
  <c r="H1940" i="4"/>
  <c r="G1940" i="4"/>
  <c r="F1940" i="4"/>
  <c r="E1940" i="4"/>
  <c r="D1940" i="4"/>
  <c r="C1940" i="4"/>
  <c r="B1940" i="4"/>
  <c r="A1940" i="4"/>
  <c r="H1939" i="4"/>
  <c r="G1939" i="4"/>
  <c r="F1939" i="4"/>
  <c r="E1939" i="4"/>
  <c r="D1939" i="4"/>
  <c r="C1939" i="4"/>
  <c r="B1939" i="4"/>
  <c r="A1939" i="4"/>
  <c r="H1938" i="4"/>
  <c r="G1938" i="4"/>
  <c r="F1938" i="4"/>
  <c r="E1938" i="4"/>
  <c r="D1938" i="4"/>
  <c r="C1938" i="4"/>
  <c r="B1938" i="4"/>
  <c r="A1938" i="4"/>
  <c r="H1937" i="4"/>
  <c r="G1937" i="4"/>
  <c r="F1937" i="4"/>
  <c r="E1937" i="4"/>
  <c r="D1937" i="4"/>
  <c r="C1937" i="4"/>
  <c r="B1937" i="4"/>
  <c r="A1937" i="4"/>
  <c r="H1936" i="4"/>
  <c r="G1936" i="4"/>
  <c r="F1936" i="4"/>
  <c r="E1936" i="4"/>
  <c r="D1936" i="4"/>
  <c r="C1936" i="4"/>
  <c r="B1936" i="4"/>
  <c r="A1936" i="4"/>
  <c r="H1935" i="4"/>
  <c r="G1935" i="4"/>
  <c r="F1935" i="4"/>
  <c r="E1935" i="4"/>
  <c r="D1935" i="4"/>
  <c r="C1935" i="4"/>
  <c r="B1935" i="4"/>
  <c r="A1935" i="4"/>
  <c r="H1934" i="4"/>
  <c r="G1934" i="4"/>
  <c r="F1934" i="4"/>
  <c r="E1934" i="4"/>
  <c r="D1934" i="4"/>
  <c r="C1934" i="4"/>
  <c r="B1934" i="4"/>
  <c r="A1934" i="4"/>
  <c r="H1933" i="4"/>
  <c r="G1933" i="4"/>
  <c r="F1933" i="4"/>
  <c r="E1933" i="4"/>
  <c r="D1933" i="4"/>
  <c r="C1933" i="4"/>
  <c r="B1933" i="4"/>
  <c r="A1933" i="4"/>
  <c r="H1932" i="4"/>
  <c r="G1932" i="4"/>
  <c r="F1932" i="4"/>
  <c r="E1932" i="4"/>
  <c r="D1932" i="4"/>
  <c r="C1932" i="4"/>
  <c r="B1932" i="4"/>
  <c r="A1932" i="4"/>
  <c r="H1931" i="4"/>
  <c r="G1931" i="4"/>
  <c r="F1931" i="4"/>
  <c r="E1931" i="4"/>
  <c r="D1931" i="4"/>
  <c r="C1931" i="4"/>
  <c r="B1931" i="4"/>
  <c r="A1931" i="4"/>
  <c r="H1930" i="4"/>
  <c r="G1930" i="4"/>
  <c r="F1930" i="4"/>
  <c r="E1930" i="4"/>
  <c r="D1930" i="4"/>
  <c r="C1930" i="4"/>
  <c r="B1930" i="4"/>
  <c r="A1930" i="4"/>
  <c r="H1929" i="4"/>
  <c r="G1929" i="4"/>
  <c r="F1929" i="4"/>
  <c r="E1929" i="4"/>
  <c r="D1929" i="4"/>
  <c r="C1929" i="4"/>
  <c r="B1929" i="4"/>
  <c r="A1929" i="4"/>
  <c r="H1928" i="4"/>
  <c r="G1928" i="4"/>
  <c r="F1928" i="4"/>
  <c r="E1928" i="4"/>
  <c r="D1928" i="4"/>
  <c r="C1928" i="4"/>
  <c r="B1928" i="4"/>
  <c r="A1928" i="4"/>
  <c r="H1927" i="4"/>
  <c r="G1927" i="4"/>
  <c r="F1927" i="4"/>
  <c r="E1927" i="4"/>
  <c r="D1927" i="4"/>
  <c r="C1927" i="4"/>
  <c r="B1927" i="4"/>
  <c r="A1927" i="4"/>
  <c r="H1926" i="4"/>
  <c r="G1926" i="4"/>
  <c r="F1926" i="4"/>
  <c r="E1926" i="4"/>
  <c r="D1926" i="4"/>
  <c r="C1926" i="4"/>
  <c r="B1926" i="4"/>
  <c r="A1926" i="4"/>
  <c r="H1925" i="4"/>
  <c r="G1925" i="4"/>
  <c r="F1925" i="4"/>
  <c r="E1925" i="4"/>
  <c r="D1925" i="4"/>
  <c r="C1925" i="4"/>
  <c r="B1925" i="4"/>
  <c r="A1925" i="4"/>
  <c r="H1924" i="4"/>
  <c r="G1924" i="4"/>
  <c r="F1924" i="4"/>
  <c r="E1924" i="4"/>
  <c r="D1924" i="4"/>
  <c r="C1924" i="4"/>
  <c r="B1924" i="4"/>
  <c r="A1924" i="4"/>
  <c r="H1923" i="4"/>
  <c r="G1923" i="4"/>
  <c r="F1923" i="4"/>
  <c r="E1923" i="4"/>
  <c r="D1923" i="4"/>
  <c r="C1923" i="4"/>
  <c r="B1923" i="4"/>
  <c r="A1923" i="4"/>
  <c r="H1922" i="4"/>
  <c r="G1922" i="4"/>
  <c r="F1922" i="4"/>
  <c r="E1922" i="4"/>
  <c r="D1922" i="4"/>
  <c r="C1922" i="4"/>
  <c r="B1922" i="4"/>
  <c r="A1922" i="4"/>
  <c r="H1921" i="4"/>
  <c r="G1921" i="4"/>
  <c r="F1921" i="4"/>
  <c r="E1921" i="4"/>
  <c r="D1921" i="4"/>
  <c r="C1921" i="4"/>
  <c r="B1921" i="4"/>
  <c r="A1921" i="4"/>
  <c r="H1920" i="4"/>
  <c r="G1920" i="4"/>
  <c r="F1920" i="4"/>
  <c r="E1920" i="4"/>
  <c r="D1920" i="4"/>
  <c r="C1920" i="4"/>
  <c r="B1920" i="4"/>
  <c r="A1920" i="4"/>
  <c r="H1919" i="4"/>
  <c r="G1919" i="4"/>
  <c r="F1919" i="4"/>
  <c r="E1919" i="4"/>
  <c r="D1919" i="4"/>
  <c r="C1919" i="4"/>
  <c r="B1919" i="4"/>
  <c r="A1919" i="4"/>
  <c r="H1918" i="4"/>
  <c r="G1918" i="4"/>
  <c r="F1918" i="4"/>
  <c r="E1918" i="4"/>
  <c r="D1918" i="4"/>
  <c r="C1918" i="4"/>
  <c r="B1918" i="4"/>
  <c r="A1918" i="4"/>
  <c r="H1917" i="4"/>
  <c r="G1917" i="4"/>
  <c r="F1917" i="4"/>
  <c r="E1917" i="4"/>
  <c r="D1917" i="4"/>
  <c r="C1917" i="4"/>
  <c r="B1917" i="4"/>
  <c r="A1917" i="4"/>
  <c r="H1916" i="4"/>
  <c r="G1916" i="4"/>
  <c r="F1916" i="4"/>
  <c r="E1916" i="4"/>
  <c r="D1916" i="4"/>
  <c r="C1916" i="4"/>
  <c r="B1916" i="4"/>
  <c r="A1916" i="4"/>
  <c r="H1915" i="4"/>
  <c r="G1915" i="4"/>
  <c r="F1915" i="4"/>
  <c r="E1915" i="4"/>
  <c r="D1915" i="4"/>
  <c r="C1915" i="4"/>
  <c r="B1915" i="4"/>
  <c r="A1915" i="4"/>
  <c r="H1914" i="4"/>
  <c r="G1914" i="4"/>
  <c r="F1914" i="4"/>
  <c r="E1914" i="4"/>
  <c r="D1914" i="4"/>
  <c r="C1914" i="4"/>
  <c r="B1914" i="4"/>
  <c r="A1914" i="4"/>
  <c r="H1913" i="4"/>
  <c r="G1913" i="4"/>
  <c r="F1913" i="4"/>
  <c r="E1913" i="4"/>
  <c r="D1913" i="4"/>
  <c r="C1913" i="4"/>
  <c r="B1913" i="4"/>
  <c r="A1913" i="4"/>
  <c r="H1912" i="4"/>
  <c r="G1912" i="4"/>
  <c r="F1912" i="4"/>
  <c r="E1912" i="4"/>
  <c r="D1912" i="4"/>
  <c r="C1912" i="4"/>
  <c r="B1912" i="4"/>
  <c r="A1912" i="4"/>
  <c r="H1911" i="4"/>
  <c r="G1911" i="4"/>
  <c r="F1911" i="4"/>
  <c r="E1911" i="4"/>
  <c r="D1911" i="4"/>
  <c r="C1911" i="4"/>
  <c r="B1911" i="4"/>
  <c r="A1911" i="4"/>
  <c r="H1910" i="4"/>
  <c r="G1910" i="4"/>
  <c r="F1910" i="4"/>
  <c r="E1910" i="4"/>
  <c r="D1910" i="4"/>
  <c r="C1910" i="4"/>
  <c r="B1910" i="4"/>
  <c r="A1910" i="4"/>
  <c r="H1909" i="4"/>
  <c r="G1909" i="4"/>
  <c r="F1909" i="4"/>
  <c r="E1909" i="4"/>
  <c r="D1909" i="4"/>
  <c r="C1909" i="4"/>
  <c r="B1909" i="4"/>
  <c r="A1909" i="4"/>
  <c r="H1908" i="4"/>
  <c r="G1908" i="4"/>
  <c r="F1908" i="4"/>
  <c r="E1908" i="4"/>
  <c r="D1908" i="4"/>
  <c r="C1908" i="4"/>
  <c r="B1908" i="4"/>
  <c r="A1908" i="4"/>
  <c r="H1907" i="4"/>
  <c r="G1907" i="4"/>
  <c r="F1907" i="4"/>
  <c r="E1907" i="4"/>
  <c r="D1907" i="4"/>
  <c r="C1907" i="4"/>
  <c r="B1907" i="4"/>
  <c r="A1907" i="4"/>
  <c r="H1906" i="4"/>
  <c r="G1906" i="4"/>
  <c r="F1906" i="4"/>
  <c r="E1906" i="4"/>
  <c r="D1906" i="4"/>
  <c r="C1906" i="4"/>
  <c r="B1906" i="4"/>
  <c r="A1906" i="4"/>
  <c r="H1905" i="4"/>
  <c r="G1905" i="4"/>
  <c r="F1905" i="4"/>
  <c r="E1905" i="4"/>
  <c r="D1905" i="4"/>
  <c r="C1905" i="4"/>
  <c r="B1905" i="4"/>
  <c r="A1905" i="4"/>
  <c r="H1904" i="4"/>
  <c r="G1904" i="4"/>
  <c r="F1904" i="4"/>
  <c r="E1904" i="4"/>
  <c r="D1904" i="4"/>
  <c r="C1904" i="4"/>
  <c r="B1904" i="4"/>
  <c r="A1904" i="4"/>
  <c r="H1903" i="4"/>
  <c r="G1903" i="4"/>
  <c r="F1903" i="4"/>
  <c r="E1903" i="4"/>
  <c r="D1903" i="4"/>
  <c r="C1903" i="4"/>
  <c r="B1903" i="4"/>
  <c r="A1903" i="4"/>
  <c r="H1902" i="4"/>
  <c r="G1902" i="4"/>
  <c r="F1902" i="4"/>
  <c r="E1902" i="4"/>
  <c r="D1902" i="4"/>
  <c r="C1902" i="4"/>
  <c r="B1902" i="4"/>
  <c r="A1902" i="4"/>
  <c r="H1901" i="4"/>
  <c r="G1901" i="4"/>
  <c r="F1901" i="4"/>
  <c r="E1901" i="4"/>
  <c r="D1901" i="4"/>
  <c r="C1901" i="4"/>
  <c r="B1901" i="4"/>
  <c r="A1901" i="4"/>
  <c r="H1900" i="4"/>
  <c r="G1900" i="4"/>
  <c r="F1900" i="4"/>
  <c r="E1900" i="4"/>
  <c r="D1900" i="4"/>
  <c r="C1900" i="4"/>
  <c r="B1900" i="4"/>
  <c r="A1900" i="4"/>
  <c r="H1899" i="4"/>
  <c r="G1899" i="4"/>
  <c r="F1899" i="4"/>
  <c r="E1899" i="4"/>
  <c r="D1899" i="4"/>
  <c r="C1899" i="4"/>
  <c r="B1899" i="4"/>
  <c r="A1899" i="4"/>
  <c r="H1898" i="4"/>
  <c r="G1898" i="4"/>
  <c r="F1898" i="4"/>
  <c r="E1898" i="4"/>
  <c r="D1898" i="4"/>
  <c r="C1898" i="4"/>
  <c r="B1898" i="4"/>
  <c r="A1898" i="4"/>
  <c r="H1897" i="4"/>
  <c r="G1897" i="4"/>
  <c r="F1897" i="4"/>
  <c r="E1897" i="4"/>
  <c r="D1897" i="4"/>
  <c r="C1897" i="4"/>
  <c r="B1897" i="4"/>
  <c r="A1897" i="4"/>
  <c r="H1896" i="4"/>
  <c r="G1896" i="4"/>
  <c r="F1896" i="4"/>
  <c r="E1896" i="4"/>
  <c r="D1896" i="4"/>
  <c r="C1896" i="4"/>
  <c r="B1896" i="4"/>
  <c r="A1896" i="4"/>
  <c r="H1895" i="4"/>
  <c r="G1895" i="4"/>
  <c r="F1895" i="4"/>
  <c r="E1895" i="4"/>
  <c r="D1895" i="4"/>
  <c r="C1895" i="4"/>
  <c r="B1895" i="4"/>
  <c r="A1895" i="4"/>
  <c r="H1894" i="4"/>
  <c r="G1894" i="4"/>
  <c r="F1894" i="4"/>
  <c r="E1894" i="4"/>
  <c r="D1894" i="4"/>
  <c r="C1894" i="4"/>
  <c r="B1894" i="4"/>
  <c r="A1894" i="4"/>
  <c r="H1893" i="4"/>
  <c r="G1893" i="4"/>
  <c r="F1893" i="4"/>
  <c r="E1893" i="4"/>
  <c r="D1893" i="4"/>
  <c r="C1893" i="4"/>
  <c r="B1893" i="4"/>
  <c r="A1893" i="4"/>
  <c r="H1892" i="4"/>
  <c r="G1892" i="4"/>
  <c r="F1892" i="4"/>
  <c r="E1892" i="4"/>
  <c r="D1892" i="4"/>
  <c r="C1892" i="4"/>
  <c r="B1892" i="4"/>
  <c r="A1892" i="4"/>
  <c r="H1891" i="4"/>
  <c r="G1891" i="4"/>
  <c r="F1891" i="4"/>
  <c r="E1891" i="4"/>
  <c r="D1891" i="4"/>
  <c r="C1891" i="4"/>
  <c r="B1891" i="4"/>
  <c r="A1891" i="4"/>
  <c r="H1890" i="4"/>
  <c r="G1890" i="4"/>
  <c r="F1890" i="4"/>
  <c r="E1890" i="4"/>
  <c r="D1890" i="4"/>
  <c r="C1890" i="4"/>
  <c r="B1890" i="4"/>
  <c r="A1890" i="4"/>
  <c r="H1889" i="4"/>
  <c r="G1889" i="4"/>
  <c r="F1889" i="4"/>
  <c r="E1889" i="4"/>
  <c r="D1889" i="4"/>
  <c r="C1889" i="4"/>
  <c r="B1889" i="4"/>
  <c r="A1889" i="4"/>
  <c r="H1888" i="4"/>
  <c r="G1888" i="4"/>
  <c r="F1888" i="4"/>
  <c r="E1888" i="4"/>
  <c r="D1888" i="4"/>
  <c r="C1888" i="4"/>
  <c r="B1888" i="4"/>
  <c r="A1888" i="4"/>
  <c r="H1887" i="4"/>
  <c r="G1887" i="4"/>
  <c r="F1887" i="4"/>
  <c r="E1887" i="4"/>
  <c r="D1887" i="4"/>
  <c r="C1887" i="4"/>
  <c r="B1887" i="4"/>
  <c r="A1887" i="4"/>
  <c r="H1886" i="4"/>
  <c r="G1886" i="4"/>
  <c r="F1886" i="4"/>
  <c r="E1886" i="4"/>
  <c r="D1886" i="4"/>
  <c r="C1886" i="4"/>
  <c r="B1886" i="4"/>
  <c r="A1886" i="4"/>
  <c r="H1885" i="4"/>
  <c r="G1885" i="4"/>
  <c r="F1885" i="4"/>
  <c r="E1885" i="4"/>
  <c r="D1885" i="4"/>
  <c r="C1885" i="4"/>
  <c r="B1885" i="4"/>
  <c r="A1885" i="4"/>
  <c r="H1884" i="4"/>
  <c r="G1884" i="4"/>
  <c r="F1884" i="4"/>
  <c r="E1884" i="4"/>
  <c r="D1884" i="4"/>
  <c r="C1884" i="4"/>
  <c r="B1884" i="4"/>
  <c r="A1884" i="4"/>
  <c r="H1883" i="4"/>
  <c r="G1883" i="4"/>
  <c r="F1883" i="4"/>
  <c r="E1883" i="4"/>
  <c r="D1883" i="4"/>
  <c r="C1883" i="4"/>
  <c r="B1883" i="4"/>
  <c r="A1883" i="4"/>
  <c r="H1882" i="4"/>
  <c r="G1882" i="4"/>
  <c r="F1882" i="4"/>
  <c r="E1882" i="4"/>
  <c r="D1882" i="4"/>
  <c r="C1882" i="4"/>
  <c r="B1882" i="4"/>
  <c r="A1882" i="4"/>
  <c r="H1881" i="4"/>
  <c r="G1881" i="4"/>
  <c r="F1881" i="4"/>
  <c r="E1881" i="4"/>
  <c r="D1881" i="4"/>
  <c r="C1881" i="4"/>
  <c r="B1881" i="4"/>
  <c r="A1881" i="4"/>
  <c r="H1880" i="4"/>
  <c r="G1880" i="4"/>
  <c r="F1880" i="4"/>
  <c r="E1880" i="4"/>
  <c r="D1880" i="4"/>
  <c r="C1880" i="4"/>
  <c r="B1880" i="4"/>
  <c r="A1880" i="4"/>
  <c r="H1879" i="4"/>
  <c r="G1879" i="4"/>
  <c r="F1879" i="4"/>
  <c r="E1879" i="4"/>
  <c r="D1879" i="4"/>
  <c r="C1879" i="4"/>
  <c r="B1879" i="4"/>
  <c r="A1879" i="4"/>
  <c r="H1878" i="4"/>
  <c r="G1878" i="4"/>
  <c r="F1878" i="4"/>
  <c r="E1878" i="4"/>
  <c r="D1878" i="4"/>
  <c r="C1878" i="4"/>
  <c r="B1878" i="4"/>
  <c r="A1878" i="4"/>
  <c r="H1877" i="4"/>
  <c r="G1877" i="4"/>
  <c r="F1877" i="4"/>
  <c r="E1877" i="4"/>
  <c r="D1877" i="4"/>
  <c r="C1877" i="4"/>
  <c r="B1877" i="4"/>
  <c r="A1877" i="4"/>
  <c r="H1876" i="4"/>
  <c r="G1876" i="4"/>
  <c r="F1876" i="4"/>
  <c r="E1876" i="4"/>
  <c r="D1876" i="4"/>
  <c r="C1876" i="4"/>
  <c r="B1876" i="4"/>
  <c r="A1876" i="4"/>
  <c r="H1875" i="4"/>
  <c r="G1875" i="4"/>
  <c r="F1875" i="4"/>
  <c r="E1875" i="4"/>
  <c r="D1875" i="4"/>
  <c r="C1875" i="4"/>
  <c r="B1875" i="4"/>
  <c r="A1875" i="4"/>
  <c r="H1874" i="4"/>
  <c r="G1874" i="4"/>
  <c r="F1874" i="4"/>
  <c r="E1874" i="4"/>
  <c r="D1874" i="4"/>
  <c r="C1874" i="4"/>
  <c r="B1874" i="4"/>
  <c r="A1874" i="4"/>
  <c r="H1873" i="4"/>
  <c r="G1873" i="4"/>
  <c r="F1873" i="4"/>
  <c r="E1873" i="4"/>
  <c r="D1873" i="4"/>
  <c r="C1873" i="4"/>
  <c r="B1873" i="4"/>
  <c r="A1873" i="4"/>
  <c r="H1872" i="4"/>
  <c r="G1872" i="4"/>
  <c r="F1872" i="4"/>
  <c r="E1872" i="4"/>
  <c r="D1872" i="4"/>
  <c r="C1872" i="4"/>
  <c r="B1872" i="4"/>
  <c r="A1872" i="4"/>
  <c r="H1871" i="4"/>
  <c r="G1871" i="4"/>
  <c r="F1871" i="4"/>
  <c r="E1871" i="4"/>
  <c r="D1871" i="4"/>
  <c r="C1871" i="4"/>
  <c r="B1871" i="4"/>
  <c r="A1871" i="4"/>
  <c r="H1870" i="4"/>
  <c r="G1870" i="4"/>
  <c r="F1870" i="4"/>
  <c r="E1870" i="4"/>
  <c r="D1870" i="4"/>
  <c r="C1870" i="4"/>
  <c r="B1870" i="4"/>
  <c r="A1870" i="4"/>
  <c r="H1869" i="4"/>
  <c r="G1869" i="4"/>
  <c r="F1869" i="4"/>
  <c r="E1869" i="4"/>
  <c r="D1869" i="4"/>
  <c r="C1869" i="4"/>
  <c r="B1869" i="4"/>
  <c r="A1869" i="4"/>
  <c r="H1868" i="4"/>
  <c r="G1868" i="4"/>
  <c r="F1868" i="4"/>
  <c r="E1868" i="4"/>
  <c r="D1868" i="4"/>
  <c r="C1868" i="4"/>
  <c r="B1868" i="4"/>
  <c r="A1868" i="4"/>
  <c r="H1867" i="4"/>
  <c r="G1867" i="4"/>
  <c r="F1867" i="4"/>
  <c r="E1867" i="4"/>
  <c r="D1867" i="4"/>
  <c r="C1867" i="4"/>
  <c r="B1867" i="4"/>
  <c r="A1867" i="4"/>
  <c r="H1866" i="4"/>
  <c r="G1866" i="4"/>
  <c r="F1866" i="4"/>
  <c r="E1866" i="4"/>
  <c r="D1866" i="4"/>
  <c r="C1866" i="4"/>
  <c r="B1866" i="4"/>
  <c r="A1866" i="4"/>
  <c r="H1865" i="4"/>
  <c r="G1865" i="4"/>
  <c r="F1865" i="4"/>
  <c r="E1865" i="4"/>
  <c r="D1865" i="4"/>
  <c r="C1865" i="4"/>
  <c r="B1865" i="4"/>
  <c r="A1865" i="4"/>
  <c r="H1864" i="4"/>
  <c r="G1864" i="4"/>
  <c r="F1864" i="4"/>
  <c r="E1864" i="4"/>
  <c r="D1864" i="4"/>
  <c r="C1864" i="4"/>
  <c r="B1864" i="4"/>
  <c r="A1864" i="4"/>
  <c r="H1863" i="4"/>
  <c r="G1863" i="4"/>
  <c r="F1863" i="4"/>
  <c r="E1863" i="4"/>
  <c r="D1863" i="4"/>
  <c r="C1863" i="4"/>
  <c r="B1863" i="4"/>
  <c r="A1863" i="4"/>
  <c r="H1862" i="4"/>
  <c r="G1862" i="4"/>
  <c r="F1862" i="4"/>
  <c r="E1862" i="4"/>
  <c r="D1862" i="4"/>
  <c r="C1862" i="4"/>
  <c r="B1862" i="4"/>
  <c r="A1862" i="4"/>
  <c r="H1861" i="4"/>
  <c r="G1861" i="4"/>
  <c r="F1861" i="4"/>
  <c r="E1861" i="4"/>
  <c r="D1861" i="4"/>
  <c r="C1861" i="4"/>
  <c r="B1861" i="4"/>
  <c r="A1861" i="4"/>
  <c r="H1860" i="4"/>
  <c r="G1860" i="4"/>
  <c r="F1860" i="4"/>
  <c r="E1860" i="4"/>
  <c r="D1860" i="4"/>
  <c r="C1860" i="4"/>
  <c r="B1860" i="4"/>
  <c r="A1860" i="4"/>
  <c r="H1859" i="4"/>
  <c r="G1859" i="4"/>
  <c r="F1859" i="4"/>
  <c r="E1859" i="4"/>
  <c r="D1859" i="4"/>
  <c r="C1859" i="4"/>
  <c r="B1859" i="4"/>
  <c r="A1859" i="4"/>
  <c r="H1858" i="4"/>
  <c r="G1858" i="4"/>
  <c r="F1858" i="4"/>
  <c r="E1858" i="4"/>
  <c r="D1858" i="4"/>
  <c r="C1858" i="4"/>
  <c r="B1858" i="4"/>
  <c r="A1858" i="4"/>
  <c r="H1857" i="4"/>
  <c r="G1857" i="4"/>
  <c r="F1857" i="4"/>
  <c r="E1857" i="4"/>
  <c r="D1857" i="4"/>
  <c r="C1857" i="4"/>
  <c r="B1857" i="4"/>
  <c r="A1857" i="4"/>
  <c r="H1856" i="4"/>
  <c r="G1856" i="4"/>
  <c r="F1856" i="4"/>
  <c r="E1856" i="4"/>
  <c r="D1856" i="4"/>
  <c r="C1856" i="4"/>
  <c r="B1856" i="4"/>
  <c r="A1856" i="4"/>
  <c r="H1855" i="4"/>
  <c r="G1855" i="4"/>
  <c r="F1855" i="4"/>
  <c r="E1855" i="4"/>
  <c r="D1855" i="4"/>
  <c r="C1855" i="4"/>
  <c r="B1855" i="4"/>
  <c r="A1855" i="4"/>
  <c r="H1854" i="4"/>
  <c r="G1854" i="4"/>
  <c r="F1854" i="4"/>
  <c r="E1854" i="4"/>
  <c r="D1854" i="4"/>
  <c r="C1854" i="4"/>
  <c r="B1854" i="4"/>
  <c r="A1854" i="4"/>
  <c r="H1853" i="4"/>
  <c r="G1853" i="4"/>
  <c r="F1853" i="4"/>
  <c r="E1853" i="4"/>
  <c r="D1853" i="4"/>
  <c r="C1853" i="4"/>
  <c r="B1853" i="4"/>
  <c r="A1853" i="4"/>
  <c r="H1852" i="4"/>
  <c r="G1852" i="4"/>
  <c r="F1852" i="4"/>
  <c r="E1852" i="4"/>
  <c r="D1852" i="4"/>
  <c r="C1852" i="4"/>
  <c r="B1852" i="4"/>
  <c r="A1852" i="4"/>
  <c r="H1851" i="4"/>
  <c r="G1851" i="4"/>
  <c r="F1851" i="4"/>
  <c r="E1851" i="4"/>
  <c r="D1851" i="4"/>
  <c r="C1851" i="4"/>
  <c r="B1851" i="4"/>
  <c r="A1851" i="4"/>
  <c r="H1850" i="4"/>
  <c r="G1850" i="4"/>
  <c r="F1850" i="4"/>
  <c r="E1850" i="4"/>
  <c r="D1850" i="4"/>
  <c r="C1850" i="4"/>
  <c r="B1850" i="4"/>
  <c r="A1850" i="4"/>
  <c r="H1849" i="4"/>
  <c r="G1849" i="4"/>
  <c r="F1849" i="4"/>
  <c r="E1849" i="4"/>
  <c r="D1849" i="4"/>
  <c r="C1849" i="4"/>
  <c r="B1849" i="4"/>
  <c r="A1849" i="4"/>
  <c r="H1848" i="4"/>
  <c r="G1848" i="4"/>
  <c r="F1848" i="4"/>
  <c r="E1848" i="4"/>
  <c r="D1848" i="4"/>
  <c r="C1848" i="4"/>
  <c r="B1848" i="4"/>
  <c r="A1848" i="4"/>
  <c r="H1847" i="4"/>
  <c r="G1847" i="4"/>
  <c r="F1847" i="4"/>
  <c r="E1847" i="4"/>
  <c r="D1847" i="4"/>
  <c r="C1847" i="4"/>
  <c r="B1847" i="4"/>
  <c r="A1847" i="4"/>
  <c r="H1846" i="4"/>
  <c r="G1846" i="4"/>
  <c r="F1846" i="4"/>
  <c r="E1846" i="4"/>
  <c r="D1846" i="4"/>
  <c r="C1846" i="4"/>
  <c r="B1846" i="4"/>
  <c r="A1846" i="4"/>
  <c r="H1845" i="4"/>
  <c r="G1845" i="4"/>
  <c r="F1845" i="4"/>
  <c r="E1845" i="4"/>
  <c r="D1845" i="4"/>
  <c r="C1845" i="4"/>
  <c r="B1845" i="4"/>
  <c r="A1845" i="4"/>
  <c r="H1844" i="4"/>
  <c r="G1844" i="4"/>
  <c r="F1844" i="4"/>
  <c r="E1844" i="4"/>
  <c r="D1844" i="4"/>
  <c r="C1844" i="4"/>
  <c r="B1844" i="4"/>
  <c r="A1844" i="4"/>
  <c r="H1843" i="4"/>
  <c r="G1843" i="4"/>
  <c r="F1843" i="4"/>
  <c r="E1843" i="4"/>
  <c r="D1843" i="4"/>
  <c r="C1843" i="4"/>
  <c r="B1843" i="4"/>
  <c r="A1843" i="4"/>
  <c r="H1842" i="4"/>
  <c r="G1842" i="4"/>
  <c r="F1842" i="4"/>
  <c r="E1842" i="4"/>
  <c r="D1842" i="4"/>
  <c r="C1842" i="4"/>
  <c r="B1842" i="4"/>
  <c r="A1842" i="4"/>
  <c r="H1841" i="4"/>
  <c r="G1841" i="4"/>
  <c r="F1841" i="4"/>
  <c r="E1841" i="4"/>
  <c r="D1841" i="4"/>
  <c r="C1841" i="4"/>
  <c r="B1841" i="4"/>
  <c r="A1841" i="4"/>
  <c r="H1840" i="4"/>
  <c r="G1840" i="4"/>
  <c r="F1840" i="4"/>
  <c r="E1840" i="4"/>
  <c r="D1840" i="4"/>
  <c r="C1840" i="4"/>
  <c r="B1840" i="4"/>
  <c r="A1840" i="4"/>
  <c r="H1839" i="4"/>
  <c r="G1839" i="4"/>
  <c r="F1839" i="4"/>
  <c r="E1839" i="4"/>
  <c r="D1839" i="4"/>
  <c r="C1839" i="4"/>
  <c r="B1839" i="4"/>
  <c r="A1839" i="4"/>
  <c r="H1838" i="4"/>
  <c r="G1838" i="4"/>
  <c r="F1838" i="4"/>
  <c r="E1838" i="4"/>
  <c r="D1838" i="4"/>
  <c r="C1838" i="4"/>
  <c r="B1838" i="4"/>
  <c r="A1838" i="4"/>
  <c r="H1837" i="4"/>
  <c r="G1837" i="4"/>
  <c r="F1837" i="4"/>
  <c r="E1837" i="4"/>
  <c r="D1837" i="4"/>
  <c r="C1837" i="4"/>
  <c r="B1837" i="4"/>
  <c r="A1837" i="4"/>
  <c r="H1836" i="4"/>
  <c r="G1836" i="4"/>
  <c r="F1836" i="4"/>
  <c r="E1836" i="4"/>
  <c r="D1836" i="4"/>
  <c r="C1836" i="4"/>
  <c r="B1836" i="4"/>
  <c r="A1836" i="4"/>
  <c r="H1835" i="4"/>
  <c r="G1835" i="4"/>
  <c r="F1835" i="4"/>
  <c r="E1835" i="4"/>
  <c r="D1835" i="4"/>
  <c r="C1835" i="4"/>
  <c r="B1835" i="4"/>
  <c r="A1835" i="4"/>
  <c r="H1834" i="4"/>
  <c r="G1834" i="4"/>
  <c r="F1834" i="4"/>
  <c r="E1834" i="4"/>
  <c r="D1834" i="4"/>
  <c r="C1834" i="4"/>
  <c r="B1834" i="4"/>
  <c r="A1834" i="4"/>
  <c r="H1833" i="4"/>
  <c r="G1833" i="4"/>
  <c r="F1833" i="4"/>
  <c r="E1833" i="4"/>
  <c r="D1833" i="4"/>
  <c r="C1833" i="4"/>
  <c r="B1833" i="4"/>
  <c r="A1833" i="4"/>
  <c r="H1832" i="4"/>
  <c r="G1832" i="4"/>
  <c r="F1832" i="4"/>
  <c r="E1832" i="4"/>
  <c r="D1832" i="4"/>
  <c r="C1832" i="4"/>
  <c r="B1832" i="4"/>
  <c r="A1832" i="4"/>
  <c r="H1831" i="4"/>
  <c r="G1831" i="4"/>
  <c r="F1831" i="4"/>
  <c r="E1831" i="4"/>
  <c r="D1831" i="4"/>
  <c r="C1831" i="4"/>
  <c r="B1831" i="4"/>
  <c r="A1831" i="4"/>
  <c r="H1830" i="4"/>
  <c r="G1830" i="4"/>
  <c r="F1830" i="4"/>
  <c r="E1830" i="4"/>
  <c r="D1830" i="4"/>
  <c r="C1830" i="4"/>
  <c r="B1830" i="4"/>
  <c r="A1830" i="4"/>
  <c r="H1829" i="4"/>
  <c r="G1829" i="4"/>
  <c r="F1829" i="4"/>
  <c r="E1829" i="4"/>
  <c r="D1829" i="4"/>
  <c r="C1829" i="4"/>
  <c r="B1829" i="4"/>
  <c r="A1829" i="4"/>
  <c r="H1828" i="4"/>
  <c r="G1828" i="4"/>
  <c r="F1828" i="4"/>
  <c r="E1828" i="4"/>
  <c r="D1828" i="4"/>
  <c r="C1828" i="4"/>
  <c r="B1828" i="4"/>
  <c r="A1828" i="4"/>
  <c r="H1827" i="4"/>
  <c r="G1827" i="4"/>
  <c r="F1827" i="4"/>
  <c r="E1827" i="4"/>
  <c r="D1827" i="4"/>
  <c r="C1827" i="4"/>
  <c r="B1827" i="4"/>
  <c r="A1827" i="4"/>
  <c r="H1826" i="4"/>
  <c r="G1826" i="4"/>
  <c r="F1826" i="4"/>
  <c r="E1826" i="4"/>
  <c r="D1826" i="4"/>
  <c r="C1826" i="4"/>
  <c r="B1826" i="4"/>
  <c r="A1826" i="4"/>
  <c r="H1825" i="4"/>
  <c r="G1825" i="4"/>
  <c r="F1825" i="4"/>
  <c r="E1825" i="4"/>
  <c r="D1825" i="4"/>
  <c r="C1825" i="4"/>
  <c r="B1825" i="4"/>
  <c r="A1825" i="4"/>
  <c r="H1824" i="4"/>
  <c r="G1824" i="4"/>
  <c r="F1824" i="4"/>
  <c r="E1824" i="4"/>
  <c r="D1824" i="4"/>
  <c r="C1824" i="4"/>
  <c r="B1824" i="4"/>
  <c r="A1824" i="4"/>
  <c r="H1823" i="4"/>
  <c r="G1823" i="4"/>
  <c r="F1823" i="4"/>
  <c r="E1823" i="4"/>
  <c r="D1823" i="4"/>
  <c r="C1823" i="4"/>
  <c r="B1823" i="4"/>
  <c r="A1823" i="4"/>
  <c r="H1822" i="4"/>
  <c r="G1822" i="4"/>
  <c r="F1822" i="4"/>
  <c r="E1822" i="4"/>
  <c r="D1822" i="4"/>
  <c r="C1822" i="4"/>
  <c r="B1822" i="4"/>
  <c r="A1822" i="4"/>
  <c r="H1821" i="4"/>
  <c r="G1821" i="4"/>
  <c r="F1821" i="4"/>
  <c r="E1821" i="4"/>
  <c r="D1821" i="4"/>
  <c r="C1821" i="4"/>
  <c r="B1821" i="4"/>
  <c r="A1821" i="4"/>
  <c r="H1820" i="4"/>
  <c r="G1820" i="4"/>
  <c r="F1820" i="4"/>
  <c r="E1820" i="4"/>
  <c r="D1820" i="4"/>
  <c r="C1820" i="4"/>
  <c r="B1820" i="4"/>
  <c r="A1820" i="4"/>
  <c r="H1819" i="4"/>
  <c r="G1819" i="4"/>
  <c r="F1819" i="4"/>
  <c r="E1819" i="4"/>
  <c r="D1819" i="4"/>
  <c r="C1819" i="4"/>
  <c r="B1819" i="4"/>
  <c r="A1819" i="4"/>
  <c r="H1818" i="4"/>
  <c r="G1818" i="4"/>
  <c r="F1818" i="4"/>
  <c r="E1818" i="4"/>
  <c r="D1818" i="4"/>
  <c r="C1818" i="4"/>
  <c r="B1818" i="4"/>
  <c r="A1818" i="4"/>
  <c r="H1817" i="4"/>
  <c r="G1817" i="4"/>
  <c r="F1817" i="4"/>
  <c r="E1817" i="4"/>
  <c r="D1817" i="4"/>
  <c r="C1817" i="4"/>
  <c r="B1817" i="4"/>
  <c r="A1817" i="4"/>
  <c r="H1816" i="4"/>
  <c r="G1816" i="4"/>
  <c r="F1816" i="4"/>
  <c r="E1816" i="4"/>
  <c r="D1816" i="4"/>
  <c r="C1816" i="4"/>
  <c r="B1816" i="4"/>
  <c r="A1816" i="4"/>
  <c r="H1815" i="4"/>
  <c r="G1815" i="4"/>
  <c r="F1815" i="4"/>
  <c r="E1815" i="4"/>
  <c r="D1815" i="4"/>
  <c r="C1815" i="4"/>
  <c r="B1815" i="4"/>
  <c r="A1815" i="4"/>
  <c r="H1814" i="4"/>
  <c r="G1814" i="4"/>
  <c r="F1814" i="4"/>
  <c r="E1814" i="4"/>
  <c r="D1814" i="4"/>
  <c r="C1814" i="4"/>
  <c r="B1814" i="4"/>
  <c r="A1814" i="4"/>
  <c r="H1813" i="4"/>
  <c r="G1813" i="4"/>
  <c r="F1813" i="4"/>
  <c r="E1813" i="4"/>
  <c r="D1813" i="4"/>
  <c r="C1813" i="4"/>
  <c r="B1813" i="4"/>
  <c r="A1813" i="4"/>
  <c r="H1812" i="4"/>
  <c r="G1812" i="4"/>
  <c r="F1812" i="4"/>
  <c r="E1812" i="4"/>
  <c r="D1812" i="4"/>
  <c r="C1812" i="4"/>
  <c r="B1812" i="4"/>
  <c r="A1812" i="4"/>
  <c r="H1811" i="4"/>
  <c r="G1811" i="4"/>
  <c r="F1811" i="4"/>
  <c r="E1811" i="4"/>
  <c r="D1811" i="4"/>
  <c r="C1811" i="4"/>
  <c r="B1811" i="4"/>
  <c r="A1811" i="4"/>
  <c r="H1810" i="4"/>
  <c r="G1810" i="4"/>
  <c r="F1810" i="4"/>
  <c r="E1810" i="4"/>
  <c r="D1810" i="4"/>
  <c r="C1810" i="4"/>
  <c r="B1810" i="4"/>
  <c r="A1810" i="4"/>
  <c r="H1809" i="4"/>
  <c r="G1809" i="4"/>
  <c r="F1809" i="4"/>
  <c r="E1809" i="4"/>
  <c r="D1809" i="4"/>
  <c r="C1809" i="4"/>
  <c r="B1809" i="4"/>
  <c r="A1809" i="4"/>
  <c r="H1808" i="4"/>
  <c r="G1808" i="4"/>
  <c r="F1808" i="4"/>
  <c r="E1808" i="4"/>
  <c r="D1808" i="4"/>
  <c r="C1808" i="4"/>
  <c r="B1808" i="4"/>
  <c r="A1808" i="4"/>
  <c r="H1807" i="4"/>
  <c r="G1807" i="4"/>
  <c r="F1807" i="4"/>
  <c r="E1807" i="4"/>
  <c r="D1807" i="4"/>
  <c r="C1807" i="4"/>
  <c r="B1807" i="4"/>
  <c r="A1807" i="4"/>
  <c r="H1806" i="4"/>
  <c r="G1806" i="4"/>
  <c r="F1806" i="4"/>
  <c r="E1806" i="4"/>
  <c r="D1806" i="4"/>
  <c r="C1806" i="4"/>
  <c r="B1806" i="4"/>
  <c r="A1806" i="4"/>
  <c r="H1805" i="4"/>
  <c r="G1805" i="4"/>
  <c r="F1805" i="4"/>
  <c r="E1805" i="4"/>
  <c r="D1805" i="4"/>
  <c r="C1805" i="4"/>
  <c r="B1805" i="4"/>
  <c r="A1805" i="4"/>
  <c r="H1804" i="4"/>
  <c r="G1804" i="4"/>
  <c r="F1804" i="4"/>
  <c r="E1804" i="4"/>
  <c r="D1804" i="4"/>
  <c r="C1804" i="4"/>
  <c r="B1804" i="4"/>
  <c r="A1804" i="4"/>
  <c r="H1803" i="4"/>
  <c r="G1803" i="4"/>
  <c r="F1803" i="4"/>
  <c r="E1803" i="4"/>
  <c r="D1803" i="4"/>
  <c r="C1803" i="4"/>
  <c r="B1803" i="4"/>
  <c r="A1803" i="4"/>
  <c r="H1802" i="4"/>
  <c r="G1802" i="4"/>
  <c r="F1802" i="4"/>
  <c r="E1802" i="4"/>
  <c r="D1802" i="4"/>
  <c r="C1802" i="4"/>
  <c r="B1802" i="4"/>
  <c r="A1802" i="4"/>
  <c r="H1801" i="4"/>
  <c r="G1801" i="4"/>
  <c r="F1801" i="4"/>
  <c r="E1801" i="4"/>
  <c r="D1801" i="4"/>
  <c r="C1801" i="4"/>
  <c r="B1801" i="4"/>
  <c r="A1801" i="4"/>
  <c r="H1800" i="4"/>
  <c r="G1800" i="4"/>
  <c r="F1800" i="4"/>
  <c r="E1800" i="4"/>
  <c r="D1800" i="4"/>
  <c r="C1800" i="4"/>
  <c r="B1800" i="4"/>
  <c r="A1800" i="4"/>
  <c r="H1799" i="4"/>
  <c r="G1799" i="4"/>
  <c r="F1799" i="4"/>
  <c r="E1799" i="4"/>
  <c r="D1799" i="4"/>
  <c r="C1799" i="4"/>
  <c r="B1799" i="4"/>
  <c r="A1799" i="4"/>
  <c r="H1798" i="4"/>
  <c r="G1798" i="4"/>
  <c r="F1798" i="4"/>
  <c r="E1798" i="4"/>
  <c r="D1798" i="4"/>
  <c r="C1798" i="4"/>
  <c r="B1798" i="4"/>
  <c r="A1798" i="4"/>
  <c r="H1797" i="4"/>
  <c r="G1797" i="4"/>
  <c r="F1797" i="4"/>
  <c r="E1797" i="4"/>
  <c r="D1797" i="4"/>
  <c r="C1797" i="4"/>
  <c r="B1797" i="4"/>
  <c r="A1797" i="4"/>
  <c r="H1796" i="4"/>
  <c r="G1796" i="4"/>
  <c r="F1796" i="4"/>
  <c r="E1796" i="4"/>
  <c r="D1796" i="4"/>
  <c r="C1796" i="4"/>
  <c r="B1796" i="4"/>
  <c r="A1796" i="4"/>
  <c r="H1795" i="4"/>
  <c r="G1795" i="4"/>
  <c r="F1795" i="4"/>
  <c r="E1795" i="4"/>
  <c r="D1795" i="4"/>
  <c r="C1795" i="4"/>
  <c r="B1795" i="4"/>
  <c r="A1795" i="4"/>
  <c r="H1794" i="4"/>
  <c r="G1794" i="4"/>
  <c r="F1794" i="4"/>
  <c r="E1794" i="4"/>
  <c r="D1794" i="4"/>
  <c r="C1794" i="4"/>
  <c r="B1794" i="4"/>
  <c r="A1794" i="4"/>
  <c r="H1793" i="4"/>
  <c r="G1793" i="4"/>
  <c r="F1793" i="4"/>
  <c r="E1793" i="4"/>
  <c r="D1793" i="4"/>
  <c r="C1793" i="4"/>
  <c r="B1793" i="4"/>
  <c r="A1793" i="4"/>
  <c r="H1792" i="4"/>
  <c r="G1792" i="4"/>
  <c r="F1792" i="4"/>
  <c r="E1792" i="4"/>
  <c r="D1792" i="4"/>
  <c r="C1792" i="4"/>
  <c r="B1792" i="4"/>
  <c r="A1792" i="4"/>
  <c r="H1791" i="4"/>
  <c r="G1791" i="4"/>
  <c r="F1791" i="4"/>
  <c r="E1791" i="4"/>
  <c r="D1791" i="4"/>
  <c r="C1791" i="4"/>
  <c r="B1791" i="4"/>
  <c r="A1791" i="4"/>
  <c r="H1790" i="4"/>
  <c r="G1790" i="4"/>
  <c r="F1790" i="4"/>
  <c r="E1790" i="4"/>
  <c r="D1790" i="4"/>
  <c r="C1790" i="4"/>
  <c r="B1790" i="4"/>
  <c r="A1790" i="4"/>
  <c r="H1789" i="4"/>
  <c r="G1789" i="4"/>
  <c r="F1789" i="4"/>
  <c r="E1789" i="4"/>
  <c r="D1789" i="4"/>
  <c r="C1789" i="4"/>
  <c r="B1789" i="4"/>
  <c r="A1789" i="4"/>
  <c r="H1788" i="4"/>
  <c r="G1788" i="4"/>
  <c r="F1788" i="4"/>
  <c r="E1788" i="4"/>
  <c r="D1788" i="4"/>
  <c r="C1788" i="4"/>
  <c r="B1788" i="4"/>
  <c r="A1788" i="4"/>
  <c r="H1787" i="4"/>
  <c r="G1787" i="4"/>
  <c r="F1787" i="4"/>
  <c r="E1787" i="4"/>
  <c r="D1787" i="4"/>
  <c r="C1787" i="4"/>
  <c r="B1787" i="4"/>
  <c r="A1787" i="4"/>
  <c r="H1786" i="4"/>
  <c r="G1786" i="4"/>
  <c r="F1786" i="4"/>
  <c r="E1786" i="4"/>
  <c r="D1786" i="4"/>
  <c r="C1786" i="4"/>
  <c r="B1786" i="4"/>
  <c r="A1786" i="4"/>
  <c r="H1785" i="4"/>
  <c r="G1785" i="4"/>
  <c r="F1785" i="4"/>
  <c r="E1785" i="4"/>
  <c r="D1785" i="4"/>
  <c r="C1785" i="4"/>
  <c r="B1785" i="4"/>
  <c r="A1785" i="4"/>
  <c r="H1784" i="4"/>
  <c r="G1784" i="4"/>
  <c r="F1784" i="4"/>
  <c r="E1784" i="4"/>
  <c r="D1784" i="4"/>
  <c r="C1784" i="4"/>
  <c r="B1784" i="4"/>
  <c r="A1784" i="4"/>
  <c r="H1783" i="4"/>
  <c r="G1783" i="4"/>
  <c r="F1783" i="4"/>
  <c r="E1783" i="4"/>
  <c r="D1783" i="4"/>
  <c r="C1783" i="4"/>
  <c r="B1783" i="4"/>
  <c r="A1783" i="4"/>
  <c r="H1782" i="4"/>
  <c r="G1782" i="4"/>
  <c r="F1782" i="4"/>
  <c r="E1782" i="4"/>
  <c r="D1782" i="4"/>
  <c r="C1782" i="4"/>
  <c r="B1782" i="4"/>
  <c r="A1782" i="4"/>
  <c r="H1781" i="4"/>
  <c r="G1781" i="4"/>
  <c r="F1781" i="4"/>
  <c r="E1781" i="4"/>
  <c r="D1781" i="4"/>
  <c r="C1781" i="4"/>
  <c r="B1781" i="4"/>
  <c r="A1781" i="4"/>
  <c r="H1780" i="4"/>
  <c r="G1780" i="4"/>
  <c r="F1780" i="4"/>
  <c r="E1780" i="4"/>
  <c r="D1780" i="4"/>
  <c r="C1780" i="4"/>
  <c r="B1780" i="4"/>
  <c r="A1780" i="4"/>
  <c r="H1779" i="4"/>
  <c r="G1779" i="4"/>
  <c r="F1779" i="4"/>
  <c r="E1779" i="4"/>
  <c r="D1779" i="4"/>
  <c r="C1779" i="4"/>
  <c r="B1779" i="4"/>
  <c r="A1779" i="4"/>
  <c r="H1778" i="4"/>
  <c r="G1778" i="4"/>
  <c r="F1778" i="4"/>
  <c r="E1778" i="4"/>
  <c r="D1778" i="4"/>
  <c r="C1778" i="4"/>
  <c r="B1778" i="4"/>
  <c r="A1778" i="4"/>
  <c r="H1777" i="4"/>
  <c r="G1777" i="4"/>
  <c r="F1777" i="4"/>
  <c r="E1777" i="4"/>
  <c r="D1777" i="4"/>
  <c r="C1777" i="4"/>
  <c r="B1777" i="4"/>
  <c r="A1777" i="4"/>
  <c r="H1776" i="4"/>
  <c r="G1776" i="4"/>
  <c r="F1776" i="4"/>
  <c r="E1776" i="4"/>
  <c r="D1776" i="4"/>
  <c r="C1776" i="4"/>
  <c r="B1776" i="4"/>
  <c r="A1776" i="4"/>
  <c r="H1775" i="4"/>
  <c r="G1775" i="4"/>
  <c r="F1775" i="4"/>
  <c r="E1775" i="4"/>
  <c r="D1775" i="4"/>
  <c r="C1775" i="4"/>
  <c r="B1775" i="4"/>
  <c r="A1775" i="4"/>
  <c r="H1774" i="4"/>
  <c r="G1774" i="4"/>
  <c r="F1774" i="4"/>
  <c r="E1774" i="4"/>
  <c r="D1774" i="4"/>
  <c r="C1774" i="4"/>
  <c r="B1774" i="4"/>
  <c r="A1774" i="4"/>
  <c r="H1773" i="4"/>
  <c r="G1773" i="4"/>
  <c r="F1773" i="4"/>
  <c r="E1773" i="4"/>
  <c r="D1773" i="4"/>
  <c r="C1773" i="4"/>
  <c r="B1773" i="4"/>
  <c r="A1773" i="4"/>
  <c r="H1772" i="4"/>
  <c r="G1772" i="4"/>
  <c r="F1772" i="4"/>
  <c r="E1772" i="4"/>
  <c r="D1772" i="4"/>
  <c r="C1772" i="4"/>
  <c r="B1772" i="4"/>
  <c r="A1772" i="4"/>
  <c r="H1771" i="4"/>
  <c r="G1771" i="4"/>
  <c r="F1771" i="4"/>
  <c r="E1771" i="4"/>
  <c r="D1771" i="4"/>
  <c r="C1771" i="4"/>
  <c r="B1771" i="4"/>
  <c r="A1771" i="4"/>
  <c r="H1770" i="4"/>
  <c r="G1770" i="4"/>
  <c r="F1770" i="4"/>
  <c r="E1770" i="4"/>
  <c r="D1770" i="4"/>
  <c r="C1770" i="4"/>
  <c r="B1770" i="4"/>
  <c r="A1770" i="4"/>
  <c r="H1769" i="4"/>
  <c r="G1769" i="4"/>
  <c r="F1769" i="4"/>
  <c r="E1769" i="4"/>
  <c r="D1769" i="4"/>
  <c r="C1769" i="4"/>
  <c r="B1769" i="4"/>
  <c r="A1769" i="4"/>
  <c r="H1768" i="4"/>
  <c r="G1768" i="4"/>
  <c r="F1768" i="4"/>
  <c r="E1768" i="4"/>
  <c r="D1768" i="4"/>
  <c r="C1768" i="4"/>
  <c r="B1768" i="4"/>
  <c r="A1768" i="4"/>
  <c r="H1767" i="4"/>
  <c r="G1767" i="4"/>
  <c r="F1767" i="4"/>
  <c r="E1767" i="4"/>
  <c r="D1767" i="4"/>
  <c r="C1767" i="4"/>
  <c r="B1767" i="4"/>
  <c r="A1767" i="4"/>
  <c r="H1766" i="4"/>
  <c r="G1766" i="4"/>
  <c r="F1766" i="4"/>
  <c r="E1766" i="4"/>
  <c r="D1766" i="4"/>
  <c r="C1766" i="4"/>
  <c r="B1766" i="4"/>
  <c r="A1766" i="4"/>
  <c r="H1765" i="4"/>
  <c r="G1765" i="4"/>
  <c r="F1765" i="4"/>
  <c r="E1765" i="4"/>
  <c r="D1765" i="4"/>
  <c r="C1765" i="4"/>
  <c r="B1765" i="4"/>
  <c r="A1765" i="4"/>
  <c r="H1764" i="4"/>
  <c r="G1764" i="4"/>
  <c r="F1764" i="4"/>
  <c r="E1764" i="4"/>
  <c r="D1764" i="4"/>
  <c r="C1764" i="4"/>
  <c r="B1764" i="4"/>
  <c r="A1764" i="4"/>
  <c r="H1763" i="4"/>
  <c r="G1763" i="4"/>
  <c r="F1763" i="4"/>
  <c r="E1763" i="4"/>
  <c r="D1763" i="4"/>
  <c r="C1763" i="4"/>
  <c r="B1763" i="4"/>
  <c r="A1763" i="4"/>
  <c r="H1762" i="4"/>
  <c r="G1762" i="4"/>
  <c r="F1762" i="4"/>
  <c r="E1762" i="4"/>
  <c r="D1762" i="4"/>
  <c r="C1762" i="4"/>
  <c r="B1762" i="4"/>
  <c r="A1762" i="4"/>
  <c r="H1761" i="4"/>
  <c r="G1761" i="4"/>
  <c r="F1761" i="4"/>
  <c r="E1761" i="4"/>
  <c r="D1761" i="4"/>
  <c r="C1761" i="4"/>
  <c r="B1761" i="4"/>
  <c r="A1761" i="4"/>
  <c r="H1760" i="4"/>
  <c r="G1760" i="4"/>
  <c r="F1760" i="4"/>
  <c r="E1760" i="4"/>
  <c r="D1760" i="4"/>
  <c r="C1760" i="4"/>
  <c r="B1760" i="4"/>
  <c r="A1760" i="4"/>
  <c r="H1759" i="4"/>
  <c r="G1759" i="4"/>
  <c r="F1759" i="4"/>
  <c r="E1759" i="4"/>
  <c r="D1759" i="4"/>
  <c r="C1759" i="4"/>
  <c r="B1759" i="4"/>
  <c r="A1759" i="4"/>
  <c r="H1758" i="4"/>
  <c r="G1758" i="4"/>
  <c r="F1758" i="4"/>
  <c r="E1758" i="4"/>
  <c r="D1758" i="4"/>
  <c r="C1758" i="4"/>
  <c r="B1758" i="4"/>
  <c r="A1758" i="4"/>
  <c r="H1757" i="4"/>
  <c r="G1757" i="4"/>
  <c r="F1757" i="4"/>
  <c r="E1757" i="4"/>
  <c r="D1757" i="4"/>
  <c r="C1757" i="4"/>
  <c r="B1757" i="4"/>
  <c r="A1757" i="4"/>
  <c r="H1756" i="4"/>
  <c r="G1756" i="4"/>
  <c r="F1756" i="4"/>
  <c r="E1756" i="4"/>
  <c r="D1756" i="4"/>
  <c r="C1756" i="4"/>
  <c r="B1756" i="4"/>
  <c r="A1756" i="4"/>
  <c r="H1755" i="4"/>
  <c r="G1755" i="4"/>
  <c r="F1755" i="4"/>
  <c r="E1755" i="4"/>
  <c r="D1755" i="4"/>
  <c r="C1755" i="4"/>
  <c r="B1755" i="4"/>
  <c r="A1755" i="4"/>
  <c r="H1754" i="4"/>
  <c r="G1754" i="4"/>
  <c r="F1754" i="4"/>
  <c r="E1754" i="4"/>
  <c r="D1754" i="4"/>
  <c r="C1754" i="4"/>
  <c r="B1754" i="4"/>
  <c r="A1754" i="4"/>
  <c r="H1753" i="4"/>
  <c r="G1753" i="4"/>
  <c r="F1753" i="4"/>
  <c r="E1753" i="4"/>
  <c r="D1753" i="4"/>
  <c r="C1753" i="4"/>
  <c r="B1753" i="4"/>
  <c r="A1753" i="4"/>
  <c r="H1752" i="4"/>
  <c r="G1752" i="4"/>
  <c r="F1752" i="4"/>
  <c r="E1752" i="4"/>
  <c r="D1752" i="4"/>
  <c r="C1752" i="4"/>
  <c r="B1752" i="4"/>
  <c r="A1752" i="4"/>
  <c r="H1751" i="4"/>
  <c r="G1751" i="4"/>
  <c r="F1751" i="4"/>
  <c r="E1751" i="4"/>
  <c r="D1751" i="4"/>
  <c r="C1751" i="4"/>
  <c r="B1751" i="4"/>
  <c r="A1751" i="4"/>
  <c r="H1750" i="4"/>
  <c r="G1750" i="4"/>
  <c r="F1750" i="4"/>
  <c r="E1750" i="4"/>
  <c r="D1750" i="4"/>
  <c r="C1750" i="4"/>
  <c r="B1750" i="4"/>
  <c r="A1750" i="4"/>
  <c r="H1749" i="4"/>
  <c r="G1749" i="4"/>
  <c r="F1749" i="4"/>
  <c r="E1749" i="4"/>
  <c r="D1749" i="4"/>
  <c r="C1749" i="4"/>
  <c r="B1749" i="4"/>
  <c r="A1749" i="4"/>
  <c r="H1748" i="4"/>
  <c r="G1748" i="4"/>
  <c r="F1748" i="4"/>
  <c r="E1748" i="4"/>
  <c r="D1748" i="4"/>
  <c r="C1748" i="4"/>
  <c r="B1748" i="4"/>
  <c r="A1748" i="4"/>
  <c r="H1747" i="4"/>
  <c r="G1747" i="4"/>
  <c r="F1747" i="4"/>
  <c r="E1747" i="4"/>
  <c r="D1747" i="4"/>
  <c r="C1747" i="4"/>
  <c r="B1747" i="4"/>
  <c r="A1747" i="4"/>
  <c r="H1746" i="4"/>
  <c r="G1746" i="4"/>
  <c r="F1746" i="4"/>
  <c r="E1746" i="4"/>
  <c r="D1746" i="4"/>
  <c r="C1746" i="4"/>
  <c r="B1746" i="4"/>
  <c r="A1746" i="4"/>
  <c r="H1745" i="4"/>
  <c r="G1745" i="4"/>
  <c r="F1745" i="4"/>
  <c r="E1745" i="4"/>
  <c r="D1745" i="4"/>
  <c r="C1745" i="4"/>
  <c r="B1745" i="4"/>
  <c r="A1745" i="4"/>
  <c r="H1744" i="4"/>
  <c r="G1744" i="4"/>
  <c r="F1744" i="4"/>
  <c r="E1744" i="4"/>
  <c r="D1744" i="4"/>
  <c r="C1744" i="4"/>
  <c r="B1744" i="4"/>
  <c r="A1744" i="4"/>
  <c r="H1743" i="4"/>
  <c r="G1743" i="4"/>
  <c r="F1743" i="4"/>
  <c r="E1743" i="4"/>
  <c r="D1743" i="4"/>
  <c r="C1743" i="4"/>
  <c r="B1743" i="4"/>
  <c r="A1743" i="4"/>
  <c r="H1742" i="4"/>
  <c r="G1742" i="4"/>
  <c r="F1742" i="4"/>
  <c r="E1742" i="4"/>
  <c r="D1742" i="4"/>
  <c r="C1742" i="4"/>
  <c r="B1742" i="4"/>
  <c r="A1742" i="4"/>
  <c r="H1741" i="4"/>
  <c r="G1741" i="4"/>
  <c r="F1741" i="4"/>
  <c r="E1741" i="4"/>
  <c r="D1741" i="4"/>
  <c r="C1741" i="4"/>
  <c r="B1741" i="4"/>
  <c r="A1741" i="4"/>
  <c r="H1740" i="4"/>
  <c r="G1740" i="4"/>
  <c r="F1740" i="4"/>
  <c r="E1740" i="4"/>
  <c r="D1740" i="4"/>
  <c r="C1740" i="4"/>
  <c r="B1740" i="4"/>
  <c r="A1740" i="4"/>
  <c r="H1739" i="4"/>
  <c r="G1739" i="4"/>
  <c r="F1739" i="4"/>
  <c r="E1739" i="4"/>
  <c r="D1739" i="4"/>
  <c r="C1739" i="4"/>
  <c r="B1739" i="4"/>
  <c r="A1739" i="4"/>
  <c r="H1738" i="4"/>
  <c r="G1738" i="4"/>
  <c r="F1738" i="4"/>
  <c r="E1738" i="4"/>
  <c r="D1738" i="4"/>
  <c r="C1738" i="4"/>
  <c r="B1738" i="4"/>
  <c r="A1738" i="4"/>
  <c r="H1737" i="4"/>
  <c r="G1737" i="4"/>
  <c r="F1737" i="4"/>
  <c r="E1737" i="4"/>
  <c r="D1737" i="4"/>
  <c r="C1737" i="4"/>
  <c r="B1737" i="4"/>
  <c r="A1737" i="4"/>
  <c r="H1736" i="4"/>
  <c r="G1736" i="4"/>
  <c r="F1736" i="4"/>
  <c r="E1736" i="4"/>
  <c r="D1736" i="4"/>
  <c r="C1736" i="4"/>
  <c r="B1736" i="4"/>
  <c r="A1736" i="4"/>
  <c r="H1735" i="4"/>
  <c r="G1735" i="4"/>
  <c r="F1735" i="4"/>
  <c r="E1735" i="4"/>
  <c r="D1735" i="4"/>
  <c r="C1735" i="4"/>
  <c r="B1735" i="4"/>
  <c r="A1735" i="4"/>
  <c r="H1734" i="4"/>
  <c r="G1734" i="4"/>
  <c r="F1734" i="4"/>
  <c r="E1734" i="4"/>
  <c r="D1734" i="4"/>
  <c r="C1734" i="4"/>
  <c r="B1734" i="4"/>
  <c r="A1734" i="4"/>
  <c r="H1733" i="4"/>
  <c r="G1733" i="4"/>
  <c r="F1733" i="4"/>
  <c r="E1733" i="4"/>
  <c r="D1733" i="4"/>
  <c r="C1733" i="4"/>
  <c r="B1733" i="4"/>
  <c r="A1733" i="4"/>
  <c r="H1732" i="4"/>
  <c r="G1732" i="4"/>
  <c r="F1732" i="4"/>
  <c r="E1732" i="4"/>
  <c r="D1732" i="4"/>
  <c r="C1732" i="4"/>
  <c r="B1732" i="4"/>
  <c r="A1732" i="4"/>
  <c r="H1731" i="4"/>
  <c r="G1731" i="4"/>
  <c r="F1731" i="4"/>
  <c r="E1731" i="4"/>
  <c r="D1731" i="4"/>
  <c r="C1731" i="4"/>
  <c r="B1731" i="4"/>
  <c r="A1731" i="4"/>
  <c r="H1730" i="4"/>
  <c r="G1730" i="4"/>
  <c r="F1730" i="4"/>
  <c r="E1730" i="4"/>
  <c r="D1730" i="4"/>
  <c r="C1730" i="4"/>
  <c r="B1730" i="4"/>
  <c r="A1730" i="4"/>
  <c r="H1729" i="4"/>
  <c r="G1729" i="4"/>
  <c r="F1729" i="4"/>
  <c r="E1729" i="4"/>
  <c r="D1729" i="4"/>
  <c r="C1729" i="4"/>
  <c r="B1729" i="4"/>
  <c r="A1729" i="4"/>
  <c r="H1728" i="4"/>
  <c r="G1728" i="4"/>
  <c r="F1728" i="4"/>
  <c r="E1728" i="4"/>
  <c r="D1728" i="4"/>
  <c r="C1728" i="4"/>
  <c r="B1728" i="4"/>
  <c r="A1728" i="4"/>
  <c r="H1727" i="4"/>
  <c r="G1727" i="4"/>
  <c r="F1727" i="4"/>
  <c r="E1727" i="4"/>
  <c r="D1727" i="4"/>
  <c r="C1727" i="4"/>
  <c r="B1727" i="4"/>
  <c r="A1727" i="4"/>
  <c r="H1726" i="4"/>
  <c r="G1726" i="4"/>
  <c r="F1726" i="4"/>
  <c r="E1726" i="4"/>
  <c r="D1726" i="4"/>
  <c r="C1726" i="4"/>
  <c r="B1726" i="4"/>
  <c r="A1726" i="4"/>
  <c r="H1725" i="4"/>
  <c r="G1725" i="4"/>
  <c r="F1725" i="4"/>
  <c r="E1725" i="4"/>
  <c r="D1725" i="4"/>
  <c r="C1725" i="4"/>
  <c r="B1725" i="4"/>
  <c r="A1725" i="4"/>
  <c r="H1724" i="4"/>
  <c r="G1724" i="4"/>
  <c r="F1724" i="4"/>
  <c r="E1724" i="4"/>
  <c r="D1724" i="4"/>
  <c r="C1724" i="4"/>
  <c r="B1724" i="4"/>
  <c r="A1724" i="4"/>
  <c r="H1723" i="4"/>
  <c r="G1723" i="4"/>
  <c r="F1723" i="4"/>
  <c r="E1723" i="4"/>
  <c r="D1723" i="4"/>
  <c r="C1723" i="4"/>
  <c r="B1723" i="4"/>
  <c r="A1723" i="4"/>
  <c r="H1722" i="4"/>
  <c r="G1722" i="4"/>
  <c r="F1722" i="4"/>
  <c r="E1722" i="4"/>
  <c r="D1722" i="4"/>
  <c r="C1722" i="4"/>
  <c r="B1722" i="4"/>
  <c r="A1722" i="4"/>
  <c r="H1721" i="4"/>
  <c r="G1721" i="4"/>
  <c r="F1721" i="4"/>
  <c r="E1721" i="4"/>
  <c r="D1721" i="4"/>
  <c r="C1721" i="4"/>
  <c r="B1721" i="4"/>
  <c r="A1721" i="4"/>
  <c r="H1720" i="4"/>
  <c r="G1720" i="4"/>
  <c r="F1720" i="4"/>
  <c r="E1720" i="4"/>
  <c r="D1720" i="4"/>
  <c r="C1720" i="4"/>
  <c r="B1720" i="4"/>
  <c r="A1720" i="4"/>
  <c r="H1719" i="4"/>
  <c r="G1719" i="4"/>
  <c r="F1719" i="4"/>
  <c r="E1719" i="4"/>
  <c r="D1719" i="4"/>
  <c r="C1719" i="4"/>
  <c r="B1719" i="4"/>
  <c r="A1719" i="4"/>
  <c r="H1718" i="4"/>
  <c r="G1718" i="4"/>
  <c r="F1718" i="4"/>
  <c r="E1718" i="4"/>
  <c r="D1718" i="4"/>
  <c r="C1718" i="4"/>
  <c r="B1718" i="4"/>
  <c r="A1718" i="4"/>
  <c r="H1717" i="4"/>
  <c r="G1717" i="4"/>
  <c r="F1717" i="4"/>
  <c r="E1717" i="4"/>
  <c r="D1717" i="4"/>
  <c r="C1717" i="4"/>
  <c r="B1717" i="4"/>
  <c r="A1717" i="4"/>
  <c r="H1716" i="4"/>
  <c r="G1716" i="4"/>
  <c r="F1716" i="4"/>
  <c r="E1716" i="4"/>
  <c r="D1716" i="4"/>
  <c r="C1716" i="4"/>
  <c r="B1716" i="4"/>
  <c r="A1716" i="4"/>
  <c r="H1715" i="4"/>
  <c r="G1715" i="4"/>
  <c r="F1715" i="4"/>
  <c r="E1715" i="4"/>
  <c r="D1715" i="4"/>
  <c r="C1715" i="4"/>
  <c r="B1715" i="4"/>
  <c r="A1715" i="4"/>
  <c r="H1714" i="4"/>
  <c r="G1714" i="4"/>
  <c r="F1714" i="4"/>
  <c r="E1714" i="4"/>
  <c r="D1714" i="4"/>
  <c r="C1714" i="4"/>
  <c r="B1714" i="4"/>
  <c r="A1714" i="4"/>
  <c r="H1713" i="4"/>
  <c r="G1713" i="4"/>
  <c r="F1713" i="4"/>
  <c r="E1713" i="4"/>
  <c r="D1713" i="4"/>
  <c r="C1713" i="4"/>
  <c r="B1713" i="4"/>
  <c r="A1713" i="4"/>
  <c r="H1712" i="4"/>
  <c r="G1712" i="4"/>
  <c r="F1712" i="4"/>
  <c r="E1712" i="4"/>
  <c r="D1712" i="4"/>
  <c r="C1712" i="4"/>
  <c r="B1712" i="4"/>
  <c r="A1712" i="4"/>
  <c r="H1711" i="4"/>
  <c r="G1711" i="4"/>
  <c r="F1711" i="4"/>
  <c r="E1711" i="4"/>
  <c r="D1711" i="4"/>
  <c r="C1711" i="4"/>
  <c r="B1711" i="4"/>
  <c r="A1711" i="4"/>
  <c r="H1710" i="4"/>
  <c r="G1710" i="4"/>
  <c r="F1710" i="4"/>
  <c r="E1710" i="4"/>
  <c r="D1710" i="4"/>
  <c r="C1710" i="4"/>
  <c r="B1710" i="4"/>
  <c r="A1710" i="4"/>
  <c r="H1709" i="4"/>
  <c r="G1709" i="4"/>
  <c r="F1709" i="4"/>
  <c r="E1709" i="4"/>
  <c r="D1709" i="4"/>
  <c r="C1709" i="4"/>
  <c r="B1709" i="4"/>
  <c r="A1709" i="4"/>
  <c r="H1708" i="4"/>
  <c r="G1708" i="4"/>
  <c r="F1708" i="4"/>
  <c r="E1708" i="4"/>
  <c r="D1708" i="4"/>
  <c r="C1708" i="4"/>
  <c r="B1708" i="4"/>
  <c r="A1708" i="4"/>
  <c r="H1707" i="4"/>
  <c r="G1707" i="4"/>
  <c r="F1707" i="4"/>
  <c r="E1707" i="4"/>
  <c r="D1707" i="4"/>
  <c r="C1707" i="4"/>
  <c r="B1707" i="4"/>
  <c r="A1707" i="4"/>
  <c r="H1706" i="4"/>
  <c r="G1706" i="4"/>
  <c r="F1706" i="4"/>
  <c r="E1706" i="4"/>
  <c r="D1706" i="4"/>
  <c r="C1706" i="4"/>
  <c r="B1706" i="4"/>
  <c r="A1706" i="4"/>
  <c r="H1705" i="4"/>
  <c r="G1705" i="4"/>
  <c r="F1705" i="4"/>
  <c r="E1705" i="4"/>
  <c r="D1705" i="4"/>
  <c r="C1705" i="4"/>
  <c r="B1705" i="4"/>
  <c r="A1705" i="4"/>
  <c r="H1704" i="4"/>
  <c r="G1704" i="4"/>
  <c r="F1704" i="4"/>
  <c r="E1704" i="4"/>
  <c r="D1704" i="4"/>
  <c r="C1704" i="4"/>
  <c r="B1704" i="4"/>
  <c r="A1704" i="4"/>
  <c r="H1703" i="4"/>
  <c r="G1703" i="4"/>
  <c r="F1703" i="4"/>
  <c r="E1703" i="4"/>
  <c r="D1703" i="4"/>
  <c r="C1703" i="4"/>
  <c r="B1703" i="4"/>
  <c r="A1703" i="4"/>
  <c r="H1702" i="4"/>
  <c r="G1702" i="4"/>
  <c r="F1702" i="4"/>
  <c r="E1702" i="4"/>
  <c r="D1702" i="4"/>
  <c r="C1702" i="4"/>
  <c r="B1702" i="4"/>
  <c r="A1702" i="4"/>
  <c r="H1701" i="4"/>
  <c r="G1701" i="4"/>
  <c r="F1701" i="4"/>
  <c r="E1701" i="4"/>
  <c r="D1701" i="4"/>
  <c r="C1701" i="4"/>
  <c r="B1701" i="4"/>
  <c r="A1701" i="4"/>
  <c r="H1700" i="4"/>
  <c r="G1700" i="4"/>
  <c r="F1700" i="4"/>
  <c r="E1700" i="4"/>
  <c r="D1700" i="4"/>
  <c r="C1700" i="4"/>
  <c r="B1700" i="4"/>
  <c r="A1700" i="4"/>
  <c r="H1699" i="4"/>
  <c r="G1699" i="4"/>
  <c r="F1699" i="4"/>
  <c r="E1699" i="4"/>
  <c r="D1699" i="4"/>
  <c r="C1699" i="4"/>
  <c r="B1699" i="4"/>
  <c r="A1699" i="4"/>
  <c r="H1698" i="4"/>
  <c r="G1698" i="4"/>
  <c r="F1698" i="4"/>
  <c r="E1698" i="4"/>
  <c r="D1698" i="4"/>
  <c r="C1698" i="4"/>
  <c r="B1698" i="4"/>
  <c r="A1698" i="4"/>
  <c r="H1697" i="4"/>
  <c r="G1697" i="4"/>
  <c r="F1697" i="4"/>
  <c r="E1697" i="4"/>
  <c r="D1697" i="4"/>
  <c r="C1697" i="4"/>
  <c r="B1697" i="4"/>
  <c r="A1697" i="4"/>
  <c r="H1696" i="4"/>
  <c r="G1696" i="4"/>
  <c r="F1696" i="4"/>
  <c r="E1696" i="4"/>
  <c r="D1696" i="4"/>
  <c r="C1696" i="4"/>
  <c r="B1696" i="4"/>
  <c r="A1696" i="4"/>
  <c r="H1695" i="4"/>
  <c r="G1695" i="4"/>
  <c r="F1695" i="4"/>
  <c r="E1695" i="4"/>
  <c r="D1695" i="4"/>
  <c r="C1695" i="4"/>
  <c r="B1695" i="4"/>
  <c r="A1695" i="4"/>
  <c r="H1694" i="4"/>
  <c r="G1694" i="4"/>
  <c r="F1694" i="4"/>
  <c r="E1694" i="4"/>
  <c r="D1694" i="4"/>
  <c r="C1694" i="4"/>
  <c r="B1694" i="4"/>
  <c r="A1694" i="4"/>
  <c r="H1693" i="4"/>
  <c r="G1693" i="4"/>
  <c r="F1693" i="4"/>
  <c r="E1693" i="4"/>
  <c r="D1693" i="4"/>
  <c r="C1693" i="4"/>
  <c r="B1693" i="4"/>
  <c r="A1693" i="4"/>
  <c r="H1692" i="4"/>
  <c r="G1692" i="4"/>
  <c r="F1692" i="4"/>
  <c r="E1692" i="4"/>
  <c r="D1692" i="4"/>
  <c r="C1692" i="4"/>
  <c r="B1692" i="4"/>
  <c r="A1692" i="4"/>
  <c r="H1691" i="4"/>
  <c r="G1691" i="4"/>
  <c r="F1691" i="4"/>
  <c r="E1691" i="4"/>
  <c r="D1691" i="4"/>
  <c r="C1691" i="4"/>
  <c r="B1691" i="4"/>
  <c r="A1691" i="4"/>
  <c r="H1690" i="4"/>
  <c r="G1690" i="4"/>
  <c r="F1690" i="4"/>
  <c r="E1690" i="4"/>
  <c r="D1690" i="4"/>
  <c r="C1690" i="4"/>
  <c r="B1690" i="4"/>
  <c r="A1690" i="4"/>
  <c r="H1689" i="4"/>
  <c r="G1689" i="4"/>
  <c r="F1689" i="4"/>
  <c r="E1689" i="4"/>
  <c r="D1689" i="4"/>
  <c r="C1689" i="4"/>
  <c r="B1689" i="4"/>
  <c r="A1689" i="4"/>
  <c r="H1688" i="4"/>
  <c r="G1688" i="4"/>
  <c r="F1688" i="4"/>
  <c r="E1688" i="4"/>
  <c r="D1688" i="4"/>
  <c r="C1688" i="4"/>
  <c r="B1688" i="4"/>
  <c r="A1688" i="4"/>
  <c r="H1687" i="4"/>
  <c r="G1687" i="4"/>
  <c r="F1687" i="4"/>
  <c r="E1687" i="4"/>
  <c r="D1687" i="4"/>
  <c r="C1687" i="4"/>
  <c r="B1687" i="4"/>
  <c r="A1687" i="4"/>
  <c r="H1686" i="4"/>
  <c r="G1686" i="4"/>
  <c r="F1686" i="4"/>
  <c r="E1686" i="4"/>
  <c r="D1686" i="4"/>
  <c r="C1686" i="4"/>
  <c r="B1686" i="4"/>
  <c r="A1686" i="4"/>
  <c r="H1685" i="4"/>
  <c r="G1685" i="4"/>
  <c r="F1685" i="4"/>
  <c r="E1685" i="4"/>
  <c r="D1685" i="4"/>
  <c r="C1685" i="4"/>
  <c r="B1685" i="4"/>
  <c r="A1685" i="4"/>
  <c r="H1684" i="4"/>
  <c r="G1684" i="4"/>
  <c r="F1684" i="4"/>
  <c r="E1684" i="4"/>
  <c r="D1684" i="4"/>
  <c r="C1684" i="4"/>
  <c r="B1684" i="4"/>
  <c r="A1684" i="4"/>
  <c r="H1683" i="4"/>
  <c r="G1683" i="4"/>
  <c r="F1683" i="4"/>
  <c r="E1683" i="4"/>
  <c r="D1683" i="4"/>
  <c r="C1683" i="4"/>
  <c r="B1683" i="4"/>
  <c r="A1683" i="4"/>
  <c r="H1682" i="4"/>
  <c r="G1682" i="4"/>
  <c r="F1682" i="4"/>
  <c r="E1682" i="4"/>
  <c r="D1682" i="4"/>
  <c r="C1682" i="4"/>
  <c r="B1682" i="4"/>
  <c r="A1682" i="4"/>
  <c r="H1681" i="4"/>
  <c r="G1681" i="4"/>
  <c r="F1681" i="4"/>
  <c r="E1681" i="4"/>
  <c r="D1681" i="4"/>
  <c r="C1681" i="4"/>
  <c r="B1681" i="4"/>
  <c r="A1681" i="4"/>
  <c r="H1680" i="4"/>
  <c r="G1680" i="4"/>
  <c r="F1680" i="4"/>
  <c r="E1680" i="4"/>
  <c r="D1680" i="4"/>
  <c r="C1680" i="4"/>
  <c r="B1680" i="4"/>
  <c r="A1680" i="4"/>
  <c r="H1679" i="4"/>
  <c r="G1679" i="4"/>
  <c r="F1679" i="4"/>
  <c r="E1679" i="4"/>
  <c r="D1679" i="4"/>
  <c r="C1679" i="4"/>
  <c r="B1679" i="4"/>
  <c r="A1679" i="4"/>
  <c r="H1678" i="4"/>
  <c r="G1678" i="4"/>
  <c r="F1678" i="4"/>
  <c r="E1678" i="4"/>
  <c r="D1678" i="4"/>
  <c r="C1678" i="4"/>
  <c r="B1678" i="4"/>
  <c r="A1678" i="4"/>
  <c r="H1677" i="4"/>
  <c r="G1677" i="4"/>
  <c r="F1677" i="4"/>
  <c r="E1677" i="4"/>
  <c r="D1677" i="4"/>
  <c r="C1677" i="4"/>
  <c r="B1677" i="4"/>
  <c r="A1677" i="4"/>
  <c r="H1676" i="4"/>
  <c r="G1676" i="4"/>
  <c r="F1676" i="4"/>
  <c r="E1676" i="4"/>
  <c r="D1676" i="4"/>
  <c r="C1676" i="4"/>
  <c r="B1676" i="4"/>
  <c r="A1676" i="4"/>
  <c r="H1675" i="4"/>
  <c r="G1675" i="4"/>
  <c r="F1675" i="4"/>
  <c r="E1675" i="4"/>
  <c r="D1675" i="4"/>
  <c r="C1675" i="4"/>
  <c r="B1675" i="4"/>
  <c r="A1675" i="4"/>
  <c r="H1674" i="4"/>
  <c r="G1674" i="4"/>
  <c r="F1674" i="4"/>
  <c r="E1674" i="4"/>
  <c r="D1674" i="4"/>
  <c r="C1674" i="4"/>
  <c r="B1674" i="4"/>
  <c r="A1674" i="4"/>
  <c r="H1673" i="4"/>
  <c r="G1673" i="4"/>
  <c r="F1673" i="4"/>
  <c r="E1673" i="4"/>
  <c r="D1673" i="4"/>
  <c r="C1673" i="4"/>
  <c r="B1673" i="4"/>
  <c r="A1673" i="4"/>
  <c r="H1672" i="4"/>
  <c r="G1672" i="4"/>
  <c r="F1672" i="4"/>
  <c r="E1672" i="4"/>
  <c r="D1672" i="4"/>
  <c r="C1672" i="4"/>
  <c r="B1672" i="4"/>
  <c r="A1672" i="4"/>
  <c r="H1671" i="4"/>
  <c r="G1671" i="4"/>
  <c r="F1671" i="4"/>
  <c r="E1671" i="4"/>
  <c r="D1671" i="4"/>
  <c r="C1671" i="4"/>
  <c r="B1671" i="4"/>
  <c r="A1671" i="4"/>
  <c r="H1670" i="4"/>
  <c r="G1670" i="4"/>
  <c r="F1670" i="4"/>
  <c r="E1670" i="4"/>
  <c r="D1670" i="4"/>
  <c r="C1670" i="4"/>
  <c r="B1670" i="4"/>
  <c r="A1670" i="4"/>
  <c r="H1669" i="4"/>
  <c r="G1669" i="4"/>
  <c r="F1669" i="4"/>
  <c r="E1669" i="4"/>
  <c r="D1669" i="4"/>
  <c r="C1669" i="4"/>
  <c r="B1669" i="4"/>
  <c r="A1669" i="4"/>
  <c r="H1668" i="4"/>
  <c r="G1668" i="4"/>
  <c r="F1668" i="4"/>
  <c r="E1668" i="4"/>
  <c r="D1668" i="4"/>
  <c r="C1668" i="4"/>
  <c r="B1668" i="4"/>
  <c r="A1668" i="4"/>
  <c r="H1667" i="4"/>
  <c r="G1667" i="4"/>
  <c r="F1667" i="4"/>
  <c r="E1667" i="4"/>
  <c r="D1667" i="4"/>
  <c r="C1667" i="4"/>
  <c r="B1667" i="4"/>
  <c r="A1667" i="4"/>
  <c r="H1666" i="4"/>
  <c r="G1666" i="4"/>
  <c r="F1666" i="4"/>
  <c r="E1666" i="4"/>
  <c r="D1666" i="4"/>
  <c r="C1666" i="4"/>
  <c r="B1666" i="4"/>
  <c r="A1666" i="4"/>
  <c r="H1665" i="4"/>
  <c r="G1665" i="4"/>
  <c r="F1665" i="4"/>
  <c r="E1665" i="4"/>
  <c r="D1665" i="4"/>
  <c r="C1665" i="4"/>
  <c r="B1665" i="4"/>
  <c r="A1665" i="4"/>
  <c r="H1664" i="4"/>
  <c r="G1664" i="4"/>
  <c r="F1664" i="4"/>
  <c r="E1664" i="4"/>
  <c r="D1664" i="4"/>
  <c r="C1664" i="4"/>
  <c r="B1664" i="4"/>
  <c r="A1664" i="4"/>
  <c r="H1663" i="4"/>
  <c r="G1663" i="4"/>
  <c r="F1663" i="4"/>
  <c r="E1663" i="4"/>
  <c r="D1663" i="4"/>
  <c r="C1663" i="4"/>
  <c r="B1663" i="4"/>
  <c r="A1663" i="4"/>
  <c r="H1662" i="4"/>
  <c r="G1662" i="4"/>
  <c r="F1662" i="4"/>
  <c r="E1662" i="4"/>
  <c r="D1662" i="4"/>
  <c r="C1662" i="4"/>
  <c r="B1662" i="4"/>
  <c r="A1662" i="4"/>
  <c r="H1661" i="4"/>
  <c r="G1661" i="4"/>
  <c r="F1661" i="4"/>
  <c r="E1661" i="4"/>
  <c r="D1661" i="4"/>
  <c r="C1661" i="4"/>
  <c r="B1661" i="4"/>
  <c r="A1661" i="4"/>
  <c r="H1660" i="4"/>
  <c r="G1660" i="4"/>
  <c r="F1660" i="4"/>
  <c r="E1660" i="4"/>
  <c r="D1660" i="4"/>
  <c r="C1660" i="4"/>
  <c r="B1660" i="4"/>
  <c r="A1660" i="4"/>
  <c r="H1659" i="4"/>
  <c r="G1659" i="4"/>
  <c r="F1659" i="4"/>
  <c r="E1659" i="4"/>
  <c r="D1659" i="4"/>
  <c r="C1659" i="4"/>
  <c r="B1659" i="4"/>
  <c r="A1659" i="4"/>
  <c r="H1658" i="4"/>
  <c r="G1658" i="4"/>
  <c r="F1658" i="4"/>
  <c r="E1658" i="4"/>
  <c r="D1658" i="4"/>
  <c r="C1658" i="4"/>
  <c r="B1658" i="4"/>
  <c r="A1658" i="4"/>
  <c r="H1657" i="4"/>
  <c r="G1657" i="4"/>
  <c r="F1657" i="4"/>
  <c r="E1657" i="4"/>
  <c r="D1657" i="4"/>
  <c r="C1657" i="4"/>
  <c r="B1657" i="4"/>
  <c r="A1657" i="4"/>
  <c r="H1656" i="4"/>
  <c r="G1656" i="4"/>
  <c r="F1656" i="4"/>
  <c r="E1656" i="4"/>
  <c r="D1656" i="4"/>
  <c r="C1656" i="4"/>
  <c r="B1656" i="4"/>
  <c r="A1656" i="4"/>
  <c r="H1655" i="4"/>
  <c r="G1655" i="4"/>
  <c r="F1655" i="4"/>
  <c r="E1655" i="4"/>
  <c r="D1655" i="4"/>
  <c r="C1655" i="4"/>
  <c r="B1655" i="4"/>
  <c r="A1655" i="4"/>
  <c r="H1654" i="4"/>
  <c r="G1654" i="4"/>
  <c r="F1654" i="4"/>
  <c r="E1654" i="4"/>
  <c r="D1654" i="4"/>
  <c r="C1654" i="4"/>
  <c r="B1654" i="4"/>
  <c r="A1654" i="4"/>
  <c r="H1653" i="4"/>
  <c r="G1653" i="4"/>
  <c r="F1653" i="4"/>
  <c r="E1653" i="4"/>
  <c r="D1653" i="4"/>
  <c r="C1653" i="4"/>
  <c r="B1653" i="4"/>
  <c r="A1653" i="4"/>
  <c r="H1652" i="4"/>
  <c r="G1652" i="4"/>
  <c r="F1652" i="4"/>
  <c r="E1652" i="4"/>
  <c r="D1652" i="4"/>
  <c r="C1652" i="4"/>
  <c r="B1652" i="4"/>
  <c r="A1652" i="4"/>
  <c r="H1651" i="4"/>
  <c r="G1651" i="4"/>
  <c r="F1651" i="4"/>
  <c r="E1651" i="4"/>
  <c r="D1651" i="4"/>
  <c r="C1651" i="4"/>
  <c r="B1651" i="4"/>
  <c r="A1651" i="4"/>
  <c r="H1650" i="4"/>
  <c r="G1650" i="4"/>
  <c r="F1650" i="4"/>
  <c r="E1650" i="4"/>
  <c r="D1650" i="4"/>
  <c r="C1650" i="4"/>
  <c r="B1650" i="4"/>
  <c r="A1650" i="4"/>
  <c r="H1649" i="4"/>
  <c r="G1649" i="4"/>
  <c r="F1649" i="4"/>
  <c r="E1649" i="4"/>
  <c r="D1649" i="4"/>
  <c r="C1649" i="4"/>
  <c r="B1649" i="4"/>
  <c r="A1649" i="4"/>
  <c r="H1648" i="4"/>
  <c r="G1648" i="4"/>
  <c r="F1648" i="4"/>
  <c r="E1648" i="4"/>
  <c r="D1648" i="4"/>
  <c r="C1648" i="4"/>
  <c r="B1648" i="4"/>
  <c r="A1648" i="4"/>
  <c r="H1647" i="4"/>
  <c r="G1647" i="4"/>
  <c r="F1647" i="4"/>
  <c r="E1647" i="4"/>
  <c r="D1647" i="4"/>
  <c r="C1647" i="4"/>
  <c r="B1647" i="4"/>
  <c r="A1647" i="4"/>
  <c r="H1646" i="4"/>
  <c r="G1646" i="4"/>
  <c r="F1646" i="4"/>
  <c r="E1646" i="4"/>
  <c r="D1646" i="4"/>
  <c r="C1646" i="4"/>
  <c r="B1646" i="4"/>
  <c r="A1646" i="4"/>
  <c r="H1645" i="4"/>
  <c r="G1645" i="4"/>
  <c r="F1645" i="4"/>
  <c r="E1645" i="4"/>
  <c r="D1645" i="4"/>
  <c r="C1645" i="4"/>
  <c r="B1645" i="4"/>
  <c r="A1645" i="4"/>
  <c r="H1644" i="4"/>
  <c r="G1644" i="4"/>
  <c r="F1644" i="4"/>
  <c r="E1644" i="4"/>
  <c r="D1644" i="4"/>
  <c r="C1644" i="4"/>
  <c r="B1644" i="4"/>
  <c r="A1644" i="4"/>
  <c r="H1643" i="4"/>
  <c r="G1643" i="4"/>
  <c r="F1643" i="4"/>
  <c r="E1643" i="4"/>
  <c r="D1643" i="4"/>
  <c r="C1643" i="4"/>
  <c r="B1643" i="4"/>
  <c r="A1643" i="4"/>
  <c r="H1642" i="4"/>
  <c r="G1642" i="4"/>
  <c r="F1642" i="4"/>
  <c r="E1642" i="4"/>
  <c r="D1642" i="4"/>
  <c r="C1642" i="4"/>
  <c r="B1642" i="4"/>
  <c r="A1642" i="4"/>
  <c r="H1641" i="4"/>
  <c r="G1641" i="4"/>
  <c r="F1641" i="4"/>
  <c r="E1641" i="4"/>
  <c r="D1641" i="4"/>
  <c r="C1641" i="4"/>
  <c r="B1641" i="4"/>
  <c r="A1641" i="4"/>
  <c r="H1640" i="4"/>
  <c r="G1640" i="4"/>
  <c r="F1640" i="4"/>
  <c r="E1640" i="4"/>
  <c r="D1640" i="4"/>
  <c r="C1640" i="4"/>
  <c r="B1640" i="4"/>
  <c r="A1640" i="4"/>
  <c r="H1639" i="4"/>
  <c r="G1639" i="4"/>
  <c r="F1639" i="4"/>
  <c r="E1639" i="4"/>
  <c r="D1639" i="4"/>
  <c r="C1639" i="4"/>
  <c r="B1639" i="4"/>
  <c r="A1639" i="4"/>
  <c r="H1638" i="4"/>
  <c r="G1638" i="4"/>
  <c r="F1638" i="4"/>
  <c r="E1638" i="4"/>
  <c r="D1638" i="4"/>
  <c r="C1638" i="4"/>
  <c r="B1638" i="4"/>
  <c r="A1638" i="4"/>
  <c r="H1637" i="4"/>
  <c r="G1637" i="4"/>
  <c r="F1637" i="4"/>
  <c r="E1637" i="4"/>
  <c r="D1637" i="4"/>
  <c r="C1637" i="4"/>
  <c r="B1637" i="4"/>
  <c r="A1637" i="4"/>
  <c r="H1636" i="4"/>
  <c r="G1636" i="4"/>
  <c r="F1636" i="4"/>
  <c r="E1636" i="4"/>
  <c r="D1636" i="4"/>
  <c r="C1636" i="4"/>
  <c r="B1636" i="4"/>
  <c r="A1636" i="4"/>
  <c r="H1635" i="4"/>
  <c r="G1635" i="4"/>
  <c r="F1635" i="4"/>
  <c r="E1635" i="4"/>
  <c r="D1635" i="4"/>
  <c r="C1635" i="4"/>
  <c r="B1635" i="4"/>
  <c r="A1635" i="4"/>
  <c r="H1634" i="4"/>
  <c r="G1634" i="4"/>
  <c r="F1634" i="4"/>
  <c r="E1634" i="4"/>
  <c r="D1634" i="4"/>
  <c r="C1634" i="4"/>
  <c r="B1634" i="4"/>
  <c r="A1634" i="4"/>
  <c r="H1633" i="4"/>
  <c r="G1633" i="4"/>
  <c r="F1633" i="4"/>
  <c r="E1633" i="4"/>
  <c r="D1633" i="4"/>
  <c r="C1633" i="4"/>
  <c r="B1633" i="4"/>
  <c r="A1633" i="4"/>
  <c r="H1632" i="4"/>
  <c r="G1632" i="4"/>
  <c r="F1632" i="4"/>
  <c r="E1632" i="4"/>
  <c r="D1632" i="4"/>
  <c r="C1632" i="4"/>
  <c r="B1632" i="4"/>
  <c r="A1632" i="4"/>
  <c r="H1631" i="4"/>
  <c r="G1631" i="4"/>
  <c r="F1631" i="4"/>
  <c r="E1631" i="4"/>
  <c r="D1631" i="4"/>
  <c r="C1631" i="4"/>
  <c r="B1631" i="4"/>
  <c r="A1631" i="4"/>
  <c r="H1630" i="4"/>
  <c r="G1630" i="4"/>
  <c r="F1630" i="4"/>
  <c r="E1630" i="4"/>
  <c r="D1630" i="4"/>
  <c r="C1630" i="4"/>
  <c r="B1630" i="4"/>
  <c r="A1630" i="4"/>
  <c r="H1629" i="4"/>
  <c r="G1629" i="4"/>
  <c r="F1629" i="4"/>
  <c r="E1629" i="4"/>
  <c r="D1629" i="4"/>
  <c r="C1629" i="4"/>
  <c r="B1629" i="4"/>
  <c r="A1629" i="4"/>
  <c r="H1628" i="4"/>
  <c r="G1628" i="4"/>
  <c r="F1628" i="4"/>
  <c r="E1628" i="4"/>
  <c r="D1628" i="4"/>
  <c r="C1628" i="4"/>
  <c r="B1628" i="4"/>
  <c r="A1628" i="4"/>
  <c r="H1627" i="4"/>
  <c r="G1627" i="4"/>
  <c r="F1627" i="4"/>
  <c r="E1627" i="4"/>
  <c r="D1627" i="4"/>
  <c r="C1627" i="4"/>
  <c r="B1627" i="4"/>
  <c r="A1627" i="4"/>
  <c r="H1626" i="4"/>
  <c r="G1626" i="4"/>
  <c r="F1626" i="4"/>
  <c r="E1626" i="4"/>
  <c r="D1626" i="4"/>
  <c r="C1626" i="4"/>
  <c r="B1626" i="4"/>
  <c r="A1626" i="4"/>
  <c r="H1625" i="4"/>
  <c r="G1625" i="4"/>
  <c r="F1625" i="4"/>
  <c r="E1625" i="4"/>
  <c r="D1625" i="4"/>
  <c r="C1625" i="4"/>
  <c r="B1625" i="4"/>
  <c r="A1625" i="4"/>
  <c r="H1624" i="4"/>
  <c r="G1624" i="4"/>
  <c r="F1624" i="4"/>
  <c r="E1624" i="4"/>
  <c r="D1624" i="4"/>
  <c r="C1624" i="4"/>
  <c r="B1624" i="4"/>
  <c r="A1624" i="4"/>
  <c r="H1623" i="4"/>
  <c r="G1623" i="4"/>
  <c r="F1623" i="4"/>
  <c r="E1623" i="4"/>
  <c r="D1623" i="4"/>
  <c r="C1623" i="4"/>
  <c r="B1623" i="4"/>
  <c r="A1623" i="4"/>
  <c r="H1622" i="4"/>
  <c r="G1622" i="4"/>
  <c r="F1622" i="4"/>
  <c r="E1622" i="4"/>
  <c r="D1622" i="4"/>
  <c r="C1622" i="4"/>
  <c r="B1622" i="4"/>
  <c r="A1622" i="4"/>
  <c r="H1621" i="4"/>
  <c r="G1621" i="4"/>
  <c r="F1621" i="4"/>
  <c r="E1621" i="4"/>
  <c r="D1621" i="4"/>
  <c r="C1621" i="4"/>
  <c r="B1621" i="4"/>
  <c r="A1621" i="4"/>
  <c r="H1620" i="4"/>
  <c r="G1620" i="4"/>
  <c r="F1620" i="4"/>
  <c r="E1620" i="4"/>
  <c r="D1620" i="4"/>
  <c r="C1620" i="4"/>
  <c r="B1620" i="4"/>
  <c r="A1620" i="4"/>
  <c r="H1619" i="4"/>
  <c r="G1619" i="4"/>
  <c r="F1619" i="4"/>
  <c r="E1619" i="4"/>
  <c r="D1619" i="4"/>
  <c r="C1619" i="4"/>
  <c r="B1619" i="4"/>
  <c r="A1619" i="4"/>
  <c r="H1618" i="4"/>
  <c r="G1618" i="4"/>
  <c r="F1618" i="4"/>
  <c r="E1618" i="4"/>
  <c r="D1618" i="4"/>
  <c r="C1618" i="4"/>
  <c r="B1618" i="4"/>
  <c r="A1618" i="4"/>
  <c r="H1617" i="4"/>
  <c r="G1617" i="4"/>
  <c r="F1617" i="4"/>
  <c r="E1617" i="4"/>
  <c r="D1617" i="4"/>
  <c r="C1617" i="4"/>
  <c r="B1617" i="4"/>
  <c r="A1617" i="4"/>
  <c r="H1616" i="4"/>
  <c r="G1616" i="4"/>
  <c r="F1616" i="4"/>
  <c r="E1616" i="4"/>
  <c r="D1616" i="4"/>
  <c r="C1616" i="4"/>
  <c r="B1616" i="4"/>
  <c r="A1616" i="4"/>
  <c r="H1615" i="4"/>
  <c r="G1615" i="4"/>
  <c r="F1615" i="4"/>
  <c r="E1615" i="4"/>
  <c r="D1615" i="4"/>
  <c r="C1615" i="4"/>
  <c r="B1615" i="4"/>
  <c r="A1615" i="4"/>
  <c r="H1614" i="4"/>
  <c r="G1614" i="4"/>
  <c r="F1614" i="4"/>
  <c r="E1614" i="4"/>
  <c r="D1614" i="4"/>
  <c r="C1614" i="4"/>
  <c r="B1614" i="4"/>
  <c r="A1614" i="4"/>
  <c r="H1613" i="4"/>
  <c r="G1613" i="4"/>
  <c r="F1613" i="4"/>
  <c r="E1613" i="4"/>
  <c r="D1613" i="4"/>
  <c r="C1613" i="4"/>
  <c r="B1613" i="4"/>
  <c r="A1613" i="4"/>
  <c r="H1612" i="4"/>
  <c r="G1612" i="4"/>
  <c r="F1612" i="4"/>
  <c r="E1612" i="4"/>
  <c r="D1612" i="4"/>
  <c r="C1612" i="4"/>
  <c r="B1612" i="4"/>
  <c r="A1612" i="4"/>
  <c r="H1611" i="4"/>
  <c r="G1611" i="4"/>
  <c r="F1611" i="4"/>
  <c r="E1611" i="4"/>
  <c r="D1611" i="4"/>
  <c r="C1611" i="4"/>
  <c r="B1611" i="4"/>
  <c r="A1611" i="4"/>
  <c r="H1610" i="4"/>
  <c r="G1610" i="4"/>
  <c r="F1610" i="4"/>
  <c r="E1610" i="4"/>
  <c r="D1610" i="4"/>
  <c r="C1610" i="4"/>
  <c r="B1610" i="4"/>
  <c r="A1610" i="4"/>
  <c r="H1609" i="4"/>
  <c r="G1609" i="4"/>
  <c r="F1609" i="4"/>
  <c r="E1609" i="4"/>
  <c r="D1609" i="4"/>
  <c r="C1609" i="4"/>
  <c r="B1609" i="4"/>
  <c r="A1609" i="4"/>
  <c r="H1608" i="4"/>
  <c r="G1608" i="4"/>
  <c r="F1608" i="4"/>
  <c r="E1608" i="4"/>
  <c r="D1608" i="4"/>
  <c r="C1608" i="4"/>
  <c r="B1608" i="4"/>
  <c r="A1608" i="4"/>
  <c r="H1607" i="4"/>
  <c r="G1607" i="4"/>
  <c r="F1607" i="4"/>
  <c r="E1607" i="4"/>
  <c r="D1607" i="4"/>
  <c r="C1607" i="4"/>
  <c r="B1607" i="4"/>
  <c r="A1607" i="4"/>
  <c r="H1606" i="4"/>
  <c r="G1606" i="4"/>
  <c r="F1606" i="4"/>
  <c r="E1606" i="4"/>
  <c r="D1606" i="4"/>
  <c r="C1606" i="4"/>
  <c r="B1606" i="4"/>
  <c r="A1606" i="4"/>
  <c r="H1605" i="4"/>
  <c r="G1605" i="4"/>
  <c r="F1605" i="4"/>
  <c r="E1605" i="4"/>
  <c r="D1605" i="4"/>
  <c r="C1605" i="4"/>
  <c r="B1605" i="4"/>
  <c r="A1605" i="4"/>
  <c r="H1604" i="4"/>
  <c r="G1604" i="4"/>
  <c r="F1604" i="4"/>
  <c r="E1604" i="4"/>
  <c r="D1604" i="4"/>
  <c r="C1604" i="4"/>
  <c r="B1604" i="4"/>
  <c r="A1604" i="4"/>
  <c r="H1603" i="4"/>
  <c r="G1603" i="4"/>
  <c r="F1603" i="4"/>
  <c r="E1603" i="4"/>
  <c r="D1603" i="4"/>
  <c r="C1603" i="4"/>
  <c r="B1603" i="4"/>
  <c r="A1603" i="4"/>
  <c r="H1602" i="4"/>
  <c r="G1602" i="4"/>
  <c r="F1602" i="4"/>
  <c r="E1602" i="4"/>
  <c r="D1602" i="4"/>
  <c r="C1602" i="4"/>
  <c r="B1602" i="4"/>
  <c r="A1602" i="4"/>
  <c r="H1601" i="4"/>
  <c r="G1601" i="4"/>
  <c r="F1601" i="4"/>
  <c r="E1601" i="4"/>
  <c r="D1601" i="4"/>
  <c r="C1601" i="4"/>
  <c r="B1601" i="4"/>
  <c r="A1601" i="4"/>
  <c r="H1600" i="4"/>
  <c r="G1600" i="4"/>
  <c r="F1600" i="4"/>
  <c r="E1600" i="4"/>
  <c r="D1600" i="4"/>
  <c r="C1600" i="4"/>
  <c r="B1600" i="4"/>
  <c r="A1600" i="4"/>
  <c r="H1599" i="4"/>
  <c r="G1599" i="4"/>
  <c r="F1599" i="4"/>
  <c r="E1599" i="4"/>
  <c r="D1599" i="4"/>
  <c r="C1599" i="4"/>
  <c r="B1599" i="4"/>
  <c r="A1599" i="4"/>
  <c r="H1598" i="4"/>
  <c r="G1598" i="4"/>
  <c r="F1598" i="4"/>
  <c r="E1598" i="4"/>
  <c r="D1598" i="4"/>
  <c r="C1598" i="4"/>
  <c r="B1598" i="4"/>
  <c r="A1598" i="4"/>
  <c r="H1597" i="4"/>
  <c r="G1597" i="4"/>
  <c r="F1597" i="4"/>
  <c r="E1597" i="4"/>
  <c r="D1597" i="4"/>
  <c r="C1597" i="4"/>
  <c r="B1597" i="4"/>
  <c r="A1597" i="4"/>
  <c r="H1596" i="4"/>
  <c r="G1596" i="4"/>
  <c r="F1596" i="4"/>
  <c r="E1596" i="4"/>
  <c r="D1596" i="4"/>
  <c r="C1596" i="4"/>
  <c r="B1596" i="4"/>
  <c r="A1596" i="4"/>
  <c r="H1595" i="4"/>
  <c r="G1595" i="4"/>
  <c r="F1595" i="4"/>
  <c r="E1595" i="4"/>
  <c r="D1595" i="4"/>
  <c r="C1595" i="4"/>
  <c r="B1595" i="4"/>
  <c r="A1595" i="4"/>
  <c r="H1594" i="4"/>
  <c r="G1594" i="4"/>
  <c r="F1594" i="4"/>
  <c r="E1594" i="4"/>
  <c r="D1594" i="4"/>
  <c r="C1594" i="4"/>
  <c r="B1594" i="4"/>
  <c r="A1594" i="4"/>
  <c r="H1593" i="4"/>
  <c r="G1593" i="4"/>
  <c r="F1593" i="4"/>
  <c r="E1593" i="4"/>
  <c r="D1593" i="4"/>
  <c r="C1593" i="4"/>
  <c r="B1593" i="4"/>
  <c r="A1593" i="4"/>
  <c r="H1592" i="4"/>
  <c r="G1592" i="4"/>
  <c r="F1592" i="4"/>
  <c r="E1592" i="4"/>
  <c r="D1592" i="4"/>
  <c r="C1592" i="4"/>
  <c r="B1592" i="4"/>
  <c r="A1592" i="4"/>
  <c r="H1591" i="4"/>
  <c r="G1591" i="4"/>
  <c r="F1591" i="4"/>
  <c r="E1591" i="4"/>
  <c r="D1591" i="4"/>
  <c r="C1591" i="4"/>
  <c r="B1591" i="4"/>
  <c r="A1591" i="4"/>
  <c r="H1590" i="4"/>
  <c r="G1590" i="4"/>
  <c r="F1590" i="4"/>
  <c r="E1590" i="4"/>
  <c r="D1590" i="4"/>
  <c r="C1590" i="4"/>
  <c r="B1590" i="4"/>
  <c r="A1590" i="4"/>
  <c r="H1589" i="4"/>
  <c r="G1589" i="4"/>
  <c r="F1589" i="4"/>
  <c r="E1589" i="4"/>
  <c r="D1589" i="4"/>
  <c r="C1589" i="4"/>
  <c r="B1589" i="4"/>
  <c r="A1589" i="4"/>
  <c r="H1588" i="4"/>
  <c r="G1588" i="4"/>
  <c r="F1588" i="4"/>
  <c r="E1588" i="4"/>
  <c r="D1588" i="4"/>
  <c r="C1588" i="4"/>
  <c r="B1588" i="4"/>
  <c r="A1588" i="4"/>
  <c r="H1587" i="4"/>
  <c r="G1587" i="4"/>
  <c r="F1587" i="4"/>
  <c r="E1587" i="4"/>
  <c r="D1587" i="4"/>
  <c r="C1587" i="4"/>
  <c r="B1587" i="4"/>
  <c r="A1587" i="4"/>
  <c r="H1586" i="4"/>
  <c r="G1586" i="4"/>
  <c r="F1586" i="4"/>
  <c r="E1586" i="4"/>
  <c r="D1586" i="4"/>
  <c r="C1586" i="4"/>
  <c r="B1586" i="4"/>
  <c r="A1586" i="4"/>
  <c r="H1585" i="4"/>
  <c r="G1585" i="4"/>
  <c r="F1585" i="4"/>
  <c r="E1585" i="4"/>
  <c r="D1585" i="4"/>
  <c r="C1585" i="4"/>
  <c r="B1585" i="4"/>
  <c r="A1585" i="4"/>
  <c r="H1584" i="4"/>
  <c r="G1584" i="4"/>
  <c r="F1584" i="4"/>
  <c r="E1584" i="4"/>
  <c r="D1584" i="4"/>
  <c r="C1584" i="4"/>
  <c r="B1584" i="4"/>
  <c r="A1584" i="4"/>
  <c r="H1583" i="4"/>
  <c r="G1583" i="4"/>
  <c r="F1583" i="4"/>
  <c r="E1583" i="4"/>
  <c r="D1583" i="4"/>
  <c r="C1583" i="4"/>
  <c r="B1583" i="4"/>
  <c r="A1583" i="4"/>
  <c r="H1582" i="4"/>
  <c r="G1582" i="4"/>
  <c r="F1582" i="4"/>
  <c r="E1582" i="4"/>
  <c r="D1582" i="4"/>
  <c r="C1582" i="4"/>
  <c r="B1582" i="4"/>
  <c r="A1582" i="4"/>
  <c r="H1581" i="4"/>
  <c r="G1581" i="4"/>
  <c r="F1581" i="4"/>
  <c r="E1581" i="4"/>
  <c r="D1581" i="4"/>
  <c r="C1581" i="4"/>
  <c r="B1581" i="4"/>
  <c r="A1581" i="4"/>
  <c r="H1580" i="4"/>
  <c r="G1580" i="4"/>
  <c r="F1580" i="4"/>
  <c r="E1580" i="4"/>
  <c r="D1580" i="4"/>
  <c r="C1580" i="4"/>
  <c r="B1580" i="4"/>
  <c r="A1580" i="4"/>
  <c r="H1579" i="4"/>
  <c r="G1579" i="4"/>
  <c r="F1579" i="4"/>
  <c r="E1579" i="4"/>
  <c r="D1579" i="4"/>
  <c r="C1579" i="4"/>
  <c r="B1579" i="4"/>
  <c r="A1579" i="4"/>
  <c r="H1578" i="4"/>
  <c r="G1578" i="4"/>
  <c r="F1578" i="4"/>
  <c r="E1578" i="4"/>
  <c r="D1578" i="4"/>
  <c r="C1578" i="4"/>
  <c r="B1578" i="4"/>
  <c r="A1578" i="4"/>
  <c r="H1577" i="4"/>
  <c r="G1577" i="4"/>
  <c r="F1577" i="4"/>
  <c r="E1577" i="4"/>
  <c r="D1577" i="4"/>
  <c r="C1577" i="4"/>
  <c r="B1577" i="4"/>
  <c r="A1577" i="4"/>
  <c r="H1576" i="4"/>
  <c r="G1576" i="4"/>
  <c r="F1576" i="4"/>
  <c r="E1576" i="4"/>
  <c r="D1576" i="4"/>
  <c r="C1576" i="4"/>
  <c r="B1576" i="4"/>
  <c r="A1576" i="4"/>
  <c r="H1575" i="4"/>
  <c r="G1575" i="4"/>
  <c r="F1575" i="4"/>
  <c r="E1575" i="4"/>
  <c r="D1575" i="4"/>
  <c r="C1575" i="4"/>
  <c r="B1575" i="4"/>
  <c r="A1575" i="4"/>
  <c r="H1574" i="4"/>
  <c r="G1574" i="4"/>
  <c r="F1574" i="4"/>
  <c r="E1574" i="4"/>
  <c r="D1574" i="4"/>
  <c r="C1574" i="4"/>
  <c r="B1574" i="4"/>
  <c r="A1574" i="4"/>
  <c r="H1573" i="4"/>
  <c r="G1573" i="4"/>
  <c r="F1573" i="4"/>
  <c r="E1573" i="4"/>
  <c r="D1573" i="4"/>
  <c r="C1573" i="4"/>
  <c r="B1573" i="4"/>
  <c r="A1573" i="4"/>
  <c r="H1572" i="4"/>
  <c r="G1572" i="4"/>
  <c r="F1572" i="4"/>
  <c r="E1572" i="4"/>
  <c r="D1572" i="4"/>
  <c r="C1572" i="4"/>
  <c r="B1572" i="4"/>
  <c r="A1572" i="4"/>
  <c r="H1571" i="4"/>
  <c r="G1571" i="4"/>
  <c r="F1571" i="4"/>
  <c r="E1571" i="4"/>
  <c r="D1571" i="4"/>
  <c r="C1571" i="4"/>
  <c r="B1571" i="4"/>
  <c r="A1571" i="4"/>
  <c r="H1570" i="4"/>
  <c r="G1570" i="4"/>
  <c r="F1570" i="4"/>
  <c r="E1570" i="4"/>
  <c r="D1570" i="4"/>
  <c r="C1570" i="4"/>
  <c r="B1570" i="4"/>
  <c r="A1570" i="4"/>
  <c r="H1569" i="4"/>
  <c r="G1569" i="4"/>
  <c r="F1569" i="4"/>
  <c r="E1569" i="4"/>
  <c r="D1569" i="4"/>
  <c r="C1569" i="4"/>
  <c r="B1569" i="4"/>
  <c r="A1569" i="4"/>
  <c r="H1568" i="4"/>
  <c r="G1568" i="4"/>
  <c r="F1568" i="4"/>
  <c r="E1568" i="4"/>
  <c r="D1568" i="4"/>
  <c r="C1568" i="4"/>
  <c r="B1568" i="4"/>
  <c r="A1568" i="4"/>
  <c r="H1567" i="4"/>
  <c r="G1567" i="4"/>
  <c r="F1567" i="4"/>
  <c r="E1567" i="4"/>
  <c r="D1567" i="4"/>
  <c r="C1567" i="4"/>
  <c r="B1567" i="4"/>
  <c r="A1567" i="4"/>
  <c r="H1566" i="4"/>
  <c r="G1566" i="4"/>
  <c r="F1566" i="4"/>
  <c r="E1566" i="4"/>
  <c r="D1566" i="4"/>
  <c r="C1566" i="4"/>
  <c r="B1566" i="4"/>
  <c r="A1566" i="4"/>
  <c r="H1565" i="4"/>
  <c r="G1565" i="4"/>
  <c r="F1565" i="4"/>
  <c r="E1565" i="4"/>
  <c r="D1565" i="4"/>
  <c r="C1565" i="4"/>
  <c r="B1565" i="4"/>
  <c r="A1565" i="4"/>
  <c r="H1564" i="4"/>
  <c r="G1564" i="4"/>
  <c r="F1564" i="4"/>
  <c r="E1564" i="4"/>
  <c r="D1564" i="4"/>
  <c r="C1564" i="4"/>
  <c r="B1564" i="4"/>
  <c r="A1564" i="4"/>
  <c r="H1563" i="4"/>
  <c r="G1563" i="4"/>
  <c r="F1563" i="4"/>
  <c r="E1563" i="4"/>
  <c r="D1563" i="4"/>
  <c r="C1563" i="4"/>
  <c r="B1563" i="4"/>
  <c r="A1563" i="4"/>
  <c r="H1562" i="4"/>
  <c r="G1562" i="4"/>
  <c r="F1562" i="4"/>
  <c r="E1562" i="4"/>
  <c r="D1562" i="4"/>
  <c r="C1562" i="4"/>
  <c r="B1562" i="4"/>
  <c r="A1562" i="4"/>
  <c r="H1561" i="4"/>
  <c r="G1561" i="4"/>
  <c r="F1561" i="4"/>
  <c r="E1561" i="4"/>
  <c r="D1561" i="4"/>
  <c r="C1561" i="4"/>
  <c r="B1561" i="4"/>
  <c r="A1561" i="4"/>
  <c r="H1560" i="4"/>
  <c r="G1560" i="4"/>
  <c r="F1560" i="4"/>
  <c r="E1560" i="4"/>
  <c r="D1560" i="4"/>
  <c r="C1560" i="4"/>
  <c r="B1560" i="4"/>
  <c r="A1560" i="4"/>
  <c r="H1559" i="4"/>
  <c r="G1559" i="4"/>
  <c r="F1559" i="4"/>
  <c r="E1559" i="4"/>
  <c r="D1559" i="4"/>
  <c r="C1559" i="4"/>
  <c r="B1559" i="4"/>
  <c r="A1559" i="4"/>
  <c r="H1558" i="4"/>
  <c r="G1558" i="4"/>
  <c r="F1558" i="4"/>
  <c r="E1558" i="4"/>
  <c r="D1558" i="4"/>
  <c r="C1558" i="4"/>
  <c r="B1558" i="4"/>
  <c r="A1558" i="4"/>
  <c r="H1557" i="4"/>
  <c r="G1557" i="4"/>
  <c r="F1557" i="4"/>
  <c r="E1557" i="4"/>
  <c r="D1557" i="4"/>
  <c r="C1557" i="4"/>
  <c r="B1557" i="4"/>
  <c r="A1557" i="4"/>
  <c r="H1556" i="4"/>
  <c r="G1556" i="4"/>
  <c r="F1556" i="4"/>
  <c r="E1556" i="4"/>
  <c r="D1556" i="4"/>
  <c r="C1556" i="4"/>
  <c r="B1556" i="4"/>
  <c r="A1556" i="4"/>
  <c r="H1555" i="4"/>
  <c r="G1555" i="4"/>
  <c r="F1555" i="4"/>
  <c r="E1555" i="4"/>
  <c r="D1555" i="4"/>
  <c r="C1555" i="4"/>
  <c r="B1555" i="4"/>
  <c r="A1555" i="4"/>
  <c r="H1554" i="4"/>
  <c r="G1554" i="4"/>
  <c r="F1554" i="4"/>
  <c r="E1554" i="4"/>
  <c r="D1554" i="4"/>
  <c r="C1554" i="4"/>
  <c r="B1554" i="4"/>
  <c r="A1554" i="4"/>
  <c r="H1553" i="4"/>
  <c r="G1553" i="4"/>
  <c r="F1553" i="4"/>
  <c r="E1553" i="4"/>
  <c r="D1553" i="4"/>
  <c r="C1553" i="4"/>
  <c r="B1553" i="4"/>
  <c r="A1553" i="4"/>
  <c r="H1552" i="4"/>
  <c r="G1552" i="4"/>
  <c r="F1552" i="4"/>
  <c r="E1552" i="4"/>
  <c r="D1552" i="4"/>
  <c r="C1552" i="4"/>
  <c r="B1552" i="4"/>
  <c r="A1552" i="4"/>
  <c r="H1551" i="4"/>
  <c r="G1551" i="4"/>
  <c r="F1551" i="4"/>
  <c r="E1551" i="4"/>
  <c r="D1551" i="4"/>
  <c r="C1551" i="4"/>
  <c r="B1551" i="4"/>
  <c r="A1551" i="4"/>
  <c r="H1550" i="4"/>
  <c r="G1550" i="4"/>
  <c r="F1550" i="4"/>
  <c r="E1550" i="4"/>
  <c r="D1550" i="4"/>
  <c r="C1550" i="4"/>
  <c r="B1550" i="4"/>
  <c r="A1550" i="4"/>
  <c r="H1549" i="4"/>
  <c r="G1549" i="4"/>
  <c r="F1549" i="4"/>
  <c r="E1549" i="4"/>
  <c r="D1549" i="4"/>
  <c r="C1549" i="4"/>
  <c r="B1549" i="4"/>
  <c r="A1549" i="4"/>
  <c r="H1548" i="4"/>
  <c r="G1548" i="4"/>
  <c r="F1548" i="4"/>
  <c r="E1548" i="4"/>
  <c r="D1548" i="4"/>
  <c r="C1548" i="4"/>
  <c r="B1548" i="4"/>
  <c r="A1548" i="4"/>
  <c r="H1547" i="4"/>
  <c r="G1547" i="4"/>
  <c r="F1547" i="4"/>
  <c r="E1547" i="4"/>
  <c r="D1547" i="4"/>
  <c r="C1547" i="4"/>
  <c r="B1547" i="4"/>
  <c r="A1547" i="4"/>
  <c r="H1546" i="4"/>
  <c r="G1546" i="4"/>
  <c r="F1546" i="4"/>
  <c r="E1546" i="4"/>
  <c r="D1546" i="4"/>
  <c r="C1546" i="4"/>
  <c r="B1546" i="4"/>
  <c r="A1546" i="4"/>
  <c r="H1545" i="4"/>
  <c r="G1545" i="4"/>
  <c r="F1545" i="4"/>
  <c r="E1545" i="4"/>
  <c r="D1545" i="4"/>
  <c r="C1545" i="4"/>
  <c r="B1545" i="4"/>
  <c r="A1545" i="4"/>
  <c r="H1544" i="4"/>
  <c r="G1544" i="4"/>
  <c r="F1544" i="4"/>
  <c r="E1544" i="4"/>
  <c r="D1544" i="4"/>
  <c r="C1544" i="4"/>
  <c r="B1544" i="4"/>
  <c r="A1544" i="4"/>
  <c r="H1543" i="4"/>
  <c r="G1543" i="4"/>
  <c r="F1543" i="4"/>
  <c r="E1543" i="4"/>
  <c r="D1543" i="4"/>
  <c r="C1543" i="4"/>
  <c r="B1543" i="4"/>
  <c r="A1543" i="4"/>
  <c r="H1542" i="4"/>
  <c r="G1542" i="4"/>
  <c r="F1542" i="4"/>
  <c r="E1542" i="4"/>
  <c r="D1542" i="4"/>
  <c r="C1542" i="4"/>
  <c r="B1542" i="4"/>
  <c r="A1542" i="4"/>
  <c r="H1541" i="4"/>
  <c r="G1541" i="4"/>
  <c r="F1541" i="4"/>
  <c r="E1541" i="4"/>
  <c r="D1541" i="4"/>
  <c r="C1541" i="4"/>
  <c r="B1541" i="4"/>
  <c r="A1541" i="4"/>
  <c r="H1540" i="4"/>
  <c r="G1540" i="4"/>
  <c r="F1540" i="4"/>
  <c r="E1540" i="4"/>
  <c r="D1540" i="4"/>
  <c r="C1540" i="4"/>
  <c r="B1540" i="4"/>
  <c r="A1540" i="4"/>
  <c r="H1539" i="4"/>
  <c r="G1539" i="4"/>
  <c r="F1539" i="4"/>
  <c r="E1539" i="4"/>
  <c r="D1539" i="4"/>
  <c r="C1539" i="4"/>
  <c r="B1539" i="4"/>
  <c r="A1539" i="4"/>
  <c r="H1538" i="4"/>
  <c r="G1538" i="4"/>
  <c r="F1538" i="4"/>
  <c r="E1538" i="4"/>
  <c r="D1538" i="4"/>
  <c r="C1538" i="4"/>
  <c r="B1538" i="4"/>
  <c r="A1538" i="4"/>
  <c r="H1537" i="4"/>
  <c r="G1537" i="4"/>
  <c r="F1537" i="4"/>
  <c r="E1537" i="4"/>
  <c r="D1537" i="4"/>
  <c r="C1537" i="4"/>
  <c r="B1537" i="4"/>
  <c r="A1537" i="4"/>
  <c r="H1536" i="4"/>
  <c r="G1536" i="4"/>
  <c r="F1536" i="4"/>
  <c r="E1536" i="4"/>
  <c r="D1536" i="4"/>
  <c r="C1536" i="4"/>
  <c r="B1536" i="4"/>
  <c r="A1536" i="4"/>
  <c r="H1535" i="4"/>
  <c r="G1535" i="4"/>
  <c r="F1535" i="4"/>
  <c r="E1535" i="4"/>
  <c r="D1535" i="4"/>
  <c r="C1535" i="4"/>
  <c r="B1535" i="4"/>
  <c r="A1535" i="4"/>
  <c r="H1534" i="4"/>
  <c r="G1534" i="4"/>
  <c r="F1534" i="4"/>
  <c r="E1534" i="4"/>
  <c r="D1534" i="4"/>
  <c r="C1534" i="4"/>
  <c r="B1534" i="4"/>
  <c r="A1534" i="4"/>
  <c r="H1533" i="4"/>
  <c r="G1533" i="4"/>
  <c r="F1533" i="4"/>
  <c r="E1533" i="4"/>
  <c r="D1533" i="4"/>
  <c r="C1533" i="4"/>
  <c r="B1533" i="4"/>
  <c r="A1533" i="4"/>
  <c r="H1532" i="4"/>
  <c r="G1532" i="4"/>
  <c r="F1532" i="4"/>
  <c r="E1532" i="4"/>
  <c r="D1532" i="4"/>
  <c r="C1532" i="4"/>
  <c r="B1532" i="4"/>
  <c r="A1532" i="4"/>
  <c r="H1531" i="4"/>
  <c r="G1531" i="4"/>
  <c r="F1531" i="4"/>
  <c r="E1531" i="4"/>
  <c r="D1531" i="4"/>
  <c r="C1531" i="4"/>
  <c r="B1531" i="4"/>
  <c r="A1531" i="4"/>
  <c r="H1530" i="4"/>
  <c r="G1530" i="4"/>
  <c r="F1530" i="4"/>
  <c r="E1530" i="4"/>
  <c r="D1530" i="4"/>
  <c r="C1530" i="4"/>
  <c r="B1530" i="4"/>
  <c r="A1530" i="4"/>
  <c r="H1529" i="4"/>
  <c r="G1529" i="4"/>
  <c r="F1529" i="4"/>
  <c r="E1529" i="4"/>
  <c r="D1529" i="4"/>
  <c r="C1529" i="4"/>
  <c r="B1529" i="4"/>
  <c r="A1529" i="4"/>
  <c r="H1528" i="4"/>
  <c r="G1528" i="4"/>
  <c r="F1528" i="4"/>
  <c r="E1528" i="4"/>
  <c r="D1528" i="4"/>
  <c r="C1528" i="4"/>
  <c r="B1528" i="4"/>
  <c r="A1528" i="4"/>
  <c r="H1527" i="4"/>
  <c r="G1527" i="4"/>
  <c r="F1527" i="4"/>
  <c r="E1527" i="4"/>
  <c r="D1527" i="4"/>
  <c r="C1527" i="4"/>
  <c r="B1527" i="4"/>
  <c r="A1527" i="4"/>
  <c r="H1526" i="4"/>
  <c r="G1526" i="4"/>
  <c r="F1526" i="4"/>
  <c r="E1526" i="4"/>
  <c r="D1526" i="4"/>
  <c r="C1526" i="4"/>
  <c r="B1526" i="4"/>
  <c r="A1526" i="4"/>
  <c r="H1525" i="4"/>
  <c r="G1525" i="4"/>
  <c r="F1525" i="4"/>
  <c r="E1525" i="4"/>
  <c r="D1525" i="4"/>
  <c r="C1525" i="4"/>
  <c r="B1525" i="4"/>
  <c r="A1525" i="4"/>
  <c r="H1524" i="4"/>
  <c r="G1524" i="4"/>
  <c r="F1524" i="4"/>
  <c r="E1524" i="4"/>
  <c r="D1524" i="4"/>
  <c r="C1524" i="4"/>
  <c r="B1524" i="4"/>
  <c r="A1524" i="4"/>
  <c r="H1523" i="4"/>
  <c r="G1523" i="4"/>
  <c r="F1523" i="4"/>
  <c r="E1523" i="4"/>
  <c r="D1523" i="4"/>
  <c r="C1523" i="4"/>
  <c r="B1523" i="4"/>
  <c r="A1523" i="4"/>
  <c r="H1522" i="4"/>
  <c r="G1522" i="4"/>
  <c r="F1522" i="4"/>
  <c r="E1522" i="4"/>
  <c r="D1522" i="4"/>
  <c r="C1522" i="4"/>
  <c r="B1522" i="4"/>
  <c r="A1522" i="4"/>
  <c r="H1521" i="4"/>
  <c r="G1521" i="4"/>
  <c r="F1521" i="4"/>
  <c r="E1521" i="4"/>
  <c r="D1521" i="4"/>
  <c r="C1521" i="4"/>
  <c r="B1521" i="4"/>
  <c r="A1521" i="4"/>
  <c r="H1520" i="4"/>
  <c r="G1520" i="4"/>
  <c r="F1520" i="4"/>
  <c r="E1520" i="4"/>
  <c r="D1520" i="4"/>
  <c r="C1520" i="4"/>
  <c r="B1520" i="4"/>
  <c r="A1520" i="4"/>
  <c r="H1519" i="4"/>
  <c r="G1519" i="4"/>
  <c r="F1519" i="4"/>
  <c r="E1519" i="4"/>
  <c r="D1519" i="4"/>
  <c r="C1519" i="4"/>
  <c r="B1519" i="4"/>
  <c r="A1519" i="4"/>
  <c r="H1518" i="4"/>
  <c r="G1518" i="4"/>
  <c r="F1518" i="4"/>
  <c r="E1518" i="4"/>
  <c r="D1518" i="4"/>
  <c r="C1518" i="4"/>
  <c r="B1518" i="4"/>
  <c r="A1518" i="4"/>
  <c r="H1517" i="4"/>
  <c r="G1517" i="4"/>
  <c r="F1517" i="4"/>
  <c r="E1517" i="4"/>
  <c r="D1517" i="4"/>
  <c r="C1517" i="4"/>
  <c r="B1517" i="4"/>
  <c r="A1517" i="4"/>
  <c r="H1516" i="4"/>
  <c r="G1516" i="4"/>
  <c r="F1516" i="4"/>
  <c r="E1516" i="4"/>
  <c r="D1516" i="4"/>
  <c r="C1516" i="4"/>
  <c r="B1516" i="4"/>
  <c r="A1516" i="4"/>
  <c r="H1515" i="4"/>
  <c r="G1515" i="4"/>
  <c r="F1515" i="4"/>
  <c r="E1515" i="4"/>
  <c r="D1515" i="4"/>
  <c r="C1515" i="4"/>
  <c r="B1515" i="4"/>
  <c r="A1515" i="4"/>
  <c r="H1514" i="4"/>
  <c r="G1514" i="4"/>
  <c r="F1514" i="4"/>
  <c r="E1514" i="4"/>
  <c r="D1514" i="4"/>
  <c r="C1514" i="4"/>
  <c r="B1514" i="4"/>
  <c r="A1514" i="4"/>
  <c r="H1513" i="4"/>
  <c r="G1513" i="4"/>
  <c r="F1513" i="4"/>
  <c r="E1513" i="4"/>
  <c r="D1513" i="4"/>
  <c r="C1513" i="4"/>
  <c r="B1513" i="4"/>
  <c r="A1513" i="4"/>
  <c r="H1512" i="4"/>
  <c r="G1512" i="4"/>
  <c r="F1512" i="4"/>
  <c r="E1512" i="4"/>
  <c r="D1512" i="4"/>
  <c r="C1512" i="4"/>
  <c r="B1512" i="4"/>
  <c r="A1512" i="4"/>
  <c r="H1511" i="4"/>
  <c r="G1511" i="4"/>
  <c r="F1511" i="4"/>
  <c r="E1511" i="4"/>
  <c r="D1511" i="4"/>
  <c r="C1511" i="4"/>
  <c r="B1511" i="4"/>
  <c r="A1511" i="4"/>
  <c r="H1510" i="4"/>
  <c r="G1510" i="4"/>
  <c r="F1510" i="4"/>
  <c r="E1510" i="4"/>
  <c r="D1510" i="4"/>
  <c r="C1510" i="4"/>
  <c r="B1510" i="4"/>
  <c r="A1510" i="4"/>
  <c r="H1509" i="4"/>
  <c r="G1509" i="4"/>
  <c r="F1509" i="4"/>
  <c r="E1509" i="4"/>
  <c r="D1509" i="4"/>
  <c r="C1509" i="4"/>
  <c r="B1509" i="4"/>
  <c r="A1509" i="4"/>
  <c r="H1508" i="4"/>
  <c r="G1508" i="4"/>
  <c r="F1508" i="4"/>
  <c r="E1508" i="4"/>
  <c r="D1508" i="4"/>
  <c r="C1508" i="4"/>
  <c r="B1508" i="4"/>
  <c r="A1508" i="4"/>
  <c r="H1507" i="4"/>
  <c r="G1507" i="4"/>
  <c r="F1507" i="4"/>
  <c r="E1507" i="4"/>
  <c r="D1507" i="4"/>
  <c r="C1507" i="4"/>
  <c r="B1507" i="4"/>
  <c r="A1507" i="4"/>
  <c r="H1506" i="4"/>
  <c r="G1506" i="4"/>
  <c r="F1506" i="4"/>
  <c r="E1506" i="4"/>
  <c r="D1506" i="4"/>
  <c r="C1506" i="4"/>
  <c r="B1506" i="4"/>
  <c r="A1506" i="4"/>
  <c r="H1505" i="4"/>
  <c r="G1505" i="4"/>
  <c r="F1505" i="4"/>
  <c r="E1505" i="4"/>
  <c r="D1505" i="4"/>
  <c r="C1505" i="4"/>
  <c r="B1505" i="4"/>
  <c r="A1505" i="4"/>
  <c r="H1504" i="4"/>
  <c r="G1504" i="4"/>
  <c r="F1504" i="4"/>
  <c r="E1504" i="4"/>
  <c r="D1504" i="4"/>
  <c r="C1504" i="4"/>
  <c r="B1504" i="4"/>
  <c r="A1504" i="4"/>
  <c r="H1503" i="4"/>
  <c r="G1503" i="4"/>
  <c r="F1503" i="4"/>
  <c r="E1503" i="4"/>
  <c r="D1503" i="4"/>
  <c r="C1503" i="4"/>
  <c r="B1503" i="4"/>
  <c r="A1503" i="4"/>
  <c r="H1502" i="4"/>
  <c r="G1502" i="4"/>
  <c r="F1502" i="4"/>
  <c r="E1502" i="4"/>
  <c r="D1502" i="4"/>
  <c r="C1502" i="4"/>
  <c r="B1502" i="4"/>
  <c r="A1502" i="4"/>
  <c r="H1501" i="4"/>
  <c r="G1501" i="4"/>
  <c r="F1501" i="4"/>
  <c r="E1501" i="4"/>
  <c r="D1501" i="4"/>
  <c r="C1501" i="4"/>
  <c r="B1501" i="4"/>
  <c r="A1501" i="4"/>
  <c r="H1500" i="4"/>
  <c r="G1500" i="4"/>
  <c r="F1500" i="4"/>
  <c r="E1500" i="4"/>
  <c r="D1500" i="4"/>
  <c r="C1500" i="4"/>
  <c r="B1500" i="4"/>
  <c r="A1500" i="4"/>
  <c r="H1499" i="4"/>
  <c r="G1499" i="4"/>
  <c r="F1499" i="4"/>
  <c r="E1499" i="4"/>
  <c r="D1499" i="4"/>
  <c r="C1499" i="4"/>
  <c r="B1499" i="4"/>
  <c r="A1499" i="4"/>
  <c r="H1498" i="4"/>
  <c r="G1498" i="4"/>
  <c r="F1498" i="4"/>
  <c r="E1498" i="4"/>
  <c r="D1498" i="4"/>
  <c r="C1498" i="4"/>
  <c r="B1498" i="4"/>
  <c r="A1498" i="4"/>
  <c r="H1497" i="4"/>
  <c r="G1497" i="4"/>
  <c r="F1497" i="4"/>
  <c r="E1497" i="4"/>
  <c r="D1497" i="4"/>
  <c r="C1497" i="4"/>
  <c r="B1497" i="4"/>
  <c r="A1497" i="4"/>
  <c r="H1496" i="4"/>
  <c r="G1496" i="4"/>
  <c r="F1496" i="4"/>
  <c r="E1496" i="4"/>
  <c r="D1496" i="4"/>
  <c r="C1496" i="4"/>
  <c r="B1496" i="4"/>
  <c r="A1496" i="4"/>
  <c r="H1495" i="4"/>
  <c r="G1495" i="4"/>
  <c r="F1495" i="4"/>
  <c r="E1495" i="4"/>
  <c r="D1495" i="4"/>
  <c r="C1495" i="4"/>
  <c r="B1495" i="4"/>
  <c r="A1495" i="4"/>
  <c r="H1494" i="4"/>
  <c r="G1494" i="4"/>
  <c r="F1494" i="4"/>
  <c r="E1494" i="4"/>
  <c r="D1494" i="4"/>
  <c r="C1494" i="4"/>
  <c r="B1494" i="4"/>
  <c r="A1494" i="4"/>
  <c r="H1493" i="4"/>
  <c r="G1493" i="4"/>
  <c r="F1493" i="4"/>
  <c r="E1493" i="4"/>
  <c r="D1493" i="4"/>
  <c r="C1493" i="4"/>
  <c r="B1493" i="4"/>
  <c r="A1493" i="4"/>
  <c r="H1492" i="4"/>
  <c r="G1492" i="4"/>
  <c r="F1492" i="4"/>
  <c r="E1492" i="4"/>
  <c r="D1492" i="4"/>
  <c r="C1492" i="4"/>
  <c r="B1492" i="4"/>
  <c r="A1492" i="4"/>
  <c r="H1491" i="4"/>
  <c r="G1491" i="4"/>
  <c r="F1491" i="4"/>
  <c r="E1491" i="4"/>
  <c r="D1491" i="4"/>
  <c r="C1491" i="4"/>
  <c r="B1491" i="4"/>
  <c r="A1491" i="4"/>
  <c r="H1490" i="4"/>
  <c r="G1490" i="4"/>
  <c r="F1490" i="4"/>
  <c r="E1490" i="4"/>
  <c r="D1490" i="4"/>
  <c r="C1490" i="4"/>
  <c r="B1490" i="4"/>
  <c r="A1490" i="4"/>
  <c r="H1489" i="4"/>
  <c r="G1489" i="4"/>
  <c r="F1489" i="4"/>
  <c r="E1489" i="4"/>
  <c r="D1489" i="4"/>
  <c r="C1489" i="4"/>
  <c r="B1489" i="4"/>
  <c r="A1489" i="4"/>
  <c r="H1488" i="4"/>
  <c r="G1488" i="4"/>
  <c r="F1488" i="4"/>
  <c r="E1488" i="4"/>
  <c r="D1488" i="4"/>
  <c r="C1488" i="4"/>
  <c r="B1488" i="4"/>
  <c r="A1488" i="4"/>
  <c r="H1487" i="4"/>
  <c r="G1487" i="4"/>
  <c r="F1487" i="4"/>
  <c r="E1487" i="4"/>
  <c r="D1487" i="4"/>
  <c r="C1487" i="4"/>
  <c r="B1487" i="4"/>
  <c r="A1487" i="4"/>
  <c r="H1486" i="4"/>
  <c r="G1486" i="4"/>
  <c r="F1486" i="4"/>
  <c r="E1486" i="4"/>
  <c r="D1486" i="4"/>
  <c r="C1486" i="4"/>
  <c r="B1486" i="4"/>
  <c r="A1486" i="4"/>
  <c r="H1485" i="4"/>
  <c r="G1485" i="4"/>
  <c r="F1485" i="4"/>
  <c r="E1485" i="4"/>
  <c r="D1485" i="4"/>
  <c r="C1485" i="4"/>
  <c r="B1485" i="4"/>
  <c r="A1485" i="4"/>
  <c r="H1484" i="4"/>
  <c r="G1484" i="4"/>
  <c r="F1484" i="4"/>
  <c r="E1484" i="4"/>
  <c r="D1484" i="4"/>
  <c r="C1484" i="4"/>
  <c r="B1484" i="4"/>
  <c r="A1484" i="4"/>
  <c r="H1483" i="4"/>
  <c r="G1483" i="4"/>
  <c r="F1483" i="4"/>
  <c r="E1483" i="4"/>
  <c r="D1483" i="4"/>
  <c r="C1483" i="4"/>
  <c r="B1483" i="4"/>
  <c r="A1483" i="4"/>
  <c r="H1482" i="4"/>
  <c r="G1482" i="4"/>
  <c r="F1482" i="4"/>
  <c r="E1482" i="4"/>
  <c r="D1482" i="4"/>
  <c r="C1482" i="4"/>
  <c r="B1482" i="4"/>
  <c r="A1482" i="4"/>
  <c r="H1481" i="4"/>
  <c r="G1481" i="4"/>
  <c r="F1481" i="4"/>
  <c r="E1481" i="4"/>
  <c r="D1481" i="4"/>
  <c r="C1481" i="4"/>
  <c r="B1481" i="4"/>
  <c r="A1481" i="4"/>
  <c r="H1480" i="4"/>
  <c r="G1480" i="4"/>
  <c r="F1480" i="4"/>
  <c r="E1480" i="4"/>
  <c r="D1480" i="4"/>
  <c r="C1480" i="4"/>
  <c r="B1480" i="4"/>
  <c r="A1480" i="4"/>
  <c r="H1479" i="4"/>
  <c r="G1479" i="4"/>
  <c r="F1479" i="4"/>
  <c r="E1479" i="4"/>
  <c r="D1479" i="4"/>
  <c r="C1479" i="4"/>
  <c r="B1479" i="4"/>
  <c r="A1479" i="4"/>
  <c r="H1478" i="4"/>
  <c r="G1478" i="4"/>
  <c r="F1478" i="4"/>
  <c r="E1478" i="4"/>
  <c r="D1478" i="4"/>
  <c r="C1478" i="4"/>
  <c r="B1478" i="4"/>
  <c r="A1478" i="4"/>
  <c r="H1477" i="4"/>
  <c r="G1477" i="4"/>
  <c r="F1477" i="4"/>
  <c r="E1477" i="4"/>
  <c r="D1477" i="4"/>
  <c r="C1477" i="4"/>
  <c r="B1477" i="4"/>
  <c r="A1477" i="4"/>
  <c r="H1476" i="4"/>
  <c r="G1476" i="4"/>
  <c r="F1476" i="4"/>
  <c r="E1476" i="4"/>
  <c r="D1476" i="4"/>
  <c r="C1476" i="4"/>
  <c r="B1476" i="4"/>
  <c r="A1476" i="4"/>
  <c r="H1475" i="4"/>
  <c r="G1475" i="4"/>
  <c r="F1475" i="4"/>
  <c r="E1475" i="4"/>
  <c r="D1475" i="4"/>
  <c r="C1475" i="4"/>
  <c r="B1475" i="4"/>
  <c r="A1475" i="4"/>
  <c r="H1474" i="4"/>
  <c r="G1474" i="4"/>
  <c r="F1474" i="4"/>
  <c r="E1474" i="4"/>
  <c r="D1474" i="4"/>
  <c r="C1474" i="4"/>
  <c r="B1474" i="4"/>
  <c r="A1474" i="4"/>
  <c r="H1473" i="4"/>
  <c r="G1473" i="4"/>
  <c r="F1473" i="4"/>
  <c r="E1473" i="4"/>
  <c r="D1473" i="4"/>
  <c r="C1473" i="4"/>
  <c r="B1473" i="4"/>
  <c r="A1473" i="4"/>
  <c r="H1472" i="4"/>
  <c r="G1472" i="4"/>
  <c r="F1472" i="4"/>
  <c r="E1472" i="4"/>
  <c r="D1472" i="4"/>
  <c r="C1472" i="4"/>
  <c r="B1472" i="4"/>
  <c r="A1472" i="4"/>
  <c r="H1471" i="4"/>
  <c r="G1471" i="4"/>
  <c r="F1471" i="4"/>
  <c r="E1471" i="4"/>
  <c r="D1471" i="4"/>
  <c r="C1471" i="4"/>
  <c r="B1471" i="4"/>
  <c r="A1471" i="4"/>
  <c r="H1470" i="4"/>
  <c r="G1470" i="4"/>
  <c r="F1470" i="4"/>
  <c r="E1470" i="4"/>
  <c r="D1470" i="4"/>
  <c r="C1470" i="4"/>
  <c r="B1470" i="4"/>
  <c r="A1470" i="4"/>
  <c r="H1469" i="4"/>
  <c r="G1469" i="4"/>
  <c r="F1469" i="4"/>
  <c r="E1469" i="4"/>
  <c r="D1469" i="4"/>
  <c r="C1469" i="4"/>
  <c r="B1469" i="4"/>
  <c r="A1469" i="4"/>
  <c r="H1468" i="4"/>
  <c r="G1468" i="4"/>
  <c r="F1468" i="4"/>
  <c r="E1468" i="4"/>
  <c r="D1468" i="4"/>
  <c r="C1468" i="4"/>
  <c r="B1468" i="4"/>
  <c r="A1468" i="4"/>
  <c r="H1467" i="4"/>
  <c r="G1467" i="4"/>
  <c r="F1467" i="4"/>
  <c r="E1467" i="4"/>
  <c r="D1467" i="4"/>
  <c r="C1467" i="4"/>
  <c r="B1467" i="4"/>
  <c r="A1467" i="4"/>
  <c r="H1466" i="4"/>
  <c r="G1466" i="4"/>
  <c r="F1466" i="4"/>
  <c r="E1466" i="4"/>
  <c r="D1466" i="4"/>
  <c r="C1466" i="4"/>
  <c r="B1466" i="4"/>
  <c r="A1466" i="4"/>
  <c r="H1465" i="4"/>
  <c r="G1465" i="4"/>
  <c r="F1465" i="4"/>
  <c r="E1465" i="4"/>
  <c r="D1465" i="4"/>
  <c r="C1465" i="4"/>
  <c r="B1465" i="4"/>
  <c r="A1465" i="4"/>
  <c r="H1464" i="4"/>
  <c r="G1464" i="4"/>
  <c r="F1464" i="4"/>
  <c r="E1464" i="4"/>
  <c r="D1464" i="4"/>
  <c r="C1464" i="4"/>
  <c r="B1464" i="4"/>
  <c r="A1464" i="4"/>
  <c r="H1463" i="4"/>
  <c r="G1463" i="4"/>
  <c r="F1463" i="4"/>
  <c r="E1463" i="4"/>
  <c r="D1463" i="4"/>
  <c r="C1463" i="4"/>
  <c r="B1463" i="4"/>
  <c r="A1463" i="4"/>
  <c r="H1462" i="4"/>
  <c r="G1462" i="4"/>
  <c r="F1462" i="4"/>
  <c r="E1462" i="4"/>
  <c r="D1462" i="4"/>
  <c r="C1462" i="4"/>
  <c r="B1462" i="4"/>
  <c r="A1462" i="4"/>
  <c r="H1461" i="4"/>
  <c r="G1461" i="4"/>
  <c r="F1461" i="4"/>
  <c r="E1461" i="4"/>
  <c r="D1461" i="4"/>
  <c r="C1461" i="4"/>
  <c r="B1461" i="4"/>
  <c r="A1461" i="4"/>
  <c r="H1460" i="4"/>
  <c r="G1460" i="4"/>
  <c r="F1460" i="4"/>
  <c r="E1460" i="4"/>
  <c r="D1460" i="4"/>
  <c r="C1460" i="4"/>
  <c r="B1460" i="4"/>
  <c r="A1460" i="4"/>
  <c r="H1459" i="4"/>
  <c r="G1459" i="4"/>
  <c r="F1459" i="4"/>
  <c r="E1459" i="4"/>
  <c r="D1459" i="4"/>
  <c r="C1459" i="4"/>
  <c r="B1459" i="4"/>
  <c r="A1459" i="4"/>
  <c r="H1458" i="4"/>
  <c r="G1458" i="4"/>
  <c r="F1458" i="4"/>
  <c r="E1458" i="4"/>
  <c r="D1458" i="4"/>
  <c r="C1458" i="4"/>
  <c r="B1458" i="4"/>
  <c r="A1458" i="4"/>
  <c r="H1457" i="4"/>
  <c r="G1457" i="4"/>
  <c r="F1457" i="4"/>
  <c r="E1457" i="4"/>
  <c r="D1457" i="4"/>
  <c r="C1457" i="4"/>
  <c r="B1457" i="4"/>
  <c r="A1457" i="4"/>
  <c r="H1456" i="4"/>
  <c r="G1456" i="4"/>
  <c r="F1456" i="4"/>
  <c r="E1456" i="4"/>
  <c r="D1456" i="4"/>
  <c r="C1456" i="4"/>
  <c r="B1456" i="4"/>
  <c r="A1456" i="4"/>
  <c r="H1455" i="4"/>
  <c r="G1455" i="4"/>
  <c r="F1455" i="4"/>
  <c r="E1455" i="4"/>
  <c r="D1455" i="4"/>
  <c r="C1455" i="4"/>
  <c r="B1455" i="4"/>
  <c r="A1455" i="4"/>
  <c r="H1454" i="4"/>
  <c r="G1454" i="4"/>
  <c r="F1454" i="4"/>
  <c r="E1454" i="4"/>
  <c r="D1454" i="4"/>
  <c r="C1454" i="4"/>
  <c r="B1454" i="4"/>
  <c r="A1454" i="4"/>
  <c r="H1453" i="4"/>
  <c r="G1453" i="4"/>
  <c r="F1453" i="4"/>
  <c r="E1453" i="4"/>
  <c r="D1453" i="4"/>
  <c r="C1453" i="4"/>
  <c r="B1453" i="4"/>
  <c r="A1453" i="4"/>
  <c r="H1452" i="4"/>
  <c r="G1452" i="4"/>
  <c r="F1452" i="4"/>
  <c r="E1452" i="4"/>
  <c r="D1452" i="4"/>
  <c r="C1452" i="4"/>
  <c r="B1452" i="4"/>
  <c r="A1452" i="4"/>
  <c r="H1451" i="4"/>
  <c r="G1451" i="4"/>
  <c r="F1451" i="4"/>
  <c r="E1451" i="4"/>
  <c r="D1451" i="4"/>
  <c r="C1451" i="4"/>
  <c r="B1451" i="4"/>
  <c r="A1451" i="4"/>
  <c r="H1450" i="4"/>
  <c r="G1450" i="4"/>
  <c r="F1450" i="4"/>
  <c r="E1450" i="4"/>
  <c r="D1450" i="4"/>
  <c r="C1450" i="4"/>
  <c r="B1450" i="4"/>
  <c r="A1450" i="4"/>
  <c r="H1449" i="4"/>
  <c r="G1449" i="4"/>
  <c r="F1449" i="4"/>
  <c r="E1449" i="4"/>
  <c r="D1449" i="4"/>
  <c r="C1449" i="4"/>
  <c r="B1449" i="4"/>
  <c r="A1449" i="4"/>
  <c r="H1448" i="4"/>
  <c r="G1448" i="4"/>
  <c r="F1448" i="4"/>
  <c r="E1448" i="4"/>
  <c r="D1448" i="4"/>
  <c r="C1448" i="4"/>
  <c r="B1448" i="4"/>
  <c r="A1448" i="4"/>
  <c r="H1447" i="4"/>
  <c r="G1447" i="4"/>
  <c r="F1447" i="4"/>
  <c r="E1447" i="4"/>
  <c r="D1447" i="4"/>
  <c r="C1447" i="4"/>
  <c r="B1447" i="4"/>
  <c r="A1447" i="4"/>
  <c r="H1446" i="4"/>
  <c r="G1446" i="4"/>
  <c r="F1446" i="4"/>
  <c r="E1446" i="4"/>
  <c r="D1446" i="4"/>
  <c r="C1446" i="4"/>
  <c r="B1446" i="4"/>
  <c r="A1446" i="4"/>
  <c r="H1445" i="4"/>
  <c r="G1445" i="4"/>
  <c r="F1445" i="4"/>
  <c r="E1445" i="4"/>
  <c r="D1445" i="4"/>
  <c r="C1445" i="4"/>
  <c r="B1445" i="4"/>
  <c r="A1445" i="4"/>
  <c r="H1444" i="4"/>
  <c r="G1444" i="4"/>
  <c r="F1444" i="4"/>
  <c r="E1444" i="4"/>
  <c r="D1444" i="4"/>
  <c r="C1444" i="4"/>
  <c r="B1444" i="4"/>
  <c r="A1444" i="4"/>
  <c r="H1443" i="4"/>
  <c r="G1443" i="4"/>
  <c r="F1443" i="4"/>
  <c r="E1443" i="4"/>
  <c r="D1443" i="4"/>
  <c r="C1443" i="4"/>
  <c r="B1443" i="4"/>
  <c r="A1443" i="4"/>
  <c r="H1442" i="4"/>
  <c r="G1442" i="4"/>
  <c r="F1442" i="4"/>
  <c r="E1442" i="4"/>
  <c r="D1442" i="4"/>
  <c r="C1442" i="4"/>
  <c r="B1442" i="4"/>
  <c r="A1442" i="4"/>
  <c r="H1441" i="4"/>
  <c r="G1441" i="4"/>
  <c r="F1441" i="4"/>
  <c r="E1441" i="4"/>
  <c r="D1441" i="4"/>
  <c r="C1441" i="4"/>
  <c r="B1441" i="4"/>
  <c r="A1441" i="4"/>
  <c r="H1440" i="4"/>
  <c r="G1440" i="4"/>
  <c r="F1440" i="4"/>
  <c r="E1440" i="4"/>
  <c r="D1440" i="4"/>
  <c r="C1440" i="4"/>
  <c r="B1440" i="4"/>
  <c r="A1440" i="4"/>
  <c r="H1439" i="4"/>
  <c r="G1439" i="4"/>
  <c r="F1439" i="4"/>
  <c r="E1439" i="4"/>
  <c r="D1439" i="4"/>
  <c r="C1439" i="4"/>
  <c r="B1439" i="4"/>
  <c r="A1439" i="4"/>
  <c r="H1438" i="4"/>
  <c r="G1438" i="4"/>
  <c r="F1438" i="4"/>
  <c r="E1438" i="4"/>
  <c r="D1438" i="4"/>
  <c r="C1438" i="4"/>
  <c r="B1438" i="4"/>
  <c r="A1438" i="4"/>
  <c r="H1437" i="4"/>
  <c r="G1437" i="4"/>
  <c r="F1437" i="4"/>
  <c r="E1437" i="4"/>
  <c r="D1437" i="4"/>
  <c r="C1437" i="4"/>
  <c r="B1437" i="4"/>
  <c r="A1437" i="4"/>
  <c r="H1436" i="4"/>
  <c r="G1436" i="4"/>
  <c r="F1436" i="4"/>
  <c r="E1436" i="4"/>
  <c r="D1436" i="4"/>
  <c r="C1436" i="4"/>
  <c r="B1436" i="4"/>
  <c r="A1436" i="4"/>
  <c r="H1435" i="4"/>
  <c r="G1435" i="4"/>
  <c r="F1435" i="4"/>
  <c r="E1435" i="4"/>
  <c r="D1435" i="4"/>
  <c r="C1435" i="4"/>
  <c r="B1435" i="4"/>
  <c r="A1435" i="4"/>
  <c r="H1434" i="4"/>
  <c r="G1434" i="4"/>
  <c r="F1434" i="4"/>
  <c r="E1434" i="4"/>
  <c r="D1434" i="4"/>
  <c r="C1434" i="4"/>
  <c r="B1434" i="4"/>
  <c r="A1434" i="4"/>
  <c r="H1433" i="4"/>
  <c r="G1433" i="4"/>
  <c r="F1433" i="4"/>
  <c r="E1433" i="4"/>
  <c r="D1433" i="4"/>
  <c r="C1433" i="4"/>
  <c r="B1433" i="4"/>
  <c r="A1433" i="4"/>
  <c r="H1432" i="4"/>
  <c r="G1432" i="4"/>
  <c r="F1432" i="4"/>
  <c r="E1432" i="4"/>
  <c r="D1432" i="4"/>
  <c r="C1432" i="4"/>
  <c r="B1432" i="4"/>
  <c r="A1432" i="4"/>
  <c r="H1431" i="4"/>
  <c r="G1431" i="4"/>
  <c r="F1431" i="4"/>
  <c r="E1431" i="4"/>
  <c r="D1431" i="4"/>
  <c r="C1431" i="4"/>
  <c r="B1431" i="4"/>
  <c r="A1431" i="4"/>
  <c r="H1430" i="4"/>
  <c r="G1430" i="4"/>
  <c r="F1430" i="4"/>
  <c r="E1430" i="4"/>
  <c r="D1430" i="4"/>
  <c r="C1430" i="4"/>
  <c r="B1430" i="4"/>
  <c r="A1430" i="4"/>
  <c r="H1429" i="4"/>
  <c r="G1429" i="4"/>
  <c r="F1429" i="4"/>
  <c r="E1429" i="4"/>
  <c r="D1429" i="4"/>
  <c r="C1429" i="4"/>
  <c r="B1429" i="4"/>
  <c r="A1429" i="4"/>
  <c r="H1428" i="4"/>
  <c r="G1428" i="4"/>
  <c r="F1428" i="4"/>
  <c r="E1428" i="4"/>
  <c r="D1428" i="4"/>
  <c r="C1428" i="4"/>
  <c r="B1428" i="4"/>
  <c r="A1428" i="4"/>
  <c r="H1427" i="4"/>
  <c r="G1427" i="4"/>
  <c r="F1427" i="4"/>
  <c r="E1427" i="4"/>
  <c r="D1427" i="4"/>
  <c r="C1427" i="4"/>
  <c r="B1427" i="4"/>
  <c r="A1427" i="4"/>
  <c r="H1426" i="4"/>
  <c r="G1426" i="4"/>
  <c r="F1426" i="4"/>
  <c r="E1426" i="4"/>
  <c r="D1426" i="4"/>
  <c r="C1426" i="4"/>
  <c r="B1426" i="4"/>
  <c r="A1426" i="4"/>
  <c r="H1425" i="4"/>
  <c r="G1425" i="4"/>
  <c r="F1425" i="4"/>
  <c r="E1425" i="4"/>
  <c r="D1425" i="4"/>
  <c r="C1425" i="4"/>
  <c r="B1425" i="4"/>
  <c r="A1425" i="4"/>
  <c r="H1424" i="4"/>
  <c r="G1424" i="4"/>
  <c r="F1424" i="4"/>
  <c r="E1424" i="4"/>
  <c r="D1424" i="4"/>
  <c r="C1424" i="4"/>
  <c r="B1424" i="4"/>
  <c r="A1424" i="4"/>
  <c r="H1423" i="4"/>
  <c r="G1423" i="4"/>
  <c r="F1423" i="4"/>
  <c r="E1423" i="4"/>
  <c r="D1423" i="4"/>
  <c r="C1423" i="4"/>
  <c r="B1423" i="4"/>
  <c r="A1423" i="4"/>
  <c r="H1422" i="4"/>
  <c r="G1422" i="4"/>
  <c r="F1422" i="4"/>
  <c r="E1422" i="4"/>
  <c r="D1422" i="4"/>
  <c r="C1422" i="4"/>
  <c r="B1422" i="4"/>
  <c r="A1422" i="4"/>
  <c r="H1421" i="4"/>
  <c r="G1421" i="4"/>
  <c r="F1421" i="4"/>
  <c r="E1421" i="4"/>
  <c r="D1421" i="4"/>
  <c r="C1421" i="4"/>
  <c r="B1421" i="4"/>
  <c r="A1421" i="4"/>
  <c r="H1420" i="4"/>
  <c r="G1420" i="4"/>
  <c r="F1420" i="4"/>
  <c r="E1420" i="4"/>
  <c r="D1420" i="4"/>
  <c r="C1420" i="4"/>
  <c r="B1420" i="4"/>
  <c r="A1420" i="4"/>
  <c r="H1419" i="4"/>
  <c r="G1419" i="4"/>
  <c r="F1419" i="4"/>
  <c r="E1419" i="4"/>
  <c r="D1419" i="4"/>
  <c r="C1419" i="4"/>
  <c r="B1419" i="4"/>
  <c r="A1419" i="4"/>
  <c r="H1418" i="4"/>
  <c r="G1418" i="4"/>
  <c r="F1418" i="4"/>
  <c r="E1418" i="4"/>
  <c r="D1418" i="4"/>
  <c r="C1418" i="4"/>
  <c r="B1418" i="4"/>
  <c r="A1418" i="4"/>
  <c r="H1417" i="4"/>
  <c r="G1417" i="4"/>
  <c r="F1417" i="4"/>
  <c r="E1417" i="4"/>
  <c r="D1417" i="4"/>
  <c r="C1417" i="4"/>
  <c r="B1417" i="4"/>
  <c r="A1417" i="4"/>
  <c r="H1416" i="4"/>
  <c r="G1416" i="4"/>
  <c r="F1416" i="4"/>
  <c r="E1416" i="4"/>
  <c r="D1416" i="4"/>
  <c r="C1416" i="4"/>
  <c r="B1416" i="4"/>
  <c r="A1416" i="4"/>
  <c r="H1415" i="4"/>
  <c r="G1415" i="4"/>
  <c r="F1415" i="4"/>
  <c r="E1415" i="4"/>
  <c r="D1415" i="4"/>
  <c r="C1415" i="4"/>
  <c r="B1415" i="4"/>
  <c r="A1415" i="4"/>
  <c r="H1414" i="4"/>
  <c r="G1414" i="4"/>
  <c r="F1414" i="4"/>
  <c r="E1414" i="4"/>
  <c r="D1414" i="4"/>
  <c r="C1414" i="4"/>
  <c r="B1414" i="4"/>
  <c r="A1414" i="4"/>
  <c r="H1413" i="4"/>
  <c r="G1413" i="4"/>
  <c r="F1413" i="4"/>
  <c r="E1413" i="4"/>
  <c r="D1413" i="4"/>
  <c r="C1413" i="4"/>
  <c r="B1413" i="4"/>
  <c r="A1413" i="4"/>
  <c r="H1412" i="4"/>
  <c r="G1412" i="4"/>
  <c r="F1412" i="4"/>
  <c r="E1412" i="4"/>
  <c r="D1412" i="4"/>
  <c r="C1412" i="4"/>
  <c r="B1412" i="4"/>
  <c r="A1412" i="4"/>
  <c r="H1411" i="4"/>
  <c r="G1411" i="4"/>
  <c r="F1411" i="4"/>
  <c r="E1411" i="4"/>
  <c r="D1411" i="4"/>
  <c r="C1411" i="4"/>
  <c r="B1411" i="4"/>
  <c r="A1411" i="4"/>
  <c r="H1410" i="4"/>
  <c r="G1410" i="4"/>
  <c r="F1410" i="4"/>
  <c r="E1410" i="4"/>
  <c r="D1410" i="4"/>
  <c r="C1410" i="4"/>
  <c r="B1410" i="4"/>
  <c r="A1410" i="4"/>
  <c r="H1409" i="4"/>
  <c r="G1409" i="4"/>
  <c r="F1409" i="4"/>
  <c r="E1409" i="4"/>
  <c r="D1409" i="4"/>
  <c r="C1409" i="4"/>
  <c r="B1409" i="4"/>
  <c r="A1409" i="4"/>
  <c r="H1408" i="4"/>
  <c r="G1408" i="4"/>
  <c r="F1408" i="4"/>
  <c r="E1408" i="4"/>
  <c r="D1408" i="4"/>
  <c r="C1408" i="4"/>
  <c r="B1408" i="4"/>
  <c r="A1408" i="4"/>
  <c r="H1407" i="4"/>
  <c r="G1407" i="4"/>
  <c r="F1407" i="4"/>
  <c r="E1407" i="4"/>
  <c r="D1407" i="4"/>
  <c r="C1407" i="4"/>
  <c r="B1407" i="4"/>
  <c r="A1407" i="4"/>
  <c r="H1406" i="4"/>
  <c r="G1406" i="4"/>
  <c r="F1406" i="4"/>
  <c r="E1406" i="4"/>
  <c r="D1406" i="4"/>
  <c r="C1406" i="4"/>
  <c r="B1406" i="4"/>
  <c r="A1406" i="4"/>
  <c r="H1405" i="4"/>
  <c r="G1405" i="4"/>
  <c r="F1405" i="4"/>
  <c r="E1405" i="4"/>
  <c r="D1405" i="4"/>
  <c r="C1405" i="4"/>
  <c r="B1405" i="4"/>
  <c r="A1405" i="4"/>
  <c r="H1404" i="4"/>
  <c r="G1404" i="4"/>
  <c r="F1404" i="4"/>
  <c r="E1404" i="4"/>
  <c r="D1404" i="4"/>
  <c r="C1404" i="4"/>
  <c r="B1404" i="4"/>
  <c r="A1404" i="4"/>
  <c r="H1403" i="4"/>
  <c r="G1403" i="4"/>
  <c r="F1403" i="4"/>
  <c r="E1403" i="4"/>
  <c r="D1403" i="4"/>
  <c r="C1403" i="4"/>
  <c r="B1403" i="4"/>
  <c r="A1403" i="4"/>
  <c r="H1402" i="4"/>
  <c r="G1402" i="4"/>
  <c r="F1402" i="4"/>
  <c r="E1402" i="4"/>
  <c r="D1402" i="4"/>
  <c r="C1402" i="4"/>
  <c r="B1402" i="4"/>
  <c r="A1402" i="4"/>
  <c r="H1401" i="4"/>
  <c r="G1401" i="4"/>
  <c r="F1401" i="4"/>
  <c r="E1401" i="4"/>
  <c r="D1401" i="4"/>
  <c r="C1401" i="4"/>
  <c r="B1401" i="4"/>
  <c r="A1401" i="4"/>
  <c r="H1400" i="4"/>
  <c r="G1400" i="4"/>
  <c r="F1400" i="4"/>
  <c r="E1400" i="4"/>
  <c r="D1400" i="4"/>
  <c r="C1400" i="4"/>
  <c r="B1400" i="4"/>
  <c r="A1400" i="4"/>
  <c r="H1399" i="4"/>
  <c r="G1399" i="4"/>
  <c r="F1399" i="4"/>
  <c r="E1399" i="4"/>
  <c r="D1399" i="4"/>
  <c r="C1399" i="4"/>
  <c r="B1399" i="4"/>
  <c r="A1399" i="4"/>
  <c r="H1398" i="4"/>
  <c r="G1398" i="4"/>
  <c r="F1398" i="4"/>
  <c r="E1398" i="4"/>
  <c r="D1398" i="4"/>
  <c r="C1398" i="4"/>
  <c r="B1398" i="4"/>
  <c r="A1398" i="4"/>
  <c r="H1397" i="4"/>
  <c r="G1397" i="4"/>
  <c r="F1397" i="4"/>
  <c r="E1397" i="4"/>
  <c r="D1397" i="4"/>
  <c r="C1397" i="4"/>
  <c r="B1397" i="4"/>
  <c r="A1397" i="4"/>
  <c r="H1396" i="4"/>
  <c r="G1396" i="4"/>
  <c r="F1396" i="4"/>
  <c r="E1396" i="4"/>
  <c r="D1396" i="4"/>
  <c r="C1396" i="4"/>
  <c r="B1396" i="4"/>
  <c r="A1396" i="4"/>
  <c r="H1395" i="4"/>
  <c r="G1395" i="4"/>
  <c r="F1395" i="4"/>
  <c r="E1395" i="4"/>
  <c r="D1395" i="4"/>
  <c r="C1395" i="4"/>
  <c r="B1395" i="4"/>
  <c r="A1395" i="4"/>
  <c r="H1394" i="4"/>
  <c r="G1394" i="4"/>
  <c r="F1394" i="4"/>
  <c r="E1394" i="4"/>
  <c r="D1394" i="4"/>
  <c r="C1394" i="4"/>
  <c r="B1394" i="4"/>
  <c r="A1394" i="4"/>
  <c r="H1393" i="4"/>
  <c r="G1393" i="4"/>
  <c r="F1393" i="4"/>
  <c r="E1393" i="4"/>
  <c r="D1393" i="4"/>
  <c r="C1393" i="4"/>
  <c r="B1393" i="4"/>
  <c r="A1393" i="4"/>
  <c r="H1392" i="4"/>
  <c r="G1392" i="4"/>
  <c r="F1392" i="4"/>
  <c r="E1392" i="4"/>
  <c r="D1392" i="4"/>
  <c r="C1392" i="4"/>
  <c r="B1392" i="4"/>
  <c r="A1392" i="4"/>
  <c r="H1391" i="4"/>
  <c r="G1391" i="4"/>
  <c r="F1391" i="4"/>
  <c r="E1391" i="4"/>
  <c r="D1391" i="4"/>
  <c r="C1391" i="4"/>
  <c r="B1391" i="4"/>
  <c r="A1391" i="4"/>
  <c r="H1390" i="4"/>
  <c r="G1390" i="4"/>
  <c r="F1390" i="4"/>
  <c r="E1390" i="4"/>
  <c r="D1390" i="4"/>
  <c r="C1390" i="4"/>
  <c r="B1390" i="4"/>
  <c r="A1390" i="4"/>
  <c r="H1389" i="4"/>
  <c r="G1389" i="4"/>
  <c r="F1389" i="4"/>
  <c r="E1389" i="4"/>
  <c r="D1389" i="4"/>
  <c r="C1389" i="4"/>
  <c r="B1389" i="4"/>
  <c r="A1389" i="4"/>
  <c r="H1388" i="4"/>
  <c r="G1388" i="4"/>
  <c r="F1388" i="4"/>
  <c r="E1388" i="4"/>
  <c r="D1388" i="4"/>
  <c r="C1388" i="4"/>
  <c r="B1388" i="4"/>
  <c r="A1388" i="4"/>
  <c r="H1387" i="4"/>
  <c r="G1387" i="4"/>
  <c r="F1387" i="4"/>
  <c r="E1387" i="4"/>
  <c r="D1387" i="4"/>
  <c r="C1387" i="4"/>
  <c r="B1387" i="4"/>
  <c r="A1387" i="4"/>
  <c r="H1386" i="4"/>
  <c r="G1386" i="4"/>
  <c r="F1386" i="4"/>
  <c r="E1386" i="4"/>
  <c r="D1386" i="4"/>
  <c r="C1386" i="4"/>
  <c r="B1386" i="4"/>
  <c r="A1386" i="4"/>
  <c r="H1385" i="4"/>
  <c r="G1385" i="4"/>
  <c r="F1385" i="4"/>
  <c r="E1385" i="4"/>
  <c r="D1385" i="4"/>
  <c r="C1385" i="4"/>
  <c r="B1385" i="4"/>
  <c r="A1385" i="4"/>
  <c r="H1384" i="4"/>
  <c r="G1384" i="4"/>
  <c r="F1384" i="4"/>
  <c r="E1384" i="4"/>
  <c r="D1384" i="4"/>
  <c r="C1384" i="4"/>
  <c r="B1384" i="4"/>
  <c r="A1384" i="4"/>
  <c r="H1383" i="4"/>
  <c r="G1383" i="4"/>
  <c r="F1383" i="4"/>
  <c r="E1383" i="4"/>
  <c r="D1383" i="4"/>
  <c r="C1383" i="4"/>
  <c r="B1383" i="4"/>
  <c r="A1383" i="4"/>
  <c r="H1382" i="4"/>
  <c r="G1382" i="4"/>
  <c r="F1382" i="4"/>
  <c r="E1382" i="4"/>
  <c r="D1382" i="4"/>
  <c r="C1382" i="4"/>
  <c r="B1382" i="4"/>
  <c r="A1382" i="4"/>
  <c r="H1381" i="4"/>
  <c r="G1381" i="4"/>
  <c r="F1381" i="4"/>
  <c r="E1381" i="4"/>
  <c r="D1381" i="4"/>
  <c r="C1381" i="4"/>
  <c r="B1381" i="4"/>
  <c r="A1381" i="4"/>
  <c r="H1380" i="4"/>
  <c r="G1380" i="4"/>
  <c r="F1380" i="4"/>
  <c r="E1380" i="4"/>
  <c r="D1380" i="4"/>
  <c r="C1380" i="4"/>
  <c r="B1380" i="4"/>
  <c r="A1380" i="4"/>
  <c r="H1379" i="4"/>
  <c r="G1379" i="4"/>
  <c r="F1379" i="4"/>
  <c r="E1379" i="4"/>
  <c r="D1379" i="4"/>
  <c r="C1379" i="4"/>
  <c r="B1379" i="4"/>
  <c r="A1379" i="4"/>
  <c r="H1378" i="4"/>
  <c r="G1378" i="4"/>
  <c r="F1378" i="4"/>
  <c r="E1378" i="4"/>
  <c r="D1378" i="4"/>
  <c r="C1378" i="4"/>
  <c r="B1378" i="4"/>
  <c r="A1378" i="4"/>
  <c r="H1377" i="4"/>
  <c r="G1377" i="4"/>
  <c r="F1377" i="4"/>
  <c r="E1377" i="4"/>
  <c r="D1377" i="4"/>
  <c r="C1377" i="4"/>
  <c r="B1377" i="4"/>
  <c r="A1377" i="4"/>
  <c r="H1376" i="4"/>
  <c r="G1376" i="4"/>
  <c r="F1376" i="4"/>
  <c r="E1376" i="4"/>
  <c r="D1376" i="4"/>
  <c r="C1376" i="4"/>
  <c r="B1376" i="4"/>
  <c r="A1376" i="4"/>
  <c r="H1375" i="4"/>
  <c r="G1375" i="4"/>
  <c r="F1375" i="4"/>
  <c r="E1375" i="4"/>
  <c r="D1375" i="4"/>
  <c r="C1375" i="4"/>
  <c r="B1375" i="4"/>
  <c r="A1375" i="4"/>
  <c r="H1374" i="4"/>
  <c r="G1374" i="4"/>
  <c r="F1374" i="4"/>
  <c r="E1374" i="4"/>
  <c r="D1374" i="4"/>
  <c r="C1374" i="4"/>
  <c r="B1374" i="4"/>
  <c r="A1374" i="4"/>
  <c r="H1373" i="4"/>
  <c r="G1373" i="4"/>
  <c r="F1373" i="4"/>
  <c r="E1373" i="4"/>
  <c r="D1373" i="4"/>
  <c r="C1373" i="4"/>
  <c r="B1373" i="4"/>
  <c r="A1373" i="4"/>
  <c r="H1372" i="4"/>
  <c r="G1372" i="4"/>
  <c r="F1372" i="4"/>
  <c r="E1372" i="4"/>
  <c r="D1372" i="4"/>
  <c r="C1372" i="4"/>
  <c r="B1372" i="4"/>
  <c r="A1372" i="4"/>
  <c r="H1371" i="4"/>
  <c r="G1371" i="4"/>
  <c r="F1371" i="4"/>
  <c r="E1371" i="4"/>
  <c r="D1371" i="4"/>
  <c r="C1371" i="4"/>
  <c r="B1371" i="4"/>
  <c r="A1371" i="4"/>
  <c r="H1370" i="4"/>
  <c r="G1370" i="4"/>
  <c r="F1370" i="4"/>
  <c r="E1370" i="4"/>
  <c r="D1370" i="4"/>
  <c r="C1370" i="4"/>
  <c r="B1370" i="4"/>
  <c r="A1370" i="4"/>
  <c r="H1369" i="4"/>
  <c r="G1369" i="4"/>
  <c r="F1369" i="4"/>
  <c r="E1369" i="4"/>
  <c r="D1369" i="4"/>
  <c r="C1369" i="4"/>
  <c r="B1369" i="4"/>
  <c r="A1369" i="4"/>
  <c r="H1368" i="4"/>
  <c r="G1368" i="4"/>
  <c r="F1368" i="4"/>
  <c r="E1368" i="4"/>
  <c r="D1368" i="4"/>
  <c r="C1368" i="4"/>
  <c r="B1368" i="4"/>
  <c r="A1368" i="4"/>
  <c r="H1367" i="4"/>
  <c r="G1367" i="4"/>
  <c r="F1367" i="4"/>
  <c r="E1367" i="4"/>
  <c r="D1367" i="4"/>
  <c r="C1367" i="4"/>
  <c r="B1367" i="4"/>
  <c r="A1367" i="4"/>
  <c r="H1366" i="4"/>
  <c r="G1366" i="4"/>
  <c r="F1366" i="4"/>
  <c r="E1366" i="4"/>
  <c r="D1366" i="4"/>
  <c r="C1366" i="4"/>
  <c r="B1366" i="4"/>
  <c r="A1366" i="4"/>
  <c r="H1365" i="4"/>
  <c r="G1365" i="4"/>
  <c r="F1365" i="4"/>
  <c r="E1365" i="4"/>
  <c r="D1365" i="4"/>
  <c r="C1365" i="4"/>
  <c r="B1365" i="4"/>
  <c r="A1365" i="4"/>
  <c r="H1364" i="4"/>
  <c r="G1364" i="4"/>
  <c r="F1364" i="4"/>
  <c r="E1364" i="4"/>
  <c r="D1364" i="4"/>
  <c r="C1364" i="4"/>
  <c r="B1364" i="4"/>
  <c r="A1364" i="4"/>
  <c r="H1363" i="4"/>
  <c r="G1363" i="4"/>
  <c r="F1363" i="4"/>
  <c r="E1363" i="4"/>
  <c r="D1363" i="4"/>
  <c r="C1363" i="4"/>
  <c r="B1363" i="4"/>
  <c r="A1363" i="4"/>
  <c r="H1362" i="4"/>
  <c r="G1362" i="4"/>
  <c r="F1362" i="4"/>
  <c r="E1362" i="4"/>
  <c r="D1362" i="4"/>
  <c r="C1362" i="4"/>
  <c r="B1362" i="4"/>
  <c r="A1362" i="4"/>
  <c r="H1361" i="4"/>
  <c r="G1361" i="4"/>
  <c r="F1361" i="4"/>
  <c r="E1361" i="4"/>
  <c r="D1361" i="4"/>
  <c r="C1361" i="4"/>
  <c r="B1361" i="4"/>
  <c r="A1361" i="4"/>
  <c r="H1360" i="4"/>
  <c r="G1360" i="4"/>
  <c r="F1360" i="4"/>
  <c r="E1360" i="4"/>
  <c r="D1360" i="4"/>
  <c r="C1360" i="4"/>
  <c r="B1360" i="4"/>
  <c r="A1360" i="4"/>
  <c r="H1359" i="4"/>
  <c r="G1359" i="4"/>
  <c r="F1359" i="4"/>
  <c r="E1359" i="4"/>
  <c r="D1359" i="4"/>
  <c r="C1359" i="4"/>
  <c r="B1359" i="4"/>
  <c r="A1359" i="4"/>
  <c r="H1358" i="4"/>
  <c r="G1358" i="4"/>
  <c r="F1358" i="4"/>
  <c r="E1358" i="4"/>
  <c r="D1358" i="4"/>
  <c r="C1358" i="4"/>
  <c r="B1358" i="4"/>
  <c r="A1358" i="4"/>
  <c r="H1357" i="4"/>
  <c r="G1357" i="4"/>
  <c r="F1357" i="4"/>
  <c r="E1357" i="4"/>
  <c r="D1357" i="4"/>
  <c r="C1357" i="4"/>
  <c r="B1357" i="4"/>
  <c r="A1357" i="4"/>
  <c r="H1356" i="4"/>
  <c r="G1356" i="4"/>
  <c r="F1356" i="4"/>
  <c r="E1356" i="4"/>
  <c r="D1356" i="4"/>
  <c r="C1356" i="4"/>
  <c r="B1356" i="4"/>
  <c r="A1356" i="4"/>
  <c r="H1355" i="4"/>
  <c r="G1355" i="4"/>
  <c r="F1355" i="4"/>
  <c r="E1355" i="4"/>
  <c r="D1355" i="4"/>
  <c r="C1355" i="4"/>
  <c r="B1355" i="4"/>
  <c r="A1355" i="4"/>
  <c r="H1354" i="4"/>
  <c r="G1354" i="4"/>
  <c r="F1354" i="4"/>
  <c r="E1354" i="4"/>
  <c r="D1354" i="4"/>
  <c r="C1354" i="4"/>
  <c r="B1354" i="4"/>
  <c r="A1354" i="4"/>
  <c r="H1353" i="4"/>
  <c r="G1353" i="4"/>
  <c r="F1353" i="4"/>
  <c r="E1353" i="4"/>
  <c r="D1353" i="4"/>
  <c r="C1353" i="4"/>
  <c r="B1353" i="4"/>
  <c r="A1353" i="4"/>
  <c r="H1352" i="4"/>
  <c r="G1352" i="4"/>
  <c r="F1352" i="4"/>
  <c r="E1352" i="4"/>
  <c r="D1352" i="4"/>
  <c r="C1352" i="4"/>
  <c r="B1352" i="4"/>
  <c r="A1352" i="4"/>
  <c r="H1351" i="4"/>
  <c r="G1351" i="4"/>
  <c r="F1351" i="4"/>
  <c r="E1351" i="4"/>
  <c r="D1351" i="4"/>
  <c r="C1351" i="4"/>
  <c r="B1351" i="4"/>
  <c r="A1351" i="4"/>
  <c r="H1350" i="4"/>
  <c r="G1350" i="4"/>
  <c r="F1350" i="4"/>
  <c r="E1350" i="4"/>
  <c r="D1350" i="4"/>
  <c r="C1350" i="4"/>
  <c r="B1350" i="4"/>
  <c r="A1350" i="4"/>
  <c r="H1349" i="4"/>
  <c r="G1349" i="4"/>
  <c r="F1349" i="4"/>
  <c r="E1349" i="4"/>
  <c r="D1349" i="4"/>
  <c r="C1349" i="4"/>
  <c r="B1349" i="4"/>
  <c r="A1349" i="4"/>
  <c r="H1348" i="4"/>
  <c r="G1348" i="4"/>
  <c r="F1348" i="4"/>
  <c r="E1348" i="4"/>
  <c r="D1348" i="4"/>
  <c r="C1348" i="4"/>
  <c r="B1348" i="4"/>
  <c r="A1348" i="4"/>
  <c r="H1347" i="4"/>
  <c r="G1347" i="4"/>
  <c r="F1347" i="4"/>
  <c r="E1347" i="4"/>
  <c r="D1347" i="4"/>
  <c r="C1347" i="4"/>
  <c r="B1347" i="4"/>
  <c r="A1347" i="4"/>
  <c r="H1346" i="4"/>
  <c r="G1346" i="4"/>
  <c r="F1346" i="4"/>
  <c r="E1346" i="4"/>
  <c r="D1346" i="4"/>
  <c r="C1346" i="4"/>
  <c r="B1346" i="4"/>
  <c r="A1346" i="4"/>
  <c r="H1345" i="4"/>
  <c r="G1345" i="4"/>
  <c r="F1345" i="4"/>
  <c r="E1345" i="4"/>
  <c r="D1345" i="4"/>
  <c r="C1345" i="4"/>
  <c r="B1345" i="4"/>
  <c r="A1345" i="4"/>
  <c r="H1344" i="4"/>
  <c r="G1344" i="4"/>
  <c r="F1344" i="4"/>
  <c r="E1344" i="4"/>
  <c r="D1344" i="4"/>
  <c r="C1344" i="4"/>
  <c r="B1344" i="4"/>
  <c r="A1344" i="4"/>
  <c r="H1343" i="4"/>
  <c r="G1343" i="4"/>
  <c r="F1343" i="4"/>
  <c r="E1343" i="4"/>
  <c r="D1343" i="4"/>
  <c r="C1343" i="4"/>
  <c r="B1343" i="4"/>
  <c r="A1343" i="4"/>
  <c r="H1342" i="4"/>
  <c r="G1342" i="4"/>
  <c r="F1342" i="4"/>
  <c r="E1342" i="4"/>
  <c r="D1342" i="4"/>
  <c r="C1342" i="4"/>
  <c r="B1342" i="4"/>
  <c r="A1342" i="4"/>
  <c r="H1341" i="4"/>
  <c r="G1341" i="4"/>
  <c r="F1341" i="4"/>
  <c r="E1341" i="4"/>
  <c r="D1341" i="4"/>
  <c r="C1341" i="4"/>
  <c r="B1341" i="4"/>
  <c r="A1341" i="4"/>
  <c r="H1340" i="4"/>
  <c r="G1340" i="4"/>
  <c r="F1340" i="4"/>
  <c r="E1340" i="4"/>
  <c r="D1340" i="4"/>
  <c r="C1340" i="4"/>
  <c r="B1340" i="4"/>
  <c r="A1340" i="4"/>
  <c r="H1339" i="4"/>
  <c r="G1339" i="4"/>
  <c r="F1339" i="4"/>
  <c r="E1339" i="4"/>
  <c r="D1339" i="4"/>
  <c r="C1339" i="4"/>
  <c r="B1339" i="4"/>
  <c r="A1339" i="4"/>
  <c r="H1338" i="4"/>
  <c r="G1338" i="4"/>
  <c r="F1338" i="4"/>
  <c r="E1338" i="4"/>
  <c r="D1338" i="4"/>
  <c r="C1338" i="4"/>
  <c r="B1338" i="4"/>
  <c r="A1338" i="4"/>
  <c r="H1337" i="4"/>
  <c r="G1337" i="4"/>
  <c r="F1337" i="4"/>
  <c r="E1337" i="4"/>
  <c r="D1337" i="4"/>
  <c r="C1337" i="4"/>
  <c r="B1337" i="4"/>
  <c r="A1337" i="4"/>
  <c r="H1336" i="4"/>
  <c r="G1336" i="4"/>
  <c r="F1336" i="4"/>
  <c r="E1336" i="4"/>
  <c r="D1336" i="4"/>
  <c r="C1336" i="4"/>
  <c r="B1336" i="4"/>
  <c r="A1336" i="4"/>
  <c r="H1335" i="4"/>
  <c r="G1335" i="4"/>
  <c r="F1335" i="4"/>
  <c r="E1335" i="4"/>
  <c r="D1335" i="4"/>
  <c r="C1335" i="4"/>
  <c r="B1335" i="4"/>
  <c r="A1335" i="4"/>
  <c r="H1334" i="4"/>
  <c r="G1334" i="4"/>
  <c r="F1334" i="4"/>
  <c r="E1334" i="4"/>
  <c r="D1334" i="4"/>
  <c r="C1334" i="4"/>
  <c r="B1334" i="4"/>
  <c r="A1334" i="4"/>
  <c r="H1333" i="4"/>
  <c r="G1333" i="4"/>
  <c r="F1333" i="4"/>
  <c r="E1333" i="4"/>
  <c r="D1333" i="4"/>
  <c r="C1333" i="4"/>
  <c r="B1333" i="4"/>
  <c r="A1333" i="4"/>
  <c r="H1332" i="4"/>
  <c r="G1332" i="4"/>
  <c r="F1332" i="4"/>
  <c r="E1332" i="4"/>
  <c r="D1332" i="4"/>
  <c r="C1332" i="4"/>
  <c r="B1332" i="4"/>
  <c r="A1332" i="4"/>
  <c r="H1331" i="4"/>
  <c r="G1331" i="4"/>
  <c r="F1331" i="4"/>
  <c r="E1331" i="4"/>
  <c r="D1331" i="4"/>
  <c r="C1331" i="4"/>
  <c r="B1331" i="4"/>
  <c r="A1331" i="4"/>
  <c r="H1330" i="4"/>
  <c r="G1330" i="4"/>
  <c r="F1330" i="4"/>
  <c r="E1330" i="4"/>
  <c r="D1330" i="4"/>
  <c r="C1330" i="4"/>
  <c r="B1330" i="4"/>
  <c r="A1330" i="4"/>
  <c r="H1329" i="4"/>
  <c r="G1329" i="4"/>
  <c r="F1329" i="4"/>
  <c r="E1329" i="4"/>
  <c r="D1329" i="4"/>
  <c r="C1329" i="4"/>
  <c r="B1329" i="4"/>
  <c r="A1329" i="4"/>
  <c r="H1328" i="4"/>
  <c r="G1328" i="4"/>
  <c r="F1328" i="4"/>
  <c r="E1328" i="4"/>
  <c r="D1328" i="4"/>
  <c r="C1328" i="4"/>
  <c r="B1328" i="4"/>
  <c r="A1328" i="4"/>
  <c r="H1327" i="4"/>
  <c r="G1327" i="4"/>
  <c r="F1327" i="4"/>
  <c r="E1327" i="4"/>
  <c r="D1327" i="4"/>
  <c r="C1327" i="4"/>
  <c r="B1327" i="4"/>
  <c r="A1327" i="4"/>
  <c r="H1326" i="4"/>
  <c r="G1326" i="4"/>
  <c r="F1326" i="4"/>
  <c r="E1326" i="4"/>
  <c r="D1326" i="4"/>
  <c r="C1326" i="4"/>
  <c r="B1326" i="4"/>
  <c r="A1326" i="4"/>
  <c r="H1325" i="4"/>
  <c r="G1325" i="4"/>
  <c r="F1325" i="4"/>
  <c r="E1325" i="4"/>
  <c r="D1325" i="4"/>
  <c r="C1325" i="4"/>
  <c r="B1325" i="4"/>
  <c r="A1325" i="4"/>
  <c r="H1324" i="4"/>
  <c r="G1324" i="4"/>
  <c r="F1324" i="4"/>
  <c r="E1324" i="4"/>
  <c r="D1324" i="4"/>
  <c r="C1324" i="4"/>
  <c r="B1324" i="4"/>
  <c r="A1324" i="4"/>
  <c r="H1323" i="4"/>
  <c r="G1323" i="4"/>
  <c r="F1323" i="4"/>
  <c r="E1323" i="4"/>
  <c r="D1323" i="4"/>
  <c r="C1323" i="4"/>
  <c r="B1323" i="4"/>
  <c r="A1323" i="4"/>
  <c r="H1322" i="4"/>
  <c r="G1322" i="4"/>
  <c r="F1322" i="4"/>
  <c r="E1322" i="4"/>
  <c r="D1322" i="4"/>
  <c r="C1322" i="4"/>
  <c r="B1322" i="4"/>
  <c r="A1322" i="4"/>
  <c r="H1321" i="4"/>
  <c r="G1321" i="4"/>
  <c r="F1321" i="4"/>
  <c r="E1321" i="4"/>
  <c r="D1321" i="4"/>
  <c r="C1321" i="4"/>
  <c r="B1321" i="4"/>
  <c r="A1321" i="4"/>
  <c r="H1320" i="4"/>
  <c r="G1320" i="4"/>
  <c r="F1320" i="4"/>
  <c r="E1320" i="4"/>
  <c r="D1320" i="4"/>
  <c r="C1320" i="4"/>
  <c r="B1320" i="4"/>
  <c r="A1320" i="4"/>
  <c r="H1319" i="4"/>
  <c r="G1319" i="4"/>
  <c r="F1319" i="4"/>
  <c r="E1319" i="4"/>
  <c r="D1319" i="4"/>
  <c r="C1319" i="4"/>
  <c r="B1319" i="4"/>
  <c r="A1319" i="4"/>
  <c r="H1318" i="4"/>
  <c r="G1318" i="4"/>
  <c r="F1318" i="4"/>
  <c r="E1318" i="4"/>
  <c r="D1318" i="4"/>
  <c r="C1318" i="4"/>
  <c r="B1318" i="4"/>
  <c r="A1318" i="4"/>
  <c r="H1317" i="4"/>
  <c r="G1317" i="4"/>
  <c r="F1317" i="4"/>
  <c r="E1317" i="4"/>
  <c r="D1317" i="4"/>
  <c r="C1317" i="4"/>
  <c r="B1317" i="4"/>
  <c r="A1317" i="4"/>
  <c r="H1316" i="4"/>
  <c r="G1316" i="4"/>
  <c r="F1316" i="4"/>
  <c r="E1316" i="4"/>
  <c r="D1316" i="4"/>
  <c r="C1316" i="4"/>
  <c r="B1316" i="4"/>
  <c r="A1316" i="4"/>
  <c r="H1315" i="4"/>
  <c r="G1315" i="4"/>
  <c r="F1315" i="4"/>
  <c r="E1315" i="4"/>
  <c r="D1315" i="4"/>
  <c r="C1315" i="4"/>
  <c r="B1315" i="4"/>
  <c r="A1315" i="4"/>
  <c r="H1314" i="4"/>
  <c r="G1314" i="4"/>
  <c r="F1314" i="4"/>
  <c r="E1314" i="4"/>
  <c r="D1314" i="4"/>
  <c r="C1314" i="4"/>
  <c r="B1314" i="4"/>
  <c r="A1314" i="4"/>
  <c r="H1313" i="4"/>
  <c r="G1313" i="4"/>
  <c r="F1313" i="4"/>
  <c r="E1313" i="4"/>
  <c r="D1313" i="4"/>
  <c r="C1313" i="4"/>
  <c r="B1313" i="4"/>
  <c r="A1313" i="4"/>
  <c r="H1312" i="4"/>
  <c r="G1312" i="4"/>
  <c r="F1312" i="4"/>
  <c r="E1312" i="4"/>
  <c r="D1312" i="4"/>
  <c r="C1312" i="4"/>
  <c r="B1312" i="4"/>
  <c r="A1312" i="4"/>
  <c r="H1311" i="4"/>
  <c r="G1311" i="4"/>
  <c r="F1311" i="4"/>
  <c r="E1311" i="4"/>
  <c r="D1311" i="4"/>
  <c r="C1311" i="4"/>
  <c r="B1311" i="4"/>
  <c r="A1311" i="4"/>
  <c r="H1310" i="4"/>
  <c r="G1310" i="4"/>
  <c r="F1310" i="4"/>
  <c r="E1310" i="4"/>
  <c r="D1310" i="4"/>
  <c r="C1310" i="4"/>
  <c r="B1310" i="4"/>
  <c r="A1310" i="4"/>
  <c r="H1309" i="4"/>
  <c r="G1309" i="4"/>
  <c r="F1309" i="4"/>
  <c r="E1309" i="4"/>
  <c r="D1309" i="4"/>
  <c r="C1309" i="4"/>
  <c r="B1309" i="4"/>
  <c r="A1309" i="4"/>
  <c r="H1308" i="4"/>
  <c r="G1308" i="4"/>
  <c r="F1308" i="4"/>
  <c r="E1308" i="4"/>
  <c r="D1308" i="4"/>
  <c r="C1308" i="4"/>
  <c r="B1308" i="4"/>
  <c r="A1308" i="4"/>
  <c r="H1307" i="4"/>
  <c r="G1307" i="4"/>
  <c r="F1307" i="4"/>
  <c r="E1307" i="4"/>
  <c r="D1307" i="4"/>
  <c r="C1307" i="4"/>
  <c r="B1307" i="4"/>
  <c r="A1307" i="4"/>
  <c r="H1306" i="4"/>
  <c r="G1306" i="4"/>
  <c r="F1306" i="4"/>
  <c r="E1306" i="4"/>
  <c r="D1306" i="4"/>
  <c r="C1306" i="4"/>
  <c r="B1306" i="4"/>
  <c r="A1306" i="4"/>
  <c r="H1305" i="4"/>
  <c r="G1305" i="4"/>
  <c r="F1305" i="4"/>
  <c r="E1305" i="4"/>
  <c r="D1305" i="4"/>
  <c r="C1305" i="4"/>
  <c r="B1305" i="4"/>
  <c r="A1305" i="4"/>
  <c r="H1304" i="4"/>
  <c r="G1304" i="4"/>
  <c r="F1304" i="4"/>
  <c r="E1304" i="4"/>
  <c r="D1304" i="4"/>
  <c r="C1304" i="4"/>
  <c r="B1304" i="4"/>
  <c r="A1304" i="4"/>
  <c r="H1303" i="4"/>
  <c r="G1303" i="4"/>
  <c r="F1303" i="4"/>
  <c r="E1303" i="4"/>
  <c r="D1303" i="4"/>
  <c r="C1303" i="4"/>
  <c r="B1303" i="4"/>
  <c r="A1303" i="4"/>
  <c r="H1302" i="4"/>
  <c r="G1302" i="4"/>
  <c r="F1302" i="4"/>
  <c r="E1302" i="4"/>
  <c r="D1302" i="4"/>
  <c r="C1302" i="4"/>
  <c r="B1302" i="4"/>
  <c r="A1302" i="4"/>
  <c r="H1301" i="4"/>
  <c r="G1301" i="4"/>
  <c r="F1301" i="4"/>
  <c r="E1301" i="4"/>
  <c r="D1301" i="4"/>
  <c r="C1301" i="4"/>
  <c r="B1301" i="4"/>
  <c r="A1301" i="4"/>
  <c r="H1300" i="4"/>
  <c r="G1300" i="4"/>
  <c r="F1300" i="4"/>
  <c r="E1300" i="4"/>
  <c r="D1300" i="4"/>
  <c r="C1300" i="4"/>
  <c r="B1300" i="4"/>
  <c r="A1300" i="4"/>
  <c r="H1299" i="4"/>
  <c r="G1299" i="4"/>
  <c r="F1299" i="4"/>
  <c r="E1299" i="4"/>
  <c r="D1299" i="4"/>
  <c r="C1299" i="4"/>
  <c r="B1299" i="4"/>
  <c r="A1299" i="4"/>
  <c r="H1298" i="4"/>
  <c r="G1298" i="4"/>
  <c r="F1298" i="4"/>
  <c r="E1298" i="4"/>
  <c r="D1298" i="4"/>
  <c r="C1298" i="4"/>
  <c r="B1298" i="4"/>
  <c r="A1298" i="4"/>
  <c r="H1297" i="4"/>
  <c r="G1297" i="4"/>
  <c r="F1297" i="4"/>
  <c r="E1297" i="4"/>
  <c r="D1297" i="4"/>
  <c r="C1297" i="4"/>
  <c r="B1297" i="4"/>
  <c r="A1297" i="4"/>
  <c r="H1296" i="4"/>
  <c r="G1296" i="4"/>
  <c r="F1296" i="4"/>
  <c r="E1296" i="4"/>
  <c r="D1296" i="4"/>
  <c r="C1296" i="4"/>
  <c r="B1296" i="4"/>
  <c r="A1296" i="4"/>
  <c r="H1295" i="4"/>
  <c r="G1295" i="4"/>
  <c r="F1295" i="4"/>
  <c r="E1295" i="4"/>
  <c r="D1295" i="4"/>
  <c r="C1295" i="4"/>
  <c r="B1295" i="4"/>
  <c r="A1295" i="4"/>
  <c r="H1294" i="4"/>
  <c r="G1294" i="4"/>
  <c r="F1294" i="4"/>
  <c r="E1294" i="4"/>
  <c r="D1294" i="4"/>
  <c r="C1294" i="4"/>
  <c r="B1294" i="4"/>
  <c r="A1294" i="4"/>
  <c r="H1293" i="4"/>
  <c r="G1293" i="4"/>
  <c r="F1293" i="4"/>
  <c r="E1293" i="4"/>
  <c r="D1293" i="4"/>
  <c r="C1293" i="4"/>
  <c r="B1293" i="4"/>
  <c r="A1293" i="4"/>
  <c r="H1292" i="4"/>
  <c r="G1292" i="4"/>
  <c r="F1292" i="4"/>
  <c r="E1292" i="4"/>
  <c r="D1292" i="4"/>
  <c r="C1292" i="4"/>
  <c r="B1292" i="4"/>
  <c r="A1292" i="4"/>
  <c r="H1291" i="4"/>
  <c r="G1291" i="4"/>
  <c r="F1291" i="4"/>
  <c r="E1291" i="4"/>
  <c r="D1291" i="4"/>
  <c r="C1291" i="4"/>
  <c r="B1291" i="4"/>
  <c r="A1291" i="4"/>
  <c r="H1290" i="4"/>
  <c r="G1290" i="4"/>
  <c r="F1290" i="4"/>
  <c r="E1290" i="4"/>
  <c r="D1290" i="4"/>
  <c r="C1290" i="4"/>
  <c r="B1290" i="4"/>
  <c r="A1290" i="4"/>
  <c r="H1289" i="4"/>
  <c r="G1289" i="4"/>
  <c r="F1289" i="4"/>
  <c r="E1289" i="4"/>
  <c r="D1289" i="4"/>
  <c r="C1289" i="4"/>
  <c r="B1289" i="4"/>
  <c r="A1289" i="4"/>
  <c r="H1288" i="4"/>
  <c r="G1288" i="4"/>
  <c r="F1288" i="4"/>
  <c r="E1288" i="4"/>
  <c r="D1288" i="4"/>
  <c r="C1288" i="4"/>
  <c r="B1288" i="4"/>
  <c r="A1288" i="4"/>
  <c r="H1287" i="4"/>
  <c r="G1287" i="4"/>
  <c r="F1287" i="4"/>
  <c r="E1287" i="4"/>
  <c r="D1287" i="4"/>
  <c r="C1287" i="4"/>
  <c r="B1287" i="4"/>
  <c r="A1287" i="4"/>
  <c r="H1286" i="4"/>
  <c r="G1286" i="4"/>
  <c r="F1286" i="4"/>
  <c r="E1286" i="4"/>
  <c r="D1286" i="4"/>
  <c r="C1286" i="4"/>
  <c r="B1286" i="4"/>
  <c r="A1286" i="4"/>
  <c r="H1285" i="4"/>
  <c r="G1285" i="4"/>
  <c r="F1285" i="4"/>
  <c r="E1285" i="4"/>
  <c r="D1285" i="4"/>
  <c r="C1285" i="4"/>
  <c r="B1285" i="4"/>
  <c r="A1285" i="4"/>
  <c r="H1284" i="4"/>
  <c r="G1284" i="4"/>
  <c r="F1284" i="4"/>
  <c r="E1284" i="4"/>
  <c r="D1284" i="4"/>
  <c r="C1284" i="4"/>
  <c r="B1284" i="4"/>
  <c r="A1284" i="4"/>
  <c r="H1283" i="4"/>
  <c r="G1283" i="4"/>
  <c r="F1283" i="4"/>
  <c r="E1283" i="4"/>
  <c r="D1283" i="4"/>
  <c r="C1283" i="4"/>
  <c r="B1283" i="4"/>
  <c r="A1283" i="4"/>
  <c r="H1282" i="4"/>
  <c r="G1282" i="4"/>
  <c r="F1282" i="4"/>
  <c r="E1282" i="4"/>
  <c r="D1282" i="4"/>
  <c r="C1282" i="4"/>
  <c r="B1282" i="4"/>
  <c r="A1282" i="4"/>
  <c r="H1281" i="4"/>
  <c r="G1281" i="4"/>
  <c r="F1281" i="4"/>
  <c r="E1281" i="4"/>
  <c r="D1281" i="4"/>
  <c r="C1281" i="4"/>
  <c r="B1281" i="4"/>
  <c r="A1281" i="4"/>
  <c r="H1280" i="4"/>
  <c r="G1280" i="4"/>
  <c r="F1280" i="4"/>
  <c r="E1280" i="4"/>
  <c r="D1280" i="4"/>
  <c r="C1280" i="4"/>
  <c r="B1280" i="4"/>
  <c r="A1280" i="4"/>
  <c r="H1279" i="4"/>
  <c r="G1279" i="4"/>
  <c r="F1279" i="4"/>
  <c r="E1279" i="4"/>
  <c r="D1279" i="4"/>
  <c r="C1279" i="4"/>
  <c r="B1279" i="4"/>
  <c r="A1279" i="4"/>
  <c r="H1278" i="4"/>
  <c r="G1278" i="4"/>
  <c r="F1278" i="4"/>
  <c r="E1278" i="4"/>
  <c r="D1278" i="4"/>
  <c r="C1278" i="4"/>
  <c r="B1278" i="4"/>
  <c r="A1278" i="4"/>
  <c r="H1277" i="4"/>
  <c r="G1277" i="4"/>
  <c r="F1277" i="4"/>
  <c r="E1277" i="4"/>
  <c r="D1277" i="4"/>
  <c r="C1277" i="4"/>
  <c r="B1277" i="4"/>
  <c r="A1277" i="4"/>
  <c r="H1276" i="4"/>
  <c r="G1276" i="4"/>
  <c r="F1276" i="4"/>
  <c r="E1276" i="4"/>
  <c r="D1276" i="4"/>
  <c r="C1276" i="4"/>
  <c r="B1276" i="4"/>
  <c r="A1276" i="4"/>
  <c r="H1275" i="4"/>
  <c r="G1275" i="4"/>
  <c r="F1275" i="4"/>
  <c r="E1275" i="4"/>
  <c r="D1275" i="4"/>
  <c r="C1275" i="4"/>
  <c r="B1275" i="4"/>
  <c r="A1275" i="4"/>
  <c r="H1274" i="4"/>
  <c r="G1274" i="4"/>
  <c r="F1274" i="4"/>
  <c r="E1274" i="4"/>
  <c r="D1274" i="4"/>
  <c r="C1274" i="4"/>
  <c r="B1274" i="4"/>
  <c r="A1274" i="4"/>
  <c r="H1273" i="4"/>
  <c r="G1273" i="4"/>
  <c r="F1273" i="4"/>
  <c r="E1273" i="4"/>
  <c r="D1273" i="4"/>
  <c r="C1273" i="4"/>
  <c r="B1273" i="4"/>
  <c r="A1273" i="4"/>
  <c r="H1272" i="4"/>
  <c r="G1272" i="4"/>
  <c r="F1272" i="4"/>
  <c r="E1272" i="4"/>
  <c r="D1272" i="4"/>
  <c r="C1272" i="4"/>
  <c r="B1272" i="4"/>
  <c r="A1272" i="4"/>
  <c r="H1271" i="4"/>
  <c r="G1271" i="4"/>
  <c r="F1271" i="4"/>
  <c r="E1271" i="4"/>
  <c r="D1271" i="4"/>
  <c r="C1271" i="4"/>
  <c r="B1271" i="4"/>
  <c r="A1271" i="4"/>
  <c r="H1270" i="4"/>
  <c r="G1270" i="4"/>
  <c r="F1270" i="4"/>
  <c r="E1270" i="4"/>
  <c r="D1270" i="4"/>
  <c r="C1270" i="4"/>
  <c r="B1270" i="4"/>
  <c r="A1270" i="4"/>
  <c r="H1269" i="4"/>
  <c r="G1269" i="4"/>
  <c r="F1269" i="4"/>
  <c r="E1269" i="4"/>
  <c r="D1269" i="4"/>
  <c r="C1269" i="4"/>
  <c r="B1269" i="4"/>
  <c r="A1269" i="4"/>
  <c r="H1268" i="4"/>
  <c r="G1268" i="4"/>
  <c r="F1268" i="4"/>
  <c r="E1268" i="4"/>
  <c r="D1268" i="4"/>
  <c r="C1268" i="4"/>
  <c r="B1268" i="4"/>
  <c r="A1268" i="4"/>
  <c r="H1267" i="4"/>
  <c r="G1267" i="4"/>
  <c r="F1267" i="4"/>
  <c r="E1267" i="4"/>
  <c r="D1267" i="4"/>
  <c r="C1267" i="4"/>
  <c r="B1267" i="4"/>
  <c r="A1267" i="4"/>
  <c r="H1266" i="4"/>
  <c r="G1266" i="4"/>
  <c r="F1266" i="4"/>
  <c r="E1266" i="4"/>
  <c r="D1266" i="4"/>
  <c r="C1266" i="4"/>
  <c r="B1266" i="4"/>
  <c r="A1266" i="4"/>
  <c r="H1265" i="4"/>
  <c r="G1265" i="4"/>
  <c r="F1265" i="4"/>
  <c r="E1265" i="4"/>
  <c r="D1265" i="4"/>
  <c r="C1265" i="4"/>
  <c r="B1265" i="4"/>
  <c r="A1265" i="4"/>
  <c r="H1264" i="4"/>
  <c r="G1264" i="4"/>
  <c r="F1264" i="4"/>
  <c r="E1264" i="4"/>
  <c r="D1264" i="4"/>
  <c r="C1264" i="4"/>
  <c r="B1264" i="4"/>
  <c r="A1264" i="4"/>
  <c r="H1263" i="4"/>
  <c r="G1263" i="4"/>
  <c r="F1263" i="4"/>
  <c r="E1263" i="4"/>
  <c r="D1263" i="4"/>
  <c r="C1263" i="4"/>
  <c r="B1263" i="4"/>
  <c r="A1263" i="4"/>
  <c r="H1262" i="4"/>
  <c r="G1262" i="4"/>
  <c r="F1262" i="4"/>
  <c r="E1262" i="4"/>
  <c r="D1262" i="4"/>
  <c r="C1262" i="4"/>
  <c r="B1262" i="4"/>
  <c r="A1262" i="4"/>
  <c r="H1261" i="4"/>
  <c r="G1261" i="4"/>
  <c r="F1261" i="4"/>
  <c r="E1261" i="4"/>
  <c r="D1261" i="4"/>
  <c r="C1261" i="4"/>
  <c r="B1261" i="4"/>
  <c r="A1261" i="4"/>
  <c r="H1260" i="4"/>
  <c r="G1260" i="4"/>
  <c r="F1260" i="4"/>
  <c r="E1260" i="4"/>
  <c r="D1260" i="4"/>
  <c r="C1260" i="4"/>
  <c r="B1260" i="4"/>
  <c r="A1260" i="4"/>
  <c r="H1259" i="4"/>
  <c r="G1259" i="4"/>
  <c r="F1259" i="4"/>
  <c r="E1259" i="4"/>
  <c r="D1259" i="4"/>
  <c r="C1259" i="4"/>
  <c r="B1259" i="4"/>
  <c r="A1259" i="4"/>
  <c r="H1258" i="4"/>
  <c r="G1258" i="4"/>
  <c r="F1258" i="4"/>
  <c r="E1258" i="4"/>
  <c r="D1258" i="4"/>
  <c r="C1258" i="4"/>
  <c r="B1258" i="4"/>
  <c r="A1258" i="4"/>
  <c r="H1257" i="4"/>
  <c r="G1257" i="4"/>
  <c r="F1257" i="4"/>
  <c r="E1257" i="4"/>
  <c r="D1257" i="4"/>
  <c r="C1257" i="4"/>
  <c r="B1257" i="4"/>
  <c r="A1257" i="4"/>
  <c r="H1256" i="4"/>
  <c r="G1256" i="4"/>
  <c r="F1256" i="4"/>
  <c r="E1256" i="4"/>
  <c r="D1256" i="4"/>
  <c r="C1256" i="4"/>
  <c r="B1256" i="4"/>
  <c r="A1256" i="4"/>
  <c r="H1255" i="4"/>
  <c r="G1255" i="4"/>
  <c r="F1255" i="4"/>
  <c r="E1255" i="4"/>
  <c r="D1255" i="4"/>
  <c r="C1255" i="4"/>
  <c r="B1255" i="4"/>
  <c r="A1255" i="4"/>
  <c r="H1254" i="4"/>
  <c r="G1254" i="4"/>
  <c r="F1254" i="4"/>
  <c r="E1254" i="4"/>
  <c r="D1254" i="4"/>
  <c r="C1254" i="4"/>
  <c r="B1254" i="4"/>
  <c r="A1254" i="4"/>
  <c r="H1253" i="4"/>
  <c r="G1253" i="4"/>
  <c r="F1253" i="4"/>
  <c r="E1253" i="4"/>
  <c r="D1253" i="4"/>
  <c r="C1253" i="4"/>
  <c r="B1253" i="4"/>
  <c r="A1253" i="4"/>
  <c r="H1252" i="4"/>
  <c r="G1252" i="4"/>
  <c r="F1252" i="4"/>
  <c r="E1252" i="4"/>
  <c r="D1252" i="4"/>
  <c r="C1252" i="4"/>
  <c r="B1252" i="4"/>
  <c r="A1252" i="4"/>
  <c r="H1251" i="4"/>
  <c r="G1251" i="4"/>
  <c r="F1251" i="4"/>
  <c r="E1251" i="4"/>
  <c r="D1251" i="4"/>
  <c r="C1251" i="4"/>
  <c r="B1251" i="4"/>
  <c r="A1251" i="4"/>
  <c r="H1250" i="4"/>
  <c r="G1250" i="4"/>
  <c r="F1250" i="4"/>
  <c r="E1250" i="4"/>
  <c r="D1250" i="4"/>
  <c r="C1250" i="4"/>
  <c r="B1250" i="4"/>
  <c r="A1250" i="4"/>
  <c r="H1249" i="4"/>
  <c r="G1249" i="4"/>
  <c r="F1249" i="4"/>
  <c r="E1249" i="4"/>
  <c r="D1249" i="4"/>
  <c r="C1249" i="4"/>
  <c r="B1249" i="4"/>
  <c r="A1249" i="4"/>
  <c r="H1248" i="4"/>
  <c r="G1248" i="4"/>
  <c r="F1248" i="4"/>
  <c r="E1248" i="4"/>
  <c r="D1248" i="4"/>
  <c r="C1248" i="4"/>
  <c r="B1248" i="4"/>
  <c r="A1248" i="4"/>
  <c r="H1247" i="4"/>
  <c r="G1247" i="4"/>
  <c r="F1247" i="4"/>
  <c r="E1247" i="4"/>
  <c r="D1247" i="4"/>
  <c r="C1247" i="4"/>
  <c r="B1247" i="4"/>
  <c r="A1247" i="4"/>
  <c r="H1246" i="4"/>
  <c r="G1246" i="4"/>
  <c r="F1246" i="4"/>
  <c r="E1246" i="4"/>
  <c r="D1246" i="4"/>
  <c r="C1246" i="4"/>
  <c r="B1246" i="4"/>
  <c r="A1246" i="4"/>
  <c r="H1245" i="4"/>
  <c r="G1245" i="4"/>
  <c r="F1245" i="4"/>
  <c r="E1245" i="4"/>
  <c r="D1245" i="4"/>
  <c r="C1245" i="4"/>
  <c r="B1245" i="4"/>
  <c r="A1245" i="4"/>
  <c r="H1244" i="4"/>
  <c r="G1244" i="4"/>
  <c r="F1244" i="4"/>
  <c r="E1244" i="4"/>
  <c r="D1244" i="4"/>
  <c r="C1244" i="4"/>
  <c r="B1244" i="4"/>
  <c r="A1244" i="4"/>
  <c r="H1243" i="4"/>
  <c r="G1243" i="4"/>
  <c r="F1243" i="4"/>
  <c r="E1243" i="4"/>
  <c r="D1243" i="4"/>
  <c r="C1243" i="4"/>
  <c r="B1243" i="4"/>
  <c r="A1243" i="4"/>
  <c r="H1242" i="4"/>
  <c r="G1242" i="4"/>
  <c r="F1242" i="4"/>
  <c r="E1242" i="4"/>
  <c r="D1242" i="4"/>
  <c r="C1242" i="4"/>
  <c r="B1242" i="4"/>
  <c r="A1242" i="4"/>
  <c r="H1241" i="4"/>
  <c r="G1241" i="4"/>
  <c r="F1241" i="4"/>
  <c r="E1241" i="4"/>
  <c r="D1241" i="4"/>
  <c r="C1241" i="4"/>
  <c r="B1241" i="4"/>
  <c r="A1241" i="4"/>
  <c r="H1240" i="4"/>
  <c r="G1240" i="4"/>
  <c r="F1240" i="4"/>
  <c r="E1240" i="4"/>
  <c r="D1240" i="4"/>
  <c r="C1240" i="4"/>
  <c r="B1240" i="4"/>
  <c r="A1240" i="4"/>
  <c r="H1239" i="4"/>
  <c r="G1239" i="4"/>
  <c r="F1239" i="4"/>
  <c r="E1239" i="4"/>
  <c r="D1239" i="4"/>
  <c r="C1239" i="4"/>
  <c r="B1239" i="4"/>
  <c r="A1239" i="4"/>
  <c r="H1238" i="4"/>
  <c r="G1238" i="4"/>
  <c r="F1238" i="4"/>
  <c r="E1238" i="4"/>
  <c r="D1238" i="4"/>
  <c r="C1238" i="4"/>
  <c r="B1238" i="4"/>
  <c r="A1238" i="4"/>
  <c r="H1237" i="4"/>
  <c r="G1237" i="4"/>
  <c r="F1237" i="4"/>
  <c r="E1237" i="4"/>
  <c r="D1237" i="4"/>
  <c r="C1237" i="4"/>
  <c r="B1237" i="4"/>
  <c r="A1237" i="4"/>
  <c r="H1236" i="4"/>
  <c r="G1236" i="4"/>
  <c r="F1236" i="4"/>
  <c r="E1236" i="4"/>
  <c r="D1236" i="4"/>
  <c r="C1236" i="4"/>
  <c r="B1236" i="4"/>
  <c r="A1236" i="4"/>
  <c r="H1235" i="4"/>
  <c r="G1235" i="4"/>
  <c r="F1235" i="4"/>
  <c r="E1235" i="4"/>
  <c r="D1235" i="4"/>
  <c r="C1235" i="4"/>
  <c r="B1235" i="4"/>
  <c r="A1235" i="4"/>
  <c r="H1234" i="4"/>
  <c r="G1234" i="4"/>
  <c r="F1234" i="4"/>
  <c r="E1234" i="4"/>
  <c r="D1234" i="4"/>
  <c r="C1234" i="4"/>
  <c r="B1234" i="4"/>
  <c r="A1234" i="4"/>
  <c r="H1233" i="4"/>
  <c r="G1233" i="4"/>
  <c r="F1233" i="4"/>
  <c r="E1233" i="4"/>
  <c r="D1233" i="4"/>
  <c r="C1233" i="4"/>
  <c r="B1233" i="4"/>
  <c r="A1233" i="4"/>
  <c r="H1232" i="4"/>
  <c r="G1232" i="4"/>
  <c r="F1232" i="4"/>
  <c r="E1232" i="4"/>
  <c r="D1232" i="4"/>
  <c r="C1232" i="4"/>
  <c r="B1232" i="4"/>
  <c r="A1232" i="4"/>
  <c r="H1231" i="4"/>
  <c r="G1231" i="4"/>
  <c r="F1231" i="4"/>
  <c r="E1231" i="4"/>
  <c r="D1231" i="4"/>
  <c r="C1231" i="4"/>
  <c r="B1231" i="4"/>
  <c r="A1231" i="4"/>
  <c r="H1230" i="4"/>
  <c r="G1230" i="4"/>
  <c r="F1230" i="4"/>
  <c r="E1230" i="4"/>
  <c r="D1230" i="4"/>
  <c r="C1230" i="4"/>
  <c r="B1230" i="4"/>
  <c r="A1230" i="4"/>
  <c r="H1229" i="4"/>
  <c r="G1229" i="4"/>
  <c r="F1229" i="4"/>
  <c r="E1229" i="4"/>
  <c r="D1229" i="4"/>
  <c r="C1229" i="4"/>
  <c r="B1229" i="4"/>
  <c r="A1229" i="4"/>
  <c r="H1228" i="4"/>
  <c r="G1228" i="4"/>
  <c r="F1228" i="4"/>
  <c r="E1228" i="4"/>
  <c r="D1228" i="4"/>
  <c r="C1228" i="4"/>
  <c r="B1228" i="4"/>
  <c r="A1228" i="4"/>
  <c r="H1227" i="4"/>
  <c r="G1227" i="4"/>
  <c r="F1227" i="4"/>
  <c r="E1227" i="4"/>
  <c r="D1227" i="4"/>
  <c r="C1227" i="4"/>
  <c r="B1227" i="4"/>
  <c r="A1227" i="4"/>
  <c r="H1226" i="4"/>
  <c r="G1226" i="4"/>
  <c r="F1226" i="4"/>
  <c r="E1226" i="4"/>
  <c r="D1226" i="4"/>
  <c r="C1226" i="4"/>
  <c r="B1226" i="4"/>
  <c r="A1226" i="4"/>
  <c r="H1225" i="4"/>
  <c r="G1225" i="4"/>
  <c r="F1225" i="4"/>
  <c r="E1225" i="4"/>
  <c r="D1225" i="4"/>
  <c r="C1225" i="4"/>
  <c r="B1225" i="4"/>
  <c r="A1225" i="4"/>
  <c r="H1224" i="4"/>
  <c r="G1224" i="4"/>
  <c r="F1224" i="4"/>
  <c r="E1224" i="4"/>
  <c r="D1224" i="4"/>
  <c r="C1224" i="4"/>
  <c r="B1224" i="4"/>
  <c r="A1224" i="4"/>
  <c r="H1223" i="4"/>
  <c r="G1223" i="4"/>
  <c r="F1223" i="4"/>
  <c r="E1223" i="4"/>
  <c r="D1223" i="4"/>
  <c r="C1223" i="4"/>
  <c r="B1223" i="4"/>
  <c r="A1223" i="4"/>
  <c r="H1222" i="4"/>
  <c r="G1222" i="4"/>
  <c r="F1222" i="4"/>
  <c r="E1222" i="4"/>
  <c r="D1222" i="4"/>
  <c r="C1222" i="4"/>
  <c r="B1222" i="4"/>
  <c r="A1222" i="4"/>
  <c r="H1221" i="4"/>
  <c r="G1221" i="4"/>
  <c r="F1221" i="4"/>
  <c r="E1221" i="4"/>
  <c r="D1221" i="4"/>
  <c r="C1221" i="4"/>
  <c r="B1221" i="4"/>
  <c r="A1221" i="4"/>
  <c r="H1220" i="4"/>
  <c r="G1220" i="4"/>
  <c r="F1220" i="4"/>
  <c r="E1220" i="4"/>
  <c r="D1220" i="4"/>
  <c r="C1220" i="4"/>
  <c r="B1220" i="4"/>
  <c r="A1220" i="4"/>
  <c r="H1219" i="4"/>
  <c r="G1219" i="4"/>
  <c r="F1219" i="4"/>
  <c r="E1219" i="4"/>
  <c r="D1219" i="4"/>
  <c r="C1219" i="4"/>
  <c r="B1219" i="4"/>
  <c r="A1219" i="4"/>
  <c r="H1218" i="4"/>
  <c r="G1218" i="4"/>
  <c r="F1218" i="4"/>
  <c r="E1218" i="4"/>
  <c r="D1218" i="4"/>
  <c r="C1218" i="4"/>
  <c r="B1218" i="4"/>
  <c r="A1218" i="4"/>
  <c r="H1217" i="4"/>
  <c r="G1217" i="4"/>
  <c r="F1217" i="4"/>
  <c r="E1217" i="4"/>
  <c r="D1217" i="4"/>
  <c r="C1217" i="4"/>
  <c r="B1217" i="4"/>
  <c r="A1217" i="4"/>
  <c r="H1216" i="4"/>
  <c r="G1216" i="4"/>
  <c r="F1216" i="4"/>
  <c r="E1216" i="4"/>
  <c r="D1216" i="4"/>
  <c r="C1216" i="4"/>
  <c r="B1216" i="4"/>
  <c r="A1216" i="4"/>
  <c r="H1215" i="4"/>
  <c r="G1215" i="4"/>
  <c r="F1215" i="4"/>
  <c r="E1215" i="4"/>
  <c r="D1215" i="4"/>
  <c r="C1215" i="4"/>
  <c r="B1215" i="4"/>
  <c r="A1215" i="4"/>
  <c r="H1214" i="4"/>
  <c r="G1214" i="4"/>
  <c r="F1214" i="4"/>
  <c r="E1214" i="4"/>
  <c r="D1214" i="4"/>
  <c r="C1214" i="4"/>
  <c r="B1214" i="4"/>
  <c r="A1214" i="4"/>
  <c r="H1213" i="4"/>
  <c r="G1213" i="4"/>
  <c r="F1213" i="4"/>
  <c r="E1213" i="4"/>
  <c r="D1213" i="4"/>
  <c r="C1213" i="4"/>
  <c r="B1213" i="4"/>
  <c r="A1213" i="4"/>
  <c r="H1212" i="4"/>
  <c r="G1212" i="4"/>
  <c r="F1212" i="4"/>
  <c r="E1212" i="4"/>
  <c r="D1212" i="4"/>
  <c r="C1212" i="4"/>
  <c r="B1212" i="4"/>
  <c r="A1212" i="4"/>
  <c r="H1211" i="4"/>
  <c r="G1211" i="4"/>
  <c r="F1211" i="4"/>
  <c r="E1211" i="4"/>
  <c r="D1211" i="4"/>
  <c r="C1211" i="4"/>
  <c r="B1211" i="4"/>
  <c r="A1211" i="4"/>
  <c r="H1210" i="4"/>
  <c r="G1210" i="4"/>
  <c r="F1210" i="4"/>
  <c r="E1210" i="4"/>
  <c r="D1210" i="4"/>
  <c r="C1210" i="4"/>
  <c r="B1210" i="4"/>
  <c r="A1210" i="4"/>
  <c r="H1209" i="4"/>
  <c r="G1209" i="4"/>
  <c r="F1209" i="4"/>
  <c r="E1209" i="4"/>
  <c r="D1209" i="4"/>
  <c r="C1209" i="4"/>
  <c r="B1209" i="4"/>
  <c r="A1209" i="4"/>
  <c r="H1208" i="4"/>
  <c r="G1208" i="4"/>
  <c r="F1208" i="4"/>
  <c r="E1208" i="4"/>
  <c r="D1208" i="4"/>
  <c r="C1208" i="4"/>
  <c r="B1208" i="4"/>
  <c r="A1208" i="4"/>
  <c r="H1207" i="4"/>
  <c r="G1207" i="4"/>
  <c r="F1207" i="4"/>
  <c r="E1207" i="4"/>
  <c r="D1207" i="4"/>
  <c r="C1207" i="4"/>
  <c r="B1207" i="4"/>
  <c r="A1207" i="4"/>
  <c r="H1206" i="4"/>
  <c r="G1206" i="4"/>
  <c r="F1206" i="4"/>
  <c r="E1206" i="4"/>
  <c r="D1206" i="4"/>
  <c r="C1206" i="4"/>
  <c r="B1206" i="4"/>
  <c r="A1206" i="4"/>
  <c r="H1205" i="4"/>
  <c r="G1205" i="4"/>
  <c r="F1205" i="4"/>
  <c r="E1205" i="4"/>
  <c r="D1205" i="4"/>
  <c r="C1205" i="4"/>
  <c r="B1205" i="4"/>
  <c r="A1205" i="4"/>
  <c r="H1204" i="4"/>
  <c r="G1204" i="4"/>
  <c r="F1204" i="4"/>
  <c r="E1204" i="4"/>
  <c r="D1204" i="4"/>
  <c r="C1204" i="4"/>
  <c r="B1204" i="4"/>
  <c r="A1204" i="4"/>
  <c r="H1203" i="4"/>
  <c r="G1203" i="4"/>
  <c r="F1203" i="4"/>
  <c r="E1203" i="4"/>
  <c r="D1203" i="4"/>
  <c r="C1203" i="4"/>
  <c r="B1203" i="4"/>
  <c r="A1203" i="4"/>
  <c r="H1202" i="4"/>
  <c r="G1202" i="4"/>
  <c r="F1202" i="4"/>
  <c r="E1202" i="4"/>
  <c r="D1202" i="4"/>
  <c r="C1202" i="4"/>
  <c r="B1202" i="4"/>
  <c r="A1202" i="4"/>
  <c r="H1201" i="4"/>
  <c r="G1201" i="4"/>
  <c r="F1201" i="4"/>
  <c r="E1201" i="4"/>
  <c r="D1201" i="4"/>
  <c r="C1201" i="4"/>
  <c r="B1201" i="4"/>
  <c r="A1201" i="4"/>
  <c r="H1200" i="4"/>
  <c r="G1200" i="4"/>
  <c r="F1200" i="4"/>
  <c r="E1200" i="4"/>
  <c r="D1200" i="4"/>
  <c r="C1200" i="4"/>
  <c r="B1200" i="4"/>
  <c r="A1200" i="4"/>
  <c r="H1199" i="4"/>
  <c r="G1199" i="4"/>
  <c r="F1199" i="4"/>
  <c r="E1199" i="4"/>
  <c r="D1199" i="4"/>
  <c r="C1199" i="4"/>
  <c r="B1199" i="4"/>
  <c r="A1199" i="4"/>
  <c r="H1198" i="4"/>
  <c r="G1198" i="4"/>
  <c r="F1198" i="4"/>
  <c r="E1198" i="4"/>
  <c r="D1198" i="4"/>
  <c r="C1198" i="4"/>
  <c r="B1198" i="4"/>
  <c r="A1198" i="4"/>
  <c r="H1197" i="4"/>
  <c r="G1197" i="4"/>
  <c r="F1197" i="4"/>
  <c r="E1197" i="4"/>
  <c r="D1197" i="4"/>
  <c r="C1197" i="4"/>
  <c r="B1197" i="4"/>
  <c r="A1197" i="4"/>
  <c r="H1196" i="4"/>
  <c r="G1196" i="4"/>
  <c r="F1196" i="4"/>
  <c r="E1196" i="4"/>
  <c r="D1196" i="4"/>
  <c r="C1196" i="4"/>
  <c r="B1196" i="4"/>
  <c r="A1196" i="4"/>
  <c r="H1195" i="4"/>
  <c r="G1195" i="4"/>
  <c r="F1195" i="4"/>
  <c r="E1195" i="4"/>
  <c r="D1195" i="4"/>
  <c r="C1195" i="4"/>
  <c r="B1195" i="4"/>
  <c r="A1195" i="4"/>
  <c r="H1194" i="4"/>
  <c r="G1194" i="4"/>
  <c r="F1194" i="4"/>
  <c r="E1194" i="4"/>
  <c r="D1194" i="4"/>
  <c r="C1194" i="4"/>
  <c r="B1194" i="4"/>
  <c r="A1194" i="4"/>
  <c r="H1193" i="4"/>
  <c r="G1193" i="4"/>
  <c r="F1193" i="4"/>
  <c r="E1193" i="4"/>
  <c r="D1193" i="4"/>
  <c r="C1193" i="4"/>
  <c r="B1193" i="4"/>
  <c r="A1193" i="4"/>
  <c r="H1192" i="4"/>
  <c r="G1192" i="4"/>
  <c r="F1192" i="4"/>
  <c r="E1192" i="4"/>
  <c r="D1192" i="4"/>
  <c r="C1192" i="4"/>
  <c r="B1192" i="4"/>
  <c r="A1192" i="4"/>
  <c r="H1191" i="4"/>
  <c r="G1191" i="4"/>
  <c r="F1191" i="4"/>
  <c r="E1191" i="4"/>
  <c r="D1191" i="4"/>
  <c r="C1191" i="4"/>
  <c r="B1191" i="4"/>
  <c r="A1191" i="4"/>
  <c r="H1190" i="4"/>
  <c r="G1190" i="4"/>
  <c r="F1190" i="4"/>
  <c r="E1190" i="4"/>
  <c r="D1190" i="4"/>
  <c r="C1190" i="4"/>
  <c r="B1190" i="4"/>
  <c r="A1190" i="4"/>
  <c r="H1189" i="4"/>
  <c r="G1189" i="4"/>
  <c r="F1189" i="4"/>
  <c r="E1189" i="4"/>
  <c r="D1189" i="4"/>
  <c r="C1189" i="4"/>
  <c r="B1189" i="4"/>
  <c r="A1189" i="4"/>
  <c r="H1188" i="4"/>
  <c r="G1188" i="4"/>
  <c r="F1188" i="4"/>
  <c r="E1188" i="4"/>
  <c r="D1188" i="4"/>
  <c r="C1188" i="4"/>
  <c r="B1188" i="4"/>
  <c r="A1188" i="4"/>
  <c r="H1187" i="4"/>
  <c r="G1187" i="4"/>
  <c r="F1187" i="4"/>
  <c r="E1187" i="4"/>
  <c r="D1187" i="4"/>
  <c r="C1187" i="4"/>
  <c r="B1187" i="4"/>
  <c r="A1187" i="4"/>
  <c r="H1186" i="4"/>
  <c r="G1186" i="4"/>
  <c r="F1186" i="4"/>
  <c r="E1186" i="4"/>
  <c r="D1186" i="4"/>
  <c r="C1186" i="4"/>
  <c r="B1186" i="4"/>
  <c r="A1186" i="4"/>
  <c r="H1185" i="4"/>
  <c r="G1185" i="4"/>
  <c r="F1185" i="4"/>
  <c r="E1185" i="4"/>
  <c r="D1185" i="4"/>
  <c r="C1185" i="4"/>
  <c r="B1185" i="4"/>
  <c r="A1185" i="4"/>
  <c r="H1184" i="4"/>
  <c r="G1184" i="4"/>
  <c r="F1184" i="4"/>
  <c r="E1184" i="4"/>
  <c r="D1184" i="4"/>
  <c r="C1184" i="4"/>
  <c r="B1184" i="4"/>
  <c r="A1184" i="4"/>
  <c r="H1183" i="4"/>
  <c r="G1183" i="4"/>
  <c r="F1183" i="4"/>
  <c r="E1183" i="4"/>
  <c r="D1183" i="4"/>
  <c r="C1183" i="4"/>
  <c r="B1183" i="4"/>
  <c r="A1183" i="4"/>
  <c r="H1182" i="4"/>
  <c r="G1182" i="4"/>
  <c r="F1182" i="4"/>
  <c r="E1182" i="4"/>
  <c r="D1182" i="4"/>
  <c r="C1182" i="4"/>
  <c r="B1182" i="4"/>
  <c r="A1182" i="4"/>
  <c r="H1181" i="4"/>
  <c r="G1181" i="4"/>
  <c r="F1181" i="4"/>
  <c r="E1181" i="4"/>
  <c r="D1181" i="4"/>
  <c r="C1181" i="4"/>
  <c r="B1181" i="4"/>
  <c r="A1181" i="4"/>
  <c r="H1180" i="4"/>
  <c r="G1180" i="4"/>
  <c r="F1180" i="4"/>
  <c r="E1180" i="4"/>
  <c r="D1180" i="4"/>
  <c r="C1180" i="4"/>
  <c r="B1180" i="4"/>
  <c r="A1180" i="4"/>
  <c r="H1179" i="4"/>
  <c r="G1179" i="4"/>
  <c r="F1179" i="4"/>
  <c r="E1179" i="4"/>
  <c r="D1179" i="4"/>
  <c r="C1179" i="4"/>
  <c r="B1179" i="4"/>
  <c r="A1179" i="4"/>
  <c r="H1178" i="4"/>
  <c r="G1178" i="4"/>
  <c r="F1178" i="4"/>
  <c r="E1178" i="4"/>
  <c r="D1178" i="4"/>
  <c r="C1178" i="4"/>
  <c r="B1178" i="4"/>
  <c r="A1178" i="4"/>
  <c r="H1177" i="4"/>
  <c r="G1177" i="4"/>
  <c r="F1177" i="4"/>
  <c r="E1177" i="4"/>
  <c r="D1177" i="4"/>
  <c r="C1177" i="4"/>
  <c r="B1177" i="4"/>
  <c r="A1177" i="4"/>
  <c r="H1176" i="4"/>
  <c r="G1176" i="4"/>
  <c r="F1176" i="4"/>
  <c r="E1176" i="4"/>
  <c r="D1176" i="4"/>
  <c r="C1176" i="4"/>
  <c r="B1176" i="4"/>
  <c r="A1176" i="4"/>
  <c r="H1175" i="4"/>
  <c r="G1175" i="4"/>
  <c r="F1175" i="4"/>
  <c r="E1175" i="4"/>
  <c r="D1175" i="4"/>
  <c r="C1175" i="4"/>
  <c r="B1175" i="4"/>
  <c r="A1175" i="4"/>
  <c r="H1174" i="4"/>
  <c r="G1174" i="4"/>
  <c r="F1174" i="4"/>
  <c r="E1174" i="4"/>
  <c r="D1174" i="4"/>
  <c r="C1174" i="4"/>
  <c r="B1174" i="4"/>
  <c r="A1174" i="4"/>
  <c r="H1173" i="4"/>
  <c r="G1173" i="4"/>
  <c r="F1173" i="4"/>
  <c r="E1173" i="4"/>
  <c r="D1173" i="4"/>
  <c r="C1173" i="4"/>
  <c r="B1173" i="4"/>
  <c r="A1173" i="4"/>
  <c r="H1172" i="4"/>
  <c r="G1172" i="4"/>
  <c r="F1172" i="4"/>
  <c r="E1172" i="4"/>
  <c r="D1172" i="4"/>
  <c r="C1172" i="4"/>
  <c r="B1172" i="4"/>
  <c r="A1172" i="4"/>
  <c r="H1171" i="4"/>
  <c r="G1171" i="4"/>
  <c r="F1171" i="4"/>
  <c r="E1171" i="4"/>
  <c r="D1171" i="4"/>
  <c r="C1171" i="4"/>
  <c r="B1171" i="4"/>
  <c r="A1171" i="4"/>
  <c r="H1170" i="4"/>
  <c r="G1170" i="4"/>
  <c r="F1170" i="4"/>
  <c r="E1170" i="4"/>
  <c r="D1170" i="4"/>
  <c r="C1170" i="4"/>
  <c r="B1170" i="4"/>
  <c r="A1170" i="4"/>
  <c r="H1169" i="4"/>
  <c r="G1169" i="4"/>
  <c r="F1169" i="4"/>
  <c r="E1169" i="4"/>
  <c r="D1169" i="4"/>
  <c r="C1169" i="4"/>
  <c r="B1169" i="4"/>
  <c r="A1169" i="4"/>
  <c r="H1168" i="4"/>
  <c r="G1168" i="4"/>
  <c r="F1168" i="4"/>
  <c r="E1168" i="4"/>
  <c r="D1168" i="4"/>
  <c r="C1168" i="4"/>
  <c r="B1168" i="4"/>
  <c r="A1168" i="4"/>
  <c r="H1167" i="4"/>
  <c r="G1167" i="4"/>
  <c r="F1167" i="4"/>
  <c r="E1167" i="4"/>
  <c r="D1167" i="4"/>
  <c r="C1167" i="4"/>
  <c r="B1167" i="4"/>
  <c r="A1167" i="4"/>
  <c r="H1166" i="4"/>
  <c r="G1166" i="4"/>
  <c r="F1166" i="4"/>
  <c r="E1166" i="4"/>
  <c r="D1166" i="4"/>
  <c r="C1166" i="4"/>
  <c r="B1166" i="4"/>
  <c r="A1166" i="4"/>
  <c r="H1165" i="4"/>
  <c r="G1165" i="4"/>
  <c r="F1165" i="4"/>
  <c r="E1165" i="4"/>
  <c r="D1165" i="4"/>
  <c r="C1165" i="4"/>
  <c r="B1165" i="4"/>
  <c r="A1165" i="4"/>
  <c r="H1164" i="4"/>
  <c r="G1164" i="4"/>
  <c r="F1164" i="4"/>
  <c r="E1164" i="4"/>
  <c r="D1164" i="4"/>
  <c r="C1164" i="4"/>
  <c r="B1164" i="4"/>
  <c r="A1164" i="4"/>
  <c r="H1163" i="4"/>
  <c r="G1163" i="4"/>
  <c r="F1163" i="4"/>
  <c r="E1163" i="4"/>
  <c r="D1163" i="4"/>
  <c r="C1163" i="4"/>
  <c r="B1163" i="4"/>
  <c r="A1163" i="4"/>
  <c r="H1162" i="4"/>
  <c r="G1162" i="4"/>
  <c r="F1162" i="4"/>
  <c r="E1162" i="4"/>
  <c r="D1162" i="4"/>
  <c r="C1162" i="4"/>
  <c r="B1162" i="4"/>
  <c r="A1162" i="4"/>
  <c r="H1161" i="4"/>
  <c r="G1161" i="4"/>
  <c r="F1161" i="4"/>
  <c r="E1161" i="4"/>
  <c r="D1161" i="4"/>
  <c r="C1161" i="4"/>
  <c r="B1161" i="4"/>
  <c r="A1161" i="4"/>
  <c r="H1160" i="4"/>
  <c r="G1160" i="4"/>
  <c r="F1160" i="4"/>
  <c r="E1160" i="4"/>
  <c r="D1160" i="4"/>
  <c r="C1160" i="4"/>
  <c r="B1160" i="4"/>
  <c r="A1160" i="4"/>
  <c r="H1159" i="4"/>
  <c r="G1159" i="4"/>
  <c r="F1159" i="4"/>
  <c r="E1159" i="4"/>
  <c r="D1159" i="4"/>
  <c r="C1159" i="4"/>
  <c r="B1159" i="4"/>
  <c r="A1159" i="4"/>
  <c r="H1158" i="4"/>
  <c r="G1158" i="4"/>
  <c r="F1158" i="4"/>
  <c r="E1158" i="4"/>
  <c r="D1158" i="4"/>
  <c r="C1158" i="4"/>
  <c r="B1158" i="4"/>
  <c r="A1158" i="4"/>
  <c r="H1157" i="4"/>
  <c r="G1157" i="4"/>
  <c r="F1157" i="4"/>
  <c r="E1157" i="4"/>
  <c r="D1157" i="4"/>
  <c r="C1157" i="4"/>
  <c r="B1157" i="4"/>
  <c r="A1157" i="4"/>
  <c r="H1156" i="4"/>
  <c r="G1156" i="4"/>
  <c r="F1156" i="4"/>
  <c r="E1156" i="4"/>
  <c r="D1156" i="4"/>
  <c r="C1156" i="4"/>
  <c r="B1156" i="4"/>
  <c r="A1156" i="4"/>
  <c r="H1155" i="4"/>
  <c r="G1155" i="4"/>
  <c r="F1155" i="4"/>
  <c r="E1155" i="4"/>
  <c r="D1155" i="4"/>
  <c r="C1155" i="4"/>
  <c r="B1155" i="4"/>
  <c r="A1155" i="4"/>
  <c r="H1154" i="4"/>
  <c r="G1154" i="4"/>
  <c r="F1154" i="4"/>
  <c r="E1154" i="4"/>
  <c r="D1154" i="4"/>
  <c r="C1154" i="4"/>
  <c r="B1154" i="4"/>
  <c r="A1154" i="4"/>
  <c r="H1153" i="4"/>
  <c r="G1153" i="4"/>
  <c r="F1153" i="4"/>
  <c r="E1153" i="4"/>
  <c r="D1153" i="4"/>
  <c r="C1153" i="4"/>
  <c r="B1153" i="4"/>
  <c r="A1153" i="4"/>
  <c r="H1152" i="4"/>
  <c r="G1152" i="4"/>
  <c r="F1152" i="4"/>
  <c r="E1152" i="4"/>
  <c r="D1152" i="4"/>
  <c r="C1152" i="4"/>
  <c r="B1152" i="4"/>
  <c r="A1152" i="4"/>
  <c r="H1151" i="4"/>
  <c r="G1151" i="4"/>
  <c r="F1151" i="4"/>
  <c r="E1151" i="4"/>
  <c r="D1151" i="4"/>
  <c r="C1151" i="4"/>
  <c r="B1151" i="4"/>
  <c r="A1151" i="4"/>
  <c r="H1150" i="4"/>
  <c r="G1150" i="4"/>
  <c r="F1150" i="4"/>
  <c r="E1150" i="4"/>
  <c r="D1150" i="4"/>
  <c r="C1150" i="4"/>
  <c r="B1150" i="4"/>
  <c r="A1150" i="4"/>
  <c r="H1149" i="4"/>
  <c r="G1149" i="4"/>
  <c r="F1149" i="4"/>
  <c r="E1149" i="4"/>
  <c r="D1149" i="4"/>
  <c r="C1149" i="4"/>
  <c r="B1149" i="4"/>
  <c r="A1149" i="4"/>
  <c r="H1148" i="4"/>
  <c r="G1148" i="4"/>
  <c r="F1148" i="4"/>
  <c r="E1148" i="4"/>
  <c r="D1148" i="4"/>
  <c r="C1148" i="4"/>
  <c r="B1148" i="4"/>
  <c r="A1148" i="4"/>
  <c r="H1147" i="4"/>
  <c r="G1147" i="4"/>
  <c r="F1147" i="4"/>
  <c r="E1147" i="4"/>
  <c r="D1147" i="4"/>
  <c r="C1147" i="4"/>
  <c r="B1147" i="4"/>
  <c r="A1147" i="4"/>
  <c r="H1146" i="4"/>
  <c r="G1146" i="4"/>
  <c r="F1146" i="4"/>
  <c r="E1146" i="4"/>
  <c r="D1146" i="4"/>
  <c r="C1146" i="4"/>
  <c r="B1146" i="4"/>
  <c r="A1146" i="4"/>
  <c r="H1145" i="4"/>
  <c r="G1145" i="4"/>
  <c r="F1145" i="4"/>
  <c r="E1145" i="4"/>
  <c r="D1145" i="4"/>
  <c r="C1145" i="4"/>
  <c r="B1145" i="4"/>
  <c r="A1145" i="4"/>
  <c r="H1144" i="4"/>
  <c r="G1144" i="4"/>
  <c r="F1144" i="4"/>
  <c r="E1144" i="4"/>
  <c r="D1144" i="4"/>
  <c r="C1144" i="4"/>
  <c r="B1144" i="4"/>
  <c r="A1144" i="4"/>
  <c r="H1143" i="4"/>
  <c r="G1143" i="4"/>
  <c r="F1143" i="4"/>
  <c r="E1143" i="4"/>
  <c r="D1143" i="4"/>
  <c r="C1143" i="4"/>
  <c r="B1143" i="4"/>
  <c r="A1143" i="4"/>
  <c r="H1142" i="4"/>
  <c r="G1142" i="4"/>
  <c r="F1142" i="4"/>
  <c r="E1142" i="4"/>
  <c r="D1142" i="4"/>
  <c r="C1142" i="4"/>
  <c r="B1142" i="4"/>
  <c r="A1142" i="4"/>
  <c r="H1141" i="4"/>
  <c r="G1141" i="4"/>
  <c r="F1141" i="4"/>
  <c r="E1141" i="4"/>
  <c r="D1141" i="4"/>
  <c r="C1141" i="4"/>
  <c r="B1141" i="4"/>
  <c r="A1141" i="4"/>
  <c r="H1140" i="4"/>
  <c r="G1140" i="4"/>
  <c r="F1140" i="4"/>
  <c r="E1140" i="4"/>
  <c r="D1140" i="4"/>
  <c r="C1140" i="4"/>
  <c r="B1140" i="4"/>
  <c r="A1140" i="4"/>
  <c r="H1139" i="4"/>
  <c r="G1139" i="4"/>
  <c r="F1139" i="4"/>
  <c r="E1139" i="4"/>
  <c r="D1139" i="4"/>
  <c r="C1139" i="4"/>
  <c r="B1139" i="4"/>
  <c r="A1139" i="4"/>
  <c r="H1138" i="4"/>
  <c r="G1138" i="4"/>
  <c r="F1138" i="4"/>
  <c r="E1138" i="4"/>
  <c r="D1138" i="4"/>
  <c r="C1138" i="4"/>
  <c r="B1138" i="4"/>
  <c r="A1138" i="4"/>
  <c r="H1137" i="4"/>
  <c r="G1137" i="4"/>
  <c r="F1137" i="4"/>
  <c r="E1137" i="4"/>
  <c r="D1137" i="4"/>
  <c r="C1137" i="4"/>
  <c r="B1137" i="4"/>
  <c r="A1137" i="4"/>
  <c r="H1136" i="4"/>
  <c r="G1136" i="4"/>
  <c r="F1136" i="4"/>
  <c r="E1136" i="4"/>
  <c r="D1136" i="4"/>
  <c r="C1136" i="4"/>
  <c r="B1136" i="4"/>
  <c r="A1136" i="4"/>
  <c r="H1135" i="4"/>
  <c r="G1135" i="4"/>
  <c r="F1135" i="4"/>
  <c r="E1135" i="4"/>
  <c r="D1135" i="4"/>
  <c r="C1135" i="4"/>
  <c r="B1135" i="4"/>
  <c r="A1135" i="4"/>
  <c r="H1134" i="4"/>
  <c r="G1134" i="4"/>
  <c r="F1134" i="4"/>
  <c r="E1134" i="4"/>
  <c r="D1134" i="4"/>
  <c r="C1134" i="4"/>
  <c r="B1134" i="4"/>
  <c r="A1134" i="4"/>
  <c r="H1133" i="4"/>
  <c r="G1133" i="4"/>
  <c r="F1133" i="4"/>
  <c r="E1133" i="4"/>
  <c r="D1133" i="4"/>
  <c r="C1133" i="4"/>
  <c r="B1133" i="4"/>
  <c r="A1133" i="4"/>
  <c r="H1132" i="4"/>
  <c r="G1132" i="4"/>
  <c r="F1132" i="4"/>
  <c r="E1132" i="4"/>
  <c r="D1132" i="4"/>
  <c r="C1132" i="4"/>
  <c r="B1132" i="4"/>
  <c r="A1132" i="4"/>
  <c r="H1131" i="4"/>
  <c r="G1131" i="4"/>
  <c r="F1131" i="4"/>
  <c r="E1131" i="4"/>
  <c r="D1131" i="4"/>
  <c r="C1131" i="4"/>
  <c r="B1131" i="4"/>
  <c r="A1131" i="4"/>
  <c r="H1130" i="4"/>
  <c r="G1130" i="4"/>
  <c r="F1130" i="4"/>
  <c r="E1130" i="4"/>
  <c r="D1130" i="4"/>
  <c r="C1130" i="4"/>
  <c r="B1130" i="4"/>
  <c r="A1130" i="4"/>
  <c r="H1129" i="4"/>
  <c r="G1129" i="4"/>
  <c r="F1129" i="4"/>
  <c r="E1129" i="4"/>
  <c r="D1129" i="4"/>
  <c r="C1129" i="4"/>
  <c r="B1129" i="4"/>
  <c r="A1129" i="4"/>
  <c r="H1128" i="4"/>
  <c r="G1128" i="4"/>
  <c r="F1128" i="4"/>
  <c r="E1128" i="4"/>
  <c r="D1128" i="4"/>
  <c r="C1128" i="4"/>
  <c r="B1128" i="4"/>
  <c r="A1128" i="4"/>
  <c r="H1127" i="4"/>
  <c r="G1127" i="4"/>
  <c r="F1127" i="4"/>
  <c r="E1127" i="4"/>
  <c r="D1127" i="4"/>
  <c r="C1127" i="4"/>
  <c r="B1127" i="4"/>
  <c r="A1127" i="4"/>
  <c r="H1126" i="4"/>
  <c r="G1126" i="4"/>
  <c r="F1126" i="4"/>
  <c r="E1126" i="4"/>
  <c r="D1126" i="4"/>
  <c r="C1126" i="4"/>
  <c r="B1126" i="4"/>
  <c r="A1126" i="4"/>
  <c r="H1125" i="4"/>
  <c r="G1125" i="4"/>
  <c r="F1125" i="4"/>
  <c r="E1125" i="4"/>
  <c r="D1125" i="4"/>
  <c r="C1125" i="4"/>
  <c r="B1125" i="4"/>
  <c r="A1125" i="4"/>
  <c r="H1124" i="4"/>
  <c r="G1124" i="4"/>
  <c r="F1124" i="4"/>
  <c r="E1124" i="4"/>
  <c r="D1124" i="4"/>
  <c r="C1124" i="4"/>
  <c r="B1124" i="4"/>
  <c r="A1124" i="4"/>
  <c r="H1123" i="4"/>
  <c r="G1123" i="4"/>
  <c r="F1123" i="4"/>
  <c r="E1123" i="4"/>
  <c r="D1123" i="4"/>
  <c r="C1123" i="4"/>
  <c r="B1123" i="4"/>
  <c r="A1123" i="4"/>
  <c r="H1122" i="4"/>
  <c r="G1122" i="4"/>
  <c r="F1122" i="4"/>
  <c r="E1122" i="4"/>
  <c r="D1122" i="4"/>
  <c r="C1122" i="4"/>
  <c r="B1122" i="4"/>
  <c r="A1122" i="4"/>
  <c r="H1121" i="4"/>
  <c r="G1121" i="4"/>
  <c r="F1121" i="4"/>
  <c r="E1121" i="4"/>
  <c r="D1121" i="4"/>
  <c r="C1121" i="4"/>
  <c r="B1121" i="4"/>
  <c r="A1121" i="4"/>
  <c r="H1120" i="4"/>
  <c r="G1120" i="4"/>
  <c r="F1120" i="4"/>
  <c r="E1120" i="4"/>
  <c r="D1120" i="4"/>
  <c r="C1120" i="4"/>
  <c r="B1120" i="4"/>
  <c r="A1120" i="4"/>
  <c r="H1119" i="4"/>
  <c r="G1119" i="4"/>
  <c r="F1119" i="4"/>
  <c r="E1119" i="4"/>
  <c r="D1119" i="4"/>
  <c r="C1119" i="4"/>
  <c r="B1119" i="4"/>
  <c r="A1119" i="4"/>
  <c r="H1118" i="4"/>
  <c r="G1118" i="4"/>
  <c r="F1118" i="4"/>
  <c r="E1118" i="4"/>
  <c r="D1118" i="4"/>
  <c r="C1118" i="4"/>
  <c r="B1118" i="4"/>
  <c r="A1118" i="4"/>
  <c r="H1117" i="4"/>
  <c r="G1117" i="4"/>
  <c r="F1117" i="4"/>
  <c r="E1117" i="4"/>
  <c r="D1117" i="4"/>
  <c r="C1117" i="4"/>
  <c r="B1117" i="4"/>
  <c r="A1117" i="4"/>
  <c r="H1116" i="4"/>
  <c r="G1116" i="4"/>
  <c r="F1116" i="4"/>
  <c r="E1116" i="4"/>
  <c r="D1116" i="4"/>
  <c r="C1116" i="4"/>
  <c r="B1116" i="4"/>
  <c r="A1116" i="4"/>
  <c r="H1115" i="4"/>
  <c r="G1115" i="4"/>
  <c r="F1115" i="4"/>
  <c r="E1115" i="4"/>
  <c r="D1115" i="4"/>
  <c r="C1115" i="4"/>
  <c r="B1115" i="4"/>
  <c r="A1115" i="4"/>
  <c r="H1114" i="4"/>
  <c r="G1114" i="4"/>
  <c r="F1114" i="4"/>
  <c r="E1114" i="4"/>
  <c r="D1114" i="4"/>
  <c r="C1114" i="4"/>
  <c r="B1114" i="4"/>
  <c r="A1114" i="4"/>
  <c r="H1113" i="4"/>
  <c r="G1113" i="4"/>
  <c r="F1113" i="4"/>
  <c r="E1113" i="4"/>
  <c r="D1113" i="4"/>
  <c r="C1113" i="4"/>
  <c r="B1113" i="4"/>
  <c r="A1113" i="4"/>
  <c r="H1112" i="4"/>
  <c r="G1112" i="4"/>
  <c r="F1112" i="4"/>
  <c r="E1112" i="4"/>
  <c r="D1112" i="4"/>
  <c r="C1112" i="4"/>
  <c r="B1112" i="4"/>
  <c r="A1112" i="4"/>
  <c r="H1111" i="4"/>
  <c r="G1111" i="4"/>
  <c r="F1111" i="4"/>
  <c r="E1111" i="4"/>
  <c r="D1111" i="4"/>
  <c r="C1111" i="4"/>
  <c r="B1111" i="4"/>
  <c r="A1111" i="4"/>
  <c r="H1110" i="4"/>
  <c r="G1110" i="4"/>
  <c r="F1110" i="4"/>
  <c r="E1110" i="4"/>
  <c r="D1110" i="4"/>
  <c r="C1110" i="4"/>
  <c r="B1110" i="4"/>
  <c r="A1110" i="4"/>
  <c r="H1109" i="4"/>
  <c r="G1109" i="4"/>
  <c r="F1109" i="4"/>
  <c r="E1109" i="4"/>
  <c r="D1109" i="4"/>
  <c r="C1109" i="4"/>
  <c r="B1109" i="4"/>
  <c r="A1109" i="4"/>
  <c r="H1108" i="4"/>
  <c r="G1108" i="4"/>
  <c r="F1108" i="4"/>
  <c r="E1108" i="4"/>
  <c r="D1108" i="4"/>
  <c r="C1108" i="4"/>
  <c r="B1108" i="4"/>
  <c r="A1108" i="4"/>
  <c r="H1107" i="4"/>
  <c r="G1107" i="4"/>
  <c r="F1107" i="4"/>
  <c r="E1107" i="4"/>
  <c r="D1107" i="4"/>
  <c r="C1107" i="4"/>
  <c r="B1107" i="4"/>
  <c r="A1107" i="4"/>
  <c r="H1106" i="4"/>
  <c r="G1106" i="4"/>
  <c r="F1106" i="4"/>
  <c r="E1106" i="4"/>
  <c r="D1106" i="4"/>
  <c r="C1106" i="4"/>
  <c r="B1106" i="4"/>
  <c r="A1106" i="4"/>
  <c r="H1105" i="4"/>
  <c r="G1105" i="4"/>
  <c r="F1105" i="4"/>
  <c r="E1105" i="4"/>
  <c r="D1105" i="4"/>
  <c r="C1105" i="4"/>
  <c r="B1105" i="4"/>
  <c r="A1105" i="4"/>
  <c r="H1104" i="4"/>
  <c r="G1104" i="4"/>
  <c r="F1104" i="4"/>
  <c r="E1104" i="4"/>
  <c r="D1104" i="4"/>
  <c r="C1104" i="4"/>
  <c r="B1104" i="4"/>
  <c r="A1104" i="4"/>
  <c r="H1103" i="4"/>
  <c r="G1103" i="4"/>
  <c r="F1103" i="4"/>
  <c r="E1103" i="4"/>
  <c r="D1103" i="4"/>
  <c r="C1103" i="4"/>
  <c r="B1103" i="4"/>
  <c r="A1103" i="4"/>
  <c r="H1102" i="4"/>
  <c r="G1102" i="4"/>
  <c r="F1102" i="4"/>
  <c r="E1102" i="4"/>
  <c r="D1102" i="4"/>
  <c r="C1102" i="4"/>
  <c r="B1102" i="4"/>
  <c r="A1102" i="4"/>
  <c r="H1101" i="4"/>
  <c r="G1101" i="4"/>
  <c r="F1101" i="4"/>
  <c r="E1101" i="4"/>
  <c r="D1101" i="4"/>
  <c r="C1101" i="4"/>
  <c r="B1101" i="4"/>
  <c r="A1101" i="4"/>
  <c r="H1100" i="4"/>
  <c r="G1100" i="4"/>
  <c r="F1100" i="4"/>
  <c r="E1100" i="4"/>
  <c r="D1100" i="4"/>
  <c r="C1100" i="4"/>
  <c r="B1100" i="4"/>
  <c r="A1100" i="4"/>
  <c r="H1099" i="4"/>
  <c r="G1099" i="4"/>
  <c r="F1099" i="4"/>
  <c r="E1099" i="4"/>
  <c r="D1099" i="4"/>
  <c r="C1099" i="4"/>
  <c r="B1099" i="4"/>
  <c r="A1099" i="4"/>
  <c r="H1098" i="4"/>
  <c r="G1098" i="4"/>
  <c r="F1098" i="4"/>
  <c r="E1098" i="4"/>
  <c r="D1098" i="4"/>
  <c r="C1098" i="4"/>
  <c r="B1098" i="4"/>
  <c r="A1098" i="4"/>
  <c r="H1097" i="4"/>
  <c r="G1097" i="4"/>
  <c r="F1097" i="4"/>
  <c r="E1097" i="4"/>
  <c r="D1097" i="4"/>
  <c r="C1097" i="4"/>
  <c r="B1097" i="4"/>
  <c r="A1097" i="4"/>
  <c r="H1096" i="4"/>
  <c r="G1096" i="4"/>
  <c r="F1096" i="4"/>
  <c r="E1096" i="4"/>
  <c r="D1096" i="4"/>
  <c r="C1096" i="4"/>
  <c r="B1096" i="4"/>
  <c r="A1096" i="4"/>
  <c r="H1095" i="4"/>
  <c r="G1095" i="4"/>
  <c r="F1095" i="4"/>
  <c r="E1095" i="4"/>
  <c r="D1095" i="4"/>
  <c r="C1095" i="4"/>
  <c r="B1095" i="4"/>
  <c r="A1095" i="4"/>
  <c r="H1094" i="4"/>
  <c r="G1094" i="4"/>
  <c r="F1094" i="4"/>
  <c r="E1094" i="4"/>
  <c r="D1094" i="4"/>
  <c r="C1094" i="4"/>
  <c r="B1094" i="4"/>
  <c r="A1094" i="4"/>
  <c r="H1093" i="4"/>
  <c r="G1093" i="4"/>
  <c r="F1093" i="4"/>
  <c r="E1093" i="4"/>
  <c r="D1093" i="4"/>
  <c r="C1093" i="4"/>
  <c r="B1093" i="4"/>
  <c r="A1093" i="4"/>
  <c r="H1092" i="4"/>
  <c r="G1092" i="4"/>
  <c r="F1092" i="4"/>
  <c r="E1092" i="4"/>
  <c r="D1092" i="4"/>
  <c r="C1092" i="4"/>
  <c r="B1092" i="4"/>
  <c r="A1092" i="4"/>
  <c r="H1091" i="4"/>
  <c r="G1091" i="4"/>
  <c r="F1091" i="4"/>
  <c r="E1091" i="4"/>
  <c r="D1091" i="4"/>
  <c r="C1091" i="4"/>
  <c r="B1091" i="4"/>
  <c r="A1091" i="4"/>
  <c r="H1090" i="4"/>
  <c r="G1090" i="4"/>
  <c r="F1090" i="4"/>
  <c r="E1090" i="4"/>
  <c r="D1090" i="4"/>
  <c r="C1090" i="4"/>
  <c r="B1090" i="4"/>
  <c r="A1090" i="4"/>
  <c r="H1089" i="4"/>
  <c r="G1089" i="4"/>
  <c r="F1089" i="4"/>
  <c r="E1089" i="4"/>
  <c r="D1089" i="4"/>
  <c r="C1089" i="4"/>
  <c r="B1089" i="4"/>
  <c r="A1089" i="4"/>
  <c r="H1088" i="4"/>
  <c r="G1088" i="4"/>
  <c r="F1088" i="4"/>
  <c r="E1088" i="4"/>
  <c r="D1088" i="4"/>
  <c r="C1088" i="4"/>
  <c r="B1088" i="4"/>
  <c r="A1088" i="4"/>
  <c r="H1087" i="4"/>
  <c r="G1087" i="4"/>
  <c r="F1087" i="4"/>
  <c r="E1087" i="4"/>
  <c r="D1087" i="4"/>
  <c r="C1087" i="4"/>
  <c r="B1087" i="4"/>
  <c r="A1087" i="4"/>
  <c r="H1086" i="4"/>
  <c r="G1086" i="4"/>
  <c r="F1086" i="4"/>
  <c r="E1086" i="4"/>
  <c r="D1086" i="4"/>
  <c r="C1086" i="4"/>
  <c r="B1086" i="4"/>
  <c r="A1086" i="4"/>
  <c r="H1085" i="4"/>
  <c r="G1085" i="4"/>
  <c r="F1085" i="4"/>
  <c r="E1085" i="4"/>
  <c r="D1085" i="4"/>
  <c r="C1085" i="4"/>
  <c r="B1085" i="4"/>
  <c r="A1085" i="4"/>
  <c r="H1084" i="4"/>
  <c r="G1084" i="4"/>
  <c r="F1084" i="4"/>
  <c r="E1084" i="4"/>
  <c r="D1084" i="4"/>
  <c r="C1084" i="4"/>
  <c r="B1084" i="4"/>
  <c r="A1084" i="4"/>
  <c r="H1083" i="4"/>
  <c r="G1083" i="4"/>
  <c r="F1083" i="4"/>
  <c r="E1083" i="4"/>
  <c r="D1083" i="4"/>
  <c r="C1083" i="4"/>
  <c r="B1083" i="4"/>
  <c r="A1083" i="4"/>
  <c r="H1082" i="4"/>
  <c r="G1082" i="4"/>
  <c r="F1082" i="4"/>
  <c r="E1082" i="4"/>
  <c r="D1082" i="4"/>
  <c r="C1082" i="4"/>
  <c r="B1082" i="4"/>
  <c r="A1082" i="4"/>
  <c r="H1081" i="4"/>
  <c r="G1081" i="4"/>
  <c r="F1081" i="4"/>
  <c r="E1081" i="4"/>
  <c r="D1081" i="4"/>
  <c r="C1081" i="4"/>
  <c r="B1081" i="4"/>
  <c r="A1081" i="4"/>
  <c r="H1080" i="4"/>
  <c r="G1080" i="4"/>
  <c r="F1080" i="4"/>
  <c r="E1080" i="4"/>
  <c r="D1080" i="4"/>
  <c r="C1080" i="4"/>
  <c r="B1080" i="4"/>
  <c r="A1080" i="4"/>
  <c r="H1079" i="4"/>
  <c r="G1079" i="4"/>
  <c r="F1079" i="4"/>
  <c r="E1079" i="4"/>
  <c r="D1079" i="4"/>
  <c r="C1079" i="4"/>
  <c r="B1079" i="4"/>
  <c r="A1079" i="4"/>
  <c r="H1078" i="4"/>
  <c r="G1078" i="4"/>
  <c r="F1078" i="4"/>
  <c r="E1078" i="4"/>
  <c r="D1078" i="4"/>
  <c r="C1078" i="4"/>
  <c r="B1078" i="4"/>
  <c r="A1078" i="4"/>
  <c r="H1077" i="4"/>
  <c r="G1077" i="4"/>
  <c r="F1077" i="4"/>
  <c r="E1077" i="4"/>
  <c r="D1077" i="4"/>
  <c r="C1077" i="4"/>
  <c r="B1077" i="4"/>
  <c r="A1077" i="4"/>
  <c r="H1076" i="4"/>
  <c r="G1076" i="4"/>
  <c r="F1076" i="4"/>
  <c r="E1076" i="4"/>
  <c r="D1076" i="4"/>
  <c r="C1076" i="4"/>
  <c r="B1076" i="4"/>
  <c r="A1076" i="4"/>
  <c r="H1075" i="4"/>
  <c r="G1075" i="4"/>
  <c r="F1075" i="4"/>
  <c r="E1075" i="4"/>
  <c r="D1075" i="4"/>
  <c r="C1075" i="4"/>
  <c r="B1075" i="4"/>
  <c r="A1075" i="4"/>
  <c r="H1074" i="4"/>
  <c r="G1074" i="4"/>
  <c r="F1074" i="4"/>
  <c r="E1074" i="4"/>
  <c r="D1074" i="4"/>
  <c r="C1074" i="4"/>
  <c r="B1074" i="4"/>
  <c r="A1074" i="4"/>
  <c r="H1073" i="4"/>
  <c r="G1073" i="4"/>
  <c r="F1073" i="4"/>
  <c r="E1073" i="4"/>
  <c r="D1073" i="4"/>
  <c r="C1073" i="4"/>
  <c r="B1073" i="4"/>
  <c r="A1073" i="4"/>
  <c r="H1072" i="4"/>
  <c r="G1072" i="4"/>
  <c r="F1072" i="4"/>
  <c r="E1072" i="4"/>
  <c r="D1072" i="4"/>
  <c r="C1072" i="4"/>
  <c r="B1072" i="4"/>
  <c r="A1072" i="4"/>
  <c r="H1071" i="4"/>
  <c r="G1071" i="4"/>
  <c r="F1071" i="4"/>
  <c r="E1071" i="4"/>
  <c r="D1071" i="4"/>
  <c r="C1071" i="4"/>
  <c r="B1071" i="4"/>
  <c r="A1071" i="4"/>
  <c r="H1070" i="4"/>
  <c r="G1070" i="4"/>
  <c r="F1070" i="4"/>
  <c r="E1070" i="4"/>
  <c r="D1070" i="4"/>
  <c r="C1070" i="4"/>
  <c r="B1070" i="4"/>
  <c r="A1070" i="4"/>
  <c r="H1069" i="4"/>
  <c r="G1069" i="4"/>
  <c r="F1069" i="4"/>
  <c r="E1069" i="4"/>
  <c r="D1069" i="4"/>
  <c r="C1069" i="4"/>
  <c r="B1069" i="4"/>
  <c r="A1069" i="4"/>
  <c r="H1068" i="4"/>
  <c r="G1068" i="4"/>
  <c r="F1068" i="4"/>
  <c r="E1068" i="4"/>
  <c r="D1068" i="4"/>
  <c r="C1068" i="4"/>
  <c r="B1068" i="4"/>
  <c r="A1068" i="4"/>
  <c r="H1067" i="4"/>
  <c r="G1067" i="4"/>
  <c r="F1067" i="4"/>
  <c r="E1067" i="4"/>
  <c r="D1067" i="4"/>
  <c r="C1067" i="4"/>
  <c r="B1067" i="4"/>
  <c r="A1067" i="4"/>
  <c r="H1066" i="4"/>
  <c r="G1066" i="4"/>
  <c r="F1066" i="4"/>
  <c r="E1066" i="4"/>
  <c r="D1066" i="4"/>
  <c r="C1066" i="4"/>
  <c r="B1066" i="4"/>
  <c r="A1066" i="4"/>
  <c r="H1065" i="4"/>
  <c r="G1065" i="4"/>
  <c r="F1065" i="4"/>
  <c r="E1065" i="4"/>
  <c r="D1065" i="4"/>
  <c r="C1065" i="4"/>
  <c r="B1065" i="4"/>
  <c r="A1065" i="4"/>
  <c r="H1064" i="4"/>
  <c r="G1064" i="4"/>
  <c r="F1064" i="4"/>
  <c r="E1064" i="4"/>
  <c r="D1064" i="4"/>
  <c r="C1064" i="4"/>
  <c r="B1064" i="4"/>
  <c r="A1064" i="4"/>
  <c r="H1063" i="4"/>
  <c r="G1063" i="4"/>
  <c r="F1063" i="4"/>
  <c r="E1063" i="4"/>
  <c r="D1063" i="4"/>
  <c r="C1063" i="4"/>
  <c r="B1063" i="4"/>
  <c r="A1063" i="4"/>
  <c r="H1062" i="4"/>
  <c r="G1062" i="4"/>
  <c r="F1062" i="4"/>
  <c r="E1062" i="4"/>
  <c r="D1062" i="4"/>
  <c r="C1062" i="4"/>
  <c r="B1062" i="4"/>
  <c r="A1062" i="4"/>
  <c r="H1061" i="4"/>
  <c r="G1061" i="4"/>
  <c r="F1061" i="4"/>
  <c r="E1061" i="4"/>
  <c r="D1061" i="4"/>
  <c r="C1061" i="4"/>
  <c r="B1061" i="4"/>
  <c r="A1061" i="4"/>
  <c r="H1060" i="4"/>
  <c r="G1060" i="4"/>
  <c r="F1060" i="4"/>
  <c r="E1060" i="4"/>
  <c r="D1060" i="4"/>
  <c r="C1060" i="4"/>
  <c r="B1060" i="4"/>
  <c r="A1060" i="4"/>
  <c r="H1059" i="4"/>
  <c r="G1059" i="4"/>
  <c r="F1059" i="4"/>
  <c r="E1059" i="4"/>
  <c r="D1059" i="4"/>
  <c r="C1059" i="4"/>
  <c r="B1059" i="4"/>
  <c r="A1059" i="4"/>
  <c r="H1058" i="4"/>
  <c r="G1058" i="4"/>
  <c r="F1058" i="4"/>
  <c r="E1058" i="4"/>
  <c r="D1058" i="4"/>
  <c r="C1058" i="4"/>
  <c r="B1058" i="4"/>
  <c r="A1058" i="4"/>
  <c r="H1057" i="4"/>
  <c r="G1057" i="4"/>
  <c r="F1057" i="4"/>
  <c r="E1057" i="4"/>
  <c r="D1057" i="4"/>
  <c r="C1057" i="4"/>
  <c r="B1057" i="4"/>
  <c r="A1057" i="4"/>
  <c r="H1056" i="4"/>
  <c r="G1056" i="4"/>
  <c r="F1056" i="4"/>
  <c r="E1056" i="4"/>
  <c r="D1056" i="4"/>
  <c r="C1056" i="4"/>
  <c r="B1056" i="4"/>
  <c r="A1056" i="4"/>
  <c r="H1055" i="4"/>
  <c r="G1055" i="4"/>
  <c r="F1055" i="4"/>
  <c r="E1055" i="4"/>
  <c r="D1055" i="4"/>
  <c r="C1055" i="4"/>
  <c r="B1055" i="4"/>
  <c r="A1055" i="4"/>
  <c r="H1054" i="4"/>
  <c r="G1054" i="4"/>
  <c r="F1054" i="4"/>
  <c r="E1054" i="4"/>
  <c r="D1054" i="4"/>
  <c r="C1054" i="4"/>
  <c r="B1054" i="4"/>
  <c r="A1054" i="4"/>
  <c r="H1053" i="4"/>
  <c r="G1053" i="4"/>
  <c r="F1053" i="4"/>
  <c r="E1053" i="4"/>
  <c r="D1053" i="4"/>
  <c r="C1053" i="4"/>
  <c r="B1053" i="4"/>
  <c r="A1053" i="4"/>
  <c r="H1052" i="4"/>
  <c r="G1052" i="4"/>
  <c r="F1052" i="4"/>
  <c r="E1052" i="4"/>
  <c r="D1052" i="4"/>
  <c r="C1052" i="4"/>
  <c r="B1052" i="4"/>
  <c r="A1052" i="4"/>
  <c r="H1051" i="4"/>
  <c r="G1051" i="4"/>
  <c r="F1051" i="4"/>
  <c r="E1051" i="4"/>
  <c r="D1051" i="4"/>
  <c r="C1051" i="4"/>
  <c r="B1051" i="4"/>
  <c r="A1051" i="4"/>
  <c r="H1050" i="4"/>
  <c r="G1050" i="4"/>
  <c r="F1050" i="4"/>
  <c r="E1050" i="4"/>
  <c r="D1050" i="4"/>
  <c r="C1050" i="4"/>
  <c r="B1050" i="4"/>
  <c r="A1050" i="4"/>
  <c r="H1049" i="4"/>
  <c r="G1049" i="4"/>
  <c r="F1049" i="4"/>
  <c r="E1049" i="4"/>
  <c r="D1049" i="4"/>
  <c r="C1049" i="4"/>
  <c r="B1049" i="4"/>
  <c r="A1049" i="4"/>
  <c r="H1048" i="4"/>
  <c r="G1048" i="4"/>
  <c r="F1048" i="4"/>
  <c r="E1048" i="4"/>
  <c r="D1048" i="4"/>
  <c r="C1048" i="4"/>
  <c r="B1048" i="4"/>
  <c r="A1048" i="4"/>
  <c r="H1047" i="4"/>
  <c r="G1047" i="4"/>
  <c r="F1047" i="4"/>
  <c r="E1047" i="4"/>
  <c r="D1047" i="4"/>
  <c r="C1047" i="4"/>
  <c r="B1047" i="4"/>
  <c r="A1047" i="4"/>
  <c r="H1046" i="4"/>
  <c r="G1046" i="4"/>
  <c r="F1046" i="4"/>
  <c r="E1046" i="4"/>
  <c r="D1046" i="4"/>
  <c r="C1046" i="4"/>
  <c r="B1046" i="4"/>
  <c r="A1046" i="4"/>
  <c r="H1045" i="4"/>
  <c r="G1045" i="4"/>
  <c r="F1045" i="4"/>
  <c r="E1045" i="4"/>
  <c r="D1045" i="4"/>
  <c r="C1045" i="4"/>
  <c r="B1045" i="4"/>
  <c r="A1045" i="4"/>
  <c r="H1044" i="4"/>
  <c r="G1044" i="4"/>
  <c r="F1044" i="4"/>
  <c r="E1044" i="4"/>
  <c r="D1044" i="4"/>
  <c r="C1044" i="4"/>
  <c r="B1044" i="4"/>
  <c r="A1044" i="4"/>
  <c r="H1043" i="4"/>
  <c r="G1043" i="4"/>
  <c r="F1043" i="4"/>
  <c r="E1043" i="4"/>
  <c r="D1043" i="4"/>
  <c r="C1043" i="4"/>
  <c r="B1043" i="4"/>
  <c r="A1043" i="4"/>
  <c r="H1042" i="4"/>
  <c r="G1042" i="4"/>
  <c r="F1042" i="4"/>
  <c r="E1042" i="4"/>
  <c r="D1042" i="4"/>
  <c r="C1042" i="4"/>
  <c r="B1042" i="4"/>
  <c r="A1042" i="4"/>
  <c r="H1041" i="4"/>
  <c r="G1041" i="4"/>
  <c r="F1041" i="4"/>
  <c r="E1041" i="4"/>
  <c r="D1041" i="4"/>
  <c r="C1041" i="4"/>
  <c r="B1041" i="4"/>
  <c r="A1041" i="4"/>
  <c r="H1040" i="4"/>
  <c r="G1040" i="4"/>
  <c r="F1040" i="4"/>
  <c r="E1040" i="4"/>
  <c r="D1040" i="4"/>
  <c r="C1040" i="4"/>
  <c r="B1040" i="4"/>
  <c r="A1040" i="4"/>
  <c r="H1039" i="4"/>
  <c r="G1039" i="4"/>
  <c r="F1039" i="4"/>
  <c r="E1039" i="4"/>
  <c r="D1039" i="4"/>
  <c r="C1039" i="4"/>
  <c r="B1039" i="4"/>
  <c r="A1039" i="4"/>
  <c r="H1038" i="4"/>
  <c r="G1038" i="4"/>
  <c r="F1038" i="4"/>
  <c r="E1038" i="4"/>
  <c r="D1038" i="4"/>
  <c r="C1038" i="4"/>
  <c r="B1038" i="4"/>
  <c r="A1038" i="4"/>
  <c r="H1037" i="4"/>
  <c r="G1037" i="4"/>
  <c r="F1037" i="4"/>
  <c r="E1037" i="4"/>
  <c r="D1037" i="4"/>
  <c r="C1037" i="4"/>
  <c r="B1037" i="4"/>
  <c r="A1037" i="4"/>
  <c r="H1036" i="4"/>
  <c r="G1036" i="4"/>
  <c r="F1036" i="4"/>
  <c r="E1036" i="4"/>
  <c r="D1036" i="4"/>
  <c r="C1036" i="4"/>
  <c r="B1036" i="4"/>
  <c r="A1036" i="4"/>
  <c r="H1035" i="4"/>
  <c r="G1035" i="4"/>
  <c r="F1035" i="4"/>
  <c r="E1035" i="4"/>
  <c r="D1035" i="4"/>
  <c r="C1035" i="4"/>
  <c r="B1035" i="4"/>
  <c r="A1035" i="4"/>
  <c r="H1034" i="4"/>
  <c r="G1034" i="4"/>
  <c r="F1034" i="4"/>
  <c r="E1034" i="4"/>
  <c r="D1034" i="4"/>
  <c r="C1034" i="4"/>
  <c r="B1034" i="4"/>
  <c r="A1034" i="4"/>
  <c r="H1033" i="4"/>
  <c r="G1033" i="4"/>
  <c r="F1033" i="4"/>
  <c r="E1033" i="4"/>
  <c r="D1033" i="4"/>
  <c r="C1033" i="4"/>
  <c r="B1033" i="4"/>
  <c r="A1033" i="4"/>
  <c r="H1032" i="4"/>
  <c r="G1032" i="4"/>
  <c r="F1032" i="4"/>
  <c r="E1032" i="4"/>
  <c r="D1032" i="4"/>
  <c r="C1032" i="4"/>
  <c r="B1032" i="4"/>
  <c r="A1032" i="4"/>
  <c r="H1031" i="4"/>
  <c r="G1031" i="4"/>
  <c r="F1031" i="4"/>
  <c r="E1031" i="4"/>
  <c r="D1031" i="4"/>
  <c r="C1031" i="4"/>
  <c r="B1031" i="4"/>
  <c r="A1031" i="4"/>
  <c r="H1030" i="4"/>
  <c r="G1030" i="4"/>
  <c r="F1030" i="4"/>
  <c r="E1030" i="4"/>
  <c r="D1030" i="4"/>
  <c r="C1030" i="4"/>
  <c r="B1030" i="4"/>
  <c r="A1030" i="4"/>
  <c r="H1029" i="4"/>
  <c r="G1029" i="4"/>
  <c r="F1029" i="4"/>
  <c r="E1029" i="4"/>
  <c r="D1029" i="4"/>
  <c r="C1029" i="4"/>
  <c r="B1029" i="4"/>
  <c r="A1029" i="4"/>
  <c r="H1028" i="4"/>
  <c r="G1028" i="4"/>
  <c r="F1028" i="4"/>
  <c r="E1028" i="4"/>
  <c r="D1028" i="4"/>
  <c r="C1028" i="4"/>
  <c r="B1028" i="4"/>
  <c r="A1028" i="4"/>
  <c r="H1027" i="4"/>
  <c r="G1027" i="4"/>
  <c r="F1027" i="4"/>
  <c r="E1027" i="4"/>
  <c r="D1027" i="4"/>
  <c r="C1027" i="4"/>
  <c r="B1027" i="4"/>
  <c r="A1027" i="4"/>
  <c r="H1026" i="4"/>
  <c r="G1026" i="4"/>
  <c r="F1026" i="4"/>
  <c r="E1026" i="4"/>
  <c r="D1026" i="4"/>
  <c r="C1026" i="4"/>
  <c r="B1026" i="4"/>
  <c r="A1026" i="4"/>
  <c r="H1025" i="4"/>
  <c r="G1025" i="4"/>
  <c r="F1025" i="4"/>
  <c r="E1025" i="4"/>
  <c r="D1025" i="4"/>
  <c r="C1025" i="4"/>
  <c r="B1025" i="4"/>
  <c r="A1025" i="4"/>
  <c r="H1024" i="4"/>
  <c r="G1024" i="4"/>
  <c r="F1024" i="4"/>
  <c r="E1024" i="4"/>
  <c r="D1024" i="4"/>
  <c r="C1024" i="4"/>
  <c r="B1024" i="4"/>
  <c r="A1024" i="4"/>
  <c r="H1023" i="4"/>
  <c r="G1023" i="4"/>
  <c r="F1023" i="4"/>
  <c r="E1023" i="4"/>
  <c r="D1023" i="4"/>
  <c r="C1023" i="4"/>
  <c r="B1023" i="4"/>
  <c r="A1023" i="4"/>
  <c r="H1022" i="4"/>
  <c r="G1022" i="4"/>
  <c r="F1022" i="4"/>
  <c r="E1022" i="4"/>
  <c r="D1022" i="4"/>
  <c r="C1022" i="4"/>
  <c r="B1022" i="4"/>
  <c r="A1022" i="4"/>
  <c r="H1021" i="4"/>
  <c r="G1021" i="4"/>
  <c r="F1021" i="4"/>
  <c r="E1021" i="4"/>
  <c r="D1021" i="4"/>
  <c r="C1021" i="4"/>
  <c r="B1021" i="4"/>
  <c r="A1021" i="4"/>
  <c r="H1020" i="4"/>
  <c r="G1020" i="4"/>
  <c r="F1020" i="4"/>
  <c r="E1020" i="4"/>
  <c r="D1020" i="4"/>
  <c r="C1020" i="4"/>
  <c r="B1020" i="4"/>
  <c r="A1020" i="4"/>
  <c r="H1019" i="4"/>
  <c r="G1019" i="4"/>
  <c r="F1019" i="4"/>
  <c r="E1019" i="4"/>
  <c r="D1019" i="4"/>
  <c r="C1019" i="4"/>
  <c r="B1019" i="4"/>
  <c r="A1019" i="4"/>
  <c r="H1018" i="4"/>
  <c r="G1018" i="4"/>
  <c r="F1018" i="4"/>
  <c r="E1018" i="4"/>
  <c r="D1018" i="4"/>
  <c r="C1018" i="4"/>
  <c r="B1018" i="4"/>
  <c r="A1018" i="4"/>
  <c r="H1017" i="4"/>
  <c r="G1017" i="4"/>
  <c r="F1017" i="4"/>
  <c r="E1017" i="4"/>
  <c r="D1017" i="4"/>
  <c r="C1017" i="4"/>
  <c r="B1017" i="4"/>
  <c r="A1017" i="4"/>
  <c r="H1016" i="4"/>
  <c r="G1016" i="4"/>
  <c r="F1016" i="4"/>
  <c r="E1016" i="4"/>
  <c r="D1016" i="4"/>
  <c r="C1016" i="4"/>
  <c r="B1016" i="4"/>
  <c r="A1016" i="4"/>
  <c r="H1015" i="4"/>
  <c r="G1015" i="4"/>
  <c r="F1015" i="4"/>
  <c r="E1015" i="4"/>
  <c r="D1015" i="4"/>
  <c r="C1015" i="4"/>
  <c r="B1015" i="4"/>
  <c r="A1015" i="4"/>
  <c r="H1014" i="4"/>
  <c r="G1014" i="4"/>
  <c r="F1014" i="4"/>
  <c r="E1014" i="4"/>
  <c r="D1014" i="4"/>
  <c r="C1014" i="4"/>
  <c r="B1014" i="4"/>
  <c r="A1014" i="4"/>
  <c r="H1013" i="4"/>
  <c r="G1013" i="4"/>
  <c r="F1013" i="4"/>
  <c r="E1013" i="4"/>
  <c r="D1013" i="4"/>
  <c r="C1013" i="4"/>
  <c r="B1013" i="4"/>
  <c r="A1013" i="4"/>
  <c r="H1012" i="4"/>
  <c r="G1012" i="4"/>
  <c r="F1012" i="4"/>
  <c r="E1012" i="4"/>
  <c r="D1012" i="4"/>
  <c r="C1012" i="4"/>
  <c r="B1012" i="4"/>
  <c r="A1012" i="4"/>
  <c r="H1011" i="4"/>
  <c r="G1011" i="4"/>
  <c r="F1011" i="4"/>
  <c r="E1011" i="4"/>
  <c r="D1011" i="4"/>
  <c r="C1011" i="4"/>
  <c r="B1011" i="4"/>
  <c r="A1011" i="4"/>
  <c r="H1010" i="4"/>
  <c r="G1010" i="4"/>
  <c r="F1010" i="4"/>
  <c r="E1010" i="4"/>
  <c r="D1010" i="4"/>
  <c r="C1010" i="4"/>
  <c r="B1010" i="4"/>
  <c r="A1010" i="4"/>
  <c r="H1009" i="4"/>
  <c r="G1009" i="4"/>
  <c r="F1009" i="4"/>
  <c r="E1009" i="4"/>
  <c r="D1009" i="4"/>
  <c r="C1009" i="4"/>
  <c r="B1009" i="4"/>
  <c r="A1009" i="4"/>
  <c r="H1008" i="4"/>
  <c r="G1008" i="4"/>
  <c r="F1008" i="4"/>
  <c r="E1008" i="4"/>
  <c r="D1008" i="4"/>
  <c r="C1008" i="4"/>
  <c r="B1008" i="4"/>
  <c r="A1008" i="4"/>
  <c r="H1007" i="4"/>
  <c r="G1007" i="4"/>
  <c r="F1007" i="4"/>
  <c r="E1007" i="4"/>
  <c r="D1007" i="4"/>
  <c r="C1007" i="4"/>
  <c r="B1007" i="4"/>
  <c r="A1007" i="4"/>
  <c r="H1006" i="4"/>
  <c r="G1006" i="4"/>
  <c r="F1006" i="4"/>
  <c r="E1006" i="4"/>
  <c r="D1006" i="4"/>
  <c r="C1006" i="4"/>
  <c r="B1006" i="4"/>
  <c r="A1006" i="4"/>
  <c r="H1005" i="4"/>
  <c r="G1005" i="4"/>
  <c r="F1005" i="4"/>
  <c r="E1005" i="4"/>
  <c r="D1005" i="4"/>
  <c r="C1005" i="4"/>
  <c r="B1005" i="4"/>
  <c r="A1005" i="4"/>
  <c r="H1004" i="4"/>
  <c r="G1004" i="4"/>
  <c r="F1004" i="4"/>
  <c r="E1004" i="4"/>
  <c r="D1004" i="4"/>
  <c r="C1004" i="4"/>
  <c r="B1004" i="4"/>
  <c r="A1004" i="4"/>
  <c r="H1003" i="4"/>
  <c r="G1003" i="4"/>
  <c r="F1003" i="4"/>
  <c r="E1003" i="4"/>
  <c r="D1003" i="4"/>
  <c r="C1003" i="4"/>
  <c r="B1003" i="4"/>
  <c r="A1003" i="4"/>
  <c r="H1002" i="4"/>
  <c r="G1002" i="4"/>
  <c r="F1002" i="4"/>
  <c r="E1002" i="4"/>
  <c r="D1002" i="4"/>
  <c r="C1002" i="4"/>
  <c r="B1002" i="4"/>
  <c r="A1002" i="4"/>
  <c r="H1001" i="4"/>
  <c r="G1001" i="4"/>
  <c r="F1001" i="4"/>
  <c r="E1001" i="4"/>
  <c r="D1001" i="4"/>
  <c r="C1001" i="4"/>
  <c r="B1001" i="4"/>
  <c r="A1001" i="4"/>
  <c r="H1000" i="4"/>
  <c r="G1000" i="4"/>
  <c r="F1000" i="4"/>
  <c r="E1000" i="4"/>
  <c r="D1000" i="4"/>
  <c r="C1000" i="4"/>
  <c r="B1000" i="4"/>
  <c r="A1000" i="4"/>
  <c r="H999" i="4"/>
  <c r="G999" i="4"/>
  <c r="F999" i="4"/>
  <c r="E999" i="4"/>
  <c r="D999" i="4"/>
  <c r="C999" i="4"/>
  <c r="B999" i="4"/>
  <c r="A999" i="4"/>
  <c r="H998" i="4"/>
  <c r="G998" i="4"/>
  <c r="F998" i="4"/>
  <c r="E998" i="4"/>
  <c r="D998" i="4"/>
  <c r="C998" i="4"/>
  <c r="B998" i="4"/>
  <c r="A998" i="4"/>
  <c r="H997" i="4"/>
  <c r="G997" i="4"/>
  <c r="F997" i="4"/>
  <c r="E997" i="4"/>
  <c r="D997" i="4"/>
  <c r="C997" i="4"/>
  <c r="B997" i="4"/>
  <c r="A997" i="4"/>
  <c r="H996" i="4"/>
  <c r="G996" i="4"/>
  <c r="F996" i="4"/>
  <c r="E996" i="4"/>
  <c r="D996" i="4"/>
  <c r="C996" i="4"/>
  <c r="B996" i="4"/>
  <c r="A996" i="4"/>
  <c r="H995" i="4"/>
  <c r="G995" i="4"/>
  <c r="F995" i="4"/>
  <c r="E995" i="4"/>
  <c r="D995" i="4"/>
  <c r="C995" i="4"/>
  <c r="B995" i="4"/>
  <c r="A995" i="4"/>
  <c r="H994" i="4"/>
  <c r="G994" i="4"/>
  <c r="F994" i="4"/>
  <c r="E994" i="4"/>
  <c r="D994" i="4"/>
  <c r="C994" i="4"/>
  <c r="B994" i="4"/>
  <c r="A994" i="4"/>
  <c r="H993" i="4"/>
  <c r="G993" i="4"/>
  <c r="F993" i="4"/>
  <c r="E993" i="4"/>
  <c r="D993" i="4"/>
  <c r="C993" i="4"/>
  <c r="B993" i="4"/>
  <c r="A993" i="4"/>
  <c r="H992" i="4"/>
  <c r="G992" i="4"/>
  <c r="F992" i="4"/>
  <c r="E992" i="4"/>
  <c r="D992" i="4"/>
  <c r="C992" i="4"/>
  <c r="B992" i="4"/>
  <c r="A992" i="4"/>
  <c r="H991" i="4"/>
  <c r="G991" i="4"/>
  <c r="F991" i="4"/>
  <c r="E991" i="4"/>
  <c r="D991" i="4"/>
  <c r="C991" i="4"/>
  <c r="B991" i="4"/>
  <c r="A991" i="4"/>
  <c r="H990" i="4"/>
  <c r="G990" i="4"/>
  <c r="F990" i="4"/>
  <c r="E990" i="4"/>
  <c r="D990" i="4"/>
  <c r="C990" i="4"/>
  <c r="B990" i="4"/>
  <c r="A990" i="4"/>
  <c r="H989" i="4"/>
  <c r="G989" i="4"/>
  <c r="F989" i="4"/>
  <c r="E989" i="4"/>
  <c r="D989" i="4"/>
  <c r="C989" i="4"/>
  <c r="B989" i="4"/>
  <c r="A989" i="4"/>
  <c r="H988" i="4"/>
  <c r="G988" i="4"/>
  <c r="F988" i="4"/>
  <c r="E988" i="4"/>
  <c r="D988" i="4"/>
  <c r="C988" i="4"/>
  <c r="B988" i="4"/>
  <c r="A988" i="4"/>
  <c r="H987" i="4"/>
  <c r="G987" i="4"/>
  <c r="F987" i="4"/>
  <c r="E987" i="4"/>
  <c r="D987" i="4"/>
  <c r="C987" i="4"/>
  <c r="B987" i="4"/>
  <c r="A987" i="4"/>
  <c r="H986" i="4"/>
  <c r="G986" i="4"/>
  <c r="F986" i="4"/>
  <c r="E986" i="4"/>
  <c r="D986" i="4"/>
  <c r="C986" i="4"/>
  <c r="B986" i="4"/>
  <c r="A986" i="4"/>
  <c r="H985" i="4"/>
  <c r="G985" i="4"/>
  <c r="F985" i="4"/>
  <c r="E985" i="4"/>
  <c r="D985" i="4"/>
  <c r="C985" i="4"/>
  <c r="B985" i="4"/>
  <c r="A985" i="4"/>
  <c r="H984" i="4"/>
  <c r="G984" i="4"/>
  <c r="F984" i="4"/>
  <c r="E984" i="4"/>
  <c r="D984" i="4"/>
  <c r="C984" i="4"/>
  <c r="B984" i="4"/>
  <c r="A984" i="4"/>
  <c r="H983" i="4"/>
  <c r="G983" i="4"/>
  <c r="F983" i="4"/>
  <c r="E983" i="4"/>
  <c r="D983" i="4"/>
  <c r="C983" i="4"/>
  <c r="B983" i="4"/>
  <c r="A983" i="4"/>
  <c r="H982" i="4"/>
  <c r="G982" i="4"/>
  <c r="F982" i="4"/>
  <c r="E982" i="4"/>
  <c r="D982" i="4"/>
  <c r="C982" i="4"/>
  <c r="B982" i="4"/>
  <c r="A982" i="4"/>
  <c r="H981" i="4"/>
  <c r="G981" i="4"/>
  <c r="F981" i="4"/>
  <c r="E981" i="4"/>
  <c r="D981" i="4"/>
  <c r="C981" i="4"/>
  <c r="B981" i="4"/>
  <c r="A981" i="4"/>
  <c r="H980" i="4"/>
  <c r="G980" i="4"/>
  <c r="F980" i="4"/>
  <c r="E980" i="4"/>
  <c r="D980" i="4"/>
  <c r="C980" i="4"/>
  <c r="B980" i="4"/>
  <c r="A980" i="4"/>
  <c r="H979" i="4"/>
  <c r="G979" i="4"/>
  <c r="F979" i="4"/>
  <c r="E979" i="4"/>
  <c r="D979" i="4"/>
  <c r="C979" i="4"/>
  <c r="B979" i="4"/>
  <c r="A979" i="4"/>
  <c r="H978" i="4"/>
  <c r="G978" i="4"/>
  <c r="F978" i="4"/>
  <c r="E978" i="4"/>
  <c r="D978" i="4"/>
  <c r="C978" i="4"/>
  <c r="B978" i="4"/>
  <c r="A978" i="4"/>
  <c r="H977" i="4"/>
  <c r="G977" i="4"/>
  <c r="F977" i="4"/>
  <c r="E977" i="4"/>
  <c r="D977" i="4"/>
  <c r="C977" i="4"/>
  <c r="B977" i="4"/>
  <c r="A977" i="4"/>
  <c r="H976" i="4"/>
  <c r="G976" i="4"/>
  <c r="F976" i="4"/>
  <c r="E976" i="4"/>
  <c r="D976" i="4"/>
  <c r="C976" i="4"/>
  <c r="B976" i="4"/>
  <c r="A976" i="4"/>
  <c r="H975" i="4"/>
  <c r="G975" i="4"/>
  <c r="F975" i="4"/>
  <c r="E975" i="4"/>
  <c r="D975" i="4"/>
  <c r="C975" i="4"/>
  <c r="B975" i="4"/>
  <c r="A975" i="4"/>
  <c r="H974" i="4"/>
  <c r="G974" i="4"/>
  <c r="F974" i="4"/>
  <c r="E974" i="4"/>
  <c r="D974" i="4"/>
  <c r="C974" i="4"/>
  <c r="B974" i="4"/>
  <c r="A974" i="4"/>
  <c r="H973" i="4"/>
  <c r="G973" i="4"/>
  <c r="F973" i="4"/>
  <c r="E973" i="4"/>
  <c r="D973" i="4"/>
  <c r="C973" i="4"/>
  <c r="B973" i="4"/>
  <c r="A973" i="4"/>
  <c r="H972" i="4"/>
  <c r="G972" i="4"/>
  <c r="F972" i="4"/>
  <c r="E972" i="4"/>
  <c r="D972" i="4"/>
  <c r="C972" i="4"/>
  <c r="B972" i="4"/>
  <c r="A972" i="4"/>
  <c r="H971" i="4"/>
  <c r="G971" i="4"/>
  <c r="F971" i="4"/>
  <c r="E971" i="4"/>
  <c r="D971" i="4"/>
  <c r="C971" i="4"/>
  <c r="B971" i="4"/>
  <c r="A971" i="4"/>
  <c r="H970" i="4"/>
  <c r="G970" i="4"/>
  <c r="F970" i="4"/>
  <c r="E970" i="4"/>
  <c r="D970" i="4"/>
  <c r="C970" i="4"/>
  <c r="B970" i="4"/>
  <c r="A970" i="4"/>
  <c r="H969" i="4"/>
  <c r="G969" i="4"/>
  <c r="F969" i="4"/>
  <c r="E969" i="4"/>
  <c r="D969" i="4"/>
  <c r="C969" i="4"/>
  <c r="B969" i="4"/>
  <c r="A969" i="4"/>
  <c r="H968" i="4"/>
  <c r="G968" i="4"/>
  <c r="F968" i="4"/>
  <c r="E968" i="4"/>
  <c r="D968" i="4"/>
  <c r="C968" i="4"/>
  <c r="B968" i="4"/>
  <c r="A968" i="4"/>
  <c r="H967" i="4"/>
  <c r="G967" i="4"/>
  <c r="F967" i="4"/>
  <c r="E967" i="4"/>
  <c r="D967" i="4"/>
  <c r="C967" i="4"/>
  <c r="B967" i="4"/>
  <c r="A967" i="4"/>
  <c r="H966" i="4"/>
  <c r="G966" i="4"/>
  <c r="F966" i="4"/>
  <c r="E966" i="4"/>
  <c r="D966" i="4"/>
  <c r="C966" i="4"/>
  <c r="B966" i="4"/>
  <c r="A966" i="4"/>
  <c r="H965" i="4"/>
  <c r="G965" i="4"/>
  <c r="F965" i="4"/>
  <c r="E965" i="4"/>
  <c r="D965" i="4"/>
  <c r="C965" i="4"/>
  <c r="B965" i="4"/>
  <c r="A965" i="4"/>
  <c r="H964" i="4"/>
  <c r="G964" i="4"/>
  <c r="F964" i="4"/>
  <c r="E964" i="4"/>
  <c r="D964" i="4"/>
  <c r="C964" i="4"/>
  <c r="B964" i="4"/>
  <c r="A964" i="4"/>
  <c r="H963" i="4"/>
  <c r="G963" i="4"/>
  <c r="F963" i="4"/>
  <c r="E963" i="4"/>
  <c r="D963" i="4"/>
  <c r="C963" i="4"/>
  <c r="B963" i="4"/>
  <c r="A963" i="4"/>
  <c r="H962" i="4"/>
  <c r="G962" i="4"/>
  <c r="F962" i="4"/>
  <c r="E962" i="4"/>
  <c r="D962" i="4"/>
  <c r="C962" i="4"/>
  <c r="B962" i="4"/>
  <c r="A962" i="4"/>
  <c r="H961" i="4"/>
  <c r="G961" i="4"/>
  <c r="F961" i="4"/>
  <c r="E961" i="4"/>
  <c r="D961" i="4"/>
  <c r="C961" i="4"/>
  <c r="B961" i="4"/>
  <c r="A961" i="4"/>
  <c r="H960" i="4"/>
  <c r="G960" i="4"/>
  <c r="F960" i="4"/>
  <c r="E960" i="4"/>
  <c r="D960" i="4"/>
  <c r="C960" i="4"/>
  <c r="B960" i="4"/>
  <c r="A960" i="4"/>
  <c r="H959" i="4"/>
  <c r="G959" i="4"/>
  <c r="F959" i="4"/>
  <c r="E959" i="4"/>
  <c r="D959" i="4"/>
  <c r="C959" i="4"/>
  <c r="B959" i="4"/>
  <c r="A959" i="4"/>
  <c r="H958" i="4"/>
  <c r="G958" i="4"/>
  <c r="F958" i="4"/>
  <c r="E958" i="4"/>
  <c r="D958" i="4"/>
  <c r="C958" i="4"/>
  <c r="B958" i="4"/>
  <c r="A958" i="4"/>
  <c r="H957" i="4"/>
  <c r="G957" i="4"/>
  <c r="F957" i="4"/>
  <c r="E957" i="4"/>
  <c r="D957" i="4"/>
  <c r="C957" i="4"/>
  <c r="B957" i="4"/>
  <c r="A957" i="4"/>
  <c r="H956" i="4"/>
  <c r="G956" i="4"/>
  <c r="F956" i="4"/>
  <c r="E956" i="4"/>
  <c r="D956" i="4"/>
  <c r="C956" i="4"/>
  <c r="B956" i="4"/>
  <c r="A956" i="4"/>
  <c r="H955" i="4"/>
  <c r="G955" i="4"/>
  <c r="F955" i="4"/>
  <c r="E955" i="4"/>
  <c r="D955" i="4"/>
  <c r="C955" i="4"/>
  <c r="B955" i="4"/>
  <c r="A955" i="4"/>
  <c r="H954" i="4"/>
  <c r="G954" i="4"/>
  <c r="F954" i="4"/>
  <c r="E954" i="4"/>
  <c r="D954" i="4"/>
  <c r="C954" i="4"/>
  <c r="B954" i="4"/>
  <c r="A954" i="4"/>
  <c r="H953" i="4"/>
  <c r="G953" i="4"/>
  <c r="F953" i="4"/>
  <c r="E953" i="4"/>
  <c r="D953" i="4"/>
  <c r="C953" i="4"/>
  <c r="B953" i="4"/>
  <c r="A953" i="4"/>
  <c r="H952" i="4"/>
  <c r="G952" i="4"/>
  <c r="F952" i="4"/>
  <c r="E952" i="4"/>
  <c r="D952" i="4"/>
  <c r="C952" i="4"/>
  <c r="B952" i="4"/>
  <c r="A952" i="4"/>
  <c r="H951" i="4"/>
  <c r="G951" i="4"/>
  <c r="F951" i="4"/>
  <c r="E951" i="4"/>
  <c r="D951" i="4"/>
  <c r="C951" i="4"/>
  <c r="B951" i="4"/>
  <c r="A951" i="4"/>
  <c r="H950" i="4"/>
  <c r="G950" i="4"/>
  <c r="F950" i="4"/>
  <c r="E950" i="4"/>
  <c r="D950" i="4"/>
  <c r="C950" i="4"/>
  <c r="B950" i="4"/>
  <c r="A950" i="4"/>
  <c r="H949" i="4"/>
  <c r="G949" i="4"/>
  <c r="F949" i="4"/>
  <c r="E949" i="4"/>
  <c r="D949" i="4"/>
  <c r="C949" i="4"/>
  <c r="B949" i="4"/>
  <c r="A949" i="4"/>
  <c r="H948" i="4"/>
  <c r="G948" i="4"/>
  <c r="F948" i="4"/>
  <c r="E948" i="4"/>
  <c r="D948" i="4"/>
  <c r="C948" i="4"/>
  <c r="B948" i="4"/>
  <c r="A948" i="4"/>
  <c r="H947" i="4"/>
  <c r="G947" i="4"/>
  <c r="F947" i="4"/>
  <c r="E947" i="4"/>
  <c r="D947" i="4"/>
  <c r="C947" i="4"/>
  <c r="B947" i="4"/>
  <c r="A947" i="4"/>
  <c r="H946" i="4"/>
  <c r="G946" i="4"/>
  <c r="F946" i="4"/>
  <c r="E946" i="4"/>
  <c r="D946" i="4"/>
  <c r="C946" i="4"/>
  <c r="B946" i="4"/>
  <c r="A946" i="4"/>
  <c r="H945" i="4"/>
  <c r="G945" i="4"/>
  <c r="F945" i="4"/>
  <c r="E945" i="4"/>
  <c r="D945" i="4"/>
  <c r="C945" i="4"/>
  <c r="B945" i="4"/>
  <c r="A945" i="4"/>
  <c r="H944" i="4"/>
  <c r="G944" i="4"/>
  <c r="F944" i="4"/>
  <c r="E944" i="4"/>
  <c r="D944" i="4"/>
  <c r="C944" i="4"/>
  <c r="B944" i="4"/>
  <c r="A944" i="4"/>
  <c r="H943" i="4"/>
  <c r="G943" i="4"/>
  <c r="F943" i="4"/>
  <c r="E943" i="4"/>
  <c r="D943" i="4"/>
  <c r="C943" i="4"/>
  <c r="B943" i="4"/>
  <c r="A943" i="4"/>
  <c r="H942" i="4"/>
  <c r="G942" i="4"/>
  <c r="F942" i="4"/>
  <c r="E942" i="4"/>
  <c r="D942" i="4"/>
  <c r="C942" i="4"/>
  <c r="B942" i="4"/>
  <c r="A942" i="4"/>
  <c r="H941" i="4"/>
  <c r="G941" i="4"/>
  <c r="F941" i="4"/>
  <c r="E941" i="4"/>
  <c r="D941" i="4"/>
  <c r="C941" i="4"/>
  <c r="B941" i="4"/>
  <c r="A941" i="4"/>
  <c r="H940" i="4"/>
  <c r="G940" i="4"/>
  <c r="F940" i="4"/>
  <c r="E940" i="4"/>
  <c r="D940" i="4"/>
  <c r="C940" i="4"/>
  <c r="B940" i="4"/>
  <c r="A940" i="4"/>
  <c r="H939" i="4"/>
  <c r="G939" i="4"/>
  <c r="F939" i="4"/>
  <c r="E939" i="4"/>
  <c r="D939" i="4"/>
  <c r="C939" i="4"/>
  <c r="B939" i="4"/>
  <c r="A939" i="4"/>
  <c r="H938" i="4"/>
  <c r="G938" i="4"/>
  <c r="F938" i="4"/>
  <c r="E938" i="4"/>
  <c r="D938" i="4"/>
  <c r="C938" i="4"/>
  <c r="B938" i="4"/>
  <c r="A938" i="4"/>
  <c r="H937" i="4"/>
  <c r="G937" i="4"/>
  <c r="F937" i="4"/>
  <c r="E937" i="4"/>
  <c r="D937" i="4"/>
  <c r="C937" i="4"/>
  <c r="B937" i="4"/>
  <c r="A937" i="4"/>
  <c r="H936" i="4"/>
  <c r="G936" i="4"/>
  <c r="F936" i="4"/>
  <c r="E936" i="4"/>
  <c r="D936" i="4"/>
  <c r="C936" i="4"/>
  <c r="B936" i="4"/>
  <c r="A936" i="4"/>
  <c r="H935" i="4"/>
  <c r="G935" i="4"/>
  <c r="F935" i="4"/>
  <c r="E935" i="4"/>
  <c r="D935" i="4"/>
  <c r="C935" i="4"/>
  <c r="B935" i="4"/>
  <c r="A935" i="4"/>
  <c r="H934" i="4"/>
  <c r="G934" i="4"/>
  <c r="F934" i="4"/>
  <c r="E934" i="4"/>
  <c r="D934" i="4"/>
  <c r="C934" i="4"/>
  <c r="B934" i="4"/>
  <c r="A934" i="4"/>
  <c r="H933" i="4"/>
  <c r="G933" i="4"/>
  <c r="F933" i="4"/>
  <c r="E933" i="4"/>
  <c r="D933" i="4"/>
  <c r="C933" i="4"/>
  <c r="B933" i="4"/>
  <c r="A933" i="4"/>
  <c r="H932" i="4"/>
  <c r="G932" i="4"/>
  <c r="F932" i="4"/>
  <c r="E932" i="4"/>
  <c r="D932" i="4"/>
  <c r="C932" i="4"/>
  <c r="B932" i="4"/>
  <c r="A932" i="4"/>
  <c r="H931" i="4"/>
  <c r="G931" i="4"/>
  <c r="F931" i="4"/>
  <c r="E931" i="4"/>
  <c r="D931" i="4"/>
  <c r="C931" i="4"/>
  <c r="B931" i="4"/>
  <c r="A931" i="4"/>
  <c r="H930" i="4"/>
  <c r="G930" i="4"/>
  <c r="F930" i="4"/>
  <c r="E930" i="4"/>
  <c r="D930" i="4"/>
  <c r="C930" i="4"/>
  <c r="B930" i="4"/>
  <c r="A930" i="4"/>
  <c r="H929" i="4"/>
  <c r="G929" i="4"/>
  <c r="F929" i="4"/>
  <c r="E929" i="4"/>
  <c r="D929" i="4"/>
  <c r="C929" i="4"/>
  <c r="B929" i="4"/>
  <c r="A929" i="4"/>
  <c r="H928" i="4"/>
  <c r="G928" i="4"/>
  <c r="F928" i="4"/>
  <c r="E928" i="4"/>
  <c r="D928" i="4"/>
  <c r="C928" i="4"/>
  <c r="B928" i="4"/>
  <c r="A928" i="4"/>
  <c r="H927" i="4"/>
  <c r="G927" i="4"/>
  <c r="F927" i="4"/>
  <c r="E927" i="4"/>
  <c r="D927" i="4"/>
  <c r="C927" i="4"/>
  <c r="B927" i="4"/>
  <c r="A927" i="4"/>
  <c r="H926" i="4"/>
  <c r="G926" i="4"/>
  <c r="F926" i="4"/>
  <c r="E926" i="4"/>
  <c r="D926" i="4"/>
  <c r="C926" i="4"/>
  <c r="B926" i="4"/>
  <c r="A926" i="4"/>
  <c r="H925" i="4"/>
  <c r="G925" i="4"/>
  <c r="F925" i="4"/>
  <c r="E925" i="4"/>
  <c r="D925" i="4"/>
  <c r="C925" i="4"/>
  <c r="B925" i="4"/>
  <c r="A925" i="4"/>
  <c r="H924" i="4"/>
  <c r="G924" i="4"/>
  <c r="F924" i="4"/>
  <c r="E924" i="4"/>
  <c r="D924" i="4"/>
  <c r="C924" i="4"/>
  <c r="B924" i="4"/>
  <c r="A924" i="4"/>
  <c r="H923" i="4"/>
  <c r="G923" i="4"/>
  <c r="F923" i="4"/>
  <c r="E923" i="4"/>
  <c r="D923" i="4"/>
  <c r="C923" i="4"/>
  <c r="B923" i="4"/>
  <c r="A923" i="4"/>
  <c r="H922" i="4"/>
  <c r="G922" i="4"/>
  <c r="F922" i="4"/>
  <c r="E922" i="4"/>
  <c r="D922" i="4"/>
  <c r="C922" i="4"/>
  <c r="B922" i="4"/>
  <c r="A922" i="4"/>
  <c r="H921" i="4"/>
  <c r="G921" i="4"/>
  <c r="F921" i="4"/>
  <c r="E921" i="4"/>
  <c r="D921" i="4"/>
  <c r="C921" i="4"/>
  <c r="B921" i="4"/>
  <c r="A921" i="4"/>
  <c r="H920" i="4"/>
  <c r="G920" i="4"/>
  <c r="F920" i="4"/>
  <c r="E920" i="4"/>
  <c r="D920" i="4"/>
  <c r="C920" i="4"/>
  <c r="B920" i="4"/>
  <c r="A920" i="4"/>
  <c r="H919" i="4"/>
  <c r="G919" i="4"/>
  <c r="F919" i="4"/>
  <c r="E919" i="4"/>
  <c r="D919" i="4"/>
  <c r="C919" i="4"/>
  <c r="B919" i="4"/>
  <c r="A919" i="4"/>
  <c r="H918" i="4"/>
  <c r="G918" i="4"/>
  <c r="F918" i="4"/>
  <c r="E918" i="4"/>
  <c r="D918" i="4"/>
  <c r="C918" i="4"/>
  <c r="B918" i="4"/>
  <c r="A918" i="4"/>
  <c r="H917" i="4"/>
  <c r="G917" i="4"/>
  <c r="F917" i="4"/>
  <c r="E917" i="4"/>
  <c r="D917" i="4"/>
  <c r="C917" i="4"/>
  <c r="B917" i="4"/>
  <c r="A917" i="4"/>
  <c r="H916" i="4"/>
  <c r="G916" i="4"/>
  <c r="F916" i="4"/>
  <c r="E916" i="4"/>
  <c r="D916" i="4"/>
  <c r="C916" i="4"/>
  <c r="B916" i="4"/>
  <c r="A916" i="4"/>
  <c r="H915" i="4"/>
  <c r="G915" i="4"/>
  <c r="F915" i="4"/>
  <c r="E915" i="4"/>
  <c r="D915" i="4"/>
  <c r="C915" i="4"/>
  <c r="B915" i="4"/>
  <c r="A915" i="4"/>
  <c r="H914" i="4"/>
  <c r="G914" i="4"/>
  <c r="F914" i="4"/>
  <c r="E914" i="4"/>
  <c r="D914" i="4"/>
  <c r="C914" i="4"/>
  <c r="B914" i="4"/>
  <c r="A914" i="4"/>
  <c r="H913" i="4"/>
  <c r="G913" i="4"/>
  <c r="F913" i="4"/>
  <c r="E913" i="4"/>
  <c r="D913" i="4"/>
  <c r="C913" i="4"/>
  <c r="B913" i="4"/>
  <c r="A913" i="4"/>
  <c r="H912" i="4"/>
  <c r="G912" i="4"/>
  <c r="F912" i="4"/>
  <c r="E912" i="4"/>
  <c r="D912" i="4"/>
  <c r="C912" i="4"/>
  <c r="B912" i="4"/>
  <c r="A912" i="4"/>
  <c r="H911" i="4"/>
  <c r="G911" i="4"/>
  <c r="F911" i="4"/>
  <c r="E911" i="4"/>
  <c r="D911" i="4"/>
  <c r="C911" i="4"/>
  <c r="B911" i="4"/>
  <c r="A911" i="4"/>
  <c r="H910" i="4"/>
  <c r="G910" i="4"/>
  <c r="F910" i="4"/>
  <c r="E910" i="4"/>
  <c r="D910" i="4"/>
  <c r="C910" i="4"/>
  <c r="B910" i="4"/>
  <c r="A910" i="4"/>
  <c r="H909" i="4"/>
  <c r="G909" i="4"/>
  <c r="F909" i="4"/>
  <c r="E909" i="4"/>
  <c r="D909" i="4"/>
  <c r="C909" i="4"/>
  <c r="B909" i="4"/>
  <c r="A909" i="4"/>
  <c r="H908" i="4"/>
  <c r="G908" i="4"/>
  <c r="F908" i="4"/>
  <c r="E908" i="4"/>
  <c r="D908" i="4"/>
  <c r="C908" i="4"/>
  <c r="B908" i="4"/>
  <c r="A908" i="4"/>
  <c r="H907" i="4"/>
  <c r="G907" i="4"/>
  <c r="F907" i="4"/>
  <c r="E907" i="4"/>
  <c r="D907" i="4"/>
  <c r="C907" i="4"/>
  <c r="B907" i="4"/>
  <c r="A907" i="4"/>
  <c r="H906" i="4"/>
  <c r="G906" i="4"/>
  <c r="F906" i="4"/>
  <c r="E906" i="4"/>
  <c r="D906" i="4"/>
  <c r="C906" i="4"/>
  <c r="B906" i="4"/>
  <c r="A906" i="4"/>
  <c r="H905" i="4"/>
  <c r="G905" i="4"/>
  <c r="F905" i="4"/>
  <c r="E905" i="4"/>
  <c r="D905" i="4"/>
  <c r="C905" i="4"/>
  <c r="B905" i="4"/>
  <c r="A905" i="4"/>
  <c r="H904" i="4"/>
  <c r="G904" i="4"/>
  <c r="F904" i="4"/>
  <c r="E904" i="4"/>
  <c r="D904" i="4"/>
  <c r="C904" i="4"/>
  <c r="B904" i="4"/>
  <c r="A904" i="4"/>
  <c r="H903" i="4"/>
  <c r="G903" i="4"/>
  <c r="F903" i="4"/>
  <c r="E903" i="4"/>
  <c r="D903" i="4"/>
  <c r="C903" i="4"/>
  <c r="B903" i="4"/>
  <c r="A903" i="4"/>
  <c r="H902" i="4"/>
  <c r="G902" i="4"/>
  <c r="F902" i="4"/>
  <c r="E902" i="4"/>
  <c r="D902" i="4"/>
  <c r="C902" i="4"/>
  <c r="B902" i="4"/>
  <c r="A902" i="4"/>
  <c r="H901" i="4"/>
  <c r="G901" i="4"/>
  <c r="F901" i="4"/>
  <c r="E901" i="4"/>
  <c r="D901" i="4"/>
  <c r="C901" i="4"/>
  <c r="B901" i="4"/>
  <c r="A901" i="4"/>
  <c r="H900" i="4"/>
  <c r="G900" i="4"/>
  <c r="F900" i="4"/>
  <c r="E900" i="4"/>
  <c r="D900" i="4"/>
  <c r="C900" i="4"/>
  <c r="B900" i="4"/>
  <c r="A900" i="4"/>
  <c r="H899" i="4"/>
  <c r="G899" i="4"/>
  <c r="F899" i="4"/>
  <c r="E899" i="4"/>
  <c r="D899" i="4"/>
  <c r="C899" i="4"/>
  <c r="B899" i="4"/>
  <c r="A899" i="4"/>
  <c r="H898" i="4"/>
  <c r="G898" i="4"/>
  <c r="F898" i="4"/>
  <c r="E898" i="4"/>
  <c r="D898" i="4"/>
  <c r="C898" i="4"/>
  <c r="B898" i="4"/>
  <c r="A898" i="4"/>
  <c r="H897" i="4"/>
  <c r="G897" i="4"/>
  <c r="F897" i="4"/>
  <c r="E897" i="4"/>
  <c r="D897" i="4"/>
  <c r="C897" i="4"/>
  <c r="B897" i="4"/>
  <c r="A897" i="4"/>
  <c r="H896" i="4"/>
  <c r="G896" i="4"/>
  <c r="F896" i="4"/>
  <c r="E896" i="4"/>
  <c r="D896" i="4"/>
  <c r="C896" i="4"/>
  <c r="B896" i="4"/>
  <c r="A896" i="4"/>
  <c r="H895" i="4"/>
  <c r="G895" i="4"/>
  <c r="F895" i="4"/>
  <c r="E895" i="4"/>
  <c r="D895" i="4"/>
  <c r="C895" i="4"/>
  <c r="B895" i="4"/>
  <c r="A895" i="4"/>
  <c r="H894" i="4"/>
  <c r="G894" i="4"/>
  <c r="F894" i="4"/>
  <c r="E894" i="4"/>
  <c r="D894" i="4"/>
  <c r="C894" i="4"/>
  <c r="B894" i="4"/>
  <c r="A894" i="4"/>
  <c r="H893" i="4"/>
  <c r="G893" i="4"/>
  <c r="F893" i="4"/>
  <c r="E893" i="4"/>
  <c r="D893" i="4"/>
  <c r="C893" i="4"/>
  <c r="B893" i="4"/>
  <c r="A893" i="4"/>
  <c r="H892" i="4"/>
  <c r="G892" i="4"/>
  <c r="F892" i="4"/>
  <c r="E892" i="4"/>
  <c r="D892" i="4"/>
  <c r="C892" i="4"/>
  <c r="B892" i="4"/>
  <c r="A892" i="4"/>
  <c r="H891" i="4"/>
  <c r="G891" i="4"/>
  <c r="F891" i="4"/>
  <c r="E891" i="4"/>
  <c r="D891" i="4"/>
  <c r="C891" i="4"/>
  <c r="B891" i="4"/>
  <c r="A891" i="4"/>
  <c r="H890" i="4"/>
  <c r="G890" i="4"/>
  <c r="F890" i="4"/>
  <c r="E890" i="4"/>
  <c r="D890" i="4"/>
  <c r="C890" i="4"/>
  <c r="B890" i="4"/>
  <c r="A890" i="4"/>
  <c r="H889" i="4"/>
  <c r="G889" i="4"/>
  <c r="F889" i="4"/>
  <c r="E889" i="4"/>
  <c r="D889" i="4"/>
  <c r="C889" i="4"/>
  <c r="B889" i="4"/>
  <c r="A889" i="4"/>
  <c r="H888" i="4"/>
  <c r="G888" i="4"/>
  <c r="F888" i="4"/>
  <c r="E888" i="4"/>
  <c r="D888" i="4"/>
  <c r="C888" i="4"/>
  <c r="B888" i="4"/>
  <c r="A888" i="4"/>
  <c r="H887" i="4"/>
  <c r="G887" i="4"/>
  <c r="F887" i="4"/>
  <c r="E887" i="4"/>
  <c r="D887" i="4"/>
  <c r="C887" i="4"/>
  <c r="B887" i="4"/>
  <c r="A887" i="4"/>
  <c r="H886" i="4"/>
  <c r="G886" i="4"/>
  <c r="F886" i="4"/>
  <c r="E886" i="4"/>
  <c r="D886" i="4"/>
  <c r="C886" i="4"/>
  <c r="B886" i="4"/>
  <c r="A886" i="4"/>
  <c r="H885" i="4"/>
  <c r="G885" i="4"/>
  <c r="F885" i="4"/>
  <c r="E885" i="4"/>
  <c r="D885" i="4"/>
  <c r="C885" i="4"/>
  <c r="B885" i="4"/>
  <c r="A885" i="4"/>
  <c r="H884" i="4"/>
  <c r="G884" i="4"/>
  <c r="F884" i="4"/>
  <c r="E884" i="4"/>
  <c r="D884" i="4"/>
  <c r="C884" i="4"/>
  <c r="B884" i="4"/>
  <c r="A884" i="4"/>
  <c r="H883" i="4"/>
  <c r="G883" i="4"/>
  <c r="F883" i="4"/>
  <c r="E883" i="4"/>
  <c r="D883" i="4"/>
  <c r="C883" i="4"/>
  <c r="B883" i="4"/>
  <c r="A883" i="4"/>
  <c r="H882" i="4"/>
  <c r="G882" i="4"/>
  <c r="F882" i="4"/>
  <c r="E882" i="4"/>
  <c r="D882" i="4"/>
  <c r="C882" i="4"/>
  <c r="B882" i="4"/>
  <c r="A882" i="4"/>
  <c r="H881" i="4"/>
  <c r="G881" i="4"/>
  <c r="F881" i="4"/>
  <c r="E881" i="4"/>
  <c r="D881" i="4"/>
  <c r="C881" i="4"/>
  <c r="B881" i="4"/>
  <c r="A881" i="4"/>
  <c r="H880" i="4"/>
  <c r="G880" i="4"/>
  <c r="F880" i="4"/>
  <c r="E880" i="4"/>
  <c r="D880" i="4"/>
  <c r="C880" i="4"/>
  <c r="B880" i="4"/>
  <c r="A880" i="4"/>
  <c r="H879" i="4"/>
  <c r="G879" i="4"/>
  <c r="F879" i="4"/>
  <c r="E879" i="4"/>
  <c r="D879" i="4"/>
  <c r="C879" i="4"/>
  <c r="B879" i="4"/>
  <c r="A879" i="4"/>
  <c r="H878" i="4"/>
  <c r="G878" i="4"/>
  <c r="F878" i="4"/>
  <c r="E878" i="4"/>
  <c r="D878" i="4"/>
  <c r="C878" i="4"/>
  <c r="B878" i="4"/>
  <c r="A878" i="4"/>
  <c r="H877" i="4"/>
  <c r="G877" i="4"/>
  <c r="F877" i="4"/>
  <c r="E877" i="4"/>
  <c r="D877" i="4"/>
  <c r="C877" i="4"/>
  <c r="B877" i="4"/>
  <c r="A877" i="4"/>
  <c r="H876" i="4"/>
  <c r="G876" i="4"/>
  <c r="F876" i="4"/>
  <c r="E876" i="4"/>
  <c r="D876" i="4"/>
  <c r="C876" i="4"/>
  <c r="B876" i="4"/>
  <c r="A876" i="4"/>
  <c r="H875" i="4"/>
  <c r="G875" i="4"/>
  <c r="F875" i="4"/>
  <c r="E875" i="4"/>
  <c r="D875" i="4"/>
  <c r="C875" i="4"/>
  <c r="B875" i="4"/>
  <c r="A875" i="4"/>
  <c r="H874" i="4"/>
  <c r="G874" i="4"/>
  <c r="F874" i="4"/>
  <c r="E874" i="4"/>
  <c r="D874" i="4"/>
  <c r="C874" i="4"/>
  <c r="B874" i="4"/>
  <c r="A874" i="4"/>
  <c r="H873" i="4"/>
  <c r="G873" i="4"/>
  <c r="F873" i="4"/>
  <c r="E873" i="4"/>
  <c r="D873" i="4"/>
  <c r="C873" i="4"/>
  <c r="B873" i="4"/>
  <c r="A873" i="4"/>
  <c r="H872" i="4"/>
  <c r="G872" i="4"/>
  <c r="F872" i="4"/>
  <c r="E872" i="4"/>
  <c r="D872" i="4"/>
  <c r="C872" i="4"/>
  <c r="B872" i="4"/>
  <c r="A872" i="4"/>
  <c r="H871" i="4"/>
  <c r="G871" i="4"/>
  <c r="F871" i="4"/>
  <c r="E871" i="4"/>
  <c r="D871" i="4"/>
  <c r="C871" i="4"/>
  <c r="B871" i="4"/>
  <c r="A871" i="4"/>
  <c r="H870" i="4"/>
  <c r="G870" i="4"/>
  <c r="F870" i="4"/>
  <c r="E870" i="4"/>
  <c r="D870" i="4"/>
  <c r="C870" i="4"/>
  <c r="B870" i="4"/>
  <c r="A870" i="4"/>
  <c r="H869" i="4"/>
  <c r="G869" i="4"/>
  <c r="F869" i="4"/>
  <c r="E869" i="4"/>
  <c r="D869" i="4"/>
  <c r="C869" i="4"/>
  <c r="B869" i="4"/>
  <c r="A869" i="4"/>
  <c r="H868" i="4"/>
  <c r="G868" i="4"/>
  <c r="F868" i="4"/>
  <c r="E868" i="4"/>
  <c r="D868" i="4"/>
  <c r="C868" i="4"/>
  <c r="B868" i="4"/>
  <c r="A868" i="4"/>
  <c r="H867" i="4"/>
  <c r="G867" i="4"/>
  <c r="F867" i="4"/>
  <c r="E867" i="4"/>
  <c r="D867" i="4"/>
  <c r="C867" i="4"/>
  <c r="B867" i="4"/>
  <c r="A867" i="4"/>
  <c r="H866" i="4"/>
  <c r="G866" i="4"/>
  <c r="F866" i="4"/>
  <c r="E866" i="4"/>
  <c r="D866" i="4"/>
  <c r="C866" i="4"/>
  <c r="B866" i="4"/>
  <c r="A866" i="4"/>
  <c r="H865" i="4"/>
  <c r="G865" i="4"/>
  <c r="F865" i="4"/>
  <c r="E865" i="4"/>
  <c r="D865" i="4"/>
  <c r="C865" i="4"/>
  <c r="B865" i="4"/>
  <c r="A865" i="4"/>
  <c r="H864" i="4"/>
  <c r="G864" i="4"/>
  <c r="F864" i="4"/>
  <c r="E864" i="4"/>
  <c r="D864" i="4"/>
  <c r="C864" i="4"/>
  <c r="B864" i="4"/>
  <c r="A864" i="4"/>
  <c r="H863" i="4"/>
  <c r="G863" i="4"/>
  <c r="F863" i="4"/>
  <c r="E863" i="4"/>
  <c r="D863" i="4"/>
  <c r="C863" i="4"/>
  <c r="B863" i="4"/>
  <c r="A863" i="4"/>
  <c r="H862" i="4"/>
  <c r="G862" i="4"/>
  <c r="F862" i="4"/>
  <c r="E862" i="4"/>
  <c r="D862" i="4"/>
  <c r="C862" i="4"/>
  <c r="B862" i="4"/>
  <c r="A862" i="4"/>
  <c r="H861" i="4"/>
  <c r="G861" i="4"/>
  <c r="F861" i="4"/>
  <c r="E861" i="4"/>
  <c r="D861" i="4"/>
  <c r="C861" i="4"/>
  <c r="B861" i="4"/>
  <c r="A861" i="4"/>
  <c r="H860" i="4"/>
  <c r="G860" i="4"/>
  <c r="F860" i="4"/>
  <c r="E860" i="4"/>
  <c r="D860" i="4"/>
  <c r="C860" i="4"/>
  <c r="B860" i="4"/>
  <c r="A860" i="4"/>
  <c r="H859" i="4"/>
  <c r="G859" i="4"/>
  <c r="F859" i="4"/>
  <c r="E859" i="4"/>
  <c r="D859" i="4"/>
  <c r="C859" i="4"/>
  <c r="B859" i="4"/>
  <c r="A859" i="4"/>
  <c r="H858" i="4"/>
  <c r="G858" i="4"/>
  <c r="F858" i="4"/>
  <c r="E858" i="4"/>
  <c r="D858" i="4"/>
  <c r="C858" i="4"/>
  <c r="B858" i="4"/>
  <c r="A858" i="4"/>
  <c r="H857" i="4"/>
  <c r="G857" i="4"/>
  <c r="F857" i="4"/>
  <c r="E857" i="4"/>
  <c r="D857" i="4"/>
  <c r="C857" i="4"/>
  <c r="B857" i="4"/>
  <c r="A857" i="4"/>
  <c r="H856" i="4"/>
  <c r="G856" i="4"/>
  <c r="F856" i="4"/>
  <c r="E856" i="4"/>
  <c r="D856" i="4"/>
  <c r="C856" i="4"/>
  <c r="B856" i="4"/>
  <c r="A856" i="4"/>
  <c r="H855" i="4"/>
  <c r="G855" i="4"/>
  <c r="F855" i="4"/>
  <c r="E855" i="4"/>
  <c r="D855" i="4"/>
  <c r="C855" i="4"/>
  <c r="B855" i="4"/>
  <c r="A855" i="4"/>
  <c r="H854" i="4"/>
  <c r="G854" i="4"/>
  <c r="F854" i="4"/>
  <c r="E854" i="4"/>
  <c r="D854" i="4"/>
  <c r="C854" i="4"/>
  <c r="B854" i="4"/>
  <c r="A854" i="4"/>
  <c r="H853" i="4"/>
  <c r="G853" i="4"/>
  <c r="F853" i="4"/>
  <c r="E853" i="4"/>
  <c r="D853" i="4"/>
  <c r="C853" i="4"/>
  <c r="B853" i="4"/>
  <c r="A853" i="4"/>
  <c r="H852" i="4"/>
  <c r="G852" i="4"/>
  <c r="F852" i="4"/>
  <c r="E852" i="4"/>
  <c r="D852" i="4"/>
  <c r="C852" i="4"/>
  <c r="B852" i="4"/>
  <c r="A852" i="4"/>
  <c r="H851" i="4"/>
  <c r="G851" i="4"/>
  <c r="F851" i="4"/>
  <c r="E851" i="4"/>
  <c r="D851" i="4"/>
  <c r="C851" i="4"/>
  <c r="B851" i="4"/>
  <c r="A851" i="4"/>
  <c r="H850" i="4"/>
  <c r="G850" i="4"/>
  <c r="F850" i="4"/>
  <c r="E850" i="4"/>
  <c r="D850" i="4"/>
  <c r="C850" i="4"/>
  <c r="B850" i="4"/>
  <c r="A850" i="4"/>
  <c r="H849" i="4"/>
  <c r="G849" i="4"/>
  <c r="F849" i="4"/>
  <c r="E849" i="4"/>
  <c r="D849" i="4"/>
  <c r="C849" i="4"/>
  <c r="B849" i="4"/>
  <c r="A849" i="4"/>
  <c r="H848" i="4"/>
  <c r="G848" i="4"/>
  <c r="F848" i="4"/>
  <c r="E848" i="4"/>
  <c r="D848" i="4"/>
  <c r="C848" i="4"/>
  <c r="B848" i="4"/>
  <c r="A848" i="4"/>
  <c r="H847" i="4"/>
  <c r="G847" i="4"/>
  <c r="F847" i="4"/>
  <c r="E847" i="4"/>
  <c r="D847" i="4"/>
  <c r="C847" i="4"/>
  <c r="B847" i="4"/>
  <c r="A847" i="4"/>
  <c r="H846" i="4"/>
  <c r="G846" i="4"/>
  <c r="F846" i="4"/>
  <c r="E846" i="4"/>
  <c r="D846" i="4"/>
  <c r="C846" i="4"/>
  <c r="B846" i="4"/>
  <c r="A846" i="4"/>
  <c r="H845" i="4"/>
  <c r="G845" i="4"/>
  <c r="F845" i="4"/>
  <c r="E845" i="4"/>
  <c r="D845" i="4"/>
  <c r="C845" i="4"/>
  <c r="B845" i="4"/>
  <c r="A845" i="4"/>
  <c r="H844" i="4"/>
  <c r="G844" i="4"/>
  <c r="F844" i="4"/>
  <c r="E844" i="4"/>
  <c r="D844" i="4"/>
  <c r="C844" i="4"/>
  <c r="B844" i="4"/>
  <c r="A844" i="4"/>
  <c r="H843" i="4"/>
  <c r="G843" i="4"/>
  <c r="F843" i="4"/>
  <c r="E843" i="4"/>
  <c r="D843" i="4"/>
  <c r="C843" i="4"/>
  <c r="B843" i="4"/>
  <c r="A843" i="4"/>
  <c r="H842" i="4"/>
  <c r="G842" i="4"/>
  <c r="F842" i="4"/>
  <c r="E842" i="4"/>
  <c r="D842" i="4"/>
  <c r="C842" i="4"/>
  <c r="B842" i="4"/>
  <c r="A842" i="4"/>
  <c r="H841" i="4"/>
  <c r="G841" i="4"/>
  <c r="F841" i="4"/>
  <c r="E841" i="4"/>
  <c r="D841" i="4"/>
  <c r="C841" i="4"/>
  <c r="B841" i="4"/>
  <c r="A841" i="4"/>
  <c r="H840" i="4"/>
  <c r="G840" i="4"/>
  <c r="F840" i="4"/>
  <c r="E840" i="4"/>
  <c r="D840" i="4"/>
  <c r="C840" i="4"/>
  <c r="B840" i="4"/>
  <c r="A840" i="4"/>
  <c r="H839" i="4"/>
  <c r="G839" i="4"/>
  <c r="F839" i="4"/>
  <c r="E839" i="4"/>
  <c r="D839" i="4"/>
  <c r="C839" i="4"/>
  <c r="B839" i="4"/>
  <c r="A839" i="4"/>
  <c r="H838" i="4"/>
  <c r="G838" i="4"/>
  <c r="F838" i="4"/>
  <c r="E838" i="4"/>
  <c r="D838" i="4"/>
  <c r="C838" i="4"/>
  <c r="B838" i="4"/>
  <c r="A838" i="4"/>
  <c r="H837" i="4"/>
  <c r="G837" i="4"/>
  <c r="F837" i="4"/>
  <c r="E837" i="4"/>
  <c r="D837" i="4"/>
  <c r="C837" i="4"/>
  <c r="B837" i="4"/>
  <c r="A837" i="4"/>
  <c r="H836" i="4"/>
  <c r="G836" i="4"/>
  <c r="F836" i="4"/>
  <c r="E836" i="4"/>
  <c r="D836" i="4"/>
  <c r="C836" i="4"/>
  <c r="B836" i="4"/>
  <c r="A836" i="4"/>
  <c r="H835" i="4"/>
  <c r="G835" i="4"/>
  <c r="F835" i="4"/>
  <c r="E835" i="4"/>
  <c r="D835" i="4"/>
  <c r="C835" i="4"/>
  <c r="B835" i="4"/>
  <c r="A835" i="4"/>
  <c r="H834" i="4"/>
  <c r="G834" i="4"/>
  <c r="F834" i="4"/>
  <c r="E834" i="4"/>
  <c r="D834" i="4"/>
  <c r="C834" i="4"/>
  <c r="B834" i="4"/>
  <c r="A834" i="4"/>
  <c r="H833" i="4"/>
  <c r="G833" i="4"/>
  <c r="F833" i="4"/>
  <c r="E833" i="4"/>
  <c r="D833" i="4"/>
  <c r="C833" i="4"/>
  <c r="B833" i="4"/>
  <c r="A833" i="4"/>
  <c r="H832" i="4"/>
  <c r="G832" i="4"/>
  <c r="F832" i="4"/>
  <c r="E832" i="4"/>
  <c r="D832" i="4"/>
  <c r="C832" i="4"/>
  <c r="B832" i="4"/>
  <c r="A832" i="4"/>
  <c r="H831" i="4"/>
  <c r="G831" i="4"/>
  <c r="F831" i="4"/>
  <c r="E831" i="4"/>
  <c r="D831" i="4"/>
  <c r="C831" i="4"/>
  <c r="B831" i="4"/>
  <c r="A831" i="4"/>
  <c r="H830" i="4"/>
  <c r="G830" i="4"/>
  <c r="F830" i="4"/>
  <c r="E830" i="4"/>
  <c r="D830" i="4"/>
  <c r="C830" i="4"/>
  <c r="B830" i="4"/>
  <c r="A830" i="4"/>
  <c r="H829" i="4"/>
  <c r="G829" i="4"/>
  <c r="F829" i="4"/>
  <c r="E829" i="4"/>
  <c r="D829" i="4"/>
  <c r="C829" i="4"/>
  <c r="B829" i="4"/>
  <c r="A829" i="4"/>
  <c r="H828" i="4"/>
  <c r="G828" i="4"/>
  <c r="F828" i="4"/>
  <c r="E828" i="4"/>
  <c r="D828" i="4"/>
  <c r="C828" i="4"/>
  <c r="B828" i="4"/>
  <c r="A828" i="4"/>
  <c r="H827" i="4"/>
  <c r="G827" i="4"/>
  <c r="F827" i="4"/>
  <c r="E827" i="4"/>
  <c r="D827" i="4"/>
  <c r="C827" i="4"/>
  <c r="B827" i="4"/>
  <c r="A827" i="4"/>
  <c r="H826" i="4"/>
  <c r="G826" i="4"/>
  <c r="F826" i="4"/>
  <c r="E826" i="4"/>
  <c r="D826" i="4"/>
  <c r="C826" i="4"/>
  <c r="B826" i="4"/>
  <c r="A826" i="4"/>
  <c r="H825" i="4"/>
  <c r="G825" i="4"/>
  <c r="F825" i="4"/>
  <c r="E825" i="4"/>
  <c r="D825" i="4"/>
  <c r="C825" i="4"/>
  <c r="B825" i="4"/>
  <c r="A825" i="4"/>
  <c r="H824" i="4"/>
  <c r="G824" i="4"/>
  <c r="F824" i="4"/>
  <c r="E824" i="4"/>
  <c r="D824" i="4"/>
  <c r="C824" i="4"/>
  <c r="B824" i="4"/>
  <c r="A824" i="4"/>
  <c r="H823" i="4"/>
  <c r="G823" i="4"/>
  <c r="F823" i="4"/>
  <c r="E823" i="4"/>
  <c r="D823" i="4"/>
  <c r="C823" i="4"/>
  <c r="B823" i="4"/>
  <c r="A823" i="4"/>
  <c r="H822" i="4"/>
  <c r="G822" i="4"/>
  <c r="F822" i="4"/>
  <c r="E822" i="4"/>
  <c r="D822" i="4"/>
  <c r="C822" i="4"/>
  <c r="B822" i="4"/>
  <c r="A822" i="4"/>
  <c r="H821" i="4"/>
  <c r="G821" i="4"/>
  <c r="F821" i="4"/>
  <c r="E821" i="4"/>
  <c r="D821" i="4"/>
  <c r="C821" i="4"/>
  <c r="B821" i="4"/>
  <c r="A821" i="4"/>
  <c r="H820" i="4"/>
  <c r="G820" i="4"/>
  <c r="F820" i="4"/>
  <c r="E820" i="4"/>
  <c r="D820" i="4"/>
  <c r="C820" i="4"/>
  <c r="B820" i="4"/>
  <c r="A820" i="4"/>
  <c r="H819" i="4"/>
  <c r="G819" i="4"/>
  <c r="F819" i="4"/>
  <c r="E819" i="4"/>
  <c r="D819" i="4"/>
  <c r="C819" i="4"/>
  <c r="B819" i="4"/>
  <c r="A819" i="4"/>
  <c r="H818" i="4"/>
  <c r="G818" i="4"/>
  <c r="F818" i="4"/>
  <c r="E818" i="4"/>
  <c r="D818" i="4"/>
  <c r="C818" i="4"/>
  <c r="B818" i="4"/>
  <c r="A818" i="4"/>
  <c r="H817" i="4"/>
  <c r="G817" i="4"/>
  <c r="F817" i="4"/>
  <c r="E817" i="4"/>
  <c r="D817" i="4"/>
  <c r="C817" i="4"/>
  <c r="B817" i="4"/>
  <c r="A817" i="4"/>
  <c r="H816" i="4"/>
  <c r="G816" i="4"/>
  <c r="F816" i="4"/>
  <c r="E816" i="4"/>
  <c r="D816" i="4"/>
  <c r="C816" i="4"/>
  <c r="B816" i="4"/>
  <c r="A816" i="4"/>
  <c r="H815" i="4"/>
  <c r="G815" i="4"/>
  <c r="F815" i="4"/>
  <c r="E815" i="4"/>
  <c r="D815" i="4"/>
  <c r="C815" i="4"/>
  <c r="B815" i="4"/>
  <c r="A815" i="4"/>
  <c r="H814" i="4"/>
  <c r="G814" i="4"/>
  <c r="F814" i="4"/>
  <c r="E814" i="4"/>
  <c r="D814" i="4"/>
  <c r="C814" i="4"/>
  <c r="B814" i="4"/>
  <c r="A814" i="4"/>
  <c r="H813" i="4"/>
  <c r="G813" i="4"/>
  <c r="F813" i="4"/>
  <c r="E813" i="4"/>
  <c r="D813" i="4"/>
  <c r="C813" i="4"/>
  <c r="B813" i="4"/>
  <c r="A813" i="4"/>
  <c r="H812" i="4"/>
  <c r="G812" i="4"/>
  <c r="F812" i="4"/>
  <c r="E812" i="4"/>
  <c r="D812" i="4"/>
  <c r="C812" i="4"/>
  <c r="B812" i="4"/>
  <c r="A812" i="4"/>
  <c r="H811" i="4"/>
  <c r="G811" i="4"/>
  <c r="F811" i="4"/>
  <c r="E811" i="4"/>
  <c r="D811" i="4"/>
  <c r="C811" i="4"/>
  <c r="B811" i="4"/>
  <c r="A811" i="4"/>
  <c r="H810" i="4"/>
  <c r="G810" i="4"/>
  <c r="F810" i="4"/>
  <c r="E810" i="4"/>
  <c r="D810" i="4"/>
  <c r="C810" i="4"/>
  <c r="B810" i="4"/>
  <c r="A810" i="4"/>
  <c r="H809" i="4"/>
  <c r="G809" i="4"/>
  <c r="F809" i="4"/>
  <c r="E809" i="4"/>
  <c r="D809" i="4"/>
  <c r="C809" i="4"/>
  <c r="B809" i="4"/>
  <c r="A809" i="4"/>
  <c r="H808" i="4"/>
  <c r="G808" i="4"/>
  <c r="F808" i="4"/>
  <c r="E808" i="4"/>
  <c r="D808" i="4"/>
  <c r="C808" i="4"/>
  <c r="B808" i="4"/>
  <c r="A808" i="4"/>
  <c r="H807" i="4"/>
  <c r="G807" i="4"/>
  <c r="F807" i="4"/>
  <c r="E807" i="4"/>
  <c r="D807" i="4"/>
  <c r="C807" i="4"/>
  <c r="B807" i="4"/>
  <c r="A807" i="4"/>
  <c r="H806" i="4"/>
  <c r="G806" i="4"/>
  <c r="F806" i="4"/>
  <c r="E806" i="4"/>
  <c r="D806" i="4"/>
  <c r="C806" i="4"/>
  <c r="B806" i="4"/>
  <c r="A806" i="4"/>
  <c r="H805" i="4"/>
  <c r="G805" i="4"/>
  <c r="F805" i="4"/>
  <c r="E805" i="4"/>
  <c r="D805" i="4"/>
  <c r="C805" i="4"/>
  <c r="B805" i="4"/>
  <c r="A805" i="4"/>
  <c r="H804" i="4"/>
  <c r="G804" i="4"/>
  <c r="F804" i="4"/>
  <c r="E804" i="4"/>
  <c r="D804" i="4"/>
  <c r="C804" i="4"/>
  <c r="B804" i="4"/>
  <c r="A804" i="4"/>
  <c r="H803" i="4"/>
  <c r="G803" i="4"/>
  <c r="F803" i="4"/>
  <c r="E803" i="4"/>
  <c r="D803" i="4"/>
  <c r="C803" i="4"/>
  <c r="B803" i="4"/>
  <c r="A803" i="4"/>
  <c r="H802" i="4"/>
  <c r="G802" i="4"/>
  <c r="F802" i="4"/>
  <c r="E802" i="4"/>
  <c r="D802" i="4"/>
  <c r="C802" i="4"/>
  <c r="B802" i="4"/>
  <c r="A802" i="4"/>
  <c r="H801" i="4"/>
  <c r="G801" i="4"/>
  <c r="F801" i="4"/>
  <c r="E801" i="4"/>
  <c r="D801" i="4"/>
  <c r="C801" i="4"/>
  <c r="B801" i="4"/>
  <c r="A801" i="4"/>
  <c r="H800" i="4"/>
  <c r="G800" i="4"/>
  <c r="F800" i="4"/>
  <c r="E800" i="4"/>
  <c r="D800" i="4"/>
  <c r="C800" i="4"/>
  <c r="B800" i="4"/>
  <c r="A800" i="4"/>
  <c r="H799" i="4"/>
  <c r="G799" i="4"/>
  <c r="F799" i="4"/>
  <c r="E799" i="4"/>
  <c r="D799" i="4"/>
  <c r="C799" i="4"/>
  <c r="B799" i="4"/>
  <c r="A799" i="4"/>
  <c r="H798" i="4"/>
  <c r="G798" i="4"/>
  <c r="F798" i="4"/>
  <c r="E798" i="4"/>
  <c r="D798" i="4"/>
  <c r="C798" i="4"/>
  <c r="B798" i="4"/>
  <c r="A798" i="4"/>
  <c r="H797" i="4"/>
  <c r="G797" i="4"/>
  <c r="F797" i="4"/>
  <c r="E797" i="4"/>
  <c r="D797" i="4"/>
  <c r="C797" i="4"/>
  <c r="B797" i="4"/>
  <c r="A797" i="4"/>
  <c r="H796" i="4"/>
  <c r="G796" i="4"/>
  <c r="F796" i="4"/>
  <c r="E796" i="4"/>
  <c r="D796" i="4"/>
  <c r="C796" i="4"/>
  <c r="B796" i="4"/>
  <c r="A796" i="4"/>
  <c r="H795" i="4"/>
  <c r="G795" i="4"/>
  <c r="F795" i="4"/>
  <c r="E795" i="4"/>
  <c r="D795" i="4"/>
  <c r="C795" i="4"/>
  <c r="B795" i="4"/>
  <c r="A795" i="4"/>
  <c r="H794" i="4"/>
  <c r="G794" i="4"/>
  <c r="F794" i="4"/>
  <c r="E794" i="4"/>
  <c r="D794" i="4"/>
  <c r="C794" i="4"/>
  <c r="B794" i="4"/>
  <c r="A794" i="4"/>
  <c r="H793" i="4"/>
  <c r="G793" i="4"/>
  <c r="F793" i="4"/>
  <c r="E793" i="4"/>
  <c r="D793" i="4"/>
  <c r="C793" i="4"/>
  <c r="B793" i="4"/>
  <c r="A793" i="4"/>
  <c r="H792" i="4"/>
  <c r="G792" i="4"/>
  <c r="F792" i="4"/>
  <c r="E792" i="4"/>
  <c r="D792" i="4"/>
  <c r="C792" i="4"/>
  <c r="B792" i="4"/>
  <c r="A792" i="4"/>
  <c r="H791" i="4"/>
  <c r="G791" i="4"/>
  <c r="F791" i="4"/>
  <c r="E791" i="4"/>
  <c r="D791" i="4"/>
  <c r="C791" i="4"/>
  <c r="B791" i="4"/>
  <c r="A791" i="4"/>
  <c r="H790" i="4"/>
  <c r="G790" i="4"/>
  <c r="F790" i="4"/>
  <c r="E790" i="4"/>
  <c r="D790" i="4"/>
  <c r="C790" i="4"/>
  <c r="B790" i="4"/>
  <c r="A790" i="4"/>
  <c r="H789" i="4"/>
  <c r="G789" i="4"/>
  <c r="F789" i="4"/>
  <c r="E789" i="4"/>
  <c r="D789" i="4"/>
  <c r="C789" i="4"/>
  <c r="B789" i="4"/>
  <c r="A789" i="4"/>
  <c r="H788" i="4"/>
  <c r="G788" i="4"/>
  <c r="F788" i="4"/>
  <c r="E788" i="4"/>
  <c r="D788" i="4"/>
  <c r="C788" i="4"/>
  <c r="B788" i="4"/>
  <c r="A788" i="4"/>
  <c r="H787" i="4"/>
  <c r="G787" i="4"/>
  <c r="F787" i="4"/>
  <c r="E787" i="4"/>
  <c r="D787" i="4"/>
  <c r="C787" i="4"/>
  <c r="B787" i="4"/>
  <c r="A787" i="4"/>
  <c r="H786" i="4"/>
  <c r="G786" i="4"/>
  <c r="F786" i="4"/>
  <c r="E786" i="4"/>
  <c r="D786" i="4"/>
  <c r="C786" i="4"/>
  <c r="B786" i="4"/>
  <c r="A786" i="4"/>
  <c r="H785" i="4"/>
  <c r="G785" i="4"/>
  <c r="F785" i="4"/>
  <c r="E785" i="4"/>
  <c r="D785" i="4"/>
  <c r="C785" i="4"/>
  <c r="B785" i="4"/>
  <c r="A785" i="4"/>
  <c r="H784" i="4"/>
  <c r="G784" i="4"/>
  <c r="F784" i="4"/>
  <c r="E784" i="4"/>
  <c r="D784" i="4"/>
  <c r="C784" i="4"/>
  <c r="B784" i="4"/>
  <c r="A784" i="4"/>
  <c r="H783" i="4"/>
  <c r="G783" i="4"/>
  <c r="F783" i="4"/>
  <c r="E783" i="4"/>
  <c r="D783" i="4"/>
  <c r="C783" i="4"/>
  <c r="B783" i="4"/>
  <c r="A783" i="4"/>
  <c r="H782" i="4"/>
  <c r="G782" i="4"/>
  <c r="F782" i="4"/>
  <c r="E782" i="4"/>
  <c r="D782" i="4"/>
  <c r="C782" i="4"/>
  <c r="B782" i="4"/>
  <c r="A782" i="4"/>
  <c r="H781" i="4"/>
  <c r="G781" i="4"/>
  <c r="F781" i="4"/>
  <c r="E781" i="4"/>
  <c r="D781" i="4"/>
  <c r="C781" i="4"/>
  <c r="B781" i="4"/>
  <c r="A781" i="4"/>
  <c r="H780" i="4"/>
  <c r="G780" i="4"/>
  <c r="F780" i="4"/>
  <c r="E780" i="4"/>
  <c r="D780" i="4"/>
  <c r="C780" i="4"/>
  <c r="B780" i="4"/>
  <c r="A780" i="4"/>
  <c r="H779" i="4"/>
  <c r="G779" i="4"/>
  <c r="F779" i="4"/>
  <c r="E779" i="4"/>
  <c r="D779" i="4"/>
  <c r="C779" i="4"/>
  <c r="B779" i="4"/>
  <c r="A779" i="4"/>
  <c r="H778" i="4"/>
  <c r="G778" i="4"/>
  <c r="F778" i="4"/>
  <c r="E778" i="4"/>
  <c r="D778" i="4"/>
  <c r="C778" i="4"/>
  <c r="B778" i="4"/>
  <c r="A778" i="4"/>
  <c r="H777" i="4"/>
  <c r="G777" i="4"/>
  <c r="F777" i="4"/>
  <c r="E777" i="4"/>
  <c r="D777" i="4"/>
  <c r="C777" i="4"/>
  <c r="B777" i="4"/>
  <c r="A777" i="4"/>
  <c r="H776" i="4"/>
  <c r="G776" i="4"/>
  <c r="F776" i="4"/>
  <c r="E776" i="4"/>
  <c r="D776" i="4"/>
  <c r="C776" i="4"/>
  <c r="B776" i="4"/>
  <c r="A776" i="4"/>
  <c r="H775" i="4"/>
  <c r="G775" i="4"/>
  <c r="F775" i="4"/>
  <c r="E775" i="4"/>
  <c r="D775" i="4"/>
  <c r="C775" i="4"/>
  <c r="B775" i="4"/>
  <c r="A775" i="4"/>
  <c r="H774" i="4"/>
  <c r="G774" i="4"/>
  <c r="F774" i="4"/>
  <c r="E774" i="4"/>
  <c r="D774" i="4"/>
  <c r="C774" i="4"/>
  <c r="B774" i="4"/>
  <c r="A774" i="4"/>
  <c r="H773" i="4"/>
  <c r="G773" i="4"/>
  <c r="F773" i="4"/>
  <c r="E773" i="4"/>
  <c r="D773" i="4"/>
  <c r="C773" i="4"/>
  <c r="B773" i="4"/>
  <c r="A773" i="4"/>
  <c r="H772" i="4"/>
  <c r="G772" i="4"/>
  <c r="F772" i="4"/>
  <c r="E772" i="4"/>
  <c r="D772" i="4"/>
  <c r="C772" i="4"/>
  <c r="B772" i="4"/>
  <c r="A772" i="4"/>
  <c r="H771" i="4"/>
  <c r="G771" i="4"/>
  <c r="F771" i="4"/>
  <c r="E771" i="4"/>
  <c r="D771" i="4"/>
  <c r="C771" i="4"/>
  <c r="B771" i="4"/>
  <c r="A771" i="4"/>
  <c r="H770" i="4"/>
  <c r="G770" i="4"/>
  <c r="F770" i="4"/>
  <c r="E770" i="4"/>
  <c r="D770" i="4"/>
  <c r="C770" i="4"/>
  <c r="B770" i="4"/>
  <c r="A770" i="4"/>
  <c r="H769" i="4"/>
  <c r="G769" i="4"/>
  <c r="F769" i="4"/>
  <c r="E769" i="4"/>
  <c r="D769" i="4"/>
  <c r="C769" i="4"/>
  <c r="B769" i="4"/>
  <c r="A769" i="4"/>
  <c r="H768" i="4"/>
  <c r="G768" i="4"/>
  <c r="F768" i="4"/>
  <c r="E768" i="4"/>
  <c r="D768" i="4"/>
  <c r="C768" i="4"/>
  <c r="B768" i="4"/>
  <c r="A768" i="4"/>
  <c r="H767" i="4"/>
  <c r="G767" i="4"/>
  <c r="F767" i="4"/>
  <c r="E767" i="4"/>
  <c r="D767" i="4"/>
  <c r="C767" i="4"/>
  <c r="B767" i="4"/>
  <c r="A767" i="4"/>
  <c r="H766" i="4"/>
  <c r="G766" i="4"/>
  <c r="F766" i="4"/>
  <c r="E766" i="4"/>
  <c r="D766" i="4"/>
  <c r="C766" i="4"/>
  <c r="B766" i="4"/>
  <c r="A766" i="4"/>
  <c r="H765" i="4"/>
  <c r="G765" i="4"/>
  <c r="F765" i="4"/>
  <c r="E765" i="4"/>
  <c r="D765" i="4"/>
  <c r="C765" i="4"/>
  <c r="B765" i="4"/>
  <c r="A765" i="4"/>
  <c r="H764" i="4"/>
  <c r="G764" i="4"/>
  <c r="F764" i="4"/>
  <c r="E764" i="4"/>
  <c r="D764" i="4"/>
  <c r="C764" i="4"/>
  <c r="B764" i="4"/>
  <c r="A764" i="4"/>
  <c r="H763" i="4"/>
  <c r="G763" i="4"/>
  <c r="F763" i="4"/>
  <c r="E763" i="4"/>
  <c r="D763" i="4"/>
  <c r="C763" i="4"/>
  <c r="B763" i="4"/>
  <c r="A763" i="4"/>
  <c r="H762" i="4"/>
  <c r="G762" i="4"/>
  <c r="F762" i="4"/>
  <c r="E762" i="4"/>
  <c r="D762" i="4"/>
  <c r="C762" i="4"/>
  <c r="B762" i="4"/>
  <c r="A762" i="4"/>
  <c r="H761" i="4"/>
  <c r="G761" i="4"/>
  <c r="F761" i="4"/>
  <c r="E761" i="4"/>
  <c r="D761" i="4"/>
  <c r="C761" i="4"/>
  <c r="B761" i="4"/>
  <c r="A761" i="4"/>
  <c r="H760" i="4"/>
  <c r="G760" i="4"/>
  <c r="F760" i="4"/>
  <c r="E760" i="4"/>
  <c r="D760" i="4"/>
  <c r="C760" i="4"/>
  <c r="B760" i="4"/>
  <c r="A760" i="4"/>
  <c r="H759" i="4"/>
  <c r="G759" i="4"/>
  <c r="F759" i="4"/>
  <c r="E759" i="4"/>
  <c r="D759" i="4"/>
  <c r="C759" i="4"/>
  <c r="B759" i="4"/>
  <c r="A759" i="4"/>
  <c r="H758" i="4"/>
  <c r="G758" i="4"/>
  <c r="F758" i="4"/>
  <c r="E758" i="4"/>
  <c r="D758" i="4"/>
  <c r="C758" i="4"/>
  <c r="B758" i="4"/>
  <c r="A758" i="4"/>
  <c r="H757" i="4"/>
  <c r="G757" i="4"/>
  <c r="F757" i="4"/>
  <c r="E757" i="4"/>
  <c r="D757" i="4"/>
  <c r="C757" i="4"/>
  <c r="B757" i="4"/>
  <c r="A757" i="4"/>
  <c r="H756" i="4"/>
  <c r="G756" i="4"/>
  <c r="F756" i="4"/>
  <c r="E756" i="4"/>
  <c r="D756" i="4"/>
  <c r="C756" i="4"/>
  <c r="B756" i="4"/>
  <c r="A756" i="4"/>
  <c r="H755" i="4"/>
  <c r="G755" i="4"/>
  <c r="F755" i="4"/>
  <c r="E755" i="4"/>
  <c r="D755" i="4"/>
  <c r="C755" i="4"/>
  <c r="B755" i="4"/>
  <c r="A755" i="4"/>
  <c r="H754" i="4"/>
  <c r="G754" i="4"/>
  <c r="F754" i="4"/>
  <c r="E754" i="4"/>
  <c r="D754" i="4"/>
  <c r="C754" i="4"/>
  <c r="B754" i="4"/>
  <c r="A754" i="4"/>
  <c r="H753" i="4"/>
  <c r="G753" i="4"/>
  <c r="F753" i="4"/>
  <c r="E753" i="4"/>
  <c r="D753" i="4"/>
  <c r="C753" i="4"/>
  <c r="B753" i="4"/>
  <c r="A753" i="4"/>
  <c r="H752" i="4"/>
  <c r="G752" i="4"/>
  <c r="F752" i="4"/>
  <c r="E752" i="4"/>
  <c r="D752" i="4"/>
  <c r="C752" i="4"/>
  <c r="B752" i="4"/>
  <c r="A752" i="4"/>
  <c r="H751" i="4"/>
  <c r="G751" i="4"/>
  <c r="F751" i="4"/>
  <c r="E751" i="4"/>
  <c r="D751" i="4"/>
  <c r="C751" i="4"/>
  <c r="B751" i="4"/>
  <c r="A751" i="4"/>
  <c r="H750" i="4"/>
  <c r="G750" i="4"/>
  <c r="F750" i="4"/>
  <c r="E750" i="4"/>
  <c r="D750" i="4"/>
  <c r="C750" i="4"/>
  <c r="B750" i="4"/>
  <c r="A750" i="4"/>
  <c r="H749" i="4"/>
  <c r="G749" i="4"/>
  <c r="F749" i="4"/>
  <c r="E749" i="4"/>
  <c r="D749" i="4"/>
  <c r="C749" i="4"/>
  <c r="B749" i="4"/>
  <c r="A749" i="4"/>
  <c r="H748" i="4"/>
  <c r="G748" i="4"/>
  <c r="F748" i="4"/>
  <c r="E748" i="4"/>
  <c r="D748" i="4"/>
  <c r="C748" i="4"/>
  <c r="B748" i="4"/>
  <c r="A748" i="4"/>
  <c r="H747" i="4"/>
  <c r="G747" i="4"/>
  <c r="F747" i="4"/>
  <c r="E747" i="4"/>
  <c r="D747" i="4"/>
  <c r="C747" i="4"/>
  <c r="B747" i="4"/>
  <c r="A747" i="4"/>
  <c r="H746" i="4"/>
  <c r="G746" i="4"/>
  <c r="F746" i="4"/>
  <c r="E746" i="4"/>
  <c r="D746" i="4"/>
  <c r="C746" i="4"/>
  <c r="B746" i="4"/>
  <c r="A746" i="4"/>
  <c r="H745" i="4"/>
  <c r="G745" i="4"/>
  <c r="F745" i="4"/>
  <c r="E745" i="4"/>
  <c r="D745" i="4"/>
  <c r="C745" i="4"/>
  <c r="B745" i="4"/>
  <c r="A745" i="4"/>
  <c r="H744" i="4"/>
  <c r="G744" i="4"/>
  <c r="F744" i="4"/>
  <c r="E744" i="4"/>
  <c r="D744" i="4"/>
  <c r="C744" i="4"/>
  <c r="B744" i="4"/>
  <c r="A744" i="4"/>
  <c r="H743" i="4"/>
  <c r="G743" i="4"/>
  <c r="F743" i="4"/>
  <c r="E743" i="4"/>
  <c r="D743" i="4"/>
  <c r="C743" i="4"/>
  <c r="B743" i="4"/>
  <c r="A743" i="4"/>
  <c r="H742" i="4"/>
  <c r="G742" i="4"/>
  <c r="F742" i="4"/>
  <c r="E742" i="4"/>
  <c r="D742" i="4"/>
  <c r="C742" i="4"/>
  <c r="B742" i="4"/>
  <c r="A742" i="4"/>
  <c r="H741" i="4"/>
  <c r="G741" i="4"/>
  <c r="F741" i="4"/>
  <c r="E741" i="4"/>
  <c r="D741" i="4"/>
  <c r="C741" i="4"/>
  <c r="B741" i="4"/>
  <c r="A741" i="4"/>
  <c r="H740" i="4"/>
  <c r="G740" i="4"/>
  <c r="F740" i="4"/>
  <c r="E740" i="4"/>
  <c r="D740" i="4"/>
  <c r="C740" i="4"/>
  <c r="B740" i="4"/>
  <c r="A740" i="4"/>
  <c r="H739" i="4"/>
  <c r="G739" i="4"/>
  <c r="F739" i="4"/>
  <c r="E739" i="4"/>
  <c r="D739" i="4"/>
  <c r="C739" i="4"/>
  <c r="B739" i="4"/>
  <c r="A739" i="4"/>
  <c r="H738" i="4"/>
  <c r="G738" i="4"/>
  <c r="F738" i="4"/>
  <c r="E738" i="4"/>
  <c r="D738" i="4"/>
  <c r="C738" i="4"/>
  <c r="B738" i="4"/>
  <c r="A738" i="4"/>
  <c r="H737" i="4"/>
  <c r="G737" i="4"/>
  <c r="F737" i="4"/>
  <c r="E737" i="4"/>
  <c r="D737" i="4"/>
  <c r="C737" i="4"/>
  <c r="B737" i="4"/>
  <c r="A737" i="4"/>
  <c r="H736" i="4"/>
  <c r="G736" i="4"/>
  <c r="F736" i="4"/>
  <c r="E736" i="4"/>
  <c r="D736" i="4"/>
  <c r="C736" i="4"/>
  <c r="B736" i="4"/>
  <c r="A736" i="4"/>
  <c r="H735" i="4"/>
  <c r="G735" i="4"/>
  <c r="F735" i="4"/>
  <c r="E735" i="4"/>
  <c r="D735" i="4"/>
  <c r="C735" i="4"/>
  <c r="B735" i="4"/>
  <c r="A735" i="4"/>
  <c r="H734" i="4"/>
  <c r="G734" i="4"/>
  <c r="F734" i="4"/>
  <c r="E734" i="4"/>
  <c r="D734" i="4"/>
  <c r="C734" i="4"/>
  <c r="B734" i="4"/>
  <c r="A734" i="4"/>
  <c r="H733" i="4"/>
  <c r="G733" i="4"/>
  <c r="F733" i="4"/>
  <c r="E733" i="4"/>
  <c r="D733" i="4"/>
  <c r="C733" i="4"/>
  <c r="B733" i="4"/>
  <c r="A733" i="4"/>
  <c r="H732" i="4"/>
  <c r="G732" i="4"/>
  <c r="F732" i="4"/>
  <c r="E732" i="4"/>
  <c r="D732" i="4"/>
  <c r="C732" i="4"/>
  <c r="B732" i="4"/>
  <c r="A732" i="4"/>
  <c r="H731" i="4"/>
  <c r="G731" i="4"/>
  <c r="F731" i="4"/>
  <c r="E731" i="4"/>
  <c r="D731" i="4"/>
  <c r="C731" i="4"/>
  <c r="B731" i="4"/>
  <c r="A731" i="4"/>
  <c r="H730" i="4"/>
  <c r="G730" i="4"/>
  <c r="F730" i="4"/>
  <c r="E730" i="4"/>
  <c r="D730" i="4"/>
  <c r="C730" i="4"/>
  <c r="B730" i="4"/>
  <c r="A730" i="4"/>
  <c r="H729" i="4"/>
  <c r="G729" i="4"/>
  <c r="F729" i="4"/>
  <c r="E729" i="4"/>
  <c r="D729" i="4"/>
  <c r="C729" i="4"/>
  <c r="B729" i="4"/>
  <c r="A729" i="4"/>
  <c r="H728" i="4"/>
  <c r="G728" i="4"/>
  <c r="F728" i="4"/>
  <c r="E728" i="4"/>
  <c r="D728" i="4"/>
  <c r="C728" i="4"/>
  <c r="B728" i="4"/>
  <c r="A728" i="4"/>
  <c r="H727" i="4"/>
  <c r="G727" i="4"/>
  <c r="F727" i="4"/>
  <c r="E727" i="4"/>
  <c r="D727" i="4"/>
  <c r="C727" i="4"/>
  <c r="B727" i="4"/>
  <c r="A727" i="4"/>
  <c r="H726" i="4"/>
  <c r="G726" i="4"/>
  <c r="F726" i="4"/>
  <c r="E726" i="4"/>
  <c r="D726" i="4"/>
  <c r="C726" i="4"/>
  <c r="B726" i="4"/>
  <c r="A726" i="4"/>
  <c r="H725" i="4"/>
  <c r="G725" i="4"/>
  <c r="F725" i="4"/>
  <c r="E725" i="4"/>
  <c r="D725" i="4"/>
  <c r="C725" i="4"/>
  <c r="B725" i="4"/>
  <c r="A725" i="4"/>
  <c r="H724" i="4"/>
  <c r="G724" i="4"/>
  <c r="F724" i="4"/>
  <c r="E724" i="4"/>
  <c r="D724" i="4"/>
  <c r="C724" i="4"/>
  <c r="B724" i="4"/>
  <c r="A724" i="4"/>
  <c r="H723" i="4"/>
  <c r="G723" i="4"/>
  <c r="F723" i="4"/>
  <c r="E723" i="4"/>
  <c r="D723" i="4"/>
  <c r="C723" i="4"/>
  <c r="B723" i="4"/>
  <c r="A723" i="4"/>
  <c r="H722" i="4"/>
  <c r="G722" i="4"/>
  <c r="F722" i="4"/>
  <c r="E722" i="4"/>
  <c r="D722" i="4"/>
  <c r="C722" i="4"/>
  <c r="B722" i="4"/>
  <c r="A722" i="4"/>
  <c r="H721" i="4"/>
  <c r="G721" i="4"/>
  <c r="F721" i="4"/>
  <c r="E721" i="4"/>
  <c r="D721" i="4"/>
  <c r="C721" i="4"/>
  <c r="B721" i="4"/>
  <c r="A721" i="4"/>
  <c r="H720" i="4"/>
  <c r="G720" i="4"/>
  <c r="F720" i="4"/>
  <c r="E720" i="4"/>
  <c r="D720" i="4"/>
  <c r="C720" i="4"/>
  <c r="B720" i="4"/>
  <c r="A720" i="4"/>
  <c r="H719" i="4"/>
  <c r="G719" i="4"/>
  <c r="F719" i="4"/>
  <c r="E719" i="4"/>
  <c r="D719" i="4"/>
  <c r="C719" i="4"/>
  <c r="B719" i="4"/>
  <c r="A719" i="4"/>
  <c r="H718" i="4"/>
  <c r="G718" i="4"/>
  <c r="F718" i="4"/>
  <c r="E718" i="4"/>
  <c r="D718" i="4"/>
  <c r="C718" i="4"/>
  <c r="B718" i="4"/>
  <c r="A718" i="4"/>
  <c r="H717" i="4"/>
  <c r="G717" i="4"/>
  <c r="F717" i="4"/>
  <c r="E717" i="4"/>
  <c r="D717" i="4"/>
  <c r="C717" i="4"/>
  <c r="B717" i="4"/>
  <c r="A717" i="4"/>
  <c r="H716" i="4"/>
  <c r="G716" i="4"/>
  <c r="F716" i="4"/>
  <c r="E716" i="4"/>
  <c r="D716" i="4"/>
  <c r="C716" i="4"/>
  <c r="B716" i="4"/>
  <c r="A716" i="4"/>
  <c r="H715" i="4"/>
  <c r="G715" i="4"/>
  <c r="F715" i="4"/>
  <c r="E715" i="4"/>
  <c r="D715" i="4"/>
  <c r="C715" i="4"/>
  <c r="B715" i="4"/>
  <c r="A715" i="4"/>
  <c r="H714" i="4"/>
  <c r="G714" i="4"/>
  <c r="F714" i="4"/>
  <c r="E714" i="4"/>
  <c r="D714" i="4"/>
  <c r="C714" i="4"/>
  <c r="B714" i="4"/>
  <c r="A714" i="4"/>
  <c r="H713" i="4"/>
  <c r="G713" i="4"/>
  <c r="F713" i="4"/>
  <c r="E713" i="4"/>
  <c r="D713" i="4"/>
  <c r="C713" i="4"/>
  <c r="B713" i="4"/>
  <c r="A713" i="4"/>
  <c r="H712" i="4"/>
  <c r="G712" i="4"/>
  <c r="F712" i="4"/>
  <c r="E712" i="4"/>
  <c r="D712" i="4"/>
  <c r="C712" i="4"/>
  <c r="B712" i="4"/>
  <c r="A712" i="4"/>
  <c r="H711" i="4"/>
  <c r="G711" i="4"/>
  <c r="F711" i="4"/>
  <c r="E711" i="4"/>
  <c r="D711" i="4"/>
  <c r="C711" i="4"/>
  <c r="B711" i="4"/>
  <c r="A711" i="4"/>
  <c r="H710" i="4"/>
  <c r="G710" i="4"/>
  <c r="F710" i="4"/>
  <c r="E710" i="4"/>
  <c r="D710" i="4"/>
  <c r="C710" i="4"/>
  <c r="B710" i="4"/>
  <c r="A710" i="4"/>
  <c r="H709" i="4"/>
  <c r="G709" i="4"/>
  <c r="F709" i="4"/>
  <c r="E709" i="4"/>
  <c r="D709" i="4"/>
  <c r="C709" i="4"/>
  <c r="B709" i="4"/>
  <c r="A709" i="4"/>
  <c r="H708" i="4"/>
  <c r="G708" i="4"/>
  <c r="F708" i="4"/>
  <c r="E708" i="4"/>
  <c r="D708" i="4"/>
  <c r="C708" i="4"/>
  <c r="B708" i="4"/>
  <c r="A708" i="4"/>
  <c r="H707" i="4"/>
  <c r="G707" i="4"/>
  <c r="F707" i="4"/>
  <c r="E707" i="4"/>
  <c r="D707" i="4"/>
  <c r="C707" i="4"/>
  <c r="B707" i="4"/>
  <c r="A707" i="4"/>
  <c r="H706" i="4"/>
  <c r="G706" i="4"/>
  <c r="F706" i="4"/>
  <c r="E706" i="4"/>
  <c r="D706" i="4"/>
  <c r="C706" i="4"/>
  <c r="B706" i="4"/>
  <c r="A706" i="4"/>
  <c r="H705" i="4"/>
  <c r="G705" i="4"/>
  <c r="F705" i="4"/>
  <c r="E705" i="4"/>
  <c r="D705" i="4"/>
  <c r="C705" i="4"/>
  <c r="B705" i="4"/>
  <c r="A705" i="4"/>
  <c r="H704" i="4"/>
  <c r="G704" i="4"/>
  <c r="F704" i="4"/>
  <c r="E704" i="4"/>
  <c r="D704" i="4"/>
  <c r="C704" i="4"/>
  <c r="B704" i="4"/>
  <c r="A704" i="4"/>
  <c r="H703" i="4"/>
  <c r="G703" i="4"/>
  <c r="F703" i="4"/>
  <c r="E703" i="4"/>
  <c r="D703" i="4"/>
  <c r="C703" i="4"/>
  <c r="B703" i="4"/>
  <c r="A703" i="4"/>
  <c r="H702" i="4"/>
  <c r="G702" i="4"/>
  <c r="F702" i="4"/>
  <c r="E702" i="4"/>
  <c r="D702" i="4"/>
  <c r="C702" i="4"/>
  <c r="B702" i="4"/>
  <c r="A702" i="4"/>
  <c r="H701" i="4"/>
  <c r="G701" i="4"/>
  <c r="F701" i="4"/>
  <c r="E701" i="4"/>
  <c r="D701" i="4"/>
  <c r="C701" i="4"/>
  <c r="B701" i="4"/>
  <c r="A701" i="4"/>
  <c r="H700" i="4"/>
  <c r="G700" i="4"/>
  <c r="F700" i="4"/>
  <c r="E700" i="4"/>
  <c r="D700" i="4"/>
  <c r="C700" i="4"/>
  <c r="B700" i="4"/>
  <c r="A700" i="4"/>
  <c r="H699" i="4"/>
  <c r="G699" i="4"/>
  <c r="F699" i="4"/>
  <c r="E699" i="4"/>
  <c r="D699" i="4"/>
  <c r="C699" i="4"/>
  <c r="B699" i="4"/>
  <c r="A699" i="4"/>
  <c r="H698" i="4"/>
  <c r="G698" i="4"/>
  <c r="F698" i="4"/>
  <c r="E698" i="4"/>
  <c r="D698" i="4"/>
  <c r="C698" i="4"/>
  <c r="B698" i="4"/>
  <c r="A698" i="4"/>
  <c r="H697" i="4"/>
  <c r="G697" i="4"/>
  <c r="F697" i="4"/>
  <c r="E697" i="4"/>
  <c r="D697" i="4"/>
  <c r="C697" i="4"/>
  <c r="B697" i="4"/>
  <c r="A697" i="4"/>
  <c r="H696" i="4"/>
  <c r="G696" i="4"/>
  <c r="F696" i="4"/>
  <c r="E696" i="4"/>
  <c r="D696" i="4"/>
  <c r="C696" i="4"/>
  <c r="B696" i="4"/>
  <c r="A696" i="4"/>
  <c r="H695" i="4"/>
  <c r="G695" i="4"/>
  <c r="F695" i="4"/>
  <c r="E695" i="4"/>
  <c r="D695" i="4"/>
  <c r="C695" i="4"/>
  <c r="B695" i="4"/>
  <c r="A695" i="4"/>
  <c r="H694" i="4"/>
  <c r="G694" i="4"/>
  <c r="F694" i="4"/>
  <c r="E694" i="4"/>
  <c r="D694" i="4"/>
  <c r="C694" i="4"/>
  <c r="B694" i="4"/>
  <c r="A694" i="4"/>
  <c r="H693" i="4"/>
  <c r="G693" i="4"/>
  <c r="F693" i="4"/>
  <c r="E693" i="4"/>
  <c r="D693" i="4"/>
  <c r="C693" i="4"/>
  <c r="B693" i="4"/>
  <c r="A693" i="4"/>
  <c r="H692" i="4"/>
  <c r="G692" i="4"/>
  <c r="F692" i="4"/>
  <c r="E692" i="4"/>
  <c r="D692" i="4"/>
  <c r="C692" i="4"/>
  <c r="B692" i="4"/>
  <c r="A692" i="4"/>
  <c r="H691" i="4"/>
  <c r="G691" i="4"/>
  <c r="F691" i="4"/>
  <c r="E691" i="4"/>
  <c r="D691" i="4"/>
  <c r="C691" i="4"/>
  <c r="B691" i="4"/>
  <c r="A691" i="4"/>
  <c r="H690" i="4"/>
  <c r="G690" i="4"/>
  <c r="F690" i="4"/>
  <c r="E690" i="4"/>
  <c r="D690" i="4"/>
  <c r="C690" i="4"/>
  <c r="B690" i="4"/>
  <c r="A690" i="4"/>
  <c r="H689" i="4"/>
  <c r="G689" i="4"/>
  <c r="F689" i="4"/>
  <c r="E689" i="4"/>
  <c r="D689" i="4"/>
  <c r="C689" i="4"/>
  <c r="B689" i="4"/>
  <c r="A689" i="4"/>
  <c r="H688" i="4"/>
  <c r="G688" i="4"/>
  <c r="F688" i="4"/>
  <c r="E688" i="4"/>
  <c r="D688" i="4"/>
  <c r="C688" i="4"/>
  <c r="B688" i="4"/>
  <c r="A688" i="4"/>
  <c r="H687" i="4"/>
  <c r="G687" i="4"/>
  <c r="F687" i="4"/>
  <c r="E687" i="4"/>
  <c r="D687" i="4"/>
  <c r="C687" i="4"/>
  <c r="B687" i="4"/>
  <c r="A687" i="4"/>
  <c r="H686" i="4"/>
  <c r="G686" i="4"/>
  <c r="F686" i="4"/>
  <c r="E686" i="4"/>
  <c r="D686" i="4"/>
  <c r="C686" i="4"/>
  <c r="B686" i="4"/>
  <c r="A686" i="4"/>
  <c r="H685" i="4"/>
  <c r="G685" i="4"/>
  <c r="F685" i="4"/>
  <c r="E685" i="4"/>
  <c r="D685" i="4"/>
  <c r="C685" i="4"/>
  <c r="B685" i="4"/>
  <c r="A685" i="4"/>
  <c r="H684" i="4"/>
  <c r="G684" i="4"/>
  <c r="F684" i="4"/>
  <c r="E684" i="4"/>
  <c r="D684" i="4"/>
  <c r="C684" i="4"/>
  <c r="B684" i="4"/>
  <c r="A684" i="4"/>
  <c r="H683" i="4"/>
  <c r="G683" i="4"/>
  <c r="F683" i="4"/>
  <c r="E683" i="4"/>
  <c r="D683" i="4"/>
  <c r="C683" i="4"/>
  <c r="B683" i="4"/>
  <c r="A683" i="4"/>
  <c r="H682" i="4"/>
  <c r="G682" i="4"/>
  <c r="F682" i="4"/>
  <c r="E682" i="4"/>
  <c r="D682" i="4"/>
  <c r="C682" i="4"/>
  <c r="B682" i="4"/>
  <c r="A682" i="4"/>
  <c r="H681" i="4"/>
  <c r="G681" i="4"/>
  <c r="F681" i="4"/>
  <c r="E681" i="4"/>
  <c r="D681" i="4"/>
  <c r="C681" i="4"/>
  <c r="B681" i="4"/>
  <c r="A681" i="4"/>
  <c r="H680" i="4"/>
  <c r="G680" i="4"/>
  <c r="F680" i="4"/>
  <c r="E680" i="4"/>
  <c r="D680" i="4"/>
  <c r="C680" i="4"/>
  <c r="B680" i="4"/>
  <c r="A680" i="4"/>
  <c r="H679" i="4"/>
  <c r="G679" i="4"/>
  <c r="F679" i="4"/>
  <c r="E679" i="4"/>
  <c r="D679" i="4"/>
  <c r="C679" i="4"/>
  <c r="B679" i="4"/>
  <c r="A679" i="4"/>
  <c r="H678" i="4"/>
  <c r="G678" i="4"/>
  <c r="F678" i="4"/>
  <c r="E678" i="4"/>
  <c r="D678" i="4"/>
  <c r="C678" i="4"/>
  <c r="B678" i="4"/>
  <c r="A678" i="4"/>
  <c r="H677" i="4"/>
  <c r="G677" i="4"/>
  <c r="F677" i="4"/>
  <c r="E677" i="4"/>
  <c r="D677" i="4"/>
  <c r="C677" i="4"/>
  <c r="B677" i="4"/>
  <c r="A677" i="4"/>
  <c r="H676" i="4"/>
  <c r="G676" i="4"/>
  <c r="F676" i="4"/>
  <c r="E676" i="4"/>
  <c r="D676" i="4"/>
  <c r="C676" i="4"/>
  <c r="B676" i="4"/>
  <c r="A676" i="4"/>
  <c r="H675" i="4"/>
  <c r="G675" i="4"/>
  <c r="F675" i="4"/>
  <c r="E675" i="4"/>
  <c r="D675" i="4"/>
  <c r="C675" i="4"/>
  <c r="B675" i="4"/>
  <c r="A675" i="4"/>
  <c r="H674" i="4"/>
  <c r="G674" i="4"/>
  <c r="F674" i="4"/>
  <c r="E674" i="4"/>
  <c r="D674" i="4"/>
  <c r="C674" i="4"/>
  <c r="B674" i="4"/>
  <c r="A674" i="4"/>
  <c r="H673" i="4"/>
  <c r="G673" i="4"/>
  <c r="F673" i="4"/>
  <c r="E673" i="4"/>
  <c r="D673" i="4"/>
  <c r="C673" i="4"/>
  <c r="B673" i="4"/>
  <c r="A673" i="4"/>
  <c r="H672" i="4"/>
  <c r="G672" i="4"/>
  <c r="F672" i="4"/>
  <c r="E672" i="4"/>
  <c r="D672" i="4"/>
  <c r="C672" i="4"/>
  <c r="B672" i="4"/>
  <c r="A672" i="4"/>
  <c r="H671" i="4"/>
  <c r="G671" i="4"/>
  <c r="F671" i="4"/>
  <c r="E671" i="4"/>
  <c r="D671" i="4"/>
  <c r="C671" i="4"/>
  <c r="B671" i="4"/>
  <c r="A671" i="4"/>
  <c r="H670" i="4"/>
  <c r="G670" i="4"/>
  <c r="F670" i="4"/>
  <c r="E670" i="4"/>
  <c r="D670" i="4"/>
  <c r="C670" i="4"/>
  <c r="B670" i="4"/>
  <c r="A670" i="4"/>
  <c r="H669" i="4"/>
  <c r="G669" i="4"/>
  <c r="F669" i="4"/>
  <c r="E669" i="4"/>
  <c r="D669" i="4"/>
  <c r="C669" i="4"/>
  <c r="B669" i="4"/>
  <c r="A669" i="4"/>
  <c r="H668" i="4"/>
  <c r="G668" i="4"/>
  <c r="F668" i="4"/>
  <c r="E668" i="4"/>
  <c r="D668" i="4"/>
  <c r="C668" i="4"/>
  <c r="B668" i="4"/>
  <c r="A668" i="4"/>
  <c r="H667" i="4"/>
  <c r="G667" i="4"/>
  <c r="F667" i="4"/>
  <c r="E667" i="4"/>
  <c r="D667" i="4"/>
  <c r="C667" i="4"/>
  <c r="B667" i="4"/>
  <c r="A667" i="4"/>
  <c r="H666" i="4"/>
  <c r="G666" i="4"/>
  <c r="F666" i="4"/>
  <c r="E666" i="4"/>
  <c r="D666" i="4"/>
  <c r="C666" i="4"/>
  <c r="B666" i="4"/>
  <c r="A666" i="4"/>
  <c r="H665" i="4"/>
  <c r="G665" i="4"/>
  <c r="F665" i="4"/>
  <c r="E665" i="4"/>
  <c r="D665" i="4"/>
  <c r="C665" i="4"/>
  <c r="B665" i="4"/>
  <c r="A665" i="4"/>
  <c r="H664" i="4"/>
  <c r="G664" i="4"/>
  <c r="F664" i="4"/>
  <c r="E664" i="4"/>
  <c r="D664" i="4"/>
  <c r="C664" i="4"/>
  <c r="B664" i="4"/>
  <c r="A664" i="4"/>
  <c r="H663" i="4"/>
  <c r="G663" i="4"/>
  <c r="F663" i="4"/>
  <c r="E663" i="4"/>
  <c r="D663" i="4"/>
  <c r="C663" i="4"/>
  <c r="B663" i="4"/>
  <c r="A663" i="4"/>
  <c r="H662" i="4"/>
  <c r="G662" i="4"/>
  <c r="F662" i="4"/>
  <c r="E662" i="4"/>
  <c r="D662" i="4"/>
  <c r="C662" i="4"/>
  <c r="B662" i="4"/>
  <c r="A662" i="4"/>
  <c r="H661" i="4"/>
  <c r="G661" i="4"/>
  <c r="F661" i="4"/>
  <c r="E661" i="4"/>
  <c r="D661" i="4"/>
  <c r="C661" i="4"/>
  <c r="B661" i="4"/>
  <c r="A661" i="4"/>
  <c r="H660" i="4"/>
  <c r="G660" i="4"/>
  <c r="F660" i="4"/>
  <c r="E660" i="4"/>
  <c r="D660" i="4"/>
  <c r="C660" i="4"/>
  <c r="B660" i="4"/>
  <c r="A660" i="4"/>
  <c r="H659" i="4"/>
  <c r="G659" i="4"/>
  <c r="F659" i="4"/>
  <c r="E659" i="4"/>
  <c r="D659" i="4"/>
  <c r="C659" i="4"/>
  <c r="B659" i="4"/>
  <c r="A659" i="4"/>
  <c r="H658" i="4"/>
  <c r="G658" i="4"/>
  <c r="F658" i="4"/>
  <c r="E658" i="4"/>
  <c r="D658" i="4"/>
  <c r="C658" i="4"/>
  <c r="B658" i="4"/>
  <c r="A658" i="4"/>
  <c r="H657" i="4"/>
  <c r="G657" i="4"/>
  <c r="F657" i="4"/>
  <c r="E657" i="4"/>
  <c r="D657" i="4"/>
  <c r="C657" i="4"/>
  <c r="B657" i="4"/>
  <c r="A657" i="4"/>
  <c r="H656" i="4"/>
  <c r="G656" i="4"/>
  <c r="F656" i="4"/>
  <c r="E656" i="4"/>
  <c r="D656" i="4"/>
  <c r="C656" i="4"/>
  <c r="B656" i="4"/>
  <c r="A656" i="4"/>
  <c r="H655" i="4"/>
  <c r="G655" i="4"/>
  <c r="F655" i="4"/>
  <c r="E655" i="4"/>
  <c r="D655" i="4"/>
  <c r="C655" i="4"/>
  <c r="B655" i="4"/>
  <c r="A655" i="4"/>
  <c r="H654" i="4"/>
  <c r="G654" i="4"/>
  <c r="F654" i="4"/>
  <c r="E654" i="4"/>
  <c r="D654" i="4"/>
  <c r="C654" i="4"/>
  <c r="B654" i="4"/>
  <c r="A654" i="4"/>
  <c r="H653" i="4"/>
  <c r="G653" i="4"/>
  <c r="F653" i="4"/>
  <c r="E653" i="4"/>
  <c r="D653" i="4"/>
  <c r="C653" i="4"/>
  <c r="B653" i="4"/>
  <c r="A653" i="4"/>
  <c r="H652" i="4"/>
  <c r="G652" i="4"/>
  <c r="F652" i="4"/>
  <c r="E652" i="4"/>
  <c r="D652" i="4"/>
  <c r="C652" i="4"/>
  <c r="B652" i="4"/>
  <c r="A652" i="4"/>
  <c r="H651" i="4"/>
  <c r="G651" i="4"/>
  <c r="F651" i="4"/>
  <c r="E651" i="4"/>
  <c r="D651" i="4"/>
  <c r="C651" i="4"/>
  <c r="B651" i="4"/>
  <c r="A651" i="4"/>
  <c r="H650" i="4"/>
  <c r="G650" i="4"/>
  <c r="F650" i="4"/>
  <c r="E650" i="4"/>
  <c r="D650" i="4"/>
  <c r="C650" i="4"/>
  <c r="B650" i="4"/>
  <c r="A650" i="4"/>
  <c r="H649" i="4"/>
  <c r="G649" i="4"/>
  <c r="F649" i="4"/>
  <c r="E649" i="4"/>
  <c r="D649" i="4"/>
  <c r="C649" i="4"/>
  <c r="B649" i="4"/>
  <c r="A649" i="4"/>
  <c r="H648" i="4"/>
  <c r="G648" i="4"/>
  <c r="F648" i="4"/>
  <c r="E648" i="4"/>
  <c r="D648" i="4"/>
  <c r="C648" i="4"/>
  <c r="B648" i="4"/>
  <c r="A648" i="4"/>
  <c r="H647" i="4"/>
  <c r="G647" i="4"/>
  <c r="F647" i="4"/>
  <c r="E647" i="4"/>
  <c r="D647" i="4"/>
  <c r="C647" i="4"/>
  <c r="B647" i="4"/>
  <c r="A647" i="4"/>
  <c r="H646" i="4"/>
  <c r="G646" i="4"/>
  <c r="F646" i="4"/>
  <c r="E646" i="4"/>
  <c r="D646" i="4"/>
  <c r="C646" i="4"/>
  <c r="B646" i="4"/>
  <c r="A646" i="4"/>
  <c r="H645" i="4"/>
  <c r="G645" i="4"/>
  <c r="F645" i="4"/>
  <c r="E645" i="4"/>
  <c r="D645" i="4"/>
  <c r="C645" i="4"/>
  <c r="B645" i="4"/>
  <c r="A645" i="4"/>
  <c r="H644" i="4"/>
  <c r="G644" i="4"/>
  <c r="F644" i="4"/>
  <c r="E644" i="4"/>
  <c r="D644" i="4"/>
  <c r="C644" i="4"/>
  <c r="B644" i="4"/>
  <c r="A644" i="4"/>
  <c r="H643" i="4"/>
  <c r="G643" i="4"/>
  <c r="F643" i="4"/>
  <c r="E643" i="4"/>
  <c r="D643" i="4"/>
  <c r="C643" i="4"/>
  <c r="B643" i="4"/>
  <c r="A643" i="4"/>
  <c r="H642" i="4"/>
  <c r="G642" i="4"/>
  <c r="F642" i="4"/>
  <c r="E642" i="4"/>
  <c r="D642" i="4"/>
  <c r="C642" i="4"/>
  <c r="B642" i="4"/>
  <c r="A642" i="4"/>
  <c r="H641" i="4"/>
  <c r="G641" i="4"/>
  <c r="F641" i="4"/>
  <c r="E641" i="4"/>
  <c r="D641" i="4"/>
  <c r="C641" i="4"/>
  <c r="B641" i="4"/>
  <c r="A641" i="4"/>
  <c r="H640" i="4"/>
  <c r="G640" i="4"/>
  <c r="F640" i="4"/>
  <c r="E640" i="4"/>
  <c r="D640" i="4"/>
  <c r="C640" i="4"/>
  <c r="B640" i="4"/>
  <c r="A640" i="4"/>
  <c r="H639" i="4"/>
  <c r="G639" i="4"/>
  <c r="F639" i="4"/>
  <c r="E639" i="4"/>
  <c r="D639" i="4"/>
  <c r="C639" i="4"/>
  <c r="B639" i="4"/>
  <c r="A639" i="4"/>
  <c r="H638" i="4"/>
  <c r="G638" i="4"/>
  <c r="F638" i="4"/>
  <c r="E638" i="4"/>
  <c r="D638" i="4"/>
  <c r="C638" i="4"/>
  <c r="B638" i="4"/>
  <c r="A638" i="4"/>
  <c r="H637" i="4"/>
  <c r="G637" i="4"/>
  <c r="F637" i="4"/>
  <c r="E637" i="4"/>
  <c r="D637" i="4"/>
  <c r="C637" i="4"/>
  <c r="B637" i="4"/>
  <c r="A637" i="4"/>
  <c r="H636" i="4"/>
  <c r="G636" i="4"/>
  <c r="F636" i="4"/>
  <c r="E636" i="4"/>
  <c r="D636" i="4"/>
  <c r="C636" i="4"/>
  <c r="B636" i="4"/>
  <c r="A636" i="4"/>
  <c r="H635" i="4"/>
  <c r="G635" i="4"/>
  <c r="F635" i="4"/>
  <c r="E635" i="4"/>
  <c r="D635" i="4"/>
  <c r="C635" i="4"/>
  <c r="B635" i="4"/>
  <c r="A635" i="4"/>
  <c r="H634" i="4"/>
  <c r="G634" i="4"/>
  <c r="F634" i="4"/>
  <c r="E634" i="4"/>
  <c r="D634" i="4"/>
  <c r="C634" i="4"/>
  <c r="B634" i="4"/>
  <c r="A634" i="4"/>
  <c r="H633" i="4"/>
  <c r="G633" i="4"/>
  <c r="F633" i="4"/>
  <c r="E633" i="4"/>
  <c r="D633" i="4"/>
  <c r="C633" i="4"/>
  <c r="B633" i="4"/>
  <c r="A633" i="4"/>
  <c r="H632" i="4"/>
  <c r="G632" i="4"/>
  <c r="F632" i="4"/>
  <c r="E632" i="4"/>
  <c r="D632" i="4"/>
  <c r="C632" i="4"/>
  <c r="B632" i="4"/>
  <c r="A632" i="4"/>
  <c r="H631" i="4"/>
  <c r="G631" i="4"/>
  <c r="F631" i="4"/>
  <c r="E631" i="4"/>
  <c r="D631" i="4"/>
  <c r="C631" i="4"/>
  <c r="B631" i="4"/>
  <c r="A631" i="4"/>
  <c r="H630" i="4"/>
  <c r="G630" i="4"/>
  <c r="F630" i="4"/>
  <c r="E630" i="4"/>
  <c r="D630" i="4"/>
  <c r="C630" i="4"/>
  <c r="B630" i="4"/>
  <c r="A630" i="4"/>
  <c r="H629" i="4"/>
  <c r="G629" i="4"/>
  <c r="F629" i="4"/>
  <c r="E629" i="4"/>
  <c r="D629" i="4"/>
  <c r="C629" i="4"/>
  <c r="B629" i="4"/>
  <c r="A629" i="4"/>
  <c r="H628" i="4"/>
  <c r="G628" i="4"/>
  <c r="F628" i="4"/>
  <c r="E628" i="4"/>
  <c r="D628" i="4"/>
  <c r="C628" i="4"/>
  <c r="B628" i="4"/>
  <c r="A628" i="4"/>
  <c r="H627" i="4"/>
  <c r="G627" i="4"/>
  <c r="F627" i="4"/>
  <c r="E627" i="4"/>
  <c r="D627" i="4"/>
  <c r="C627" i="4"/>
  <c r="B627" i="4"/>
  <c r="A627" i="4"/>
  <c r="H626" i="4"/>
  <c r="G626" i="4"/>
  <c r="F626" i="4"/>
  <c r="E626" i="4"/>
  <c r="D626" i="4"/>
  <c r="C626" i="4"/>
  <c r="B626" i="4"/>
  <c r="A626" i="4"/>
  <c r="H625" i="4"/>
  <c r="G625" i="4"/>
  <c r="F625" i="4"/>
  <c r="E625" i="4"/>
  <c r="D625" i="4"/>
  <c r="C625" i="4"/>
  <c r="B625" i="4"/>
  <c r="A625" i="4"/>
  <c r="H624" i="4"/>
  <c r="G624" i="4"/>
  <c r="F624" i="4"/>
  <c r="E624" i="4"/>
  <c r="D624" i="4"/>
  <c r="C624" i="4"/>
  <c r="B624" i="4"/>
  <c r="A624" i="4"/>
  <c r="H623" i="4"/>
  <c r="G623" i="4"/>
  <c r="F623" i="4"/>
  <c r="E623" i="4"/>
  <c r="D623" i="4"/>
  <c r="C623" i="4"/>
  <c r="B623" i="4"/>
  <c r="A623" i="4"/>
  <c r="H622" i="4"/>
  <c r="G622" i="4"/>
  <c r="F622" i="4"/>
  <c r="E622" i="4"/>
  <c r="D622" i="4"/>
  <c r="C622" i="4"/>
  <c r="B622" i="4"/>
  <c r="A622" i="4"/>
  <c r="H621" i="4"/>
  <c r="G621" i="4"/>
  <c r="F621" i="4"/>
  <c r="E621" i="4"/>
  <c r="D621" i="4"/>
  <c r="C621" i="4"/>
  <c r="B621" i="4"/>
  <c r="A621" i="4"/>
  <c r="H620" i="4"/>
  <c r="G620" i="4"/>
  <c r="F620" i="4"/>
  <c r="E620" i="4"/>
  <c r="D620" i="4"/>
  <c r="C620" i="4"/>
  <c r="B620" i="4"/>
  <c r="A620" i="4"/>
  <c r="H619" i="4"/>
  <c r="G619" i="4"/>
  <c r="F619" i="4"/>
  <c r="E619" i="4"/>
  <c r="D619" i="4"/>
  <c r="C619" i="4"/>
  <c r="B619" i="4"/>
  <c r="A619" i="4"/>
  <c r="H618" i="4"/>
  <c r="G618" i="4"/>
  <c r="F618" i="4"/>
  <c r="E618" i="4"/>
  <c r="D618" i="4"/>
  <c r="C618" i="4"/>
  <c r="B618" i="4"/>
  <c r="A618" i="4"/>
  <c r="H617" i="4"/>
  <c r="G617" i="4"/>
  <c r="F617" i="4"/>
  <c r="E617" i="4"/>
  <c r="D617" i="4"/>
  <c r="C617" i="4"/>
  <c r="B617" i="4"/>
  <c r="A617" i="4"/>
  <c r="H616" i="4"/>
  <c r="G616" i="4"/>
  <c r="F616" i="4"/>
  <c r="E616" i="4"/>
  <c r="D616" i="4"/>
  <c r="C616" i="4"/>
  <c r="B616" i="4"/>
  <c r="A616" i="4"/>
  <c r="H615" i="4"/>
  <c r="G615" i="4"/>
  <c r="F615" i="4"/>
  <c r="E615" i="4"/>
  <c r="D615" i="4"/>
  <c r="C615" i="4"/>
  <c r="B615" i="4"/>
  <c r="A615" i="4"/>
  <c r="H614" i="4"/>
  <c r="G614" i="4"/>
  <c r="F614" i="4"/>
  <c r="E614" i="4"/>
  <c r="D614" i="4"/>
  <c r="C614" i="4"/>
  <c r="B614" i="4"/>
  <c r="A614" i="4"/>
  <c r="H613" i="4"/>
  <c r="G613" i="4"/>
  <c r="F613" i="4"/>
  <c r="E613" i="4"/>
  <c r="D613" i="4"/>
  <c r="C613" i="4"/>
  <c r="B613" i="4"/>
  <c r="A613" i="4"/>
  <c r="H612" i="4"/>
  <c r="G612" i="4"/>
  <c r="F612" i="4"/>
  <c r="E612" i="4"/>
  <c r="D612" i="4"/>
  <c r="C612" i="4"/>
  <c r="B612" i="4"/>
  <c r="A612" i="4"/>
  <c r="H611" i="4"/>
  <c r="G611" i="4"/>
  <c r="F611" i="4"/>
  <c r="E611" i="4"/>
  <c r="D611" i="4"/>
  <c r="C611" i="4"/>
  <c r="B611" i="4"/>
  <c r="A611" i="4"/>
  <c r="H610" i="4"/>
  <c r="G610" i="4"/>
  <c r="F610" i="4"/>
  <c r="E610" i="4"/>
  <c r="D610" i="4"/>
  <c r="C610" i="4"/>
  <c r="B610" i="4"/>
  <c r="A610" i="4"/>
  <c r="H609" i="4"/>
  <c r="G609" i="4"/>
  <c r="F609" i="4"/>
  <c r="E609" i="4"/>
  <c r="D609" i="4"/>
  <c r="C609" i="4"/>
  <c r="B609" i="4"/>
  <c r="A609" i="4"/>
  <c r="H608" i="4"/>
  <c r="G608" i="4"/>
  <c r="F608" i="4"/>
  <c r="E608" i="4"/>
  <c r="D608" i="4"/>
  <c r="C608" i="4"/>
  <c r="B608" i="4"/>
  <c r="A608" i="4"/>
  <c r="H607" i="4"/>
  <c r="G607" i="4"/>
  <c r="F607" i="4"/>
  <c r="E607" i="4"/>
  <c r="D607" i="4"/>
  <c r="C607" i="4"/>
  <c r="B607" i="4"/>
  <c r="A607" i="4"/>
  <c r="H606" i="4"/>
  <c r="G606" i="4"/>
  <c r="F606" i="4"/>
  <c r="E606" i="4"/>
  <c r="D606" i="4"/>
  <c r="C606" i="4"/>
  <c r="B606" i="4"/>
  <c r="A606" i="4"/>
  <c r="H605" i="4"/>
  <c r="G605" i="4"/>
  <c r="F605" i="4"/>
  <c r="E605" i="4"/>
  <c r="D605" i="4"/>
  <c r="C605" i="4"/>
  <c r="B605" i="4"/>
  <c r="A605" i="4"/>
  <c r="H604" i="4"/>
  <c r="G604" i="4"/>
  <c r="F604" i="4"/>
  <c r="E604" i="4"/>
  <c r="D604" i="4"/>
  <c r="C604" i="4"/>
  <c r="B604" i="4"/>
  <c r="A604" i="4"/>
  <c r="H603" i="4"/>
  <c r="G603" i="4"/>
  <c r="F603" i="4"/>
  <c r="E603" i="4"/>
  <c r="D603" i="4"/>
  <c r="C603" i="4"/>
  <c r="B603" i="4"/>
  <c r="A603" i="4"/>
  <c r="H602" i="4"/>
  <c r="G602" i="4"/>
  <c r="F602" i="4"/>
  <c r="E602" i="4"/>
  <c r="D602" i="4"/>
  <c r="C602" i="4"/>
  <c r="B602" i="4"/>
  <c r="A602" i="4"/>
  <c r="H601" i="4"/>
  <c r="G601" i="4"/>
  <c r="F601" i="4"/>
  <c r="E601" i="4"/>
  <c r="D601" i="4"/>
  <c r="C601" i="4"/>
  <c r="B601" i="4"/>
  <c r="A601" i="4"/>
  <c r="H600" i="4"/>
  <c r="G600" i="4"/>
  <c r="F600" i="4"/>
  <c r="E600" i="4"/>
  <c r="D600" i="4"/>
  <c r="C600" i="4"/>
  <c r="B600" i="4"/>
  <c r="A600" i="4"/>
  <c r="H599" i="4"/>
  <c r="G599" i="4"/>
  <c r="F599" i="4"/>
  <c r="E599" i="4"/>
  <c r="D599" i="4"/>
  <c r="C599" i="4"/>
  <c r="B599" i="4"/>
  <c r="A599" i="4"/>
  <c r="H598" i="4"/>
  <c r="G598" i="4"/>
  <c r="F598" i="4"/>
  <c r="E598" i="4"/>
  <c r="D598" i="4"/>
  <c r="C598" i="4"/>
  <c r="B598" i="4"/>
  <c r="A598" i="4"/>
  <c r="H597" i="4"/>
  <c r="G597" i="4"/>
  <c r="F597" i="4"/>
  <c r="E597" i="4"/>
  <c r="D597" i="4"/>
  <c r="C597" i="4"/>
  <c r="B597" i="4"/>
  <c r="A597" i="4"/>
  <c r="H596" i="4"/>
  <c r="G596" i="4"/>
  <c r="F596" i="4"/>
  <c r="E596" i="4"/>
  <c r="D596" i="4"/>
  <c r="C596" i="4"/>
  <c r="B596" i="4"/>
  <c r="A596" i="4"/>
  <c r="H595" i="4"/>
  <c r="G595" i="4"/>
  <c r="F595" i="4"/>
  <c r="E595" i="4"/>
  <c r="D595" i="4"/>
  <c r="C595" i="4"/>
  <c r="B595" i="4"/>
  <c r="A595" i="4"/>
  <c r="H594" i="4"/>
  <c r="G594" i="4"/>
  <c r="F594" i="4"/>
  <c r="E594" i="4"/>
  <c r="D594" i="4"/>
  <c r="C594" i="4"/>
  <c r="B594" i="4"/>
  <c r="A594" i="4"/>
  <c r="H593" i="4"/>
  <c r="G593" i="4"/>
  <c r="F593" i="4"/>
  <c r="E593" i="4"/>
  <c r="D593" i="4"/>
  <c r="C593" i="4"/>
  <c r="B593" i="4"/>
  <c r="A593" i="4"/>
  <c r="H592" i="4"/>
  <c r="G592" i="4"/>
  <c r="F592" i="4"/>
  <c r="E592" i="4"/>
  <c r="D592" i="4"/>
  <c r="C592" i="4"/>
  <c r="B592" i="4"/>
  <c r="A592" i="4"/>
  <c r="H591" i="4"/>
  <c r="G591" i="4"/>
  <c r="F591" i="4"/>
  <c r="E591" i="4"/>
  <c r="D591" i="4"/>
  <c r="C591" i="4"/>
  <c r="B591" i="4"/>
  <c r="A591" i="4"/>
  <c r="H590" i="4"/>
  <c r="G590" i="4"/>
  <c r="F590" i="4"/>
  <c r="E590" i="4"/>
  <c r="D590" i="4"/>
  <c r="C590" i="4"/>
  <c r="B590" i="4"/>
  <c r="A590" i="4"/>
  <c r="H589" i="4"/>
  <c r="G589" i="4"/>
  <c r="F589" i="4"/>
  <c r="E589" i="4"/>
  <c r="D589" i="4"/>
  <c r="C589" i="4"/>
  <c r="B589" i="4"/>
  <c r="A589" i="4"/>
  <c r="H588" i="4"/>
  <c r="G588" i="4"/>
  <c r="F588" i="4"/>
  <c r="E588" i="4"/>
  <c r="D588" i="4"/>
  <c r="C588" i="4"/>
  <c r="B588" i="4"/>
  <c r="A588" i="4"/>
  <c r="H587" i="4"/>
  <c r="G587" i="4"/>
  <c r="F587" i="4"/>
  <c r="E587" i="4"/>
  <c r="D587" i="4"/>
  <c r="C587" i="4"/>
  <c r="B587" i="4"/>
  <c r="A587" i="4"/>
  <c r="H586" i="4"/>
  <c r="G586" i="4"/>
  <c r="F586" i="4"/>
  <c r="E586" i="4"/>
  <c r="D586" i="4"/>
  <c r="C586" i="4"/>
  <c r="B586" i="4"/>
  <c r="A586" i="4"/>
  <c r="H585" i="4"/>
  <c r="G585" i="4"/>
  <c r="F585" i="4"/>
  <c r="E585" i="4"/>
  <c r="D585" i="4"/>
  <c r="C585" i="4"/>
  <c r="B585" i="4"/>
  <c r="A585" i="4"/>
  <c r="H584" i="4"/>
  <c r="G584" i="4"/>
  <c r="F584" i="4"/>
  <c r="E584" i="4"/>
  <c r="D584" i="4"/>
  <c r="C584" i="4"/>
  <c r="B584" i="4"/>
  <c r="A584" i="4"/>
  <c r="H583" i="4"/>
  <c r="G583" i="4"/>
  <c r="F583" i="4"/>
  <c r="E583" i="4"/>
  <c r="D583" i="4"/>
  <c r="C583" i="4"/>
  <c r="B583" i="4"/>
  <c r="A583" i="4"/>
  <c r="H582" i="4"/>
  <c r="G582" i="4"/>
  <c r="F582" i="4"/>
  <c r="E582" i="4"/>
  <c r="D582" i="4"/>
  <c r="C582" i="4"/>
  <c r="B582" i="4"/>
  <c r="A582" i="4"/>
  <c r="H581" i="4"/>
  <c r="G581" i="4"/>
  <c r="F581" i="4"/>
  <c r="E581" i="4"/>
  <c r="D581" i="4"/>
  <c r="C581" i="4"/>
  <c r="B581" i="4"/>
  <c r="A581" i="4"/>
  <c r="H580" i="4"/>
  <c r="G580" i="4"/>
  <c r="F580" i="4"/>
  <c r="E580" i="4"/>
  <c r="D580" i="4"/>
  <c r="C580" i="4"/>
  <c r="B580" i="4"/>
  <c r="A580" i="4"/>
  <c r="H579" i="4"/>
  <c r="G579" i="4"/>
  <c r="F579" i="4"/>
  <c r="E579" i="4"/>
  <c r="D579" i="4"/>
  <c r="C579" i="4"/>
  <c r="B579" i="4"/>
  <c r="A579" i="4"/>
  <c r="H578" i="4"/>
  <c r="G578" i="4"/>
  <c r="F578" i="4"/>
  <c r="E578" i="4"/>
  <c r="D578" i="4"/>
  <c r="C578" i="4"/>
  <c r="B578" i="4"/>
  <c r="A578" i="4"/>
  <c r="H577" i="4"/>
  <c r="G577" i="4"/>
  <c r="F577" i="4"/>
  <c r="E577" i="4"/>
  <c r="D577" i="4"/>
  <c r="C577" i="4"/>
  <c r="B577" i="4"/>
  <c r="A577" i="4"/>
  <c r="H576" i="4"/>
  <c r="G576" i="4"/>
  <c r="F576" i="4"/>
  <c r="E576" i="4"/>
  <c r="D576" i="4"/>
  <c r="C576" i="4"/>
  <c r="B576" i="4"/>
  <c r="A576" i="4"/>
  <c r="H575" i="4"/>
  <c r="G575" i="4"/>
  <c r="F575" i="4"/>
  <c r="E575" i="4"/>
  <c r="D575" i="4"/>
  <c r="C575" i="4"/>
  <c r="B575" i="4"/>
  <c r="A575" i="4"/>
  <c r="H574" i="4"/>
  <c r="G574" i="4"/>
  <c r="F574" i="4"/>
  <c r="E574" i="4"/>
  <c r="D574" i="4"/>
  <c r="C574" i="4"/>
  <c r="B574" i="4"/>
  <c r="A574" i="4"/>
  <c r="H573" i="4"/>
  <c r="G573" i="4"/>
  <c r="F573" i="4"/>
  <c r="E573" i="4"/>
  <c r="D573" i="4"/>
  <c r="C573" i="4"/>
  <c r="B573" i="4"/>
  <c r="A573" i="4"/>
  <c r="H572" i="4"/>
  <c r="G572" i="4"/>
  <c r="F572" i="4"/>
  <c r="E572" i="4"/>
  <c r="D572" i="4"/>
  <c r="C572" i="4"/>
  <c r="B572" i="4"/>
  <c r="A572" i="4"/>
  <c r="H571" i="4"/>
  <c r="G571" i="4"/>
  <c r="F571" i="4"/>
  <c r="E571" i="4"/>
  <c r="D571" i="4"/>
  <c r="C571" i="4"/>
  <c r="B571" i="4"/>
  <c r="A571" i="4"/>
  <c r="H570" i="4"/>
  <c r="G570" i="4"/>
  <c r="F570" i="4"/>
  <c r="E570" i="4"/>
  <c r="D570" i="4"/>
  <c r="C570" i="4"/>
  <c r="B570" i="4"/>
  <c r="A570" i="4"/>
  <c r="H569" i="4"/>
  <c r="G569" i="4"/>
  <c r="F569" i="4"/>
  <c r="E569" i="4"/>
  <c r="D569" i="4"/>
  <c r="C569" i="4"/>
  <c r="B569" i="4"/>
  <c r="A569" i="4"/>
  <c r="H568" i="4"/>
  <c r="G568" i="4"/>
  <c r="F568" i="4"/>
  <c r="E568" i="4"/>
  <c r="D568" i="4"/>
  <c r="C568" i="4"/>
  <c r="B568" i="4"/>
  <c r="A568" i="4"/>
  <c r="H567" i="4"/>
  <c r="G567" i="4"/>
  <c r="F567" i="4"/>
  <c r="E567" i="4"/>
  <c r="D567" i="4"/>
  <c r="C567" i="4"/>
  <c r="B567" i="4"/>
  <c r="A567" i="4"/>
  <c r="H566" i="4"/>
  <c r="G566" i="4"/>
  <c r="F566" i="4"/>
  <c r="E566" i="4"/>
  <c r="D566" i="4"/>
  <c r="C566" i="4"/>
  <c r="B566" i="4"/>
  <c r="A566" i="4"/>
  <c r="H565" i="4"/>
  <c r="G565" i="4"/>
  <c r="F565" i="4"/>
  <c r="E565" i="4"/>
  <c r="D565" i="4"/>
  <c r="C565" i="4"/>
  <c r="B565" i="4"/>
  <c r="A565" i="4"/>
  <c r="H564" i="4"/>
  <c r="G564" i="4"/>
  <c r="F564" i="4"/>
  <c r="E564" i="4"/>
  <c r="D564" i="4"/>
  <c r="C564" i="4"/>
  <c r="B564" i="4"/>
  <c r="A564" i="4"/>
  <c r="H563" i="4"/>
  <c r="G563" i="4"/>
  <c r="F563" i="4"/>
  <c r="E563" i="4"/>
  <c r="D563" i="4"/>
  <c r="C563" i="4"/>
  <c r="B563" i="4"/>
  <c r="A563" i="4"/>
  <c r="H562" i="4"/>
  <c r="G562" i="4"/>
  <c r="F562" i="4"/>
  <c r="E562" i="4"/>
  <c r="D562" i="4"/>
  <c r="C562" i="4"/>
  <c r="B562" i="4"/>
  <c r="A562" i="4"/>
  <c r="H561" i="4"/>
  <c r="G561" i="4"/>
  <c r="F561" i="4"/>
  <c r="E561" i="4"/>
  <c r="D561" i="4"/>
  <c r="C561" i="4"/>
  <c r="B561" i="4"/>
  <c r="A561" i="4"/>
  <c r="H560" i="4"/>
  <c r="G560" i="4"/>
  <c r="F560" i="4"/>
  <c r="E560" i="4"/>
  <c r="D560" i="4"/>
  <c r="C560" i="4"/>
  <c r="B560" i="4"/>
  <c r="A560" i="4"/>
  <c r="H559" i="4"/>
  <c r="G559" i="4"/>
  <c r="F559" i="4"/>
  <c r="E559" i="4"/>
  <c r="D559" i="4"/>
  <c r="C559" i="4"/>
  <c r="B559" i="4"/>
  <c r="A559" i="4"/>
  <c r="H558" i="4"/>
  <c r="G558" i="4"/>
  <c r="F558" i="4"/>
  <c r="E558" i="4"/>
  <c r="D558" i="4"/>
  <c r="C558" i="4"/>
  <c r="B558" i="4"/>
  <c r="A558" i="4"/>
  <c r="H557" i="4"/>
  <c r="G557" i="4"/>
  <c r="F557" i="4"/>
  <c r="E557" i="4"/>
  <c r="D557" i="4"/>
  <c r="C557" i="4"/>
  <c r="B557" i="4"/>
  <c r="A557" i="4"/>
  <c r="H556" i="4"/>
  <c r="G556" i="4"/>
  <c r="F556" i="4"/>
  <c r="E556" i="4"/>
  <c r="D556" i="4"/>
  <c r="C556" i="4"/>
  <c r="B556" i="4"/>
  <c r="A556" i="4"/>
  <c r="H555" i="4"/>
  <c r="G555" i="4"/>
  <c r="F555" i="4"/>
  <c r="E555" i="4"/>
  <c r="D555" i="4"/>
  <c r="C555" i="4"/>
  <c r="B555" i="4"/>
  <c r="A555" i="4"/>
  <c r="H554" i="4"/>
  <c r="G554" i="4"/>
  <c r="F554" i="4"/>
  <c r="E554" i="4"/>
  <c r="D554" i="4"/>
  <c r="C554" i="4"/>
  <c r="B554" i="4"/>
  <c r="A554" i="4"/>
  <c r="H553" i="4"/>
  <c r="G553" i="4"/>
  <c r="F553" i="4"/>
  <c r="E553" i="4"/>
  <c r="D553" i="4"/>
  <c r="C553" i="4"/>
  <c r="B553" i="4"/>
  <c r="A553" i="4"/>
  <c r="H552" i="4"/>
  <c r="G552" i="4"/>
  <c r="F552" i="4"/>
  <c r="E552" i="4"/>
  <c r="D552" i="4"/>
  <c r="C552" i="4"/>
  <c r="B552" i="4"/>
  <c r="A552" i="4"/>
  <c r="H551" i="4"/>
  <c r="G551" i="4"/>
  <c r="F551" i="4"/>
  <c r="E551" i="4"/>
  <c r="D551" i="4"/>
  <c r="C551" i="4"/>
  <c r="B551" i="4"/>
  <c r="A551" i="4"/>
  <c r="H550" i="4"/>
  <c r="G550" i="4"/>
  <c r="F550" i="4"/>
  <c r="E550" i="4"/>
  <c r="D550" i="4"/>
  <c r="C550" i="4"/>
  <c r="B550" i="4"/>
  <c r="A550" i="4"/>
  <c r="H549" i="4"/>
  <c r="G549" i="4"/>
  <c r="F549" i="4"/>
  <c r="E549" i="4"/>
  <c r="D549" i="4"/>
  <c r="C549" i="4"/>
  <c r="B549" i="4"/>
  <c r="A549" i="4"/>
  <c r="H548" i="4"/>
  <c r="G548" i="4"/>
  <c r="F548" i="4"/>
  <c r="E548" i="4"/>
  <c r="D548" i="4"/>
  <c r="C548" i="4"/>
  <c r="B548" i="4"/>
  <c r="A548" i="4"/>
  <c r="H547" i="4"/>
  <c r="G547" i="4"/>
  <c r="F547" i="4"/>
  <c r="E547" i="4"/>
  <c r="D547" i="4"/>
  <c r="C547" i="4"/>
  <c r="B547" i="4"/>
  <c r="A547" i="4"/>
  <c r="H546" i="4"/>
  <c r="G546" i="4"/>
  <c r="F546" i="4"/>
  <c r="E546" i="4"/>
  <c r="D546" i="4"/>
  <c r="C546" i="4"/>
  <c r="B546" i="4"/>
  <c r="A546" i="4"/>
  <c r="H545" i="4"/>
  <c r="G545" i="4"/>
  <c r="F545" i="4"/>
  <c r="E545" i="4"/>
  <c r="D545" i="4"/>
  <c r="C545" i="4"/>
  <c r="B545" i="4"/>
  <c r="A545" i="4"/>
  <c r="H544" i="4"/>
  <c r="G544" i="4"/>
  <c r="F544" i="4"/>
  <c r="E544" i="4"/>
  <c r="D544" i="4"/>
  <c r="C544" i="4"/>
  <c r="B544" i="4"/>
  <c r="A544" i="4"/>
  <c r="H543" i="4"/>
  <c r="G543" i="4"/>
  <c r="F543" i="4"/>
  <c r="E543" i="4"/>
  <c r="D543" i="4"/>
  <c r="C543" i="4"/>
  <c r="B543" i="4"/>
  <c r="A543" i="4"/>
  <c r="H542" i="4"/>
  <c r="G542" i="4"/>
  <c r="F542" i="4"/>
  <c r="E542" i="4"/>
  <c r="D542" i="4"/>
  <c r="C542" i="4"/>
  <c r="B542" i="4"/>
  <c r="A542" i="4"/>
  <c r="H541" i="4"/>
  <c r="G541" i="4"/>
  <c r="F541" i="4"/>
  <c r="E541" i="4"/>
  <c r="D541" i="4"/>
  <c r="C541" i="4"/>
  <c r="B541" i="4"/>
  <c r="A541" i="4"/>
  <c r="H540" i="4"/>
  <c r="G540" i="4"/>
  <c r="F540" i="4"/>
  <c r="E540" i="4"/>
  <c r="D540" i="4"/>
  <c r="C540" i="4"/>
  <c r="B540" i="4"/>
  <c r="A540" i="4"/>
  <c r="H539" i="4"/>
  <c r="G539" i="4"/>
  <c r="F539" i="4"/>
  <c r="E539" i="4"/>
  <c r="D539" i="4"/>
  <c r="C539" i="4"/>
  <c r="B539" i="4"/>
  <c r="A539" i="4"/>
  <c r="H538" i="4"/>
  <c r="G538" i="4"/>
  <c r="F538" i="4"/>
  <c r="E538" i="4"/>
  <c r="D538" i="4"/>
  <c r="C538" i="4"/>
  <c r="B538" i="4"/>
  <c r="A538" i="4"/>
  <c r="H537" i="4"/>
  <c r="G537" i="4"/>
  <c r="F537" i="4"/>
  <c r="E537" i="4"/>
  <c r="D537" i="4"/>
  <c r="C537" i="4"/>
  <c r="B537" i="4"/>
  <c r="A537" i="4"/>
  <c r="H536" i="4"/>
  <c r="G536" i="4"/>
  <c r="F536" i="4"/>
  <c r="E536" i="4"/>
  <c r="D536" i="4"/>
  <c r="C536" i="4"/>
  <c r="B536" i="4"/>
  <c r="A536" i="4"/>
  <c r="H535" i="4"/>
  <c r="G535" i="4"/>
  <c r="F535" i="4"/>
  <c r="E535" i="4"/>
  <c r="D535" i="4"/>
  <c r="C535" i="4"/>
  <c r="B535" i="4"/>
  <c r="A535" i="4"/>
  <c r="H534" i="4"/>
  <c r="G534" i="4"/>
  <c r="F534" i="4"/>
  <c r="E534" i="4"/>
  <c r="D534" i="4"/>
  <c r="C534" i="4"/>
  <c r="B534" i="4"/>
  <c r="A534" i="4"/>
  <c r="H533" i="4"/>
  <c r="G533" i="4"/>
  <c r="F533" i="4"/>
  <c r="E533" i="4"/>
  <c r="D533" i="4"/>
  <c r="C533" i="4"/>
  <c r="B533" i="4"/>
  <c r="A533" i="4"/>
  <c r="H532" i="4"/>
  <c r="G532" i="4"/>
  <c r="F532" i="4"/>
  <c r="E532" i="4"/>
  <c r="D532" i="4"/>
  <c r="C532" i="4"/>
  <c r="B532" i="4"/>
  <c r="A532" i="4"/>
  <c r="H531" i="4"/>
  <c r="G531" i="4"/>
  <c r="F531" i="4"/>
  <c r="E531" i="4"/>
  <c r="D531" i="4"/>
  <c r="C531" i="4"/>
  <c r="B531" i="4"/>
  <c r="A531" i="4"/>
  <c r="H530" i="4"/>
  <c r="G530" i="4"/>
  <c r="F530" i="4"/>
  <c r="E530" i="4"/>
  <c r="D530" i="4"/>
  <c r="C530" i="4"/>
  <c r="B530" i="4"/>
  <c r="A530" i="4"/>
  <c r="H529" i="4"/>
  <c r="G529" i="4"/>
  <c r="F529" i="4"/>
  <c r="E529" i="4"/>
  <c r="D529" i="4"/>
  <c r="C529" i="4"/>
  <c r="B529" i="4"/>
  <c r="A529" i="4"/>
  <c r="H528" i="4"/>
  <c r="G528" i="4"/>
  <c r="F528" i="4"/>
  <c r="E528" i="4"/>
  <c r="D528" i="4"/>
  <c r="C528" i="4"/>
  <c r="B528" i="4"/>
  <c r="A528" i="4"/>
  <c r="H527" i="4"/>
  <c r="G527" i="4"/>
  <c r="F527" i="4"/>
  <c r="E527" i="4"/>
  <c r="D527" i="4"/>
  <c r="C527" i="4"/>
  <c r="B527" i="4"/>
  <c r="A527" i="4"/>
  <c r="H526" i="4"/>
  <c r="G526" i="4"/>
  <c r="F526" i="4"/>
  <c r="E526" i="4"/>
  <c r="D526" i="4"/>
  <c r="C526" i="4"/>
  <c r="B526" i="4"/>
  <c r="A526" i="4"/>
  <c r="H525" i="4"/>
  <c r="G525" i="4"/>
  <c r="F525" i="4"/>
  <c r="E525" i="4"/>
  <c r="D525" i="4"/>
  <c r="C525" i="4"/>
  <c r="B525" i="4"/>
  <c r="A525" i="4"/>
  <c r="H524" i="4"/>
  <c r="G524" i="4"/>
  <c r="F524" i="4"/>
  <c r="E524" i="4"/>
  <c r="D524" i="4"/>
  <c r="C524" i="4"/>
  <c r="B524" i="4"/>
  <c r="A524" i="4"/>
  <c r="H523" i="4"/>
  <c r="G523" i="4"/>
  <c r="F523" i="4"/>
  <c r="E523" i="4"/>
  <c r="D523" i="4"/>
  <c r="C523" i="4"/>
  <c r="B523" i="4"/>
  <c r="A523" i="4"/>
  <c r="H522" i="4"/>
  <c r="G522" i="4"/>
  <c r="F522" i="4"/>
  <c r="E522" i="4"/>
  <c r="D522" i="4"/>
  <c r="C522" i="4"/>
  <c r="B522" i="4"/>
  <c r="A522" i="4"/>
  <c r="H521" i="4"/>
  <c r="G521" i="4"/>
  <c r="F521" i="4"/>
  <c r="E521" i="4"/>
  <c r="D521" i="4"/>
  <c r="C521" i="4"/>
  <c r="B521" i="4"/>
  <c r="A521" i="4"/>
  <c r="H520" i="4"/>
  <c r="G520" i="4"/>
  <c r="F520" i="4"/>
  <c r="E520" i="4"/>
  <c r="D520" i="4"/>
  <c r="C520" i="4"/>
  <c r="B520" i="4"/>
  <c r="A520" i="4"/>
  <c r="H519" i="4"/>
  <c r="G519" i="4"/>
  <c r="F519" i="4"/>
  <c r="E519" i="4"/>
  <c r="D519" i="4"/>
  <c r="C519" i="4"/>
  <c r="B519" i="4"/>
  <c r="A519" i="4"/>
  <c r="H518" i="4"/>
  <c r="G518" i="4"/>
  <c r="F518" i="4"/>
  <c r="E518" i="4"/>
  <c r="D518" i="4"/>
  <c r="C518" i="4"/>
  <c r="B518" i="4"/>
  <c r="A518" i="4"/>
  <c r="H517" i="4"/>
  <c r="G517" i="4"/>
  <c r="F517" i="4"/>
  <c r="E517" i="4"/>
  <c r="D517" i="4"/>
  <c r="C517" i="4"/>
  <c r="B517" i="4"/>
  <c r="A517" i="4"/>
  <c r="H516" i="4"/>
  <c r="G516" i="4"/>
  <c r="F516" i="4"/>
  <c r="E516" i="4"/>
  <c r="D516" i="4"/>
  <c r="C516" i="4"/>
  <c r="B516" i="4"/>
  <c r="A516" i="4"/>
  <c r="H515" i="4"/>
  <c r="G515" i="4"/>
  <c r="F515" i="4"/>
  <c r="E515" i="4"/>
  <c r="D515" i="4"/>
  <c r="C515" i="4"/>
  <c r="B515" i="4"/>
  <c r="A515" i="4"/>
  <c r="H514" i="4"/>
  <c r="G514" i="4"/>
  <c r="F514" i="4"/>
  <c r="E514" i="4"/>
  <c r="D514" i="4"/>
  <c r="C514" i="4"/>
  <c r="B514" i="4"/>
  <c r="A514" i="4"/>
  <c r="H513" i="4"/>
  <c r="G513" i="4"/>
  <c r="F513" i="4"/>
  <c r="E513" i="4"/>
  <c r="D513" i="4"/>
  <c r="C513" i="4"/>
  <c r="B513" i="4"/>
  <c r="A513" i="4"/>
  <c r="H512" i="4"/>
  <c r="G512" i="4"/>
  <c r="F512" i="4"/>
  <c r="E512" i="4"/>
  <c r="D512" i="4"/>
  <c r="C512" i="4"/>
  <c r="B512" i="4"/>
  <c r="A512" i="4"/>
  <c r="H511" i="4"/>
  <c r="G511" i="4"/>
  <c r="F511" i="4"/>
  <c r="E511" i="4"/>
  <c r="D511" i="4"/>
  <c r="C511" i="4"/>
  <c r="B511" i="4"/>
  <c r="A511" i="4"/>
  <c r="H510" i="4"/>
  <c r="G510" i="4"/>
  <c r="F510" i="4"/>
  <c r="E510" i="4"/>
  <c r="D510" i="4"/>
  <c r="C510" i="4"/>
  <c r="B510" i="4"/>
  <c r="A510" i="4"/>
  <c r="H509" i="4"/>
  <c r="G509" i="4"/>
  <c r="F509" i="4"/>
  <c r="E509" i="4"/>
  <c r="D509" i="4"/>
  <c r="C509" i="4"/>
  <c r="B509" i="4"/>
  <c r="A509" i="4"/>
  <c r="H508" i="4"/>
  <c r="G508" i="4"/>
  <c r="F508" i="4"/>
  <c r="E508" i="4"/>
  <c r="D508" i="4"/>
  <c r="C508" i="4"/>
  <c r="B508" i="4"/>
  <c r="A508" i="4"/>
  <c r="H507" i="4"/>
  <c r="G507" i="4"/>
  <c r="F507" i="4"/>
  <c r="E507" i="4"/>
  <c r="D507" i="4"/>
  <c r="C507" i="4"/>
  <c r="B507" i="4"/>
  <c r="A507" i="4"/>
  <c r="H506" i="4"/>
  <c r="G506" i="4"/>
  <c r="F506" i="4"/>
  <c r="E506" i="4"/>
  <c r="D506" i="4"/>
  <c r="C506" i="4"/>
  <c r="B506" i="4"/>
  <c r="A506" i="4"/>
  <c r="H505" i="4"/>
  <c r="G505" i="4"/>
  <c r="F505" i="4"/>
  <c r="E505" i="4"/>
  <c r="D505" i="4"/>
  <c r="C505" i="4"/>
  <c r="B505" i="4"/>
  <c r="A505" i="4"/>
  <c r="H504" i="4"/>
  <c r="G504" i="4"/>
  <c r="F504" i="4"/>
  <c r="E504" i="4"/>
  <c r="D504" i="4"/>
  <c r="C504" i="4"/>
  <c r="B504" i="4"/>
  <c r="A504" i="4"/>
  <c r="H503" i="4"/>
  <c r="G503" i="4"/>
  <c r="F503" i="4"/>
  <c r="E503" i="4"/>
  <c r="D503" i="4"/>
  <c r="C503" i="4"/>
  <c r="B503" i="4"/>
  <c r="A503" i="4"/>
  <c r="H502" i="4"/>
  <c r="G502" i="4"/>
  <c r="F502" i="4"/>
  <c r="E502" i="4"/>
  <c r="D502" i="4"/>
  <c r="C502" i="4"/>
  <c r="B502" i="4"/>
  <c r="A502" i="4"/>
  <c r="H501" i="4"/>
  <c r="G501" i="4"/>
  <c r="F501" i="4"/>
  <c r="E501" i="4"/>
  <c r="D501" i="4"/>
  <c r="C501" i="4"/>
  <c r="B501" i="4"/>
  <c r="A501" i="4"/>
  <c r="H500" i="4"/>
  <c r="G500" i="4"/>
  <c r="F500" i="4"/>
  <c r="E500" i="4"/>
  <c r="D500" i="4"/>
  <c r="C500" i="4"/>
  <c r="B500" i="4"/>
  <c r="A500" i="4"/>
  <c r="H499" i="4"/>
  <c r="G499" i="4"/>
  <c r="F499" i="4"/>
  <c r="E499" i="4"/>
  <c r="D499" i="4"/>
  <c r="C499" i="4"/>
  <c r="B499" i="4"/>
  <c r="A499" i="4"/>
  <c r="H498" i="4"/>
  <c r="G498" i="4"/>
  <c r="F498" i="4"/>
  <c r="E498" i="4"/>
  <c r="D498" i="4"/>
  <c r="C498" i="4"/>
  <c r="B498" i="4"/>
  <c r="A498" i="4"/>
  <c r="H497" i="4"/>
  <c r="G497" i="4"/>
  <c r="F497" i="4"/>
  <c r="E497" i="4"/>
  <c r="D497" i="4"/>
  <c r="C497" i="4"/>
  <c r="B497" i="4"/>
  <c r="A497" i="4"/>
  <c r="H496" i="4"/>
  <c r="G496" i="4"/>
  <c r="F496" i="4"/>
  <c r="E496" i="4"/>
  <c r="D496" i="4"/>
  <c r="C496" i="4"/>
  <c r="B496" i="4"/>
  <c r="A496" i="4"/>
  <c r="H495" i="4"/>
  <c r="G495" i="4"/>
  <c r="F495" i="4"/>
  <c r="E495" i="4"/>
  <c r="D495" i="4"/>
  <c r="C495" i="4"/>
  <c r="B495" i="4"/>
  <c r="A495" i="4"/>
  <c r="H494" i="4"/>
  <c r="G494" i="4"/>
  <c r="F494" i="4"/>
  <c r="E494" i="4"/>
  <c r="D494" i="4"/>
  <c r="C494" i="4"/>
  <c r="B494" i="4"/>
  <c r="A494" i="4"/>
  <c r="H493" i="4"/>
  <c r="G493" i="4"/>
  <c r="F493" i="4"/>
  <c r="E493" i="4"/>
  <c r="D493" i="4"/>
  <c r="C493" i="4"/>
  <c r="B493" i="4"/>
  <c r="A493" i="4"/>
  <c r="H492" i="4"/>
  <c r="G492" i="4"/>
  <c r="F492" i="4"/>
  <c r="E492" i="4"/>
  <c r="D492" i="4"/>
  <c r="C492" i="4"/>
  <c r="B492" i="4"/>
  <c r="A492" i="4"/>
  <c r="H491" i="4"/>
  <c r="G491" i="4"/>
  <c r="F491" i="4"/>
  <c r="E491" i="4"/>
  <c r="D491" i="4"/>
  <c r="C491" i="4"/>
  <c r="B491" i="4"/>
  <c r="A491" i="4"/>
  <c r="H490" i="4"/>
  <c r="G490" i="4"/>
  <c r="F490" i="4"/>
  <c r="E490" i="4"/>
  <c r="D490" i="4"/>
  <c r="C490" i="4"/>
  <c r="B490" i="4"/>
  <c r="A490" i="4"/>
  <c r="H489" i="4"/>
  <c r="G489" i="4"/>
  <c r="F489" i="4"/>
  <c r="E489" i="4"/>
  <c r="D489" i="4"/>
  <c r="C489" i="4"/>
  <c r="B489" i="4"/>
  <c r="A489" i="4"/>
  <c r="H488" i="4"/>
  <c r="G488" i="4"/>
  <c r="F488" i="4"/>
  <c r="E488" i="4"/>
  <c r="D488" i="4"/>
  <c r="C488" i="4"/>
  <c r="B488" i="4"/>
  <c r="A488" i="4"/>
  <c r="H487" i="4"/>
  <c r="G487" i="4"/>
  <c r="F487" i="4"/>
  <c r="E487" i="4"/>
  <c r="D487" i="4"/>
  <c r="C487" i="4"/>
  <c r="B487" i="4"/>
  <c r="A487" i="4"/>
  <c r="H486" i="4"/>
  <c r="G486" i="4"/>
  <c r="F486" i="4"/>
  <c r="E486" i="4"/>
  <c r="D486" i="4"/>
  <c r="C486" i="4"/>
  <c r="B486" i="4"/>
  <c r="A486" i="4"/>
  <c r="H485" i="4"/>
  <c r="G485" i="4"/>
  <c r="F485" i="4"/>
  <c r="E485" i="4"/>
  <c r="D485" i="4"/>
  <c r="C485" i="4"/>
  <c r="B485" i="4"/>
  <c r="A485" i="4"/>
  <c r="H484" i="4"/>
  <c r="G484" i="4"/>
  <c r="F484" i="4"/>
  <c r="E484" i="4"/>
  <c r="D484" i="4"/>
  <c r="C484" i="4"/>
  <c r="B484" i="4"/>
  <c r="A484" i="4"/>
  <c r="H483" i="4"/>
  <c r="G483" i="4"/>
  <c r="F483" i="4"/>
  <c r="E483" i="4"/>
  <c r="D483" i="4"/>
  <c r="C483" i="4"/>
  <c r="B483" i="4"/>
  <c r="A483" i="4"/>
  <c r="H482" i="4"/>
  <c r="G482" i="4"/>
  <c r="F482" i="4"/>
  <c r="E482" i="4"/>
  <c r="D482" i="4"/>
  <c r="C482" i="4"/>
  <c r="B482" i="4"/>
  <c r="A482" i="4"/>
  <c r="H481" i="4"/>
  <c r="G481" i="4"/>
  <c r="F481" i="4"/>
  <c r="E481" i="4"/>
  <c r="D481" i="4"/>
  <c r="C481" i="4"/>
  <c r="B481" i="4"/>
  <c r="A481" i="4"/>
  <c r="H480" i="4"/>
  <c r="G480" i="4"/>
  <c r="F480" i="4"/>
  <c r="E480" i="4"/>
  <c r="D480" i="4"/>
  <c r="C480" i="4"/>
  <c r="B480" i="4"/>
  <c r="A480" i="4"/>
  <c r="H479" i="4"/>
  <c r="G479" i="4"/>
  <c r="F479" i="4"/>
  <c r="E479" i="4"/>
  <c r="D479" i="4"/>
  <c r="C479" i="4"/>
  <c r="B479" i="4"/>
  <c r="A479" i="4"/>
  <c r="H478" i="4"/>
  <c r="G478" i="4"/>
  <c r="F478" i="4"/>
  <c r="E478" i="4"/>
  <c r="D478" i="4"/>
  <c r="C478" i="4"/>
  <c r="B478" i="4"/>
  <c r="A478" i="4"/>
  <c r="H477" i="4"/>
  <c r="G477" i="4"/>
  <c r="F477" i="4"/>
  <c r="E477" i="4"/>
  <c r="D477" i="4"/>
  <c r="C477" i="4"/>
  <c r="B477" i="4"/>
  <c r="A477" i="4"/>
  <c r="H476" i="4"/>
  <c r="G476" i="4"/>
  <c r="F476" i="4"/>
  <c r="E476" i="4"/>
  <c r="D476" i="4"/>
  <c r="C476" i="4"/>
  <c r="B476" i="4"/>
  <c r="A476" i="4"/>
  <c r="H475" i="4"/>
  <c r="G475" i="4"/>
  <c r="F475" i="4"/>
  <c r="E475" i="4"/>
  <c r="D475" i="4"/>
  <c r="C475" i="4"/>
  <c r="B475" i="4"/>
  <c r="A475" i="4"/>
  <c r="H474" i="4"/>
  <c r="G474" i="4"/>
  <c r="F474" i="4"/>
  <c r="E474" i="4"/>
  <c r="D474" i="4"/>
  <c r="C474" i="4"/>
  <c r="B474" i="4"/>
  <c r="A474" i="4"/>
  <c r="H473" i="4"/>
  <c r="G473" i="4"/>
  <c r="F473" i="4"/>
  <c r="E473" i="4"/>
  <c r="D473" i="4"/>
  <c r="C473" i="4"/>
  <c r="B473" i="4"/>
  <c r="A473" i="4"/>
  <c r="H472" i="4"/>
  <c r="G472" i="4"/>
  <c r="F472" i="4"/>
  <c r="E472" i="4"/>
  <c r="D472" i="4"/>
  <c r="C472" i="4"/>
  <c r="B472" i="4"/>
  <c r="A472" i="4"/>
  <c r="H471" i="4"/>
  <c r="G471" i="4"/>
  <c r="F471" i="4"/>
  <c r="E471" i="4"/>
  <c r="D471" i="4"/>
  <c r="C471" i="4"/>
  <c r="B471" i="4"/>
  <c r="A471" i="4"/>
  <c r="H470" i="4"/>
  <c r="G470" i="4"/>
  <c r="F470" i="4"/>
  <c r="E470" i="4"/>
  <c r="D470" i="4"/>
  <c r="C470" i="4"/>
  <c r="B470" i="4"/>
  <c r="A470" i="4"/>
  <c r="H469" i="4"/>
  <c r="G469" i="4"/>
  <c r="F469" i="4"/>
  <c r="E469" i="4"/>
  <c r="D469" i="4"/>
  <c r="C469" i="4"/>
  <c r="B469" i="4"/>
  <c r="A469" i="4"/>
  <c r="H468" i="4"/>
  <c r="G468" i="4"/>
  <c r="F468" i="4"/>
  <c r="E468" i="4"/>
  <c r="D468" i="4"/>
  <c r="C468" i="4"/>
  <c r="B468" i="4"/>
  <c r="A468" i="4"/>
  <c r="H467" i="4"/>
  <c r="G467" i="4"/>
  <c r="F467" i="4"/>
  <c r="E467" i="4"/>
  <c r="D467" i="4"/>
  <c r="C467" i="4"/>
  <c r="B467" i="4"/>
  <c r="A467" i="4"/>
  <c r="H466" i="4"/>
  <c r="G466" i="4"/>
  <c r="F466" i="4"/>
  <c r="E466" i="4"/>
  <c r="D466" i="4"/>
  <c r="C466" i="4"/>
  <c r="B466" i="4"/>
  <c r="A466" i="4"/>
  <c r="H465" i="4"/>
  <c r="G465" i="4"/>
  <c r="F465" i="4"/>
  <c r="E465" i="4"/>
  <c r="D465" i="4"/>
  <c r="C465" i="4"/>
  <c r="B465" i="4"/>
  <c r="A465" i="4"/>
  <c r="H464" i="4"/>
  <c r="G464" i="4"/>
  <c r="F464" i="4"/>
  <c r="E464" i="4"/>
  <c r="D464" i="4"/>
  <c r="C464" i="4"/>
  <c r="B464" i="4"/>
  <c r="A464" i="4"/>
  <c r="H463" i="4"/>
  <c r="G463" i="4"/>
  <c r="F463" i="4"/>
  <c r="E463" i="4"/>
  <c r="D463" i="4"/>
  <c r="C463" i="4"/>
  <c r="B463" i="4"/>
  <c r="A463" i="4"/>
  <c r="H462" i="4"/>
  <c r="G462" i="4"/>
  <c r="F462" i="4"/>
  <c r="E462" i="4"/>
  <c r="D462" i="4"/>
  <c r="C462" i="4"/>
  <c r="B462" i="4"/>
  <c r="A462" i="4"/>
  <c r="H461" i="4"/>
  <c r="G461" i="4"/>
  <c r="F461" i="4"/>
  <c r="E461" i="4"/>
  <c r="D461" i="4"/>
  <c r="C461" i="4"/>
  <c r="B461" i="4"/>
  <c r="A461" i="4"/>
  <c r="H460" i="4"/>
  <c r="G460" i="4"/>
  <c r="F460" i="4"/>
  <c r="E460" i="4"/>
  <c r="D460" i="4"/>
  <c r="C460" i="4"/>
  <c r="B460" i="4"/>
  <c r="A460" i="4"/>
  <c r="H459" i="4"/>
  <c r="G459" i="4"/>
  <c r="F459" i="4"/>
  <c r="E459" i="4"/>
  <c r="D459" i="4"/>
  <c r="C459" i="4"/>
  <c r="B459" i="4"/>
  <c r="A459" i="4"/>
  <c r="H458" i="4"/>
  <c r="G458" i="4"/>
  <c r="F458" i="4"/>
  <c r="E458" i="4"/>
  <c r="D458" i="4"/>
  <c r="C458" i="4"/>
  <c r="B458" i="4"/>
  <c r="A458" i="4"/>
  <c r="H457" i="4"/>
  <c r="G457" i="4"/>
  <c r="F457" i="4"/>
  <c r="E457" i="4"/>
  <c r="D457" i="4"/>
  <c r="C457" i="4"/>
  <c r="B457" i="4"/>
  <c r="A457" i="4"/>
  <c r="H456" i="4"/>
  <c r="G456" i="4"/>
  <c r="F456" i="4"/>
  <c r="E456" i="4"/>
  <c r="D456" i="4"/>
  <c r="C456" i="4"/>
  <c r="B456" i="4"/>
  <c r="A456" i="4"/>
  <c r="H455" i="4"/>
  <c r="G455" i="4"/>
  <c r="F455" i="4"/>
  <c r="E455" i="4"/>
  <c r="D455" i="4"/>
  <c r="C455" i="4"/>
  <c r="B455" i="4"/>
  <c r="A455" i="4"/>
  <c r="H454" i="4"/>
  <c r="G454" i="4"/>
  <c r="F454" i="4"/>
  <c r="E454" i="4"/>
  <c r="D454" i="4"/>
  <c r="C454" i="4"/>
  <c r="B454" i="4"/>
  <c r="A454" i="4"/>
  <c r="H453" i="4"/>
  <c r="G453" i="4"/>
  <c r="F453" i="4"/>
  <c r="E453" i="4"/>
  <c r="D453" i="4"/>
  <c r="C453" i="4"/>
  <c r="B453" i="4"/>
  <c r="A453" i="4"/>
  <c r="H452" i="4"/>
  <c r="G452" i="4"/>
  <c r="F452" i="4"/>
  <c r="E452" i="4"/>
  <c r="D452" i="4"/>
  <c r="C452" i="4"/>
  <c r="B452" i="4"/>
  <c r="A452" i="4"/>
  <c r="H451" i="4"/>
  <c r="G451" i="4"/>
  <c r="F451" i="4"/>
  <c r="E451" i="4"/>
  <c r="D451" i="4"/>
  <c r="C451" i="4"/>
  <c r="B451" i="4"/>
  <c r="A451" i="4"/>
  <c r="H450" i="4"/>
  <c r="G450" i="4"/>
  <c r="F450" i="4"/>
  <c r="E450" i="4"/>
  <c r="D450" i="4"/>
  <c r="C450" i="4"/>
  <c r="B450" i="4"/>
  <c r="A450" i="4"/>
  <c r="H449" i="4"/>
  <c r="G449" i="4"/>
  <c r="F449" i="4"/>
  <c r="E449" i="4"/>
  <c r="D449" i="4"/>
  <c r="C449" i="4"/>
  <c r="B449" i="4"/>
  <c r="A449" i="4"/>
  <c r="H448" i="4"/>
  <c r="G448" i="4"/>
  <c r="F448" i="4"/>
  <c r="E448" i="4"/>
  <c r="D448" i="4"/>
  <c r="C448" i="4"/>
  <c r="B448" i="4"/>
  <c r="A448" i="4"/>
  <c r="H447" i="4"/>
  <c r="G447" i="4"/>
  <c r="F447" i="4"/>
  <c r="E447" i="4"/>
  <c r="D447" i="4"/>
  <c r="C447" i="4"/>
  <c r="B447" i="4"/>
  <c r="A447" i="4"/>
  <c r="H446" i="4"/>
  <c r="G446" i="4"/>
  <c r="F446" i="4"/>
  <c r="E446" i="4"/>
  <c r="D446" i="4"/>
  <c r="C446" i="4"/>
  <c r="B446" i="4"/>
  <c r="A446" i="4"/>
  <c r="H445" i="4"/>
  <c r="G445" i="4"/>
  <c r="F445" i="4"/>
  <c r="E445" i="4"/>
  <c r="D445" i="4"/>
  <c r="C445" i="4"/>
  <c r="B445" i="4"/>
  <c r="A445" i="4"/>
  <c r="H444" i="4"/>
  <c r="G444" i="4"/>
  <c r="F444" i="4"/>
  <c r="E444" i="4"/>
  <c r="D444" i="4"/>
  <c r="C444" i="4"/>
  <c r="B444" i="4"/>
  <c r="A444" i="4"/>
  <c r="H443" i="4"/>
  <c r="G443" i="4"/>
  <c r="F443" i="4"/>
  <c r="E443" i="4"/>
  <c r="D443" i="4"/>
  <c r="C443" i="4"/>
  <c r="B443" i="4"/>
  <c r="A443" i="4"/>
  <c r="H442" i="4"/>
  <c r="G442" i="4"/>
  <c r="F442" i="4"/>
  <c r="E442" i="4"/>
  <c r="D442" i="4"/>
  <c r="C442" i="4"/>
  <c r="B442" i="4"/>
  <c r="A442" i="4"/>
  <c r="H441" i="4"/>
  <c r="G441" i="4"/>
  <c r="F441" i="4"/>
  <c r="E441" i="4"/>
  <c r="D441" i="4"/>
  <c r="C441" i="4"/>
  <c r="B441" i="4"/>
  <c r="A441" i="4"/>
  <c r="H440" i="4"/>
  <c r="G440" i="4"/>
  <c r="F440" i="4"/>
  <c r="E440" i="4"/>
  <c r="D440" i="4"/>
  <c r="C440" i="4"/>
  <c r="B440" i="4"/>
  <c r="A440" i="4"/>
  <c r="H439" i="4"/>
  <c r="G439" i="4"/>
  <c r="F439" i="4"/>
  <c r="E439" i="4"/>
  <c r="D439" i="4"/>
  <c r="C439" i="4"/>
  <c r="B439" i="4"/>
  <c r="A439" i="4"/>
  <c r="H438" i="4"/>
  <c r="G438" i="4"/>
  <c r="F438" i="4"/>
  <c r="E438" i="4"/>
  <c r="D438" i="4"/>
  <c r="C438" i="4"/>
  <c r="B438" i="4"/>
  <c r="A438" i="4"/>
  <c r="H437" i="4"/>
  <c r="G437" i="4"/>
  <c r="F437" i="4"/>
  <c r="E437" i="4"/>
  <c r="D437" i="4"/>
  <c r="C437" i="4"/>
  <c r="B437" i="4"/>
  <c r="A437" i="4"/>
  <c r="H436" i="4"/>
  <c r="G436" i="4"/>
  <c r="F436" i="4"/>
  <c r="E436" i="4"/>
  <c r="D436" i="4"/>
  <c r="C436" i="4"/>
  <c r="B436" i="4"/>
  <c r="A436" i="4"/>
  <c r="H435" i="4"/>
  <c r="G435" i="4"/>
  <c r="F435" i="4"/>
  <c r="E435" i="4"/>
  <c r="D435" i="4"/>
  <c r="C435" i="4"/>
  <c r="B435" i="4"/>
  <c r="A435" i="4"/>
  <c r="H434" i="4"/>
  <c r="G434" i="4"/>
  <c r="F434" i="4"/>
  <c r="E434" i="4"/>
  <c r="D434" i="4"/>
  <c r="C434" i="4"/>
  <c r="B434" i="4"/>
  <c r="A434" i="4"/>
  <c r="H433" i="4"/>
  <c r="G433" i="4"/>
  <c r="F433" i="4"/>
  <c r="E433" i="4"/>
  <c r="D433" i="4"/>
  <c r="C433" i="4"/>
  <c r="B433" i="4"/>
  <c r="A433" i="4"/>
  <c r="H432" i="4"/>
  <c r="G432" i="4"/>
  <c r="F432" i="4"/>
  <c r="E432" i="4"/>
  <c r="D432" i="4"/>
  <c r="C432" i="4"/>
  <c r="B432" i="4"/>
  <c r="A432" i="4"/>
  <c r="H431" i="4"/>
  <c r="G431" i="4"/>
  <c r="F431" i="4"/>
  <c r="E431" i="4"/>
  <c r="D431" i="4"/>
  <c r="C431" i="4"/>
  <c r="B431" i="4"/>
  <c r="A431" i="4"/>
  <c r="H430" i="4"/>
  <c r="G430" i="4"/>
  <c r="F430" i="4"/>
  <c r="E430" i="4"/>
  <c r="D430" i="4"/>
  <c r="C430" i="4"/>
  <c r="B430" i="4"/>
  <c r="A430" i="4"/>
  <c r="H429" i="4"/>
  <c r="G429" i="4"/>
  <c r="F429" i="4"/>
  <c r="E429" i="4"/>
  <c r="D429" i="4"/>
  <c r="C429" i="4"/>
  <c r="B429" i="4"/>
  <c r="A429" i="4"/>
  <c r="H428" i="4"/>
  <c r="G428" i="4"/>
  <c r="F428" i="4"/>
  <c r="E428" i="4"/>
  <c r="D428" i="4"/>
  <c r="C428" i="4"/>
  <c r="B428" i="4"/>
  <c r="A428" i="4"/>
  <c r="H427" i="4"/>
  <c r="G427" i="4"/>
  <c r="F427" i="4"/>
  <c r="E427" i="4"/>
  <c r="D427" i="4"/>
  <c r="C427" i="4"/>
  <c r="B427" i="4"/>
  <c r="A427" i="4"/>
  <c r="H426" i="4"/>
  <c r="G426" i="4"/>
  <c r="F426" i="4"/>
  <c r="E426" i="4"/>
  <c r="D426" i="4"/>
  <c r="C426" i="4"/>
  <c r="B426" i="4"/>
  <c r="A426" i="4"/>
  <c r="H425" i="4"/>
  <c r="G425" i="4"/>
  <c r="F425" i="4"/>
  <c r="E425" i="4"/>
  <c r="D425" i="4"/>
  <c r="C425" i="4"/>
  <c r="B425" i="4"/>
  <c r="A425" i="4"/>
  <c r="H424" i="4"/>
  <c r="G424" i="4"/>
  <c r="F424" i="4"/>
  <c r="E424" i="4"/>
  <c r="D424" i="4"/>
  <c r="C424" i="4"/>
  <c r="B424" i="4"/>
  <c r="A424" i="4"/>
  <c r="H423" i="4"/>
  <c r="G423" i="4"/>
  <c r="F423" i="4"/>
  <c r="E423" i="4"/>
  <c r="D423" i="4"/>
  <c r="C423" i="4"/>
  <c r="B423" i="4"/>
  <c r="A423" i="4"/>
  <c r="H422" i="4"/>
  <c r="G422" i="4"/>
  <c r="F422" i="4"/>
  <c r="E422" i="4"/>
  <c r="D422" i="4"/>
  <c r="C422" i="4"/>
  <c r="B422" i="4"/>
  <c r="A422" i="4"/>
  <c r="H421" i="4"/>
  <c r="G421" i="4"/>
  <c r="F421" i="4"/>
  <c r="E421" i="4"/>
  <c r="D421" i="4"/>
  <c r="C421" i="4"/>
  <c r="B421" i="4"/>
  <c r="A421" i="4"/>
  <c r="H420" i="4"/>
  <c r="G420" i="4"/>
  <c r="F420" i="4"/>
  <c r="E420" i="4"/>
  <c r="D420" i="4"/>
  <c r="C420" i="4"/>
  <c r="B420" i="4"/>
  <c r="A420" i="4"/>
  <c r="H419" i="4"/>
  <c r="G419" i="4"/>
  <c r="F419" i="4"/>
  <c r="E419" i="4"/>
  <c r="D419" i="4"/>
  <c r="C419" i="4"/>
  <c r="B419" i="4"/>
  <c r="A419" i="4"/>
  <c r="H418" i="4"/>
  <c r="G418" i="4"/>
  <c r="F418" i="4"/>
  <c r="E418" i="4"/>
  <c r="D418" i="4"/>
  <c r="C418" i="4"/>
  <c r="B418" i="4"/>
  <c r="A418" i="4"/>
  <c r="H417" i="4"/>
  <c r="G417" i="4"/>
  <c r="F417" i="4"/>
  <c r="E417" i="4"/>
  <c r="D417" i="4"/>
  <c r="C417" i="4"/>
  <c r="B417" i="4"/>
  <c r="A417" i="4"/>
  <c r="H416" i="4"/>
  <c r="G416" i="4"/>
  <c r="F416" i="4"/>
  <c r="E416" i="4"/>
  <c r="D416" i="4"/>
  <c r="C416" i="4"/>
  <c r="B416" i="4"/>
  <c r="A416" i="4"/>
  <c r="H415" i="4"/>
  <c r="G415" i="4"/>
  <c r="F415" i="4"/>
  <c r="E415" i="4"/>
  <c r="D415" i="4"/>
  <c r="C415" i="4"/>
  <c r="B415" i="4"/>
  <c r="A415" i="4"/>
  <c r="H414" i="4"/>
  <c r="G414" i="4"/>
  <c r="F414" i="4"/>
  <c r="E414" i="4"/>
  <c r="D414" i="4"/>
  <c r="C414" i="4"/>
  <c r="B414" i="4"/>
  <c r="A414" i="4"/>
  <c r="H413" i="4"/>
  <c r="G413" i="4"/>
  <c r="F413" i="4"/>
  <c r="E413" i="4"/>
  <c r="D413" i="4"/>
  <c r="C413" i="4"/>
  <c r="B413" i="4"/>
  <c r="A413" i="4"/>
  <c r="H412" i="4"/>
  <c r="G412" i="4"/>
  <c r="F412" i="4"/>
  <c r="E412" i="4"/>
  <c r="D412" i="4"/>
  <c r="C412" i="4"/>
  <c r="B412" i="4"/>
  <c r="A412" i="4"/>
  <c r="H411" i="4"/>
  <c r="G411" i="4"/>
  <c r="F411" i="4"/>
  <c r="E411" i="4"/>
  <c r="D411" i="4"/>
  <c r="C411" i="4"/>
  <c r="B411" i="4"/>
  <c r="A411" i="4"/>
  <c r="H410" i="4"/>
  <c r="G410" i="4"/>
  <c r="F410" i="4"/>
  <c r="E410" i="4"/>
  <c r="D410" i="4"/>
  <c r="C410" i="4"/>
  <c r="B410" i="4"/>
  <c r="A410" i="4"/>
  <c r="H409" i="4"/>
  <c r="G409" i="4"/>
  <c r="F409" i="4"/>
  <c r="E409" i="4"/>
  <c r="D409" i="4"/>
  <c r="C409" i="4"/>
  <c r="B409" i="4"/>
  <c r="A409" i="4"/>
  <c r="H408" i="4"/>
  <c r="G408" i="4"/>
  <c r="F408" i="4"/>
  <c r="E408" i="4"/>
  <c r="D408" i="4"/>
  <c r="C408" i="4"/>
  <c r="B408" i="4"/>
  <c r="A408" i="4"/>
  <c r="H407" i="4"/>
  <c r="G407" i="4"/>
  <c r="F407" i="4"/>
  <c r="E407" i="4"/>
  <c r="D407" i="4"/>
  <c r="C407" i="4"/>
  <c r="B407" i="4"/>
  <c r="A407" i="4"/>
  <c r="H406" i="4"/>
  <c r="G406" i="4"/>
  <c r="F406" i="4"/>
  <c r="E406" i="4"/>
  <c r="D406" i="4"/>
  <c r="C406" i="4"/>
  <c r="B406" i="4"/>
  <c r="A406" i="4"/>
  <c r="H405" i="4"/>
  <c r="G405" i="4"/>
  <c r="F405" i="4"/>
  <c r="E405" i="4"/>
  <c r="D405" i="4"/>
  <c r="C405" i="4"/>
  <c r="B405" i="4"/>
  <c r="A405" i="4"/>
  <c r="H404" i="4"/>
  <c r="G404" i="4"/>
  <c r="F404" i="4"/>
  <c r="E404" i="4"/>
  <c r="D404" i="4"/>
  <c r="C404" i="4"/>
  <c r="B404" i="4"/>
  <c r="A404" i="4"/>
  <c r="H403" i="4"/>
  <c r="G403" i="4"/>
  <c r="F403" i="4"/>
  <c r="E403" i="4"/>
  <c r="D403" i="4"/>
  <c r="C403" i="4"/>
  <c r="B403" i="4"/>
  <c r="A403" i="4"/>
  <c r="H402" i="4"/>
  <c r="G402" i="4"/>
  <c r="F402" i="4"/>
  <c r="E402" i="4"/>
  <c r="D402" i="4"/>
  <c r="C402" i="4"/>
  <c r="B402" i="4"/>
  <c r="A402" i="4"/>
  <c r="H401" i="4"/>
  <c r="G401" i="4"/>
  <c r="F401" i="4"/>
  <c r="E401" i="4"/>
  <c r="D401" i="4"/>
  <c r="C401" i="4"/>
  <c r="B401" i="4"/>
  <c r="A401" i="4"/>
  <c r="H400" i="4"/>
  <c r="G400" i="4"/>
  <c r="F400" i="4"/>
  <c r="E400" i="4"/>
  <c r="D400" i="4"/>
  <c r="C400" i="4"/>
  <c r="B400" i="4"/>
  <c r="A400" i="4"/>
  <c r="H399" i="4"/>
  <c r="G399" i="4"/>
  <c r="F399" i="4"/>
  <c r="E399" i="4"/>
  <c r="D399" i="4"/>
  <c r="C399" i="4"/>
  <c r="B399" i="4"/>
  <c r="A399" i="4"/>
  <c r="H398" i="4"/>
  <c r="G398" i="4"/>
  <c r="F398" i="4"/>
  <c r="E398" i="4"/>
  <c r="D398" i="4"/>
  <c r="C398" i="4"/>
  <c r="B398" i="4"/>
  <c r="A398" i="4"/>
  <c r="H397" i="4"/>
  <c r="G397" i="4"/>
  <c r="F397" i="4"/>
  <c r="E397" i="4"/>
  <c r="D397" i="4"/>
  <c r="C397" i="4"/>
  <c r="B397" i="4"/>
  <c r="A397" i="4"/>
  <c r="H396" i="4"/>
  <c r="G396" i="4"/>
  <c r="F396" i="4"/>
  <c r="E396" i="4"/>
  <c r="D396" i="4"/>
  <c r="C396" i="4"/>
  <c r="B396" i="4"/>
  <c r="A396" i="4"/>
  <c r="H395" i="4"/>
  <c r="G395" i="4"/>
  <c r="F395" i="4"/>
  <c r="E395" i="4"/>
  <c r="D395" i="4"/>
  <c r="C395" i="4"/>
  <c r="B395" i="4"/>
  <c r="A395" i="4"/>
  <c r="H394" i="4"/>
  <c r="G394" i="4"/>
  <c r="F394" i="4"/>
  <c r="E394" i="4"/>
  <c r="D394" i="4"/>
  <c r="C394" i="4"/>
  <c r="B394" i="4"/>
  <c r="A394" i="4"/>
  <c r="H393" i="4"/>
  <c r="G393" i="4"/>
  <c r="F393" i="4"/>
  <c r="E393" i="4"/>
  <c r="D393" i="4"/>
  <c r="C393" i="4"/>
  <c r="B393" i="4"/>
  <c r="A393" i="4"/>
  <c r="H392" i="4"/>
  <c r="G392" i="4"/>
  <c r="F392" i="4"/>
  <c r="E392" i="4"/>
  <c r="D392" i="4"/>
  <c r="C392" i="4"/>
  <c r="B392" i="4"/>
  <c r="A392" i="4"/>
  <c r="H391" i="4"/>
  <c r="G391" i="4"/>
  <c r="F391" i="4"/>
  <c r="E391" i="4"/>
  <c r="D391" i="4"/>
  <c r="C391" i="4"/>
  <c r="B391" i="4"/>
  <c r="A391" i="4"/>
  <c r="H390" i="4"/>
  <c r="G390" i="4"/>
  <c r="F390" i="4"/>
  <c r="E390" i="4"/>
  <c r="D390" i="4"/>
  <c r="C390" i="4"/>
  <c r="B390" i="4"/>
  <c r="A390" i="4"/>
  <c r="H389" i="4"/>
  <c r="G389" i="4"/>
  <c r="F389" i="4"/>
  <c r="E389" i="4"/>
  <c r="D389" i="4"/>
  <c r="C389" i="4"/>
  <c r="B389" i="4"/>
  <c r="A389" i="4"/>
  <c r="H388" i="4"/>
  <c r="G388" i="4"/>
  <c r="F388" i="4"/>
  <c r="E388" i="4"/>
  <c r="D388" i="4"/>
  <c r="C388" i="4"/>
  <c r="B388" i="4"/>
  <c r="A388" i="4"/>
  <c r="H387" i="4"/>
  <c r="G387" i="4"/>
  <c r="F387" i="4"/>
  <c r="E387" i="4"/>
  <c r="D387" i="4"/>
  <c r="C387" i="4"/>
  <c r="B387" i="4"/>
  <c r="A387" i="4"/>
  <c r="H386" i="4"/>
  <c r="G386" i="4"/>
  <c r="F386" i="4"/>
  <c r="E386" i="4"/>
  <c r="D386" i="4"/>
  <c r="C386" i="4"/>
  <c r="B386" i="4"/>
  <c r="A386" i="4"/>
  <c r="H385" i="4"/>
  <c r="G385" i="4"/>
  <c r="F385" i="4"/>
  <c r="E385" i="4"/>
  <c r="D385" i="4"/>
  <c r="C385" i="4"/>
  <c r="B385" i="4"/>
  <c r="A385" i="4"/>
  <c r="H384" i="4"/>
  <c r="G384" i="4"/>
  <c r="F384" i="4"/>
  <c r="E384" i="4"/>
  <c r="D384" i="4"/>
  <c r="C384" i="4"/>
  <c r="B384" i="4"/>
  <c r="A384" i="4"/>
  <c r="H383" i="4"/>
  <c r="G383" i="4"/>
  <c r="F383" i="4"/>
  <c r="E383" i="4"/>
  <c r="D383" i="4"/>
  <c r="C383" i="4"/>
  <c r="B383" i="4"/>
  <c r="A383" i="4"/>
  <c r="H382" i="4"/>
  <c r="G382" i="4"/>
  <c r="F382" i="4"/>
  <c r="E382" i="4"/>
  <c r="D382" i="4"/>
  <c r="C382" i="4"/>
  <c r="B382" i="4"/>
  <c r="A382" i="4"/>
  <c r="H381" i="4"/>
  <c r="G381" i="4"/>
  <c r="F381" i="4"/>
  <c r="E381" i="4"/>
  <c r="D381" i="4"/>
  <c r="C381" i="4"/>
  <c r="B381" i="4"/>
  <c r="A381" i="4"/>
  <c r="H380" i="4"/>
  <c r="G380" i="4"/>
  <c r="F380" i="4"/>
  <c r="E380" i="4"/>
  <c r="D380" i="4"/>
  <c r="C380" i="4"/>
  <c r="B380" i="4"/>
  <c r="A380" i="4"/>
  <c r="H379" i="4"/>
  <c r="G379" i="4"/>
  <c r="F379" i="4"/>
  <c r="E379" i="4"/>
  <c r="D379" i="4"/>
  <c r="C379" i="4"/>
  <c r="B379" i="4"/>
  <c r="A379" i="4"/>
  <c r="H378" i="4"/>
  <c r="G378" i="4"/>
  <c r="F378" i="4"/>
  <c r="E378" i="4"/>
  <c r="D378" i="4"/>
  <c r="C378" i="4"/>
  <c r="B378" i="4"/>
  <c r="A378" i="4"/>
  <c r="H377" i="4"/>
  <c r="G377" i="4"/>
  <c r="F377" i="4"/>
  <c r="E377" i="4"/>
  <c r="D377" i="4"/>
  <c r="C377" i="4"/>
  <c r="B377" i="4"/>
  <c r="A377" i="4"/>
  <c r="H376" i="4"/>
  <c r="G376" i="4"/>
  <c r="F376" i="4"/>
  <c r="E376" i="4"/>
  <c r="D376" i="4"/>
  <c r="C376" i="4"/>
  <c r="B376" i="4"/>
  <c r="A376" i="4"/>
  <c r="H375" i="4"/>
  <c r="G375" i="4"/>
  <c r="F375" i="4"/>
  <c r="E375" i="4"/>
  <c r="D375" i="4"/>
  <c r="C375" i="4"/>
  <c r="B375" i="4"/>
  <c r="A375" i="4"/>
  <c r="H374" i="4"/>
  <c r="G374" i="4"/>
  <c r="F374" i="4"/>
  <c r="E374" i="4"/>
  <c r="D374" i="4"/>
  <c r="C374" i="4"/>
  <c r="B374" i="4"/>
  <c r="A374" i="4"/>
  <c r="H373" i="4"/>
  <c r="G373" i="4"/>
  <c r="F373" i="4"/>
  <c r="E373" i="4"/>
  <c r="D373" i="4"/>
  <c r="C373" i="4"/>
  <c r="B373" i="4"/>
  <c r="A373" i="4"/>
  <c r="H372" i="4"/>
  <c r="G372" i="4"/>
  <c r="F372" i="4"/>
  <c r="E372" i="4"/>
  <c r="D372" i="4"/>
  <c r="C372" i="4"/>
  <c r="B372" i="4"/>
  <c r="A372" i="4"/>
  <c r="H371" i="4"/>
  <c r="G371" i="4"/>
  <c r="F371" i="4"/>
  <c r="E371" i="4"/>
  <c r="D371" i="4"/>
  <c r="C371" i="4"/>
  <c r="B371" i="4"/>
  <c r="A371" i="4"/>
  <c r="H370" i="4"/>
  <c r="G370" i="4"/>
  <c r="F370" i="4"/>
  <c r="E370" i="4"/>
  <c r="D370" i="4"/>
  <c r="C370" i="4"/>
  <c r="B370" i="4"/>
  <c r="A370" i="4"/>
  <c r="H369" i="4"/>
  <c r="G369" i="4"/>
  <c r="F369" i="4"/>
  <c r="E369" i="4"/>
  <c r="D369" i="4"/>
  <c r="C369" i="4"/>
  <c r="B369" i="4"/>
  <c r="A369" i="4"/>
  <c r="H368" i="4"/>
  <c r="G368" i="4"/>
  <c r="F368" i="4"/>
  <c r="E368" i="4"/>
  <c r="D368" i="4"/>
  <c r="C368" i="4"/>
  <c r="B368" i="4"/>
  <c r="A368" i="4"/>
  <c r="H367" i="4"/>
  <c r="G367" i="4"/>
  <c r="F367" i="4"/>
  <c r="E367" i="4"/>
  <c r="D367" i="4"/>
  <c r="C367" i="4"/>
  <c r="B367" i="4"/>
  <c r="A367" i="4"/>
  <c r="H366" i="4"/>
  <c r="G366" i="4"/>
  <c r="F366" i="4"/>
  <c r="E366" i="4"/>
  <c r="D366" i="4"/>
  <c r="C366" i="4"/>
  <c r="B366" i="4"/>
  <c r="A366" i="4"/>
  <c r="H365" i="4"/>
  <c r="G365" i="4"/>
  <c r="F365" i="4"/>
  <c r="E365" i="4"/>
  <c r="D365" i="4"/>
  <c r="C365" i="4"/>
  <c r="B365" i="4"/>
  <c r="A365" i="4"/>
  <c r="H364" i="4"/>
  <c r="G364" i="4"/>
  <c r="F364" i="4"/>
  <c r="E364" i="4"/>
  <c r="D364" i="4"/>
  <c r="C364" i="4"/>
  <c r="B364" i="4"/>
  <c r="A364" i="4"/>
  <c r="H363" i="4"/>
  <c r="G363" i="4"/>
  <c r="F363" i="4"/>
  <c r="E363" i="4"/>
  <c r="D363" i="4"/>
  <c r="C363" i="4"/>
  <c r="B363" i="4"/>
  <c r="A363" i="4"/>
  <c r="H362" i="4"/>
  <c r="G362" i="4"/>
  <c r="F362" i="4"/>
  <c r="E362" i="4"/>
  <c r="D362" i="4"/>
  <c r="C362" i="4"/>
  <c r="B362" i="4"/>
  <c r="A362" i="4"/>
  <c r="H361" i="4"/>
  <c r="G361" i="4"/>
  <c r="F361" i="4"/>
  <c r="E361" i="4"/>
  <c r="D361" i="4"/>
  <c r="C361" i="4"/>
  <c r="B361" i="4"/>
  <c r="A361" i="4"/>
  <c r="H360" i="4"/>
  <c r="G360" i="4"/>
  <c r="F360" i="4"/>
  <c r="E360" i="4"/>
  <c r="D360" i="4"/>
  <c r="C360" i="4"/>
  <c r="B360" i="4"/>
  <c r="A360" i="4"/>
  <c r="H359" i="4"/>
  <c r="G359" i="4"/>
  <c r="F359" i="4"/>
  <c r="E359" i="4"/>
  <c r="D359" i="4"/>
  <c r="C359" i="4"/>
  <c r="B359" i="4"/>
  <c r="A359" i="4"/>
  <c r="H358" i="4"/>
  <c r="G358" i="4"/>
  <c r="F358" i="4"/>
  <c r="E358" i="4"/>
  <c r="D358" i="4"/>
  <c r="C358" i="4"/>
  <c r="B358" i="4"/>
  <c r="A358" i="4"/>
  <c r="H357" i="4"/>
  <c r="G357" i="4"/>
  <c r="F357" i="4"/>
  <c r="E357" i="4"/>
  <c r="D357" i="4"/>
  <c r="C357" i="4"/>
  <c r="B357" i="4"/>
  <c r="A357" i="4"/>
  <c r="H356" i="4"/>
  <c r="G356" i="4"/>
  <c r="F356" i="4"/>
  <c r="E356" i="4"/>
  <c r="D356" i="4"/>
  <c r="C356" i="4"/>
  <c r="B356" i="4"/>
  <c r="A356" i="4"/>
  <c r="H355" i="4"/>
  <c r="G355" i="4"/>
  <c r="F355" i="4"/>
  <c r="E355" i="4"/>
  <c r="D355" i="4"/>
  <c r="C355" i="4"/>
  <c r="B355" i="4"/>
  <c r="A355" i="4"/>
  <c r="H354" i="4"/>
  <c r="G354" i="4"/>
  <c r="F354" i="4"/>
  <c r="E354" i="4"/>
  <c r="D354" i="4"/>
  <c r="C354" i="4"/>
  <c r="B354" i="4"/>
  <c r="A354" i="4"/>
  <c r="H353" i="4"/>
  <c r="G353" i="4"/>
  <c r="F353" i="4"/>
  <c r="E353" i="4"/>
  <c r="D353" i="4"/>
  <c r="C353" i="4"/>
  <c r="B353" i="4"/>
  <c r="A353" i="4"/>
  <c r="H352" i="4"/>
  <c r="G352" i="4"/>
  <c r="F352" i="4"/>
  <c r="E352" i="4"/>
  <c r="D352" i="4"/>
  <c r="C352" i="4"/>
  <c r="B352" i="4"/>
  <c r="A352" i="4"/>
  <c r="H351" i="4"/>
  <c r="G351" i="4"/>
  <c r="F351" i="4"/>
  <c r="E351" i="4"/>
  <c r="D351" i="4"/>
  <c r="C351" i="4"/>
  <c r="B351" i="4"/>
  <c r="A351" i="4"/>
  <c r="H350" i="4"/>
  <c r="G350" i="4"/>
  <c r="F350" i="4"/>
  <c r="E350" i="4"/>
  <c r="D350" i="4"/>
  <c r="C350" i="4"/>
  <c r="B350" i="4"/>
  <c r="A350" i="4"/>
  <c r="H349" i="4"/>
  <c r="G349" i="4"/>
  <c r="F349" i="4"/>
  <c r="E349" i="4"/>
  <c r="D349" i="4"/>
  <c r="C349" i="4"/>
  <c r="B349" i="4"/>
  <c r="A349" i="4"/>
  <c r="H348" i="4"/>
  <c r="G348" i="4"/>
  <c r="F348" i="4"/>
  <c r="E348" i="4"/>
  <c r="D348" i="4"/>
  <c r="C348" i="4"/>
  <c r="B348" i="4"/>
  <c r="A348" i="4"/>
  <c r="H347" i="4"/>
  <c r="G347" i="4"/>
  <c r="F347" i="4"/>
  <c r="E347" i="4"/>
  <c r="D347" i="4"/>
  <c r="C347" i="4"/>
  <c r="B347" i="4"/>
  <c r="A347" i="4"/>
  <c r="H346" i="4"/>
  <c r="G346" i="4"/>
  <c r="F346" i="4"/>
  <c r="E346" i="4"/>
  <c r="D346" i="4"/>
  <c r="C346" i="4"/>
  <c r="B346" i="4"/>
  <c r="A346" i="4"/>
  <c r="H345" i="4"/>
  <c r="G345" i="4"/>
  <c r="F345" i="4"/>
  <c r="E345" i="4"/>
  <c r="D345" i="4"/>
  <c r="C345" i="4"/>
  <c r="B345" i="4"/>
  <c r="A345" i="4"/>
  <c r="H344" i="4"/>
  <c r="G344" i="4"/>
  <c r="F344" i="4"/>
  <c r="E344" i="4"/>
  <c r="D344" i="4"/>
  <c r="C344" i="4"/>
  <c r="B344" i="4"/>
  <c r="A344" i="4"/>
  <c r="H343" i="4"/>
  <c r="G343" i="4"/>
  <c r="F343" i="4"/>
  <c r="E343" i="4"/>
  <c r="D343" i="4"/>
  <c r="C343" i="4"/>
  <c r="B343" i="4"/>
  <c r="A343" i="4"/>
  <c r="H342" i="4"/>
  <c r="G342" i="4"/>
  <c r="F342" i="4"/>
  <c r="E342" i="4"/>
  <c r="D342" i="4"/>
  <c r="C342" i="4"/>
  <c r="B342" i="4"/>
  <c r="A342" i="4"/>
  <c r="H341" i="4"/>
  <c r="G341" i="4"/>
  <c r="F341" i="4"/>
  <c r="E341" i="4"/>
  <c r="D341" i="4"/>
  <c r="C341" i="4"/>
  <c r="B341" i="4"/>
  <c r="A341" i="4"/>
  <c r="H340" i="4"/>
  <c r="G340" i="4"/>
  <c r="F340" i="4"/>
  <c r="E340" i="4"/>
  <c r="D340" i="4"/>
  <c r="C340" i="4"/>
  <c r="B340" i="4"/>
  <c r="A340" i="4"/>
  <c r="H339" i="4"/>
  <c r="G339" i="4"/>
  <c r="F339" i="4"/>
  <c r="E339" i="4"/>
  <c r="D339" i="4"/>
  <c r="C339" i="4"/>
  <c r="B339" i="4"/>
  <c r="A339" i="4"/>
  <c r="H338" i="4"/>
  <c r="G338" i="4"/>
  <c r="F338" i="4"/>
  <c r="E338" i="4"/>
  <c r="D338" i="4"/>
  <c r="C338" i="4"/>
  <c r="B338" i="4"/>
  <c r="A338" i="4"/>
  <c r="H337" i="4"/>
  <c r="G337" i="4"/>
  <c r="F337" i="4"/>
  <c r="E337" i="4"/>
  <c r="D337" i="4"/>
  <c r="C337" i="4"/>
  <c r="B337" i="4"/>
  <c r="A337" i="4"/>
  <c r="H336" i="4"/>
  <c r="G336" i="4"/>
  <c r="F336" i="4"/>
  <c r="E336" i="4"/>
  <c r="D336" i="4"/>
  <c r="C336" i="4"/>
  <c r="B336" i="4"/>
  <c r="A336" i="4"/>
  <c r="H335" i="4"/>
  <c r="G335" i="4"/>
  <c r="F335" i="4"/>
  <c r="E335" i="4"/>
  <c r="D335" i="4"/>
  <c r="C335" i="4"/>
  <c r="B335" i="4"/>
  <c r="A335" i="4"/>
  <c r="H334" i="4"/>
  <c r="G334" i="4"/>
  <c r="F334" i="4"/>
  <c r="E334" i="4"/>
  <c r="D334" i="4"/>
  <c r="C334" i="4"/>
  <c r="B334" i="4"/>
  <c r="A334" i="4"/>
  <c r="H333" i="4"/>
  <c r="G333" i="4"/>
  <c r="F333" i="4"/>
  <c r="E333" i="4"/>
  <c r="D333" i="4"/>
  <c r="C333" i="4"/>
  <c r="B333" i="4"/>
  <c r="A333" i="4"/>
  <c r="H332" i="4"/>
  <c r="G332" i="4"/>
  <c r="F332" i="4"/>
  <c r="E332" i="4"/>
  <c r="D332" i="4"/>
  <c r="C332" i="4"/>
  <c r="B332" i="4"/>
  <c r="A332" i="4"/>
  <c r="H331" i="4"/>
  <c r="G331" i="4"/>
  <c r="F331" i="4"/>
  <c r="E331" i="4"/>
  <c r="D331" i="4"/>
  <c r="C331" i="4"/>
  <c r="B331" i="4"/>
  <c r="A331" i="4"/>
  <c r="H330" i="4"/>
  <c r="G330" i="4"/>
  <c r="F330" i="4"/>
  <c r="E330" i="4"/>
  <c r="D330" i="4"/>
  <c r="C330" i="4"/>
  <c r="B330" i="4"/>
  <c r="A330" i="4"/>
  <c r="H329" i="4"/>
  <c r="G329" i="4"/>
  <c r="F329" i="4"/>
  <c r="E329" i="4"/>
  <c r="D329" i="4"/>
  <c r="C329" i="4"/>
  <c r="B329" i="4"/>
  <c r="A329" i="4"/>
  <c r="H328" i="4"/>
  <c r="G328" i="4"/>
  <c r="F328" i="4"/>
  <c r="E328" i="4"/>
  <c r="D328" i="4"/>
  <c r="C328" i="4"/>
  <c r="B328" i="4"/>
  <c r="A328" i="4"/>
  <c r="H327" i="4"/>
  <c r="G327" i="4"/>
  <c r="F327" i="4"/>
  <c r="E327" i="4"/>
  <c r="D327" i="4"/>
  <c r="C327" i="4"/>
  <c r="B327" i="4"/>
  <c r="A327" i="4"/>
  <c r="H326" i="4"/>
  <c r="G326" i="4"/>
  <c r="F326" i="4"/>
  <c r="E326" i="4"/>
  <c r="D326" i="4"/>
  <c r="C326" i="4"/>
  <c r="B326" i="4"/>
  <c r="A326" i="4"/>
  <c r="H325" i="4"/>
  <c r="G325" i="4"/>
  <c r="F325" i="4"/>
  <c r="E325" i="4"/>
  <c r="D325" i="4"/>
  <c r="C325" i="4"/>
  <c r="B325" i="4"/>
  <c r="A325" i="4"/>
  <c r="H324" i="4"/>
  <c r="G324" i="4"/>
  <c r="F324" i="4"/>
  <c r="E324" i="4"/>
  <c r="D324" i="4"/>
  <c r="C324" i="4"/>
  <c r="B324" i="4"/>
  <c r="A324" i="4"/>
  <c r="H323" i="4"/>
  <c r="G323" i="4"/>
  <c r="F323" i="4"/>
  <c r="E323" i="4"/>
  <c r="D323" i="4"/>
  <c r="C323" i="4"/>
  <c r="B323" i="4"/>
  <c r="A323" i="4"/>
  <c r="H322" i="4"/>
  <c r="G322" i="4"/>
  <c r="F322" i="4"/>
  <c r="E322" i="4"/>
  <c r="D322" i="4"/>
  <c r="C322" i="4"/>
  <c r="B322" i="4"/>
  <c r="A322" i="4"/>
  <c r="H321" i="4"/>
  <c r="G321" i="4"/>
  <c r="F321" i="4"/>
  <c r="E321" i="4"/>
  <c r="D321" i="4"/>
  <c r="C321" i="4"/>
  <c r="B321" i="4"/>
  <c r="A321" i="4"/>
  <c r="H320" i="4"/>
  <c r="G320" i="4"/>
  <c r="F320" i="4"/>
  <c r="E320" i="4"/>
  <c r="D320" i="4"/>
  <c r="C320" i="4"/>
  <c r="B320" i="4"/>
  <c r="A320" i="4"/>
  <c r="H319" i="4"/>
  <c r="G319" i="4"/>
  <c r="F319" i="4"/>
  <c r="E319" i="4"/>
  <c r="D319" i="4"/>
  <c r="C319" i="4"/>
  <c r="B319" i="4"/>
  <c r="A319" i="4"/>
  <c r="H318" i="4"/>
  <c r="G318" i="4"/>
  <c r="F318" i="4"/>
  <c r="E318" i="4"/>
  <c r="D318" i="4"/>
  <c r="C318" i="4"/>
  <c r="B318" i="4"/>
  <c r="A318" i="4"/>
  <c r="H317" i="4"/>
  <c r="G317" i="4"/>
  <c r="F317" i="4"/>
  <c r="E317" i="4"/>
  <c r="D317" i="4"/>
  <c r="C317" i="4"/>
  <c r="B317" i="4"/>
  <c r="A317" i="4"/>
  <c r="H316" i="4"/>
  <c r="G316" i="4"/>
  <c r="F316" i="4"/>
  <c r="E316" i="4"/>
  <c r="D316" i="4"/>
  <c r="C316" i="4"/>
  <c r="B316" i="4"/>
  <c r="A316" i="4"/>
  <c r="H315" i="4"/>
  <c r="G315" i="4"/>
  <c r="F315" i="4"/>
  <c r="E315" i="4"/>
  <c r="D315" i="4"/>
  <c r="C315" i="4"/>
  <c r="B315" i="4"/>
  <c r="A315" i="4"/>
  <c r="H314" i="4"/>
  <c r="G314" i="4"/>
  <c r="F314" i="4"/>
  <c r="E314" i="4"/>
  <c r="D314" i="4"/>
  <c r="C314" i="4"/>
  <c r="B314" i="4"/>
  <c r="A314" i="4"/>
  <c r="H313" i="4"/>
  <c r="G313" i="4"/>
  <c r="F313" i="4"/>
  <c r="E313" i="4"/>
  <c r="D313" i="4"/>
  <c r="C313" i="4"/>
  <c r="B313" i="4"/>
  <c r="A313" i="4"/>
  <c r="H312" i="4"/>
  <c r="G312" i="4"/>
  <c r="F312" i="4"/>
  <c r="E312" i="4"/>
  <c r="D312" i="4"/>
  <c r="C312" i="4"/>
  <c r="B312" i="4"/>
  <c r="A312" i="4"/>
  <c r="H311" i="4"/>
  <c r="G311" i="4"/>
  <c r="F311" i="4"/>
  <c r="E311" i="4"/>
  <c r="D311" i="4"/>
  <c r="C311" i="4"/>
  <c r="B311" i="4"/>
  <c r="A311" i="4"/>
  <c r="H310" i="4"/>
  <c r="G310" i="4"/>
  <c r="F310" i="4"/>
  <c r="E310" i="4"/>
  <c r="D310" i="4"/>
  <c r="C310" i="4"/>
  <c r="B310" i="4"/>
  <c r="A310" i="4"/>
  <c r="H309" i="4"/>
  <c r="G309" i="4"/>
  <c r="F309" i="4"/>
  <c r="E309" i="4"/>
  <c r="D309" i="4"/>
  <c r="C309" i="4"/>
  <c r="B309" i="4"/>
  <c r="A309" i="4"/>
  <c r="H308" i="4"/>
  <c r="G308" i="4"/>
  <c r="F308" i="4"/>
  <c r="E308" i="4"/>
  <c r="D308" i="4"/>
  <c r="C308" i="4"/>
  <c r="B308" i="4"/>
  <c r="A308" i="4"/>
  <c r="H307" i="4"/>
  <c r="G307" i="4"/>
  <c r="F307" i="4"/>
  <c r="E307" i="4"/>
  <c r="D307" i="4"/>
  <c r="C307" i="4"/>
  <c r="B307" i="4"/>
  <c r="A307" i="4"/>
  <c r="H306" i="4"/>
  <c r="G306" i="4"/>
  <c r="F306" i="4"/>
  <c r="E306" i="4"/>
  <c r="D306" i="4"/>
  <c r="C306" i="4"/>
  <c r="B306" i="4"/>
  <c r="A306" i="4"/>
  <c r="H305" i="4"/>
  <c r="G305" i="4"/>
  <c r="F305" i="4"/>
  <c r="E305" i="4"/>
  <c r="D305" i="4"/>
  <c r="C305" i="4"/>
  <c r="B305" i="4"/>
  <c r="A305" i="4"/>
  <c r="H304" i="4"/>
  <c r="G304" i="4"/>
  <c r="F304" i="4"/>
  <c r="E304" i="4"/>
  <c r="D304" i="4"/>
  <c r="C304" i="4"/>
  <c r="B304" i="4"/>
  <c r="A304" i="4"/>
  <c r="H303" i="4"/>
  <c r="G303" i="4"/>
  <c r="F303" i="4"/>
  <c r="E303" i="4"/>
  <c r="D303" i="4"/>
  <c r="C303" i="4"/>
  <c r="B303" i="4"/>
  <c r="A303" i="4"/>
  <c r="H302" i="4"/>
  <c r="G302" i="4"/>
  <c r="F302" i="4"/>
  <c r="E302" i="4"/>
  <c r="D302" i="4"/>
  <c r="C302" i="4"/>
  <c r="B302" i="4"/>
  <c r="A302" i="4"/>
  <c r="H301" i="4"/>
  <c r="G301" i="4"/>
  <c r="F301" i="4"/>
  <c r="E301" i="4"/>
  <c r="D301" i="4"/>
  <c r="C301" i="4"/>
  <c r="B301" i="4"/>
  <c r="A301" i="4"/>
  <c r="H300" i="4"/>
  <c r="G300" i="4"/>
  <c r="F300" i="4"/>
  <c r="E300" i="4"/>
  <c r="D300" i="4"/>
  <c r="C300" i="4"/>
  <c r="B300" i="4"/>
  <c r="A300" i="4"/>
  <c r="H299" i="4"/>
  <c r="G299" i="4"/>
  <c r="F299" i="4"/>
  <c r="E299" i="4"/>
  <c r="D299" i="4"/>
  <c r="C299" i="4"/>
  <c r="B299" i="4"/>
  <c r="A299" i="4"/>
  <c r="H298" i="4"/>
  <c r="G298" i="4"/>
  <c r="F298" i="4"/>
  <c r="E298" i="4"/>
  <c r="D298" i="4"/>
  <c r="C298" i="4"/>
  <c r="B298" i="4"/>
  <c r="A298" i="4"/>
  <c r="H297" i="4"/>
  <c r="G297" i="4"/>
  <c r="F297" i="4"/>
  <c r="E297" i="4"/>
  <c r="D297" i="4"/>
  <c r="C297" i="4"/>
  <c r="B297" i="4"/>
  <c r="A297" i="4"/>
  <c r="H296" i="4"/>
  <c r="G296" i="4"/>
  <c r="F296" i="4"/>
  <c r="E296" i="4"/>
  <c r="D296" i="4"/>
  <c r="C296" i="4"/>
  <c r="B296" i="4"/>
  <c r="A296" i="4"/>
  <c r="H295" i="4"/>
  <c r="G295" i="4"/>
  <c r="F295" i="4"/>
  <c r="E295" i="4"/>
  <c r="D295" i="4"/>
  <c r="C295" i="4"/>
  <c r="B295" i="4"/>
  <c r="A295" i="4"/>
  <c r="H294" i="4"/>
  <c r="G294" i="4"/>
  <c r="F294" i="4"/>
  <c r="E294" i="4"/>
  <c r="D294" i="4"/>
  <c r="C294" i="4"/>
  <c r="B294" i="4"/>
  <c r="A294" i="4"/>
  <c r="H293" i="4"/>
  <c r="G293" i="4"/>
  <c r="F293" i="4"/>
  <c r="E293" i="4"/>
  <c r="D293" i="4"/>
  <c r="C293" i="4"/>
  <c r="B293" i="4"/>
  <c r="A293" i="4"/>
  <c r="H292" i="4"/>
  <c r="G292" i="4"/>
  <c r="F292" i="4"/>
  <c r="E292" i="4"/>
  <c r="D292" i="4"/>
  <c r="C292" i="4"/>
  <c r="B292" i="4"/>
  <c r="A292" i="4"/>
  <c r="H291" i="4"/>
  <c r="G291" i="4"/>
  <c r="F291" i="4"/>
  <c r="E291" i="4"/>
  <c r="D291" i="4"/>
  <c r="C291" i="4"/>
  <c r="B291" i="4"/>
  <c r="A291" i="4"/>
  <c r="H290" i="4"/>
  <c r="G290" i="4"/>
  <c r="F290" i="4"/>
  <c r="E290" i="4"/>
  <c r="D290" i="4"/>
  <c r="C290" i="4"/>
  <c r="B290" i="4"/>
  <c r="A290" i="4"/>
  <c r="H289" i="4"/>
  <c r="G289" i="4"/>
  <c r="F289" i="4"/>
  <c r="E289" i="4"/>
  <c r="D289" i="4"/>
  <c r="C289" i="4"/>
  <c r="B289" i="4"/>
  <c r="A289" i="4"/>
  <c r="H288" i="4"/>
  <c r="G288" i="4"/>
  <c r="F288" i="4"/>
  <c r="E288" i="4"/>
  <c r="D288" i="4"/>
  <c r="C288" i="4"/>
  <c r="B288" i="4"/>
  <c r="A288" i="4"/>
  <c r="H287" i="4"/>
  <c r="G287" i="4"/>
  <c r="F287" i="4"/>
  <c r="E287" i="4"/>
  <c r="D287" i="4"/>
  <c r="C287" i="4"/>
  <c r="B287" i="4"/>
  <c r="A287" i="4"/>
  <c r="H286" i="4"/>
  <c r="G286" i="4"/>
  <c r="F286" i="4"/>
  <c r="E286" i="4"/>
  <c r="D286" i="4"/>
  <c r="C286" i="4"/>
  <c r="B286" i="4"/>
  <c r="A286" i="4"/>
  <c r="H285" i="4"/>
  <c r="G285" i="4"/>
  <c r="F285" i="4"/>
  <c r="E285" i="4"/>
  <c r="D285" i="4"/>
  <c r="C285" i="4"/>
  <c r="B285" i="4"/>
  <c r="A285" i="4"/>
  <c r="H284" i="4"/>
  <c r="G284" i="4"/>
  <c r="F284" i="4"/>
  <c r="E284" i="4"/>
  <c r="D284" i="4"/>
  <c r="C284" i="4"/>
  <c r="B284" i="4"/>
  <c r="A284" i="4"/>
  <c r="H283" i="4"/>
  <c r="G283" i="4"/>
  <c r="F283" i="4"/>
  <c r="E283" i="4"/>
  <c r="D283" i="4"/>
  <c r="C283" i="4"/>
  <c r="B283" i="4"/>
  <c r="A283" i="4"/>
  <c r="H282" i="4"/>
  <c r="G282" i="4"/>
  <c r="F282" i="4"/>
  <c r="E282" i="4"/>
  <c r="D282" i="4"/>
  <c r="C282" i="4"/>
  <c r="B282" i="4"/>
  <c r="A282" i="4"/>
  <c r="H281" i="4"/>
  <c r="G281" i="4"/>
  <c r="F281" i="4"/>
  <c r="E281" i="4"/>
  <c r="D281" i="4"/>
  <c r="C281" i="4"/>
  <c r="B281" i="4"/>
  <c r="A281" i="4"/>
  <c r="H280" i="4"/>
  <c r="G280" i="4"/>
  <c r="F280" i="4"/>
  <c r="E280" i="4"/>
  <c r="D280" i="4"/>
  <c r="C280" i="4"/>
  <c r="B280" i="4"/>
  <c r="A280" i="4"/>
  <c r="H279" i="4"/>
  <c r="G279" i="4"/>
  <c r="F279" i="4"/>
  <c r="E279" i="4"/>
  <c r="D279" i="4"/>
  <c r="C279" i="4"/>
  <c r="B279" i="4"/>
  <c r="A279" i="4"/>
  <c r="H278" i="4"/>
  <c r="G278" i="4"/>
  <c r="F278" i="4"/>
  <c r="E278" i="4"/>
  <c r="D278" i="4"/>
  <c r="C278" i="4"/>
  <c r="B278" i="4"/>
  <c r="A278" i="4"/>
  <c r="H277" i="4"/>
  <c r="G277" i="4"/>
  <c r="F277" i="4"/>
  <c r="E277" i="4"/>
  <c r="D277" i="4"/>
  <c r="C277" i="4"/>
  <c r="B277" i="4"/>
  <c r="A277" i="4"/>
  <c r="H276" i="4"/>
  <c r="G276" i="4"/>
  <c r="F276" i="4"/>
  <c r="E276" i="4"/>
  <c r="D276" i="4"/>
  <c r="C276" i="4"/>
  <c r="B276" i="4"/>
  <c r="A276" i="4"/>
  <c r="H275" i="4"/>
  <c r="G275" i="4"/>
  <c r="F275" i="4"/>
  <c r="E275" i="4"/>
  <c r="D275" i="4"/>
  <c r="C275" i="4"/>
  <c r="B275" i="4"/>
  <c r="A275" i="4"/>
  <c r="H274" i="4"/>
  <c r="G274" i="4"/>
  <c r="F274" i="4"/>
  <c r="E274" i="4"/>
  <c r="D274" i="4"/>
  <c r="C274" i="4"/>
  <c r="B274" i="4"/>
  <c r="A274" i="4"/>
  <c r="H273" i="4"/>
  <c r="G273" i="4"/>
  <c r="F273" i="4"/>
  <c r="E273" i="4"/>
  <c r="D273" i="4"/>
  <c r="C273" i="4"/>
  <c r="B273" i="4"/>
  <c r="A273" i="4"/>
  <c r="H272" i="4"/>
  <c r="G272" i="4"/>
  <c r="F272" i="4"/>
  <c r="E272" i="4"/>
  <c r="D272" i="4"/>
  <c r="C272" i="4"/>
  <c r="B272" i="4"/>
  <c r="A272" i="4"/>
  <c r="H271" i="4"/>
  <c r="G271" i="4"/>
  <c r="F271" i="4"/>
  <c r="E271" i="4"/>
  <c r="D271" i="4"/>
  <c r="C271" i="4"/>
  <c r="B271" i="4"/>
  <c r="A271" i="4"/>
  <c r="H270" i="4"/>
  <c r="G270" i="4"/>
  <c r="F270" i="4"/>
  <c r="E270" i="4"/>
  <c r="D270" i="4"/>
  <c r="C270" i="4"/>
  <c r="B270" i="4"/>
  <c r="A270" i="4"/>
  <c r="H269" i="4"/>
  <c r="G269" i="4"/>
  <c r="F269" i="4"/>
  <c r="E269" i="4"/>
  <c r="D269" i="4"/>
  <c r="C269" i="4"/>
  <c r="B269" i="4"/>
  <c r="A269" i="4"/>
  <c r="H268" i="4"/>
  <c r="G268" i="4"/>
  <c r="F268" i="4"/>
  <c r="E268" i="4"/>
  <c r="D268" i="4"/>
  <c r="C268" i="4"/>
  <c r="B268" i="4"/>
  <c r="A268" i="4"/>
  <c r="H267" i="4"/>
  <c r="G267" i="4"/>
  <c r="F267" i="4"/>
  <c r="E267" i="4"/>
  <c r="D267" i="4"/>
  <c r="C267" i="4"/>
  <c r="B267" i="4"/>
  <c r="A267" i="4"/>
  <c r="H266" i="4"/>
  <c r="G266" i="4"/>
  <c r="F266" i="4"/>
  <c r="E266" i="4"/>
  <c r="D266" i="4"/>
  <c r="C266" i="4"/>
  <c r="B266" i="4"/>
  <c r="A266" i="4"/>
  <c r="H265" i="4"/>
  <c r="G265" i="4"/>
  <c r="F265" i="4"/>
  <c r="E265" i="4"/>
  <c r="D265" i="4"/>
  <c r="C265" i="4"/>
  <c r="B265" i="4"/>
  <c r="A265" i="4"/>
  <c r="H264" i="4"/>
  <c r="G264" i="4"/>
  <c r="F264" i="4"/>
  <c r="E264" i="4"/>
  <c r="D264" i="4"/>
  <c r="C264" i="4"/>
  <c r="B264" i="4"/>
  <c r="A264" i="4"/>
  <c r="H263" i="4"/>
  <c r="G263" i="4"/>
  <c r="F263" i="4"/>
  <c r="E263" i="4"/>
  <c r="D263" i="4"/>
  <c r="C263" i="4"/>
  <c r="B263" i="4"/>
  <c r="A263" i="4"/>
  <c r="H262" i="4"/>
  <c r="G262" i="4"/>
  <c r="F262" i="4"/>
  <c r="E262" i="4"/>
  <c r="D262" i="4"/>
  <c r="C262" i="4"/>
  <c r="B262" i="4"/>
  <c r="A262" i="4"/>
  <c r="H261" i="4"/>
  <c r="G261" i="4"/>
  <c r="F261" i="4"/>
  <c r="E261" i="4"/>
  <c r="D261" i="4"/>
  <c r="C261" i="4"/>
  <c r="B261" i="4"/>
  <c r="A261" i="4"/>
  <c r="H260" i="4"/>
  <c r="G260" i="4"/>
  <c r="F260" i="4"/>
  <c r="E260" i="4"/>
  <c r="D260" i="4"/>
  <c r="C260" i="4"/>
  <c r="B260" i="4"/>
  <c r="A260" i="4"/>
  <c r="H259" i="4"/>
  <c r="G259" i="4"/>
  <c r="F259" i="4"/>
  <c r="E259" i="4"/>
  <c r="D259" i="4"/>
  <c r="C259" i="4"/>
  <c r="B259" i="4"/>
  <c r="A259" i="4"/>
  <c r="H258" i="4"/>
  <c r="G258" i="4"/>
  <c r="F258" i="4"/>
  <c r="E258" i="4"/>
  <c r="D258" i="4"/>
  <c r="C258" i="4"/>
  <c r="B258" i="4"/>
  <c r="A258" i="4"/>
  <c r="H257" i="4"/>
  <c r="G257" i="4"/>
  <c r="F257" i="4"/>
  <c r="E257" i="4"/>
  <c r="D257" i="4"/>
  <c r="C257" i="4"/>
  <c r="B257" i="4"/>
  <c r="A257" i="4"/>
  <c r="H256" i="4"/>
  <c r="G256" i="4"/>
  <c r="F256" i="4"/>
  <c r="E256" i="4"/>
  <c r="D256" i="4"/>
  <c r="C256" i="4"/>
  <c r="B256" i="4"/>
  <c r="A256" i="4"/>
  <c r="H255" i="4"/>
  <c r="G255" i="4"/>
  <c r="F255" i="4"/>
  <c r="E255" i="4"/>
  <c r="D255" i="4"/>
  <c r="C255" i="4"/>
  <c r="B255" i="4"/>
  <c r="A255" i="4"/>
  <c r="H254" i="4"/>
  <c r="G254" i="4"/>
  <c r="F254" i="4"/>
  <c r="E254" i="4"/>
  <c r="D254" i="4"/>
  <c r="C254" i="4"/>
  <c r="B254" i="4"/>
  <c r="A254" i="4"/>
  <c r="H253" i="4"/>
  <c r="G253" i="4"/>
  <c r="F253" i="4"/>
  <c r="E253" i="4"/>
  <c r="D253" i="4"/>
  <c r="C253" i="4"/>
  <c r="B253" i="4"/>
  <c r="A253" i="4"/>
  <c r="H252" i="4"/>
  <c r="G252" i="4"/>
  <c r="F252" i="4"/>
  <c r="E252" i="4"/>
  <c r="D252" i="4"/>
  <c r="C252" i="4"/>
  <c r="B252" i="4"/>
  <c r="A252" i="4"/>
  <c r="H251" i="4"/>
  <c r="G251" i="4"/>
  <c r="F251" i="4"/>
  <c r="E251" i="4"/>
  <c r="D251" i="4"/>
  <c r="C251" i="4"/>
  <c r="B251" i="4"/>
  <c r="A251" i="4"/>
  <c r="H250" i="4"/>
  <c r="G250" i="4"/>
  <c r="F250" i="4"/>
  <c r="E250" i="4"/>
  <c r="D250" i="4"/>
  <c r="C250" i="4"/>
  <c r="B250" i="4"/>
  <c r="A250" i="4"/>
  <c r="H249" i="4"/>
  <c r="G249" i="4"/>
  <c r="F249" i="4"/>
  <c r="E249" i="4"/>
  <c r="D249" i="4"/>
  <c r="C249" i="4"/>
  <c r="B249" i="4"/>
  <c r="A249" i="4"/>
  <c r="H248" i="4"/>
  <c r="G248" i="4"/>
  <c r="F248" i="4"/>
  <c r="E248" i="4"/>
  <c r="D248" i="4"/>
  <c r="C248" i="4"/>
  <c r="B248" i="4"/>
  <c r="A248" i="4"/>
  <c r="H247" i="4"/>
  <c r="G247" i="4"/>
  <c r="F247" i="4"/>
  <c r="E247" i="4"/>
  <c r="D247" i="4"/>
  <c r="C247" i="4"/>
  <c r="B247" i="4"/>
  <c r="A247" i="4"/>
  <c r="H246" i="4"/>
  <c r="G246" i="4"/>
  <c r="F246" i="4"/>
  <c r="E246" i="4"/>
  <c r="D246" i="4"/>
  <c r="C246" i="4"/>
  <c r="B246" i="4"/>
  <c r="A246" i="4"/>
  <c r="H245" i="4"/>
  <c r="G245" i="4"/>
  <c r="F245" i="4"/>
  <c r="E245" i="4"/>
  <c r="D245" i="4"/>
  <c r="C245" i="4"/>
  <c r="B245" i="4"/>
  <c r="A245" i="4"/>
  <c r="H244" i="4"/>
  <c r="G244" i="4"/>
  <c r="F244" i="4"/>
  <c r="E244" i="4"/>
  <c r="D244" i="4"/>
  <c r="C244" i="4"/>
  <c r="B244" i="4"/>
  <c r="A244" i="4"/>
  <c r="H243" i="4"/>
  <c r="G243" i="4"/>
  <c r="F243" i="4"/>
  <c r="E243" i="4"/>
  <c r="D243" i="4"/>
  <c r="C243" i="4"/>
  <c r="B243" i="4"/>
  <c r="A243" i="4"/>
  <c r="H242" i="4"/>
  <c r="G242" i="4"/>
  <c r="F242" i="4"/>
  <c r="E242" i="4"/>
  <c r="D242" i="4"/>
  <c r="C242" i="4"/>
  <c r="B242" i="4"/>
  <c r="A242" i="4"/>
  <c r="H241" i="4"/>
  <c r="G241" i="4"/>
  <c r="F241" i="4"/>
  <c r="E241" i="4"/>
  <c r="D241" i="4"/>
  <c r="C241" i="4"/>
  <c r="B241" i="4"/>
  <c r="A241" i="4"/>
  <c r="H240" i="4"/>
  <c r="G240" i="4"/>
  <c r="F240" i="4"/>
  <c r="E240" i="4"/>
  <c r="D240" i="4"/>
  <c r="C240" i="4"/>
  <c r="B240" i="4"/>
  <c r="A240" i="4"/>
  <c r="H239" i="4"/>
  <c r="G239" i="4"/>
  <c r="F239" i="4"/>
  <c r="E239" i="4"/>
  <c r="D239" i="4"/>
  <c r="C239" i="4"/>
  <c r="B239" i="4"/>
  <c r="A239" i="4"/>
  <c r="H238" i="4"/>
  <c r="G238" i="4"/>
  <c r="F238" i="4"/>
  <c r="E238" i="4"/>
  <c r="D238" i="4"/>
  <c r="C238" i="4"/>
  <c r="B238" i="4"/>
  <c r="A238" i="4"/>
  <c r="H237" i="4"/>
  <c r="G237" i="4"/>
  <c r="F237" i="4"/>
  <c r="E237" i="4"/>
  <c r="D237" i="4"/>
  <c r="C237" i="4"/>
  <c r="B237" i="4"/>
  <c r="A237" i="4"/>
  <c r="H236" i="4"/>
  <c r="G236" i="4"/>
  <c r="F236" i="4"/>
  <c r="E236" i="4"/>
  <c r="D236" i="4"/>
  <c r="C236" i="4"/>
  <c r="B236" i="4"/>
  <c r="A236" i="4"/>
  <c r="H235" i="4"/>
  <c r="G235" i="4"/>
  <c r="F235" i="4"/>
  <c r="E235" i="4"/>
  <c r="D235" i="4"/>
  <c r="C235" i="4"/>
  <c r="B235" i="4"/>
  <c r="A235" i="4"/>
  <c r="H234" i="4"/>
  <c r="G234" i="4"/>
  <c r="F234" i="4"/>
  <c r="E234" i="4"/>
  <c r="D234" i="4"/>
  <c r="C234" i="4"/>
  <c r="B234" i="4"/>
  <c r="A234" i="4"/>
  <c r="H233" i="4"/>
  <c r="G233" i="4"/>
  <c r="F233" i="4"/>
  <c r="E233" i="4"/>
  <c r="D233" i="4"/>
  <c r="C233" i="4"/>
  <c r="B233" i="4"/>
  <c r="A233" i="4"/>
  <c r="H232" i="4"/>
  <c r="G232" i="4"/>
  <c r="F232" i="4"/>
  <c r="E232" i="4"/>
  <c r="D232" i="4"/>
  <c r="C232" i="4"/>
  <c r="B232" i="4"/>
  <c r="A232" i="4"/>
  <c r="H231" i="4"/>
  <c r="G231" i="4"/>
  <c r="F231" i="4"/>
  <c r="E231" i="4"/>
  <c r="D231" i="4"/>
  <c r="C231" i="4"/>
  <c r="B231" i="4"/>
  <c r="A231" i="4"/>
  <c r="H230" i="4"/>
  <c r="G230" i="4"/>
  <c r="F230" i="4"/>
  <c r="E230" i="4"/>
  <c r="D230" i="4"/>
  <c r="C230" i="4"/>
  <c r="B230" i="4"/>
  <c r="A230" i="4"/>
  <c r="H229" i="4"/>
  <c r="G229" i="4"/>
  <c r="F229" i="4"/>
  <c r="E229" i="4"/>
  <c r="D229" i="4"/>
  <c r="C229" i="4"/>
  <c r="B229" i="4"/>
  <c r="A229" i="4"/>
  <c r="H228" i="4"/>
  <c r="G228" i="4"/>
  <c r="F228" i="4"/>
  <c r="E228" i="4"/>
  <c r="D228" i="4"/>
  <c r="C228" i="4"/>
  <c r="B228" i="4"/>
  <c r="A228" i="4"/>
  <c r="H227" i="4"/>
  <c r="G227" i="4"/>
  <c r="F227" i="4"/>
  <c r="E227" i="4"/>
  <c r="D227" i="4"/>
  <c r="C227" i="4"/>
  <c r="B227" i="4"/>
  <c r="A227" i="4"/>
  <c r="H226" i="4"/>
  <c r="G226" i="4"/>
  <c r="F226" i="4"/>
  <c r="E226" i="4"/>
  <c r="D226" i="4"/>
  <c r="C226" i="4"/>
  <c r="B226" i="4"/>
  <c r="A226" i="4"/>
  <c r="H225" i="4"/>
  <c r="G225" i="4"/>
  <c r="F225" i="4"/>
  <c r="E225" i="4"/>
  <c r="D225" i="4"/>
  <c r="C225" i="4"/>
  <c r="B225" i="4"/>
  <c r="A225" i="4"/>
  <c r="H224" i="4"/>
  <c r="G224" i="4"/>
  <c r="F224" i="4"/>
  <c r="E224" i="4"/>
  <c r="D224" i="4"/>
  <c r="C224" i="4"/>
  <c r="B224" i="4"/>
  <c r="A224" i="4"/>
  <c r="H223" i="4"/>
  <c r="G223" i="4"/>
  <c r="F223" i="4"/>
  <c r="E223" i="4"/>
  <c r="D223" i="4"/>
  <c r="C223" i="4"/>
  <c r="B223" i="4"/>
  <c r="A223" i="4"/>
  <c r="H222" i="4"/>
  <c r="G222" i="4"/>
  <c r="F222" i="4"/>
  <c r="E222" i="4"/>
  <c r="D222" i="4"/>
  <c r="C222" i="4"/>
  <c r="B222" i="4"/>
  <c r="A222" i="4"/>
  <c r="H221" i="4"/>
  <c r="G221" i="4"/>
  <c r="F221" i="4"/>
  <c r="E221" i="4"/>
  <c r="D221" i="4"/>
  <c r="C221" i="4"/>
  <c r="B221" i="4"/>
  <c r="A221" i="4"/>
  <c r="H220" i="4"/>
  <c r="G220" i="4"/>
  <c r="F220" i="4"/>
  <c r="E220" i="4"/>
  <c r="D220" i="4"/>
  <c r="C220" i="4"/>
  <c r="B220" i="4"/>
  <c r="A220" i="4"/>
  <c r="H219" i="4"/>
  <c r="G219" i="4"/>
  <c r="F219" i="4"/>
  <c r="E219" i="4"/>
  <c r="D219" i="4"/>
  <c r="C219" i="4"/>
  <c r="B219" i="4"/>
  <c r="A219" i="4"/>
  <c r="H218" i="4"/>
  <c r="G218" i="4"/>
  <c r="F218" i="4"/>
  <c r="E218" i="4"/>
  <c r="D218" i="4"/>
  <c r="C218" i="4"/>
  <c r="B218" i="4"/>
  <c r="A218" i="4"/>
  <c r="H217" i="4"/>
  <c r="G217" i="4"/>
  <c r="F217" i="4"/>
  <c r="E217" i="4"/>
  <c r="D217" i="4"/>
  <c r="C217" i="4"/>
  <c r="B217" i="4"/>
  <c r="A217" i="4"/>
  <c r="H216" i="4"/>
  <c r="G216" i="4"/>
  <c r="F216" i="4"/>
  <c r="E216" i="4"/>
  <c r="D216" i="4"/>
  <c r="C216" i="4"/>
  <c r="B216" i="4"/>
  <c r="A216" i="4"/>
  <c r="H215" i="4"/>
  <c r="G215" i="4"/>
  <c r="F215" i="4"/>
  <c r="E215" i="4"/>
  <c r="D215" i="4"/>
  <c r="C215" i="4"/>
  <c r="B215" i="4"/>
  <c r="A215" i="4"/>
  <c r="H214" i="4"/>
  <c r="G214" i="4"/>
  <c r="F214" i="4"/>
  <c r="E214" i="4"/>
  <c r="D214" i="4"/>
  <c r="C214" i="4"/>
  <c r="B214" i="4"/>
  <c r="A214" i="4"/>
  <c r="H213" i="4"/>
  <c r="G213" i="4"/>
  <c r="F213" i="4"/>
  <c r="E213" i="4"/>
  <c r="D213" i="4"/>
  <c r="C213" i="4"/>
  <c r="B213" i="4"/>
  <c r="A213" i="4"/>
  <c r="H212" i="4"/>
  <c r="G212" i="4"/>
  <c r="F212" i="4"/>
  <c r="E212" i="4"/>
  <c r="D212" i="4"/>
  <c r="C212" i="4"/>
  <c r="B212" i="4"/>
  <c r="A212" i="4"/>
  <c r="H211" i="4"/>
  <c r="G211" i="4"/>
  <c r="F211" i="4"/>
  <c r="E211" i="4"/>
  <c r="D211" i="4"/>
  <c r="C211" i="4"/>
  <c r="B211" i="4"/>
  <c r="A211" i="4"/>
  <c r="H210" i="4"/>
  <c r="G210" i="4"/>
  <c r="F210" i="4"/>
  <c r="E210" i="4"/>
  <c r="D210" i="4"/>
  <c r="C210" i="4"/>
  <c r="B210" i="4"/>
  <c r="A210" i="4"/>
  <c r="H209" i="4"/>
  <c r="G209" i="4"/>
  <c r="F209" i="4"/>
  <c r="E209" i="4"/>
  <c r="D209" i="4"/>
  <c r="C209" i="4"/>
  <c r="B209" i="4"/>
  <c r="A209" i="4"/>
  <c r="H208" i="4"/>
  <c r="G208" i="4"/>
  <c r="F208" i="4"/>
  <c r="E208" i="4"/>
  <c r="D208" i="4"/>
  <c r="C208" i="4"/>
  <c r="B208" i="4"/>
  <c r="A208" i="4"/>
  <c r="H207" i="4"/>
  <c r="G207" i="4"/>
  <c r="F207" i="4"/>
  <c r="E207" i="4"/>
  <c r="D207" i="4"/>
  <c r="C207" i="4"/>
  <c r="B207" i="4"/>
  <c r="A207" i="4"/>
  <c r="H206" i="4"/>
  <c r="G206" i="4"/>
  <c r="F206" i="4"/>
  <c r="E206" i="4"/>
  <c r="D206" i="4"/>
  <c r="C206" i="4"/>
  <c r="B206" i="4"/>
  <c r="A206" i="4"/>
  <c r="H205" i="4"/>
  <c r="G205" i="4"/>
  <c r="F205" i="4"/>
  <c r="E205" i="4"/>
  <c r="D205" i="4"/>
  <c r="C205" i="4"/>
  <c r="B205" i="4"/>
  <c r="A205" i="4"/>
  <c r="H204" i="4"/>
  <c r="G204" i="4"/>
  <c r="F204" i="4"/>
  <c r="E204" i="4"/>
  <c r="D204" i="4"/>
  <c r="C204" i="4"/>
  <c r="B204" i="4"/>
  <c r="A204" i="4"/>
  <c r="H203" i="4"/>
  <c r="G203" i="4"/>
  <c r="F203" i="4"/>
  <c r="E203" i="4"/>
  <c r="D203" i="4"/>
  <c r="C203" i="4"/>
  <c r="B203" i="4"/>
  <c r="A203" i="4"/>
  <c r="H202" i="4"/>
  <c r="G202" i="4"/>
  <c r="F202" i="4"/>
  <c r="E202" i="4"/>
  <c r="D202" i="4"/>
  <c r="C202" i="4"/>
  <c r="B202" i="4"/>
  <c r="A202" i="4"/>
  <c r="H201" i="4"/>
  <c r="G201" i="4"/>
  <c r="F201" i="4"/>
  <c r="E201" i="4"/>
  <c r="D201" i="4"/>
  <c r="C201" i="4"/>
  <c r="B201" i="4"/>
  <c r="A201" i="4"/>
  <c r="H200" i="4"/>
  <c r="G200" i="4"/>
  <c r="F200" i="4"/>
  <c r="E200" i="4"/>
  <c r="D200" i="4"/>
  <c r="C200" i="4"/>
  <c r="B200" i="4"/>
  <c r="A200" i="4"/>
  <c r="H199" i="4"/>
  <c r="G199" i="4"/>
  <c r="F199" i="4"/>
  <c r="E199" i="4"/>
  <c r="D199" i="4"/>
  <c r="C199" i="4"/>
  <c r="B199" i="4"/>
  <c r="A199" i="4"/>
  <c r="H198" i="4"/>
  <c r="G198" i="4"/>
  <c r="F198" i="4"/>
  <c r="E198" i="4"/>
  <c r="D198" i="4"/>
  <c r="C198" i="4"/>
  <c r="B198" i="4"/>
  <c r="A198" i="4"/>
  <c r="H197" i="4"/>
  <c r="G197" i="4"/>
  <c r="F197" i="4"/>
  <c r="E197" i="4"/>
  <c r="D197" i="4"/>
  <c r="C197" i="4"/>
  <c r="B197" i="4"/>
  <c r="A197" i="4"/>
  <c r="H196" i="4"/>
  <c r="G196" i="4"/>
  <c r="F196" i="4"/>
  <c r="E196" i="4"/>
  <c r="D196" i="4"/>
  <c r="C196" i="4"/>
  <c r="B196" i="4"/>
  <c r="A196" i="4"/>
  <c r="H195" i="4"/>
  <c r="G195" i="4"/>
  <c r="F195" i="4"/>
  <c r="E195" i="4"/>
  <c r="D195" i="4"/>
  <c r="C195" i="4"/>
  <c r="B195" i="4"/>
  <c r="A195" i="4"/>
  <c r="H194" i="4"/>
  <c r="G194" i="4"/>
  <c r="F194" i="4"/>
  <c r="E194" i="4"/>
  <c r="D194" i="4"/>
  <c r="C194" i="4"/>
  <c r="B194" i="4"/>
  <c r="A194" i="4"/>
  <c r="H193" i="4"/>
  <c r="G193" i="4"/>
  <c r="F193" i="4"/>
  <c r="E193" i="4"/>
  <c r="D193" i="4"/>
  <c r="C193" i="4"/>
  <c r="B193" i="4"/>
  <c r="A193" i="4"/>
  <c r="H192" i="4"/>
  <c r="G192" i="4"/>
  <c r="F192" i="4"/>
  <c r="E192" i="4"/>
  <c r="D192" i="4"/>
  <c r="C192" i="4"/>
  <c r="B192" i="4"/>
  <c r="A192" i="4"/>
  <c r="H191" i="4"/>
  <c r="G191" i="4"/>
  <c r="F191" i="4"/>
  <c r="E191" i="4"/>
  <c r="D191" i="4"/>
  <c r="C191" i="4"/>
  <c r="B191" i="4"/>
  <c r="A191" i="4"/>
  <c r="H190" i="4"/>
  <c r="G190" i="4"/>
  <c r="F190" i="4"/>
  <c r="E190" i="4"/>
  <c r="D190" i="4"/>
  <c r="C190" i="4"/>
  <c r="B190" i="4"/>
  <c r="A190" i="4"/>
  <c r="H189" i="4"/>
  <c r="G189" i="4"/>
  <c r="F189" i="4"/>
  <c r="E189" i="4"/>
  <c r="D189" i="4"/>
  <c r="C189" i="4"/>
  <c r="B189" i="4"/>
  <c r="A189" i="4"/>
  <c r="H188" i="4"/>
  <c r="G188" i="4"/>
  <c r="F188" i="4"/>
  <c r="E188" i="4"/>
  <c r="D188" i="4"/>
  <c r="C188" i="4"/>
  <c r="B188" i="4"/>
  <c r="A188" i="4"/>
  <c r="H187" i="4"/>
  <c r="G187" i="4"/>
  <c r="F187" i="4"/>
  <c r="E187" i="4"/>
  <c r="D187" i="4"/>
  <c r="C187" i="4"/>
  <c r="B187" i="4"/>
  <c r="A187" i="4"/>
  <c r="H186" i="4"/>
  <c r="G186" i="4"/>
  <c r="F186" i="4"/>
  <c r="E186" i="4"/>
  <c r="D186" i="4"/>
  <c r="C186" i="4"/>
  <c r="B186" i="4"/>
  <c r="A186" i="4"/>
  <c r="H185" i="4"/>
  <c r="G185" i="4"/>
  <c r="F185" i="4"/>
  <c r="E185" i="4"/>
  <c r="D185" i="4"/>
  <c r="C185" i="4"/>
  <c r="B185" i="4"/>
  <c r="A185" i="4"/>
  <c r="H184" i="4"/>
  <c r="G184" i="4"/>
  <c r="F184" i="4"/>
  <c r="E184" i="4"/>
  <c r="D184" i="4"/>
  <c r="C184" i="4"/>
  <c r="B184" i="4"/>
  <c r="A184" i="4"/>
  <c r="H183" i="4"/>
  <c r="G183" i="4"/>
  <c r="F183" i="4"/>
  <c r="E183" i="4"/>
  <c r="D183" i="4"/>
  <c r="C183" i="4"/>
  <c r="B183" i="4"/>
  <c r="A183" i="4"/>
  <c r="H182" i="4"/>
  <c r="G182" i="4"/>
  <c r="F182" i="4"/>
  <c r="E182" i="4"/>
  <c r="D182" i="4"/>
  <c r="C182" i="4"/>
  <c r="B182" i="4"/>
  <c r="A182" i="4"/>
  <c r="H181" i="4"/>
  <c r="G181" i="4"/>
  <c r="F181" i="4"/>
  <c r="E181" i="4"/>
  <c r="D181" i="4"/>
  <c r="C181" i="4"/>
  <c r="B181" i="4"/>
  <c r="A181" i="4"/>
  <c r="H180" i="4"/>
  <c r="G180" i="4"/>
  <c r="F180" i="4"/>
  <c r="E180" i="4"/>
  <c r="D180" i="4"/>
  <c r="C180" i="4"/>
  <c r="B180" i="4"/>
  <c r="A180" i="4"/>
  <c r="H179" i="4"/>
  <c r="G179" i="4"/>
  <c r="F179" i="4"/>
  <c r="E179" i="4"/>
  <c r="D179" i="4"/>
  <c r="C179" i="4"/>
  <c r="B179" i="4"/>
  <c r="A179" i="4"/>
  <c r="H178" i="4"/>
  <c r="G178" i="4"/>
  <c r="F178" i="4"/>
  <c r="E178" i="4"/>
  <c r="D178" i="4"/>
  <c r="C178" i="4"/>
  <c r="B178" i="4"/>
  <c r="A178" i="4"/>
  <c r="H177" i="4"/>
  <c r="G177" i="4"/>
  <c r="F177" i="4"/>
  <c r="E177" i="4"/>
  <c r="D177" i="4"/>
  <c r="C177" i="4"/>
  <c r="B177" i="4"/>
  <c r="A177" i="4"/>
  <c r="H176" i="4"/>
  <c r="G176" i="4"/>
  <c r="F176" i="4"/>
  <c r="E176" i="4"/>
  <c r="D176" i="4"/>
  <c r="C176" i="4"/>
  <c r="B176" i="4"/>
  <c r="A176" i="4"/>
  <c r="H175" i="4"/>
  <c r="G175" i="4"/>
  <c r="F175" i="4"/>
  <c r="E175" i="4"/>
  <c r="D175" i="4"/>
  <c r="C175" i="4"/>
  <c r="B175" i="4"/>
  <c r="A175" i="4"/>
  <c r="H174" i="4"/>
  <c r="G174" i="4"/>
  <c r="F174" i="4"/>
  <c r="E174" i="4"/>
  <c r="D174" i="4"/>
  <c r="C174" i="4"/>
  <c r="B174" i="4"/>
  <c r="A174" i="4"/>
  <c r="H173" i="4"/>
  <c r="G173" i="4"/>
  <c r="F173" i="4"/>
  <c r="E173" i="4"/>
  <c r="D173" i="4"/>
  <c r="C173" i="4"/>
  <c r="B173" i="4"/>
  <c r="A173" i="4"/>
  <c r="H172" i="4"/>
  <c r="G172" i="4"/>
  <c r="F172" i="4"/>
  <c r="E172" i="4"/>
  <c r="D172" i="4"/>
  <c r="C172" i="4"/>
  <c r="B172" i="4"/>
  <c r="A172" i="4"/>
  <c r="H171" i="4"/>
  <c r="G171" i="4"/>
  <c r="F171" i="4"/>
  <c r="E171" i="4"/>
  <c r="D171" i="4"/>
  <c r="C171" i="4"/>
  <c r="B171" i="4"/>
  <c r="A171" i="4"/>
  <c r="H170" i="4"/>
  <c r="G170" i="4"/>
  <c r="F170" i="4"/>
  <c r="E170" i="4"/>
  <c r="D170" i="4"/>
  <c r="C170" i="4"/>
  <c r="B170" i="4"/>
  <c r="A170" i="4"/>
  <c r="H169" i="4"/>
  <c r="G169" i="4"/>
  <c r="F169" i="4"/>
  <c r="E169" i="4"/>
  <c r="D169" i="4"/>
  <c r="C169" i="4"/>
  <c r="B169" i="4"/>
  <c r="A169" i="4"/>
  <c r="H168" i="4"/>
  <c r="G168" i="4"/>
  <c r="F168" i="4"/>
  <c r="E168" i="4"/>
  <c r="D168" i="4"/>
  <c r="C168" i="4"/>
  <c r="B168" i="4"/>
  <c r="A168" i="4"/>
  <c r="H167" i="4"/>
  <c r="G167" i="4"/>
  <c r="F167" i="4"/>
  <c r="E167" i="4"/>
  <c r="D167" i="4"/>
  <c r="C167" i="4"/>
  <c r="B167" i="4"/>
  <c r="A167" i="4"/>
  <c r="H166" i="4"/>
  <c r="G166" i="4"/>
  <c r="F166" i="4"/>
  <c r="E166" i="4"/>
  <c r="D166" i="4"/>
  <c r="C166" i="4"/>
  <c r="B166" i="4"/>
  <c r="A166" i="4"/>
  <c r="H165" i="4"/>
  <c r="G165" i="4"/>
  <c r="F165" i="4"/>
  <c r="E165" i="4"/>
  <c r="D165" i="4"/>
  <c r="C165" i="4"/>
  <c r="B165" i="4"/>
  <c r="A165" i="4"/>
  <c r="H164" i="4"/>
  <c r="G164" i="4"/>
  <c r="F164" i="4"/>
  <c r="E164" i="4"/>
  <c r="D164" i="4"/>
  <c r="C164" i="4"/>
  <c r="B164" i="4"/>
  <c r="A164" i="4"/>
  <c r="H163" i="4"/>
  <c r="G163" i="4"/>
  <c r="F163" i="4"/>
  <c r="E163" i="4"/>
  <c r="D163" i="4"/>
  <c r="C163" i="4"/>
  <c r="B163" i="4"/>
  <c r="A163" i="4"/>
  <c r="H162" i="4"/>
  <c r="G162" i="4"/>
  <c r="F162" i="4"/>
  <c r="E162" i="4"/>
  <c r="D162" i="4"/>
  <c r="C162" i="4"/>
  <c r="B162" i="4"/>
  <c r="A162" i="4"/>
  <c r="H161" i="4"/>
  <c r="G161" i="4"/>
  <c r="F161" i="4"/>
  <c r="E161" i="4"/>
  <c r="D161" i="4"/>
  <c r="C161" i="4"/>
  <c r="B161" i="4"/>
  <c r="A161" i="4"/>
  <c r="H160" i="4"/>
  <c r="G160" i="4"/>
  <c r="F160" i="4"/>
  <c r="E160" i="4"/>
  <c r="D160" i="4"/>
  <c r="C160" i="4"/>
  <c r="B160" i="4"/>
  <c r="A160" i="4"/>
  <c r="H159" i="4"/>
  <c r="G159" i="4"/>
  <c r="F159" i="4"/>
  <c r="E159" i="4"/>
  <c r="D159" i="4"/>
  <c r="C159" i="4"/>
  <c r="B159" i="4"/>
  <c r="A159" i="4"/>
  <c r="H158" i="4"/>
  <c r="G158" i="4"/>
  <c r="F158" i="4"/>
  <c r="E158" i="4"/>
  <c r="D158" i="4"/>
  <c r="C158" i="4"/>
  <c r="B158" i="4"/>
  <c r="A158" i="4"/>
  <c r="H157" i="4"/>
  <c r="G157" i="4"/>
  <c r="F157" i="4"/>
  <c r="E157" i="4"/>
  <c r="D157" i="4"/>
  <c r="C157" i="4"/>
  <c r="B157" i="4"/>
  <c r="A157" i="4"/>
  <c r="H156" i="4"/>
  <c r="G156" i="4"/>
  <c r="F156" i="4"/>
  <c r="E156" i="4"/>
  <c r="D156" i="4"/>
  <c r="C156" i="4"/>
  <c r="B156" i="4"/>
  <c r="A156" i="4"/>
  <c r="H155" i="4"/>
  <c r="G155" i="4"/>
  <c r="F155" i="4"/>
  <c r="E155" i="4"/>
  <c r="D155" i="4"/>
  <c r="C155" i="4"/>
  <c r="B155" i="4"/>
  <c r="A155" i="4"/>
  <c r="H154" i="4"/>
  <c r="G154" i="4"/>
  <c r="F154" i="4"/>
  <c r="E154" i="4"/>
  <c r="D154" i="4"/>
  <c r="C154" i="4"/>
  <c r="B154" i="4"/>
  <c r="A154" i="4"/>
  <c r="H153" i="4"/>
  <c r="G153" i="4"/>
  <c r="F153" i="4"/>
  <c r="E153" i="4"/>
  <c r="D153" i="4"/>
  <c r="C153" i="4"/>
  <c r="B153" i="4"/>
  <c r="A153" i="4"/>
  <c r="H152" i="4"/>
  <c r="G152" i="4"/>
  <c r="F152" i="4"/>
  <c r="E152" i="4"/>
  <c r="D152" i="4"/>
  <c r="C152" i="4"/>
  <c r="B152" i="4"/>
  <c r="A152" i="4"/>
  <c r="H151" i="4"/>
  <c r="G151" i="4"/>
  <c r="F151" i="4"/>
  <c r="E151" i="4"/>
  <c r="D151" i="4"/>
  <c r="C151" i="4"/>
  <c r="B151" i="4"/>
  <c r="A151" i="4"/>
  <c r="H150" i="4"/>
  <c r="G150" i="4"/>
  <c r="F150" i="4"/>
  <c r="E150" i="4"/>
  <c r="D150" i="4"/>
  <c r="C150" i="4"/>
  <c r="B150" i="4"/>
  <c r="A150" i="4"/>
  <c r="H149" i="4"/>
  <c r="G149" i="4"/>
  <c r="F149" i="4"/>
  <c r="E149" i="4"/>
  <c r="D149" i="4"/>
  <c r="C149" i="4"/>
  <c r="B149" i="4"/>
  <c r="A149" i="4"/>
  <c r="H148" i="4"/>
  <c r="G148" i="4"/>
  <c r="F148" i="4"/>
  <c r="E148" i="4"/>
  <c r="D148" i="4"/>
  <c r="C148" i="4"/>
  <c r="B148" i="4"/>
  <c r="A148" i="4"/>
  <c r="H147" i="4"/>
  <c r="G147" i="4"/>
  <c r="F147" i="4"/>
  <c r="E147" i="4"/>
  <c r="D147" i="4"/>
  <c r="C147" i="4"/>
  <c r="B147" i="4"/>
  <c r="A147" i="4"/>
  <c r="H146" i="4"/>
  <c r="G146" i="4"/>
  <c r="F146" i="4"/>
  <c r="E146" i="4"/>
  <c r="D146" i="4"/>
  <c r="C146" i="4"/>
  <c r="B146" i="4"/>
  <c r="A146" i="4"/>
  <c r="H145" i="4"/>
  <c r="G145" i="4"/>
  <c r="F145" i="4"/>
  <c r="E145" i="4"/>
  <c r="D145" i="4"/>
  <c r="C145" i="4"/>
  <c r="B145" i="4"/>
  <c r="A145" i="4"/>
  <c r="H144" i="4"/>
  <c r="G144" i="4"/>
  <c r="F144" i="4"/>
  <c r="E144" i="4"/>
  <c r="D144" i="4"/>
  <c r="C144" i="4"/>
  <c r="B144" i="4"/>
  <c r="A144" i="4"/>
  <c r="H143" i="4"/>
  <c r="G143" i="4"/>
  <c r="F143" i="4"/>
  <c r="E143" i="4"/>
  <c r="D143" i="4"/>
  <c r="C143" i="4"/>
  <c r="B143" i="4"/>
  <c r="A143" i="4"/>
  <c r="H142" i="4"/>
  <c r="G142" i="4"/>
  <c r="F142" i="4"/>
  <c r="E142" i="4"/>
  <c r="D142" i="4"/>
  <c r="C142" i="4"/>
  <c r="B142" i="4"/>
  <c r="A142" i="4"/>
  <c r="H141" i="4"/>
  <c r="G141" i="4"/>
  <c r="F141" i="4"/>
  <c r="E141" i="4"/>
  <c r="D141" i="4"/>
  <c r="C141" i="4"/>
  <c r="B141" i="4"/>
  <c r="A141" i="4"/>
  <c r="H140" i="4"/>
  <c r="G140" i="4"/>
  <c r="F140" i="4"/>
  <c r="E140" i="4"/>
  <c r="D140" i="4"/>
  <c r="C140" i="4"/>
  <c r="B140" i="4"/>
  <c r="A140" i="4"/>
  <c r="H139" i="4"/>
  <c r="G139" i="4"/>
  <c r="F139" i="4"/>
  <c r="E139" i="4"/>
  <c r="D139" i="4"/>
  <c r="C139" i="4"/>
  <c r="B139" i="4"/>
  <c r="A139" i="4"/>
  <c r="H138" i="4"/>
  <c r="G138" i="4"/>
  <c r="F138" i="4"/>
  <c r="E138" i="4"/>
  <c r="D138" i="4"/>
  <c r="C138" i="4"/>
  <c r="B138" i="4"/>
  <c r="A138" i="4"/>
  <c r="H137" i="4"/>
  <c r="G137" i="4"/>
  <c r="F137" i="4"/>
  <c r="E137" i="4"/>
  <c r="D137" i="4"/>
  <c r="C137" i="4"/>
  <c r="B137" i="4"/>
  <c r="A137" i="4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H134" i="4"/>
  <c r="G134" i="4"/>
  <c r="F134" i="4"/>
  <c r="E134" i="4"/>
  <c r="D134" i="4"/>
  <c r="C134" i="4"/>
  <c r="B134" i="4"/>
  <c r="A134" i="4"/>
  <c r="H133" i="4"/>
  <c r="G133" i="4"/>
  <c r="F133" i="4"/>
  <c r="E133" i="4"/>
  <c r="D133" i="4"/>
  <c r="C133" i="4"/>
  <c r="B133" i="4"/>
  <c r="A133" i="4"/>
  <c r="H132" i="4"/>
  <c r="G132" i="4"/>
  <c r="F132" i="4"/>
  <c r="E132" i="4"/>
  <c r="D132" i="4"/>
  <c r="C132" i="4"/>
  <c r="B132" i="4"/>
  <c r="A132" i="4"/>
  <c r="H131" i="4"/>
  <c r="G131" i="4"/>
  <c r="F131" i="4"/>
  <c r="E131" i="4"/>
  <c r="D131" i="4"/>
  <c r="C131" i="4"/>
  <c r="B131" i="4"/>
  <c r="A131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D129" i="4"/>
  <c r="C129" i="4"/>
  <c r="B129" i="4"/>
  <c r="A129" i="4"/>
  <c r="H128" i="4"/>
  <c r="G128" i="4"/>
  <c r="F128" i="4"/>
  <c r="E128" i="4"/>
  <c r="D128" i="4"/>
  <c r="C128" i="4"/>
  <c r="B128" i="4"/>
  <c r="A128" i="4"/>
  <c r="H127" i="4"/>
  <c r="G127" i="4"/>
  <c r="F127" i="4"/>
  <c r="E127" i="4"/>
  <c r="D127" i="4"/>
  <c r="C127" i="4"/>
  <c r="B127" i="4"/>
  <c r="A127" i="4"/>
  <c r="H126" i="4"/>
  <c r="G126" i="4"/>
  <c r="F126" i="4"/>
  <c r="E126" i="4"/>
  <c r="D126" i="4"/>
  <c r="C126" i="4"/>
  <c r="B126" i="4"/>
  <c r="A126" i="4"/>
  <c r="H125" i="4"/>
  <c r="G125" i="4"/>
  <c r="F125" i="4"/>
  <c r="E125" i="4"/>
  <c r="D125" i="4"/>
  <c r="C125" i="4"/>
  <c r="B125" i="4"/>
  <c r="A125" i="4"/>
  <c r="H124" i="4"/>
  <c r="G124" i="4"/>
  <c r="F124" i="4"/>
  <c r="E124" i="4"/>
  <c r="D124" i="4"/>
  <c r="C124" i="4"/>
  <c r="B124" i="4"/>
  <c r="A124" i="4"/>
  <c r="H123" i="4"/>
  <c r="G123" i="4"/>
  <c r="F123" i="4"/>
  <c r="E123" i="4"/>
  <c r="D123" i="4"/>
  <c r="C123" i="4"/>
  <c r="B123" i="4"/>
  <c r="A123" i="4"/>
  <c r="H122" i="4"/>
  <c r="G122" i="4"/>
  <c r="F122" i="4"/>
  <c r="E122" i="4"/>
  <c r="D122" i="4"/>
  <c r="C122" i="4"/>
  <c r="B122" i="4"/>
  <c r="A122" i="4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H114" i="4"/>
  <c r="G114" i="4"/>
  <c r="F114" i="4"/>
  <c r="E114" i="4"/>
  <c r="D114" i="4"/>
  <c r="C114" i="4"/>
  <c r="B114" i="4"/>
  <c r="A114" i="4"/>
  <c r="H113" i="4"/>
  <c r="G113" i="4"/>
  <c r="F113" i="4"/>
  <c r="E113" i="4"/>
  <c r="D113" i="4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H109" i="4"/>
  <c r="G109" i="4"/>
  <c r="F109" i="4"/>
  <c r="E109" i="4"/>
  <c r="D109" i="4"/>
  <c r="C109" i="4"/>
  <c r="B109" i="4"/>
  <c r="A109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B104" i="4"/>
  <c r="A104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D3" i="4"/>
  <c r="C3" i="4"/>
  <c r="B3" i="4"/>
  <c r="A3" i="4"/>
  <c r="H2" i="4"/>
  <c r="G2" i="4"/>
  <c r="F2" i="4"/>
  <c r="E2" i="4"/>
  <c r="D2" i="4"/>
  <c r="C2" i="4"/>
  <c r="B2" i="4"/>
  <c r="A2" i="4"/>
  <c r="H1" i="4"/>
  <c r="G1" i="4"/>
  <c r="F1" i="4"/>
  <c r="E1" i="4"/>
  <c r="D1" i="4"/>
  <c r="C1" i="4"/>
  <c r="B1" i="4"/>
  <c r="A1" i="4"/>
  <c r="V1737" i="3"/>
  <c r="U1737" i="3"/>
  <c r="T1737" i="3"/>
  <c r="S1737" i="3"/>
  <c r="P1737" i="3"/>
  <c r="O1737" i="3"/>
  <c r="L1737" i="3"/>
  <c r="E1737" i="3"/>
  <c r="V1736" i="3"/>
  <c r="U1736" i="3"/>
  <c r="T1736" i="3"/>
  <c r="S1736" i="3"/>
  <c r="P1736" i="3"/>
  <c r="O1736" i="3"/>
  <c r="L1736" i="3"/>
  <c r="E1736" i="3"/>
  <c r="V1735" i="3"/>
  <c r="U1735" i="3"/>
  <c r="T1735" i="3"/>
  <c r="S1735" i="3"/>
  <c r="P1735" i="3"/>
  <c r="O1735" i="3"/>
  <c r="L1735" i="3"/>
  <c r="E1735" i="3"/>
  <c r="V1734" i="3"/>
  <c r="U1734" i="3"/>
  <c r="T1734" i="3"/>
  <c r="S1734" i="3"/>
  <c r="P1734" i="3"/>
  <c r="O1734" i="3"/>
  <c r="L1734" i="3"/>
  <c r="E1734" i="3"/>
  <c r="V1733" i="3"/>
  <c r="U1733" i="3"/>
  <c r="T1733" i="3"/>
  <c r="S1733" i="3"/>
  <c r="P1733" i="3"/>
  <c r="O1733" i="3"/>
  <c r="L1733" i="3"/>
  <c r="E1733" i="3"/>
  <c r="V1732" i="3"/>
  <c r="U1732" i="3"/>
  <c r="T1732" i="3"/>
  <c r="S1732" i="3"/>
  <c r="P1732" i="3"/>
  <c r="O1732" i="3"/>
  <c r="L1732" i="3"/>
  <c r="E1732" i="3"/>
  <c r="V1731" i="3"/>
  <c r="U1731" i="3"/>
  <c r="T1731" i="3"/>
  <c r="S1731" i="3"/>
  <c r="P1731" i="3"/>
  <c r="O1731" i="3"/>
  <c r="L1731" i="3"/>
  <c r="E1731" i="3"/>
  <c r="V1730" i="3"/>
  <c r="U1730" i="3"/>
  <c r="T1730" i="3"/>
  <c r="S1730" i="3"/>
  <c r="P1730" i="3"/>
  <c r="O1730" i="3"/>
  <c r="L1730" i="3"/>
  <c r="E1730" i="3"/>
  <c r="V1729" i="3"/>
  <c r="U1729" i="3"/>
  <c r="T1729" i="3"/>
  <c r="S1729" i="3"/>
  <c r="P1729" i="3"/>
  <c r="O1729" i="3"/>
  <c r="L1729" i="3"/>
  <c r="E1729" i="3"/>
  <c r="V1728" i="3"/>
  <c r="U1728" i="3"/>
  <c r="T1728" i="3"/>
  <c r="S1728" i="3"/>
  <c r="P1728" i="3"/>
  <c r="O1728" i="3"/>
  <c r="L1728" i="3"/>
  <c r="E1728" i="3"/>
  <c r="V1727" i="3"/>
  <c r="U1727" i="3"/>
  <c r="T1727" i="3"/>
  <c r="S1727" i="3"/>
  <c r="P1727" i="3"/>
  <c r="O1727" i="3"/>
  <c r="L1727" i="3"/>
  <c r="E1727" i="3"/>
  <c r="V1726" i="3"/>
  <c r="U1726" i="3"/>
  <c r="T1726" i="3"/>
  <c r="S1726" i="3"/>
  <c r="P1726" i="3"/>
  <c r="O1726" i="3"/>
  <c r="L1726" i="3"/>
  <c r="E1726" i="3"/>
  <c r="V1725" i="3"/>
  <c r="U1725" i="3"/>
  <c r="T1725" i="3"/>
  <c r="S1725" i="3"/>
  <c r="P1725" i="3"/>
  <c r="O1725" i="3"/>
  <c r="L1725" i="3"/>
  <c r="E1725" i="3"/>
  <c r="V1724" i="3"/>
  <c r="U1724" i="3"/>
  <c r="T1724" i="3"/>
  <c r="S1724" i="3"/>
  <c r="P1724" i="3"/>
  <c r="O1724" i="3"/>
  <c r="L1724" i="3"/>
  <c r="E1724" i="3"/>
  <c r="V1723" i="3"/>
  <c r="U1723" i="3"/>
  <c r="T1723" i="3"/>
  <c r="S1723" i="3"/>
  <c r="P1723" i="3"/>
  <c r="O1723" i="3"/>
  <c r="L1723" i="3"/>
  <c r="E1723" i="3"/>
  <c r="V1722" i="3"/>
  <c r="U1722" i="3"/>
  <c r="T1722" i="3"/>
  <c r="S1722" i="3"/>
  <c r="P1722" i="3"/>
  <c r="O1722" i="3"/>
  <c r="L1722" i="3"/>
  <c r="E1722" i="3"/>
  <c r="V1721" i="3"/>
  <c r="U1721" i="3"/>
  <c r="T1721" i="3"/>
  <c r="S1721" i="3"/>
  <c r="P1721" i="3"/>
  <c r="O1721" i="3"/>
  <c r="L1721" i="3"/>
  <c r="E1721" i="3"/>
  <c r="V1720" i="3"/>
  <c r="U1720" i="3"/>
  <c r="T1720" i="3"/>
  <c r="S1720" i="3"/>
  <c r="P1720" i="3"/>
  <c r="O1720" i="3"/>
  <c r="L1720" i="3"/>
  <c r="E1720" i="3"/>
  <c r="V1719" i="3"/>
  <c r="U1719" i="3"/>
  <c r="T1719" i="3"/>
  <c r="S1719" i="3"/>
  <c r="P1719" i="3"/>
  <c r="O1719" i="3"/>
  <c r="L1719" i="3"/>
  <c r="E1719" i="3"/>
  <c r="V1718" i="3"/>
  <c r="U1718" i="3"/>
  <c r="T1718" i="3"/>
  <c r="S1718" i="3"/>
  <c r="P1718" i="3"/>
  <c r="O1718" i="3"/>
  <c r="L1718" i="3"/>
  <c r="E1718" i="3"/>
  <c r="V1717" i="3"/>
  <c r="U1717" i="3"/>
  <c r="T1717" i="3"/>
  <c r="S1717" i="3"/>
  <c r="P1717" i="3"/>
  <c r="O1717" i="3"/>
  <c r="L1717" i="3"/>
  <c r="E1717" i="3"/>
  <c r="V1716" i="3"/>
  <c r="U1716" i="3"/>
  <c r="T1716" i="3"/>
  <c r="S1716" i="3"/>
  <c r="P1716" i="3"/>
  <c r="O1716" i="3"/>
  <c r="L1716" i="3"/>
  <c r="E1716" i="3"/>
  <c r="V1715" i="3"/>
  <c r="U1715" i="3"/>
  <c r="T1715" i="3"/>
  <c r="S1715" i="3"/>
  <c r="P1715" i="3"/>
  <c r="O1715" i="3"/>
  <c r="L1715" i="3"/>
  <c r="E1715" i="3"/>
  <c r="V1714" i="3"/>
  <c r="U1714" i="3"/>
  <c r="T1714" i="3"/>
  <c r="S1714" i="3"/>
  <c r="P1714" i="3"/>
  <c r="O1714" i="3"/>
  <c r="L1714" i="3"/>
  <c r="E1714" i="3"/>
  <c r="V1713" i="3"/>
  <c r="U1713" i="3"/>
  <c r="T1713" i="3"/>
  <c r="S1713" i="3"/>
  <c r="P1713" i="3"/>
  <c r="O1713" i="3"/>
  <c r="L1713" i="3"/>
  <c r="E1713" i="3"/>
  <c r="V1712" i="3"/>
  <c r="U1712" i="3"/>
  <c r="T1712" i="3"/>
  <c r="S1712" i="3"/>
  <c r="P1712" i="3"/>
  <c r="O1712" i="3"/>
  <c r="L1712" i="3"/>
  <c r="E1712" i="3"/>
  <c r="V1711" i="3"/>
  <c r="U1711" i="3"/>
  <c r="T1711" i="3"/>
  <c r="S1711" i="3"/>
  <c r="P1711" i="3"/>
  <c r="O1711" i="3"/>
  <c r="L1711" i="3"/>
  <c r="E1711" i="3"/>
  <c r="V1710" i="3"/>
  <c r="U1710" i="3"/>
  <c r="T1710" i="3"/>
  <c r="S1710" i="3"/>
  <c r="P1710" i="3"/>
  <c r="O1710" i="3"/>
  <c r="L1710" i="3"/>
  <c r="E1710" i="3"/>
  <c r="V1709" i="3"/>
  <c r="U1709" i="3"/>
  <c r="T1709" i="3"/>
  <c r="S1709" i="3"/>
  <c r="P1709" i="3"/>
  <c r="O1709" i="3"/>
  <c r="L1709" i="3"/>
  <c r="E1709" i="3"/>
  <c r="V1708" i="3"/>
  <c r="U1708" i="3"/>
  <c r="T1708" i="3"/>
  <c r="S1708" i="3"/>
  <c r="P1708" i="3"/>
  <c r="O1708" i="3"/>
  <c r="L1708" i="3"/>
  <c r="E1708" i="3"/>
  <c r="V1707" i="3"/>
  <c r="U1707" i="3"/>
  <c r="T1707" i="3"/>
  <c r="S1707" i="3"/>
  <c r="P1707" i="3"/>
  <c r="O1707" i="3"/>
  <c r="L1707" i="3"/>
  <c r="E1707" i="3"/>
  <c r="V1706" i="3"/>
  <c r="U1706" i="3"/>
  <c r="T1706" i="3"/>
  <c r="S1706" i="3"/>
  <c r="P1706" i="3"/>
  <c r="O1706" i="3"/>
  <c r="L1706" i="3"/>
  <c r="E1706" i="3"/>
  <c r="V1705" i="3"/>
  <c r="U1705" i="3"/>
  <c r="T1705" i="3"/>
  <c r="S1705" i="3"/>
  <c r="P1705" i="3"/>
  <c r="O1705" i="3"/>
  <c r="L1705" i="3"/>
  <c r="E1705" i="3"/>
  <c r="V1704" i="3"/>
  <c r="U1704" i="3"/>
  <c r="T1704" i="3"/>
  <c r="S1704" i="3"/>
  <c r="P1704" i="3"/>
  <c r="O1704" i="3"/>
  <c r="L1704" i="3"/>
  <c r="E1704" i="3"/>
  <c r="V1703" i="3"/>
  <c r="U1703" i="3"/>
  <c r="T1703" i="3"/>
  <c r="S1703" i="3"/>
  <c r="P1703" i="3"/>
  <c r="O1703" i="3"/>
  <c r="L1703" i="3"/>
  <c r="E1703" i="3"/>
  <c r="V1702" i="3"/>
  <c r="U1702" i="3"/>
  <c r="T1702" i="3"/>
  <c r="S1702" i="3"/>
  <c r="P1702" i="3"/>
  <c r="O1702" i="3"/>
  <c r="L1702" i="3"/>
  <c r="E1702" i="3"/>
  <c r="V1701" i="3"/>
  <c r="U1701" i="3"/>
  <c r="T1701" i="3"/>
  <c r="S1701" i="3"/>
  <c r="P1701" i="3"/>
  <c r="O1701" i="3"/>
  <c r="L1701" i="3"/>
  <c r="E1701" i="3"/>
  <c r="V1700" i="3"/>
  <c r="U1700" i="3"/>
  <c r="T1700" i="3"/>
  <c r="S1700" i="3"/>
  <c r="P1700" i="3"/>
  <c r="O1700" i="3"/>
  <c r="L1700" i="3"/>
  <c r="E1700" i="3"/>
  <c r="V1699" i="3"/>
  <c r="U1699" i="3"/>
  <c r="T1699" i="3"/>
  <c r="S1699" i="3"/>
  <c r="P1699" i="3"/>
  <c r="O1699" i="3"/>
  <c r="L1699" i="3"/>
  <c r="E1699" i="3"/>
  <c r="V1698" i="3"/>
  <c r="U1698" i="3"/>
  <c r="T1698" i="3"/>
  <c r="S1698" i="3"/>
  <c r="P1698" i="3"/>
  <c r="O1698" i="3"/>
  <c r="L1698" i="3"/>
  <c r="E1698" i="3"/>
  <c r="V1697" i="3"/>
  <c r="U1697" i="3"/>
  <c r="T1697" i="3"/>
  <c r="S1697" i="3"/>
  <c r="P1697" i="3"/>
  <c r="O1697" i="3"/>
  <c r="L1697" i="3"/>
  <c r="E1697" i="3"/>
  <c r="V1696" i="3"/>
  <c r="U1696" i="3"/>
  <c r="T1696" i="3"/>
  <c r="S1696" i="3"/>
  <c r="P1696" i="3"/>
  <c r="O1696" i="3"/>
  <c r="L1696" i="3"/>
  <c r="E1696" i="3"/>
  <c r="V1695" i="3"/>
  <c r="U1695" i="3"/>
  <c r="T1695" i="3"/>
  <c r="S1695" i="3"/>
  <c r="P1695" i="3"/>
  <c r="O1695" i="3"/>
  <c r="L1695" i="3"/>
  <c r="E1695" i="3"/>
  <c r="V1694" i="3"/>
  <c r="U1694" i="3"/>
  <c r="T1694" i="3"/>
  <c r="S1694" i="3"/>
  <c r="P1694" i="3"/>
  <c r="O1694" i="3"/>
  <c r="L1694" i="3"/>
  <c r="E1694" i="3"/>
  <c r="V1693" i="3"/>
  <c r="U1693" i="3"/>
  <c r="T1693" i="3"/>
  <c r="S1693" i="3"/>
  <c r="P1693" i="3"/>
  <c r="O1693" i="3"/>
  <c r="L1693" i="3"/>
  <c r="E1693" i="3"/>
  <c r="V1692" i="3"/>
  <c r="U1692" i="3"/>
  <c r="T1692" i="3"/>
  <c r="S1692" i="3"/>
  <c r="P1692" i="3"/>
  <c r="O1692" i="3"/>
  <c r="L1692" i="3"/>
  <c r="E1692" i="3"/>
  <c r="V1691" i="3"/>
  <c r="U1691" i="3"/>
  <c r="T1691" i="3"/>
  <c r="S1691" i="3"/>
  <c r="P1691" i="3"/>
  <c r="O1691" i="3"/>
  <c r="L1691" i="3"/>
  <c r="E1691" i="3"/>
  <c r="V1690" i="3"/>
  <c r="U1690" i="3"/>
  <c r="T1690" i="3"/>
  <c r="S1690" i="3"/>
  <c r="P1690" i="3"/>
  <c r="O1690" i="3"/>
  <c r="L1690" i="3"/>
  <c r="E1690" i="3"/>
  <c r="V1689" i="3"/>
  <c r="U1689" i="3"/>
  <c r="T1689" i="3"/>
  <c r="S1689" i="3"/>
  <c r="P1689" i="3"/>
  <c r="O1689" i="3"/>
  <c r="L1689" i="3"/>
  <c r="E1689" i="3"/>
  <c r="V1688" i="3"/>
  <c r="U1688" i="3"/>
  <c r="T1688" i="3"/>
  <c r="S1688" i="3"/>
  <c r="P1688" i="3"/>
  <c r="O1688" i="3"/>
  <c r="L1688" i="3"/>
  <c r="E1688" i="3"/>
  <c r="V1687" i="3"/>
  <c r="U1687" i="3"/>
  <c r="T1687" i="3"/>
  <c r="S1687" i="3"/>
  <c r="P1687" i="3"/>
  <c r="O1687" i="3"/>
  <c r="L1687" i="3"/>
  <c r="E1687" i="3"/>
  <c r="V1686" i="3"/>
  <c r="U1686" i="3"/>
  <c r="T1686" i="3"/>
  <c r="S1686" i="3"/>
  <c r="P1686" i="3"/>
  <c r="O1686" i="3"/>
  <c r="L1686" i="3"/>
  <c r="E1686" i="3"/>
  <c r="V1685" i="3"/>
  <c r="U1685" i="3"/>
  <c r="T1685" i="3"/>
  <c r="S1685" i="3"/>
  <c r="P1685" i="3"/>
  <c r="O1685" i="3"/>
  <c r="L1685" i="3"/>
  <c r="E1685" i="3"/>
  <c r="V1684" i="3"/>
  <c r="U1684" i="3"/>
  <c r="T1684" i="3"/>
  <c r="S1684" i="3"/>
  <c r="P1684" i="3"/>
  <c r="O1684" i="3"/>
  <c r="L1684" i="3"/>
  <c r="E1684" i="3"/>
  <c r="V1683" i="3"/>
  <c r="U1683" i="3"/>
  <c r="T1683" i="3"/>
  <c r="S1683" i="3"/>
  <c r="P1683" i="3"/>
  <c r="O1683" i="3"/>
  <c r="L1683" i="3"/>
  <c r="E1683" i="3"/>
  <c r="V1682" i="3"/>
  <c r="U1682" i="3"/>
  <c r="T1682" i="3"/>
  <c r="S1682" i="3"/>
  <c r="P1682" i="3"/>
  <c r="O1682" i="3"/>
  <c r="L1682" i="3"/>
  <c r="E1682" i="3"/>
  <c r="V1681" i="3"/>
  <c r="U1681" i="3"/>
  <c r="T1681" i="3"/>
  <c r="S1681" i="3"/>
  <c r="P1681" i="3"/>
  <c r="O1681" i="3"/>
  <c r="L1681" i="3"/>
  <c r="E1681" i="3"/>
  <c r="V1680" i="3"/>
  <c r="U1680" i="3"/>
  <c r="T1680" i="3"/>
  <c r="S1680" i="3"/>
  <c r="P1680" i="3"/>
  <c r="O1680" i="3"/>
  <c r="L1680" i="3"/>
  <c r="E1680" i="3"/>
  <c r="V1679" i="3"/>
  <c r="U1679" i="3"/>
  <c r="T1679" i="3"/>
  <c r="S1679" i="3"/>
  <c r="P1679" i="3"/>
  <c r="O1679" i="3"/>
  <c r="L1679" i="3"/>
  <c r="E1679" i="3"/>
  <c r="V1678" i="3"/>
  <c r="U1678" i="3"/>
  <c r="T1678" i="3"/>
  <c r="S1678" i="3"/>
  <c r="P1678" i="3"/>
  <c r="O1678" i="3"/>
  <c r="L1678" i="3"/>
  <c r="E1678" i="3"/>
  <c r="V1677" i="3"/>
  <c r="U1677" i="3"/>
  <c r="T1677" i="3"/>
  <c r="S1677" i="3"/>
  <c r="P1677" i="3"/>
  <c r="O1677" i="3"/>
  <c r="L1677" i="3"/>
  <c r="E1677" i="3"/>
  <c r="V1676" i="3"/>
  <c r="U1676" i="3"/>
  <c r="T1676" i="3"/>
  <c r="S1676" i="3"/>
  <c r="P1676" i="3"/>
  <c r="O1676" i="3"/>
  <c r="L1676" i="3"/>
  <c r="E1676" i="3"/>
  <c r="V1675" i="3"/>
  <c r="U1675" i="3"/>
  <c r="T1675" i="3"/>
  <c r="S1675" i="3"/>
  <c r="P1675" i="3"/>
  <c r="O1675" i="3"/>
  <c r="L1675" i="3"/>
  <c r="E1675" i="3"/>
  <c r="V1674" i="3"/>
  <c r="U1674" i="3"/>
  <c r="T1674" i="3"/>
  <c r="S1674" i="3"/>
  <c r="P1674" i="3"/>
  <c r="O1674" i="3"/>
  <c r="L1674" i="3"/>
  <c r="E1674" i="3"/>
  <c r="V1673" i="3"/>
  <c r="U1673" i="3"/>
  <c r="T1673" i="3"/>
  <c r="S1673" i="3"/>
  <c r="P1673" i="3"/>
  <c r="O1673" i="3"/>
  <c r="L1673" i="3"/>
  <c r="E1673" i="3"/>
  <c r="V1672" i="3"/>
  <c r="U1672" i="3"/>
  <c r="T1672" i="3"/>
  <c r="S1672" i="3"/>
  <c r="P1672" i="3"/>
  <c r="O1672" i="3"/>
  <c r="L1672" i="3"/>
  <c r="E1672" i="3"/>
  <c r="V1671" i="3"/>
  <c r="U1671" i="3"/>
  <c r="T1671" i="3"/>
  <c r="S1671" i="3"/>
  <c r="P1671" i="3"/>
  <c r="O1671" i="3"/>
  <c r="L1671" i="3"/>
  <c r="E1671" i="3"/>
  <c r="V1670" i="3"/>
  <c r="U1670" i="3"/>
  <c r="T1670" i="3"/>
  <c r="S1670" i="3"/>
  <c r="P1670" i="3"/>
  <c r="O1670" i="3"/>
  <c r="L1670" i="3"/>
  <c r="E1670" i="3"/>
  <c r="V1669" i="3"/>
  <c r="U1669" i="3"/>
  <c r="T1669" i="3"/>
  <c r="S1669" i="3"/>
  <c r="P1669" i="3"/>
  <c r="O1669" i="3"/>
  <c r="L1669" i="3"/>
  <c r="E1669" i="3"/>
  <c r="V1668" i="3"/>
  <c r="U1668" i="3"/>
  <c r="T1668" i="3"/>
  <c r="S1668" i="3"/>
  <c r="P1668" i="3"/>
  <c r="O1668" i="3"/>
  <c r="L1668" i="3"/>
  <c r="E1668" i="3"/>
  <c r="V1667" i="3"/>
  <c r="U1667" i="3"/>
  <c r="T1667" i="3"/>
  <c r="S1667" i="3"/>
  <c r="P1667" i="3"/>
  <c r="O1667" i="3"/>
  <c r="L1667" i="3"/>
  <c r="E1667" i="3"/>
  <c r="V1666" i="3"/>
  <c r="U1666" i="3"/>
  <c r="T1666" i="3"/>
  <c r="S1666" i="3"/>
  <c r="P1666" i="3"/>
  <c r="O1666" i="3"/>
  <c r="L1666" i="3"/>
  <c r="E1666" i="3"/>
  <c r="V1665" i="3"/>
  <c r="U1665" i="3"/>
  <c r="T1665" i="3"/>
  <c r="S1665" i="3"/>
  <c r="P1665" i="3"/>
  <c r="O1665" i="3"/>
  <c r="L1665" i="3"/>
  <c r="E1665" i="3"/>
  <c r="V1664" i="3"/>
  <c r="U1664" i="3"/>
  <c r="T1664" i="3"/>
  <c r="S1664" i="3"/>
  <c r="P1664" i="3"/>
  <c r="O1664" i="3"/>
  <c r="L1664" i="3"/>
  <c r="E1664" i="3"/>
  <c r="V1663" i="3"/>
  <c r="U1663" i="3"/>
  <c r="T1663" i="3"/>
  <c r="S1663" i="3"/>
  <c r="P1663" i="3"/>
  <c r="O1663" i="3"/>
  <c r="L1663" i="3"/>
  <c r="E1663" i="3"/>
  <c r="V1662" i="3"/>
  <c r="U1662" i="3"/>
  <c r="T1662" i="3"/>
  <c r="S1662" i="3"/>
  <c r="P1662" i="3"/>
  <c r="O1662" i="3"/>
  <c r="L1662" i="3"/>
  <c r="E1662" i="3"/>
  <c r="V1661" i="3"/>
  <c r="U1661" i="3"/>
  <c r="T1661" i="3"/>
  <c r="S1661" i="3"/>
  <c r="P1661" i="3"/>
  <c r="O1661" i="3"/>
  <c r="L1661" i="3"/>
  <c r="E1661" i="3"/>
  <c r="V1660" i="3"/>
  <c r="U1660" i="3"/>
  <c r="T1660" i="3"/>
  <c r="S1660" i="3"/>
  <c r="P1660" i="3"/>
  <c r="O1660" i="3"/>
  <c r="L1660" i="3"/>
  <c r="E1660" i="3"/>
  <c r="V1659" i="3"/>
  <c r="U1659" i="3"/>
  <c r="T1659" i="3"/>
  <c r="S1659" i="3"/>
  <c r="P1659" i="3"/>
  <c r="O1659" i="3"/>
  <c r="L1659" i="3"/>
  <c r="E1659" i="3"/>
  <c r="V1658" i="3"/>
  <c r="U1658" i="3"/>
  <c r="T1658" i="3"/>
  <c r="S1658" i="3"/>
  <c r="P1658" i="3"/>
  <c r="O1658" i="3"/>
  <c r="L1658" i="3"/>
  <c r="E1658" i="3"/>
  <c r="V1657" i="3"/>
  <c r="U1657" i="3"/>
  <c r="T1657" i="3"/>
  <c r="S1657" i="3"/>
  <c r="P1657" i="3"/>
  <c r="O1657" i="3"/>
  <c r="L1657" i="3"/>
  <c r="E1657" i="3"/>
  <c r="V1656" i="3"/>
  <c r="U1656" i="3"/>
  <c r="T1656" i="3"/>
  <c r="S1656" i="3"/>
  <c r="P1656" i="3"/>
  <c r="O1656" i="3"/>
  <c r="L1656" i="3"/>
  <c r="E1656" i="3"/>
  <c r="V1655" i="3"/>
  <c r="U1655" i="3"/>
  <c r="T1655" i="3"/>
  <c r="S1655" i="3"/>
  <c r="P1655" i="3"/>
  <c r="O1655" i="3"/>
  <c r="L1655" i="3"/>
  <c r="E1655" i="3"/>
  <c r="V1654" i="3"/>
  <c r="U1654" i="3"/>
  <c r="T1654" i="3"/>
  <c r="S1654" i="3"/>
  <c r="P1654" i="3"/>
  <c r="O1654" i="3"/>
  <c r="L1654" i="3"/>
  <c r="E1654" i="3"/>
  <c r="V1653" i="3"/>
  <c r="U1653" i="3"/>
  <c r="T1653" i="3"/>
  <c r="S1653" i="3"/>
  <c r="P1653" i="3"/>
  <c r="O1653" i="3"/>
  <c r="L1653" i="3"/>
  <c r="E1653" i="3"/>
  <c r="V1652" i="3"/>
  <c r="U1652" i="3"/>
  <c r="T1652" i="3"/>
  <c r="S1652" i="3"/>
  <c r="P1652" i="3"/>
  <c r="O1652" i="3"/>
  <c r="L1652" i="3"/>
  <c r="E1652" i="3"/>
  <c r="V1651" i="3"/>
  <c r="U1651" i="3"/>
  <c r="T1651" i="3"/>
  <c r="S1651" i="3"/>
  <c r="P1651" i="3"/>
  <c r="O1651" i="3"/>
  <c r="L1651" i="3"/>
  <c r="E1651" i="3"/>
  <c r="V1650" i="3"/>
  <c r="U1650" i="3"/>
  <c r="T1650" i="3"/>
  <c r="S1650" i="3"/>
  <c r="P1650" i="3"/>
  <c r="O1650" i="3"/>
  <c r="L1650" i="3"/>
  <c r="E1650" i="3"/>
  <c r="V1649" i="3"/>
  <c r="U1649" i="3"/>
  <c r="T1649" i="3"/>
  <c r="S1649" i="3"/>
  <c r="P1649" i="3"/>
  <c r="O1649" i="3"/>
  <c r="L1649" i="3"/>
  <c r="E1649" i="3"/>
  <c r="V1648" i="3"/>
  <c r="U1648" i="3"/>
  <c r="T1648" i="3"/>
  <c r="S1648" i="3"/>
  <c r="P1648" i="3"/>
  <c r="O1648" i="3"/>
  <c r="L1648" i="3"/>
  <c r="E1648" i="3"/>
  <c r="V1647" i="3"/>
  <c r="U1647" i="3"/>
  <c r="T1647" i="3"/>
  <c r="S1647" i="3"/>
  <c r="P1647" i="3"/>
  <c r="O1647" i="3"/>
  <c r="L1647" i="3"/>
  <c r="E1647" i="3"/>
  <c r="V1646" i="3"/>
  <c r="U1646" i="3"/>
  <c r="T1646" i="3"/>
  <c r="S1646" i="3"/>
  <c r="P1646" i="3"/>
  <c r="O1646" i="3"/>
  <c r="L1646" i="3"/>
  <c r="E1646" i="3"/>
  <c r="V1645" i="3"/>
  <c r="U1645" i="3"/>
  <c r="T1645" i="3"/>
  <c r="S1645" i="3"/>
  <c r="P1645" i="3"/>
  <c r="O1645" i="3"/>
  <c r="L1645" i="3"/>
  <c r="E1645" i="3"/>
  <c r="V1644" i="3"/>
  <c r="U1644" i="3"/>
  <c r="T1644" i="3"/>
  <c r="S1644" i="3"/>
  <c r="P1644" i="3"/>
  <c r="O1644" i="3"/>
  <c r="L1644" i="3"/>
  <c r="E1644" i="3"/>
  <c r="V1643" i="3"/>
  <c r="U1643" i="3"/>
  <c r="T1643" i="3"/>
  <c r="S1643" i="3"/>
  <c r="P1643" i="3"/>
  <c r="O1643" i="3"/>
  <c r="L1643" i="3"/>
  <c r="E1643" i="3"/>
  <c r="V1642" i="3"/>
  <c r="U1642" i="3"/>
  <c r="T1642" i="3"/>
  <c r="S1642" i="3"/>
  <c r="P1642" i="3"/>
  <c r="O1642" i="3"/>
  <c r="L1642" i="3"/>
  <c r="E1642" i="3"/>
  <c r="V1641" i="3"/>
  <c r="U1641" i="3"/>
  <c r="T1641" i="3"/>
  <c r="S1641" i="3"/>
  <c r="P1641" i="3"/>
  <c r="O1641" i="3"/>
  <c r="L1641" i="3"/>
  <c r="E1641" i="3"/>
  <c r="V1640" i="3"/>
  <c r="U1640" i="3"/>
  <c r="T1640" i="3"/>
  <c r="S1640" i="3"/>
  <c r="P1640" i="3"/>
  <c r="O1640" i="3"/>
  <c r="L1640" i="3"/>
  <c r="E1640" i="3"/>
  <c r="V1639" i="3"/>
  <c r="U1639" i="3"/>
  <c r="T1639" i="3"/>
  <c r="S1639" i="3"/>
  <c r="P1639" i="3"/>
  <c r="O1639" i="3"/>
  <c r="L1639" i="3"/>
  <c r="E1639" i="3"/>
  <c r="V1638" i="3"/>
  <c r="U1638" i="3"/>
  <c r="T1638" i="3"/>
  <c r="S1638" i="3"/>
  <c r="P1638" i="3"/>
  <c r="O1638" i="3"/>
  <c r="L1638" i="3"/>
  <c r="E1638" i="3"/>
  <c r="V1637" i="3"/>
  <c r="U1637" i="3"/>
  <c r="T1637" i="3"/>
  <c r="S1637" i="3"/>
  <c r="P1637" i="3"/>
  <c r="O1637" i="3"/>
  <c r="L1637" i="3"/>
  <c r="E1637" i="3"/>
  <c r="V1636" i="3"/>
  <c r="U1636" i="3"/>
  <c r="T1636" i="3"/>
  <c r="S1636" i="3"/>
  <c r="P1636" i="3"/>
  <c r="O1636" i="3"/>
  <c r="L1636" i="3"/>
  <c r="E1636" i="3"/>
  <c r="V1635" i="3"/>
  <c r="U1635" i="3"/>
  <c r="T1635" i="3"/>
  <c r="S1635" i="3"/>
  <c r="P1635" i="3"/>
  <c r="O1635" i="3"/>
  <c r="L1635" i="3"/>
  <c r="E1635" i="3"/>
  <c r="V1634" i="3"/>
  <c r="U1634" i="3"/>
  <c r="T1634" i="3"/>
  <c r="S1634" i="3"/>
  <c r="P1634" i="3"/>
  <c r="O1634" i="3"/>
  <c r="L1634" i="3"/>
  <c r="E1634" i="3"/>
  <c r="V1633" i="3"/>
  <c r="U1633" i="3"/>
  <c r="T1633" i="3"/>
  <c r="S1633" i="3"/>
  <c r="P1633" i="3"/>
  <c r="O1633" i="3"/>
  <c r="L1633" i="3"/>
  <c r="E1633" i="3"/>
  <c r="V1632" i="3"/>
  <c r="U1632" i="3"/>
  <c r="T1632" i="3"/>
  <c r="S1632" i="3"/>
  <c r="P1632" i="3"/>
  <c r="O1632" i="3"/>
  <c r="L1632" i="3"/>
  <c r="E1632" i="3"/>
  <c r="V1631" i="3"/>
  <c r="U1631" i="3"/>
  <c r="T1631" i="3"/>
  <c r="S1631" i="3"/>
  <c r="P1631" i="3"/>
  <c r="O1631" i="3"/>
  <c r="L1631" i="3"/>
  <c r="E1631" i="3"/>
  <c r="V1630" i="3"/>
  <c r="U1630" i="3"/>
  <c r="T1630" i="3"/>
  <c r="S1630" i="3"/>
  <c r="P1630" i="3"/>
  <c r="O1630" i="3"/>
  <c r="L1630" i="3"/>
  <c r="E1630" i="3"/>
  <c r="V1629" i="3"/>
  <c r="U1629" i="3"/>
  <c r="T1629" i="3"/>
  <c r="S1629" i="3"/>
  <c r="P1629" i="3"/>
  <c r="O1629" i="3"/>
  <c r="L1629" i="3"/>
  <c r="E1629" i="3"/>
  <c r="V1628" i="3"/>
  <c r="U1628" i="3"/>
  <c r="T1628" i="3"/>
  <c r="S1628" i="3"/>
  <c r="P1628" i="3"/>
  <c r="O1628" i="3"/>
  <c r="L1628" i="3"/>
  <c r="E1628" i="3"/>
  <c r="V1627" i="3"/>
  <c r="U1627" i="3"/>
  <c r="T1627" i="3"/>
  <c r="S1627" i="3"/>
  <c r="P1627" i="3"/>
  <c r="O1627" i="3"/>
  <c r="L1627" i="3"/>
  <c r="E1627" i="3"/>
  <c r="V1626" i="3"/>
  <c r="U1626" i="3"/>
  <c r="T1626" i="3"/>
  <c r="S1626" i="3"/>
  <c r="P1626" i="3"/>
  <c r="O1626" i="3"/>
  <c r="L1626" i="3"/>
  <c r="E1626" i="3"/>
  <c r="V1625" i="3"/>
  <c r="U1625" i="3"/>
  <c r="T1625" i="3"/>
  <c r="S1625" i="3"/>
  <c r="P1625" i="3"/>
  <c r="O1625" i="3"/>
  <c r="L1625" i="3"/>
  <c r="E1625" i="3"/>
  <c r="V1624" i="3"/>
  <c r="U1624" i="3"/>
  <c r="T1624" i="3"/>
  <c r="S1624" i="3"/>
  <c r="P1624" i="3"/>
  <c r="O1624" i="3"/>
  <c r="L1624" i="3"/>
  <c r="E1624" i="3"/>
  <c r="V1623" i="3"/>
  <c r="U1623" i="3"/>
  <c r="T1623" i="3"/>
  <c r="S1623" i="3"/>
  <c r="P1623" i="3"/>
  <c r="O1623" i="3"/>
  <c r="L1623" i="3"/>
  <c r="E1623" i="3"/>
  <c r="V1622" i="3"/>
  <c r="U1622" i="3"/>
  <c r="T1622" i="3"/>
  <c r="S1622" i="3"/>
  <c r="P1622" i="3"/>
  <c r="O1622" i="3"/>
  <c r="L1622" i="3"/>
  <c r="E1622" i="3"/>
  <c r="V1621" i="3"/>
  <c r="U1621" i="3"/>
  <c r="T1621" i="3"/>
  <c r="S1621" i="3"/>
  <c r="P1621" i="3"/>
  <c r="O1621" i="3"/>
  <c r="L1621" i="3"/>
  <c r="E1621" i="3"/>
  <c r="V1620" i="3"/>
  <c r="U1620" i="3"/>
  <c r="T1620" i="3"/>
  <c r="S1620" i="3"/>
  <c r="P1620" i="3"/>
  <c r="O1620" i="3"/>
  <c r="L1620" i="3"/>
  <c r="E1620" i="3"/>
  <c r="V1619" i="3"/>
  <c r="U1619" i="3"/>
  <c r="T1619" i="3"/>
  <c r="S1619" i="3"/>
  <c r="P1619" i="3"/>
  <c r="O1619" i="3"/>
  <c r="L1619" i="3"/>
  <c r="E1619" i="3"/>
  <c r="V1618" i="3"/>
  <c r="U1618" i="3"/>
  <c r="T1618" i="3"/>
  <c r="S1618" i="3"/>
  <c r="P1618" i="3"/>
  <c r="O1618" i="3"/>
  <c r="L1618" i="3"/>
  <c r="E1618" i="3"/>
  <c r="V1617" i="3"/>
  <c r="U1617" i="3"/>
  <c r="T1617" i="3"/>
  <c r="S1617" i="3"/>
  <c r="P1617" i="3"/>
  <c r="O1617" i="3"/>
  <c r="L1617" i="3"/>
  <c r="E1617" i="3"/>
  <c r="V1616" i="3"/>
  <c r="U1616" i="3"/>
  <c r="T1616" i="3"/>
  <c r="S1616" i="3"/>
  <c r="P1616" i="3"/>
  <c r="O1616" i="3"/>
  <c r="L1616" i="3"/>
  <c r="E1616" i="3"/>
  <c r="V1615" i="3"/>
  <c r="U1615" i="3"/>
  <c r="T1615" i="3"/>
  <c r="S1615" i="3"/>
  <c r="P1615" i="3"/>
  <c r="O1615" i="3"/>
  <c r="L1615" i="3"/>
  <c r="E1615" i="3"/>
  <c r="V1614" i="3"/>
  <c r="U1614" i="3"/>
  <c r="T1614" i="3"/>
  <c r="S1614" i="3"/>
  <c r="P1614" i="3"/>
  <c r="O1614" i="3"/>
  <c r="L1614" i="3"/>
  <c r="E1614" i="3"/>
  <c r="V1613" i="3"/>
  <c r="U1613" i="3"/>
  <c r="T1613" i="3"/>
  <c r="S1613" i="3"/>
  <c r="P1613" i="3"/>
  <c r="O1613" i="3"/>
  <c r="L1613" i="3"/>
  <c r="E1613" i="3"/>
  <c r="V1612" i="3"/>
  <c r="U1612" i="3"/>
  <c r="T1612" i="3"/>
  <c r="S1612" i="3"/>
  <c r="P1612" i="3"/>
  <c r="O1612" i="3"/>
  <c r="L1612" i="3"/>
  <c r="E1612" i="3"/>
  <c r="V1611" i="3"/>
  <c r="U1611" i="3"/>
  <c r="T1611" i="3"/>
  <c r="S1611" i="3"/>
  <c r="P1611" i="3"/>
  <c r="O1611" i="3"/>
  <c r="L1611" i="3"/>
  <c r="E1611" i="3"/>
  <c r="V1610" i="3"/>
  <c r="U1610" i="3"/>
  <c r="T1610" i="3"/>
  <c r="S1610" i="3"/>
  <c r="P1610" i="3"/>
  <c r="O1610" i="3"/>
  <c r="L1610" i="3"/>
  <c r="E1610" i="3"/>
  <c r="V1609" i="3"/>
  <c r="U1609" i="3"/>
  <c r="T1609" i="3"/>
  <c r="S1609" i="3"/>
  <c r="P1609" i="3"/>
  <c r="O1609" i="3"/>
  <c r="L1609" i="3"/>
  <c r="E1609" i="3"/>
  <c r="V1608" i="3"/>
  <c r="U1608" i="3"/>
  <c r="T1608" i="3"/>
  <c r="S1608" i="3"/>
  <c r="P1608" i="3"/>
  <c r="O1608" i="3"/>
  <c r="L1608" i="3"/>
  <c r="E1608" i="3"/>
  <c r="V1607" i="3"/>
  <c r="U1607" i="3"/>
  <c r="T1607" i="3"/>
  <c r="S1607" i="3"/>
  <c r="P1607" i="3"/>
  <c r="O1607" i="3"/>
  <c r="L1607" i="3"/>
  <c r="E1607" i="3"/>
  <c r="V1606" i="3"/>
  <c r="U1606" i="3"/>
  <c r="T1606" i="3"/>
  <c r="S1606" i="3"/>
  <c r="P1606" i="3"/>
  <c r="O1606" i="3"/>
  <c r="L1606" i="3"/>
  <c r="E1606" i="3"/>
  <c r="V1605" i="3"/>
  <c r="U1605" i="3"/>
  <c r="T1605" i="3"/>
  <c r="S1605" i="3"/>
  <c r="P1605" i="3"/>
  <c r="O1605" i="3"/>
  <c r="L1605" i="3"/>
  <c r="E1605" i="3"/>
  <c r="V1604" i="3"/>
  <c r="U1604" i="3"/>
  <c r="T1604" i="3"/>
  <c r="S1604" i="3"/>
  <c r="P1604" i="3"/>
  <c r="O1604" i="3"/>
  <c r="L1604" i="3"/>
  <c r="E1604" i="3"/>
  <c r="V1603" i="3"/>
  <c r="U1603" i="3"/>
  <c r="T1603" i="3"/>
  <c r="S1603" i="3"/>
  <c r="P1603" i="3"/>
  <c r="O1603" i="3"/>
  <c r="L1603" i="3"/>
  <c r="E1603" i="3"/>
  <c r="V1602" i="3"/>
  <c r="U1602" i="3"/>
  <c r="T1602" i="3"/>
  <c r="S1602" i="3"/>
  <c r="P1602" i="3"/>
  <c r="O1602" i="3"/>
  <c r="L1602" i="3"/>
  <c r="E1602" i="3"/>
  <c r="V1601" i="3"/>
  <c r="U1601" i="3"/>
  <c r="T1601" i="3"/>
  <c r="S1601" i="3"/>
  <c r="P1601" i="3"/>
  <c r="O1601" i="3"/>
  <c r="L1601" i="3"/>
  <c r="E1601" i="3"/>
  <c r="V1600" i="3"/>
  <c r="U1600" i="3"/>
  <c r="T1600" i="3"/>
  <c r="S1600" i="3"/>
  <c r="P1600" i="3"/>
  <c r="O1600" i="3"/>
  <c r="L1600" i="3"/>
  <c r="E1600" i="3"/>
  <c r="V1599" i="3"/>
  <c r="U1599" i="3"/>
  <c r="T1599" i="3"/>
  <c r="S1599" i="3"/>
  <c r="P1599" i="3"/>
  <c r="O1599" i="3"/>
  <c r="L1599" i="3"/>
  <c r="E1599" i="3"/>
  <c r="V1598" i="3"/>
  <c r="U1598" i="3"/>
  <c r="T1598" i="3"/>
  <c r="S1598" i="3"/>
  <c r="P1598" i="3"/>
  <c r="O1598" i="3"/>
  <c r="L1598" i="3"/>
  <c r="E1598" i="3"/>
  <c r="V1597" i="3"/>
  <c r="U1597" i="3"/>
  <c r="T1597" i="3"/>
  <c r="S1597" i="3"/>
  <c r="P1597" i="3"/>
  <c r="O1597" i="3"/>
  <c r="L1597" i="3"/>
  <c r="E1597" i="3"/>
  <c r="V1596" i="3"/>
  <c r="U1596" i="3"/>
  <c r="T1596" i="3"/>
  <c r="S1596" i="3"/>
  <c r="P1596" i="3"/>
  <c r="O1596" i="3"/>
  <c r="L1596" i="3"/>
  <c r="E1596" i="3"/>
  <c r="V1595" i="3"/>
  <c r="U1595" i="3"/>
  <c r="T1595" i="3"/>
  <c r="S1595" i="3"/>
  <c r="P1595" i="3"/>
  <c r="O1595" i="3"/>
  <c r="L1595" i="3"/>
  <c r="E1595" i="3"/>
  <c r="V1594" i="3"/>
  <c r="U1594" i="3"/>
  <c r="T1594" i="3"/>
  <c r="S1594" i="3"/>
  <c r="P1594" i="3"/>
  <c r="O1594" i="3"/>
  <c r="L1594" i="3"/>
  <c r="E1594" i="3"/>
  <c r="V1593" i="3"/>
  <c r="U1593" i="3"/>
  <c r="T1593" i="3"/>
  <c r="S1593" i="3"/>
  <c r="P1593" i="3"/>
  <c r="O1593" i="3"/>
  <c r="L1593" i="3"/>
  <c r="E1593" i="3"/>
  <c r="V1592" i="3"/>
  <c r="U1592" i="3"/>
  <c r="T1592" i="3"/>
  <c r="S1592" i="3"/>
  <c r="P1592" i="3"/>
  <c r="O1592" i="3"/>
  <c r="L1592" i="3"/>
  <c r="E1592" i="3"/>
  <c r="V1591" i="3"/>
  <c r="U1591" i="3"/>
  <c r="T1591" i="3"/>
  <c r="S1591" i="3"/>
  <c r="P1591" i="3"/>
  <c r="O1591" i="3"/>
  <c r="L1591" i="3"/>
  <c r="E1591" i="3"/>
  <c r="V1590" i="3"/>
  <c r="U1590" i="3"/>
  <c r="T1590" i="3"/>
  <c r="S1590" i="3"/>
  <c r="P1590" i="3"/>
  <c r="O1590" i="3"/>
  <c r="L1590" i="3"/>
  <c r="E1590" i="3"/>
  <c r="V1589" i="3"/>
  <c r="U1589" i="3"/>
  <c r="T1589" i="3"/>
  <c r="S1589" i="3"/>
  <c r="P1589" i="3"/>
  <c r="O1589" i="3"/>
  <c r="L1589" i="3"/>
  <c r="E1589" i="3"/>
  <c r="V1588" i="3"/>
  <c r="U1588" i="3"/>
  <c r="T1588" i="3"/>
  <c r="S1588" i="3"/>
  <c r="P1588" i="3"/>
  <c r="O1588" i="3"/>
  <c r="L1588" i="3"/>
  <c r="E1588" i="3"/>
  <c r="V1587" i="3"/>
  <c r="U1587" i="3"/>
  <c r="T1587" i="3"/>
  <c r="S1587" i="3"/>
  <c r="P1587" i="3"/>
  <c r="O1587" i="3"/>
  <c r="L1587" i="3"/>
  <c r="E1587" i="3"/>
  <c r="V1586" i="3"/>
  <c r="U1586" i="3"/>
  <c r="T1586" i="3"/>
  <c r="S1586" i="3"/>
  <c r="P1586" i="3"/>
  <c r="O1586" i="3"/>
  <c r="L1586" i="3"/>
  <c r="E1586" i="3"/>
  <c r="V1585" i="3"/>
  <c r="U1585" i="3"/>
  <c r="T1585" i="3"/>
  <c r="S1585" i="3"/>
  <c r="P1585" i="3"/>
  <c r="O1585" i="3"/>
  <c r="L1585" i="3"/>
  <c r="E1585" i="3"/>
  <c r="V1584" i="3"/>
  <c r="U1584" i="3"/>
  <c r="T1584" i="3"/>
  <c r="S1584" i="3"/>
  <c r="P1584" i="3"/>
  <c r="O1584" i="3"/>
  <c r="L1584" i="3"/>
  <c r="E1584" i="3"/>
  <c r="V1583" i="3"/>
  <c r="U1583" i="3"/>
  <c r="T1583" i="3"/>
  <c r="S1583" i="3"/>
  <c r="P1583" i="3"/>
  <c r="O1583" i="3"/>
  <c r="L1583" i="3"/>
  <c r="E1583" i="3"/>
  <c r="V1582" i="3"/>
  <c r="U1582" i="3"/>
  <c r="T1582" i="3"/>
  <c r="S1582" i="3"/>
  <c r="P1582" i="3"/>
  <c r="O1582" i="3"/>
  <c r="L1582" i="3"/>
  <c r="E1582" i="3"/>
  <c r="V1581" i="3"/>
  <c r="U1581" i="3"/>
  <c r="T1581" i="3"/>
  <c r="S1581" i="3"/>
  <c r="P1581" i="3"/>
  <c r="O1581" i="3"/>
  <c r="L1581" i="3"/>
  <c r="E1581" i="3"/>
  <c r="V1580" i="3"/>
  <c r="U1580" i="3"/>
  <c r="T1580" i="3"/>
  <c r="S1580" i="3"/>
  <c r="P1580" i="3"/>
  <c r="O1580" i="3"/>
  <c r="L1580" i="3"/>
  <c r="E1580" i="3"/>
  <c r="V1579" i="3"/>
  <c r="U1579" i="3"/>
  <c r="T1579" i="3"/>
  <c r="S1579" i="3"/>
  <c r="P1579" i="3"/>
  <c r="O1579" i="3"/>
  <c r="L1579" i="3"/>
  <c r="E1579" i="3"/>
  <c r="V1578" i="3"/>
  <c r="U1578" i="3"/>
  <c r="T1578" i="3"/>
  <c r="S1578" i="3"/>
  <c r="P1578" i="3"/>
  <c r="O1578" i="3"/>
  <c r="L1578" i="3"/>
  <c r="E1578" i="3"/>
  <c r="V1577" i="3"/>
  <c r="U1577" i="3"/>
  <c r="T1577" i="3"/>
  <c r="S1577" i="3"/>
  <c r="P1577" i="3"/>
  <c r="O1577" i="3"/>
  <c r="L1577" i="3"/>
  <c r="E1577" i="3"/>
  <c r="V1576" i="3"/>
  <c r="U1576" i="3"/>
  <c r="T1576" i="3"/>
  <c r="S1576" i="3"/>
  <c r="P1576" i="3"/>
  <c r="O1576" i="3"/>
  <c r="L1576" i="3"/>
  <c r="E1576" i="3"/>
  <c r="V1575" i="3"/>
  <c r="U1575" i="3"/>
  <c r="T1575" i="3"/>
  <c r="S1575" i="3"/>
  <c r="P1575" i="3"/>
  <c r="O1575" i="3"/>
  <c r="L1575" i="3"/>
  <c r="E1575" i="3"/>
  <c r="V1574" i="3"/>
  <c r="U1574" i="3"/>
  <c r="T1574" i="3"/>
  <c r="S1574" i="3"/>
  <c r="P1574" i="3"/>
  <c r="O1574" i="3"/>
  <c r="L1574" i="3"/>
  <c r="E1574" i="3"/>
  <c r="V1573" i="3"/>
  <c r="U1573" i="3"/>
  <c r="T1573" i="3"/>
  <c r="S1573" i="3"/>
  <c r="P1573" i="3"/>
  <c r="O1573" i="3"/>
  <c r="L1573" i="3"/>
  <c r="E1573" i="3"/>
  <c r="V1572" i="3"/>
  <c r="U1572" i="3"/>
  <c r="T1572" i="3"/>
  <c r="S1572" i="3"/>
  <c r="P1572" i="3"/>
  <c r="O1572" i="3"/>
  <c r="L1572" i="3"/>
  <c r="E1572" i="3"/>
  <c r="V1571" i="3"/>
  <c r="U1571" i="3"/>
  <c r="T1571" i="3"/>
  <c r="S1571" i="3"/>
  <c r="P1571" i="3"/>
  <c r="O1571" i="3"/>
  <c r="L1571" i="3"/>
  <c r="E1571" i="3"/>
  <c r="V1570" i="3"/>
  <c r="U1570" i="3"/>
  <c r="T1570" i="3"/>
  <c r="S1570" i="3"/>
  <c r="P1570" i="3"/>
  <c r="O1570" i="3"/>
  <c r="L1570" i="3"/>
  <c r="E1570" i="3"/>
  <c r="V1569" i="3"/>
  <c r="U1569" i="3"/>
  <c r="T1569" i="3"/>
  <c r="S1569" i="3"/>
  <c r="P1569" i="3"/>
  <c r="O1569" i="3"/>
  <c r="L1569" i="3"/>
  <c r="E1569" i="3"/>
  <c r="V1568" i="3"/>
  <c r="U1568" i="3"/>
  <c r="T1568" i="3"/>
  <c r="S1568" i="3"/>
  <c r="P1568" i="3"/>
  <c r="O1568" i="3"/>
  <c r="L1568" i="3"/>
  <c r="E1568" i="3"/>
  <c r="V1567" i="3"/>
  <c r="U1567" i="3"/>
  <c r="T1567" i="3"/>
  <c r="S1567" i="3"/>
  <c r="P1567" i="3"/>
  <c r="O1567" i="3"/>
  <c r="L1567" i="3"/>
  <c r="E1567" i="3"/>
  <c r="V1566" i="3"/>
  <c r="U1566" i="3"/>
  <c r="T1566" i="3"/>
  <c r="S1566" i="3"/>
  <c r="P1566" i="3"/>
  <c r="O1566" i="3"/>
  <c r="L1566" i="3"/>
  <c r="E1566" i="3"/>
  <c r="V1565" i="3"/>
  <c r="U1565" i="3"/>
  <c r="T1565" i="3"/>
  <c r="S1565" i="3"/>
  <c r="P1565" i="3"/>
  <c r="O1565" i="3"/>
  <c r="L1565" i="3"/>
  <c r="E1565" i="3"/>
  <c r="V1564" i="3"/>
  <c r="U1564" i="3"/>
  <c r="T1564" i="3"/>
  <c r="S1564" i="3"/>
  <c r="P1564" i="3"/>
  <c r="O1564" i="3"/>
  <c r="L1564" i="3"/>
  <c r="E1564" i="3"/>
  <c r="V1563" i="3"/>
  <c r="U1563" i="3"/>
  <c r="T1563" i="3"/>
  <c r="S1563" i="3"/>
  <c r="P1563" i="3"/>
  <c r="O1563" i="3"/>
  <c r="L1563" i="3"/>
  <c r="E1563" i="3"/>
  <c r="V1562" i="3"/>
  <c r="U1562" i="3"/>
  <c r="T1562" i="3"/>
  <c r="S1562" i="3"/>
  <c r="P1562" i="3"/>
  <c r="O1562" i="3"/>
  <c r="L1562" i="3"/>
  <c r="E1562" i="3"/>
  <c r="V1561" i="3"/>
  <c r="U1561" i="3"/>
  <c r="T1561" i="3"/>
  <c r="S1561" i="3"/>
  <c r="P1561" i="3"/>
  <c r="O1561" i="3"/>
  <c r="L1561" i="3"/>
  <c r="E1561" i="3"/>
  <c r="V1560" i="3"/>
  <c r="U1560" i="3"/>
  <c r="T1560" i="3"/>
  <c r="S1560" i="3"/>
  <c r="P1560" i="3"/>
  <c r="O1560" i="3"/>
  <c r="L1560" i="3"/>
  <c r="E1560" i="3"/>
  <c r="V1559" i="3"/>
  <c r="U1559" i="3"/>
  <c r="T1559" i="3"/>
  <c r="S1559" i="3"/>
  <c r="P1559" i="3"/>
  <c r="O1559" i="3"/>
  <c r="L1559" i="3"/>
  <c r="E1559" i="3"/>
  <c r="V1558" i="3"/>
  <c r="U1558" i="3"/>
  <c r="T1558" i="3"/>
  <c r="S1558" i="3"/>
  <c r="P1558" i="3"/>
  <c r="O1558" i="3"/>
  <c r="L1558" i="3"/>
  <c r="E1558" i="3"/>
  <c r="V1557" i="3"/>
  <c r="U1557" i="3"/>
  <c r="T1557" i="3"/>
  <c r="S1557" i="3"/>
  <c r="P1557" i="3"/>
  <c r="O1557" i="3"/>
  <c r="L1557" i="3"/>
  <c r="E1557" i="3"/>
  <c r="V1556" i="3"/>
  <c r="U1556" i="3"/>
  <c r="T1556" i="3"/>
  <c r="S1556" i="3"/>
  <c r="P1556" i="3"/>
  <c r="O1556" i="3"/>
  <c r="L1556" i="3"/>
  <c r="E1556" i="3"/>
  <c r="V1555" i="3"/>
  <c r="U1555" i="3"/>
  <c r="T1555" i="3"/>
  <c r="S1555" i="3"/>
  <c r="P1555" i="3"/>
  <c r="O1555" i="3"/>
  <c r="L1555" i="3"/>
  <c r="E1555" i="3"/>
  <c r="V1554" i="3"/>
  <c r="U1554" i="3"/>
  <c r="T1554" i="3"/>
  <c r="S1554" i="3"/>
  <c r="P1554" i="3"/>
  <c r="O1554" i="3"/>
  <c r="L1554" i="3"/>
  <c r="E1554" i="3"/>
  <c r="V1553" i="3"/>
  <c r="U1553" i="3"/>
  <c r="T1553" i="3"/>
  <c r="S1553" i="3"/>
  <c r="P1553" i="3"/>
  <c r="O1553" i="3"/>
  <c r="L1553" i="3"/>
  <c r="E1553" i="3"/>
  <c r="V1552" i="3"/>
  <c r="U1552" i="3"/>
  <c r="T1552" i="3"/>
  <c r="S1552" i="3"/>
  <c r="P1552" i="3"/>
  <c r="O1552" i="3"/>
  <c r="L1552" i="3"/>
  <c r="E1552" i="3"/>
  <c r="V1551" i="3"/>
  <c r="U1551" i="3"/>
  <c r="T1551" i="3"/>
  <c r="S1551" i="3"/>
  <c r="P1551" i="3"/>
  <c r="O1551" i="3"/>
  <c r="L1551" i="3"/>
  <c r="E1551" i="3"/>
  <c r="V1550" i="3"/>
  <c r="U1550" i="3"/>
  <c r="T1550" i="3"/>
  <c r="S1550" i="3"/>
  <c r="P1550" i="3"/>
  <c r="O1550" i="3"/>
  <c r="L1550" i="3"/>
  <c r="E1550" i="3"/>
  <c r="V1549" i="3"/>
  <c r="U1549" i="3"/>
  <c r="T1549" i="3"/>
  <c r="S1549" i="3"/>
  <c r="P1549" i="3"/>
  <c r="O1549" i="3"/>
  <c r="L1549" i="3"/>
  <c r="E1549" i="3"/>
  <c r="V1548" i="3"/>
  <c r="U1548" i="3"/>
  <c r="T1548" i="3"/>
  <c r="S1548" i="3"/>
  <c r="P1548" i="3"/>
  <c r="O1548" i="3"/>
  <c r="L1548" i="3"/>
  <c r="E1548" i="3"/>
  <c r="V1547" i="3"/>
  <c r="U1547" i="3"/>
  <c r="T1547" i="3"/>
  <c r="S1547" i="3"/>
  <c r="P1547" i="3"/>
  <c r="O1547" i="3"/>
  <c r="L1547" i="3"/>
  <c r="E1547" i="3"/>
  <c r="V1546" i="3"/>
  <c r="U1546" i="3"/>
  <c r="T1546" i="3"/>
  <c r="S1546" i="3"/>
  <c r="P1546" i="3"/>
  <c r="O1546" i="3"/>
  <c r="L1546" i="3"/>
  <c r="E1546" i="3"/>
  <c r="V1545" i="3"/>
  <c r="U1545" i="3"/>
  <c r="T1545" i="3"/>
  <c r="S1545" i="3"/>
  <c r="P1545" i="3"/>
  <c r="O1545" i="3"/>
  <c r="L1545" i="3"/>
  <c r="E1545" i="3"/>
  <c r="V1544" i="3"/>
  <c r="U1544" i="3"/>
  <c r="T1544" i="3"/>
  <c r="S1544" i="3"/>
  <c r="P1544" i="3"/>
  <c r="O1544" i="3"/>
  <c r="L1544" i="3"/>
  <c r="E1544" i="3"/>
  <c r="V1543" i="3"/>
  <c r="U1543" i="3"/>
  <c r="T1543" i="3"/>
  <c r="S1543" i="3"/>
  <c r="P1543" i="3"/>
  <c r="O1543" i="3"/>
  <c r="L1543" i="3"/>
  <c r="E1543" i="3"/>
  <c r="V1542" i="3"/>
  <c r="U1542" i="3"/>
  <c r="T1542" i="3"/>
  <c r="S1542" i="3"/>
  <c r="P1542" i="3"/>
  <c r="O1542" i="3"/>
  <c r="L1542" i="3"/>
  <c r="E1542" i="3"/>
  <c r="V1541" i="3"/>
  <c r="U1541" i="3"/>
  <c r="T1541" i="3"/>
  <c r="S1541" i="3"/>
  <c r="P1541" i="3"/>
  <c r="O1541" i="3"/>
  <c r="L1541" i="3"/>
  <c r="E1541" i="3"/>
  <c r="V1540" i="3"/>
  <c r="U1540" i="3"/>
  <c r="T1540" i="3"/>
  <c r="S1540" i="3"/>
  <c r="P1540" i="3"/>
  <c r="O1540" i="3"/>
  <c r="L1540" i="3"/>
  <c r="E1540" i="3"/>
  <c r="V1539" i="3"/>
  <c r="U1539" i="3"/>
  <c r="T1539" i="3"/>
  <c r="S1539" i="3"/>
  <c r="P1539" i="3"/>
  <c r="O1539" i="3"/>
  <c r="L1539" i="3"/>
  <c r="E1539" i="3"/>
  <c r="V1538" i="3"/>
  <c r="U1538" i="3"/>
  <c r="T1538" i="3"/>
  <c r="S1538" i="3"/>
  <c r="P1538" i="3"/>
  <c r="O1538" i="3"/>
  <c r="L1538" i="3"/>
  <c r="E1538" i="3"/>
  <c r="V1537" i="3"/>
  <c r="U1537" i="3"/>
  <c r="T1537" i="3"/>
  <c r="S1537" i="3"/>
  <c r="P1537" i="3"/>
  <c r="O1537" i="3"/>
  <c r="L1537" i="3"/>
  <c r="E1537" i="3"/>
  <c r="V1536" i="3"/>
  <c r="U1536" i="3"/>
  <c r="T1536" i="3"/>
  <c r="S1536" i="3"/>
  <c r="P1536" i="3"/>
  <c r="O1536" i="3"/>
  <c r="L1536" i="3"/>
  <c r="E1536" i="3"/>
  <c r="V1535" i="3"/>
  <c r="U1535" i="3"/>
  <c r="T1535" i="3"/>
  <c r="S1535" i="3"/>
  <c r="P1535" i="3"/>
  <c r="O1535" i="3"/>
  <c r="L1535" i="3"/>
  <c r="E1535" i="3"/>
  <c r="V1534" i="3"/>
  <c r="U1534" i="3"/>
  <c r="T1534" i="3"/>
  <c r="S1534" i="3"/>
  <c r="P1534" i="3"/>
  <c r="O1534" i="3"/>
  <c r="L1534" i="3"/>
  <c r="E1534" i="3"/>
  <c r="V1533" i="3"/>
  <c r="U1533" i="3"/>
  <c r="T1533" i="3"/>
  <c r="S1533" i="3"/>
  <c r="P1533" i="3"/>
  <c r="O1533" i="3"/>
  <c r="L1533" i="3"/>
  <c r="E1533" i="3"/>
  <c r="V1532" i="3"/>
  <c r="U1532" i="3"/>
  <c r="T1532" i="3"/>
  <c r="S1532" i="3"/>
  <c r="P1532" i="3"/>
  <c r="O1532" i="3"/>
  <c r="L1532" i="3"/>
  <c r="E1532" i="3"/>
  <c r="V1531" i="3"/>
  <c r="U1531" i="3"/>
  <c r="T1531" i="3"/>
  <c r="S1531" i="3"/>
  <c r="P1531" i="3"/>
  <c r="O1531" i="3"/>
  <c r="L1531" i="3"/>
  <c r="E1531" i="3"/>
  <c r="V1530" i="3"/>
  <c r="U1530" i="3"/>
  <c r="T1530" i="3"/>
  <c r="S1530" i="3"/>
  <c r="P1530" i="3"/>
  <c r="O1530" i="3"/>
  <c r="L1530" i="3"/>
  <c r="E1530" i="3"/>
  <c r="V1529" i="3"/>
  <c r="U1529" i="3"/>
  <c r="T1529" i="3"/>
  <c r="S1529" i="3"/>
  <c r="P1529" i="3"/>
  <c r="O1529" i="3"/>
  <c r="L1529" i="3"/>
  <c r="E1529" i="3"/>
  <c r="V1528" i="3"/>
  <c r="U1528" i="3"/>
  <c r="T1528" i="3"/>
  <c r="S1528" i="3"/>
  <c r="P1528" i="3"/>
  <c r="O1528" i="3"/>
  <c r="L1528" i="3"/>
  <c r="E1528" i="3"/>
  <c r="V1527" i="3"/>
  <c r="U1527" i="3"/>
  <c r="T1527" i="3"/>
  <c r="S1527" i="3"/>
  <c r="P1527" i="3"/>
  <c r="O1527" i="3"/>
  <c r="L1527" i="3"/>
  <c r="E1527" i="3"/>
  <c r="V1526" i="3"/>
  <c r="U1526" i="3"/>
  <c r="T1526" i="3"/>
  <c r="S1526" i="3"/>
  <c r="P1526" i="3"/>
  <c r="O1526" i="3"/>
  <c r="L1526" i="3"/>
  <c r="E1526" i="3"/>
  <c r="V1525" i="3"/>
  <c r="U1525" i="3"/>
  <c r="T1525" i="3"/>
  <c r="S1525" i="3"/>
  <c r="P1525" i="3"/>
  <c r="O1525" i="3"/>
  <c r="L1525" i="3"/>
  <c r="E1525" i="3"/>
  <c r="V1524" i="3"/>
  <c r="U1524" i="3"/>
  <c r="T1524" i="3"/>
  <c r="S1524" i="3"/>
  <c r="P1524" i="3"/>
  <c r="O1524" i="3"/>
  <c r="L1524" i="3"/>
  <c r="E1524" i="3"/>
  <c r="V1523" i="3"/>
  <c r="U1523" i="3"/>
  <c r="T1523" i="3"/>
  <c r="S1523" i="3"/>
  <c r="P1523" i="3"/>
  <c r="O1523" i="3"/>
  <c r="L1523" i="3"/>
  <c r="E1523" i="3"/>
  <c r="V1522" i="3"/>
  <c r="U1522" i="3"/>
  <c r="T1522" i="3"/>
  <c r="S1522" i="3"/>
  <c r="P1522" i="3"/>
  <c r="O1522" i="3"/>
  <c r="L1522" i="3"/>
  <c r="E1522" i="3"/>
  <c r="V1521" i="3"/>
  <c r="U1521" i="3"/>
  <c r="T1521" i="3"/>
  <c r="S1521" i="3"/>
  <c r="P1521" i="3"/>
  <c r="O1521" i="3"/>
  <c r="L1521" i="3"/>
  <c r="E1521" i="3"/>
  <c r="V1520" i="3"/>
  <c r="U1520" i="3"/>
  <c r="T1520" i="3"/>
  <c r="S1520" i="3"/>
  <c r="P1520" i="3"/>
  <c r="O1520" i="3"/>
  <c r="L1520" i="3"/>
  <c r="E1520" i="3"/>
  <c r="V1519" i="3"/>
  <c r="U1519" i="3"/>
  <c r="T1519" i="3"/>
  <c r="S1519" i="3"/>
  <c r="P1519" i="3"/>
  <c r="O1519" i="3"/>
  <c r="L1519" i="3"/>
  <c r="E1519" i="3"/>
  <c r="V1518" i="3"/>
  <c r="U1518" i="3"/>
  <c r="T1518" i="3"/>
  <c r="S1518" i="3"/>
  <c r="P1518" i="3"/>
  <c r="O1518" i="3"/>
  <c r="L1518" i="3"/>
  <c r="E1518" i="3"/>
  <c r="V1517" i="3"/>
  <c r="U1517" i="3"/>
  <c r="T1517" i="3"/>
  <c r="S1517" i="3"/>
  <c r="P1517" i="3"/>
  <c r="O1517" i="3"/>
  <c r="L1517" i="3"/>
  <c r="E1517" i="3"/>
  <c r="V1516" i="3"/>
  <c r="U1516" i="3"/>
  <c r="T1516" i="3"/>
  <c r="S1516" i="3"/>
  <c r="P1516" i="3"/>
  <c r="O1516" i="3"/>
  <c r="L1516" i="3"/>
  <c r="E1516" i="3"/>
  <c r="V1515" i="3"/>
  <c r="U1515" i="3"/>
  <c r="T1515" i="3"/>
  <c r="S1515" i="3"/>
  <c r="P1515" i="3"/>
  <c r="O1515" i="3"/>
  <c r="L1515" i="3"/>
  <c r="E1515" i="3"/>
  <c r="V1514" i="3"/>
  <c r="U1514" i="3"/>
  <c r="T1514" i="3"/>
  <c r="S1514" i="3"/>
  <c r="P1514" i="3"/>
  <c r="O1514" i="3"/>
  <c r="L1514" i="3"/>
  <c r="E1514" i="3"/>
  <c r="V1513" i="3"/>
  <c r="U1513" i="3"/>
  <c r="T1513" i="3"/>
  <c r="S1513" i="3"/>
  <c r="P1513" i="3"/>
  <c r="O1513" i="3"/>
  <c r="L1513" i="3"/>
  <c r="E1513" i="3"/>
  <c r="V1512" i="3"/>
  <c r="U1512" i="3"/>
  <c r="T1512" i="3"/>
  <c r="S1512" i="3"/>
  <c r="P1512" i="3"/>
  <c r="O1512" i="3"/>
  <c r="L1512" i="3"/>
  <c r="E1512" i="3"/>
  <c r="V1511" i="3"/>
  <c r="U1511" i="3"/>
  <c r="T1511" i="3"/>
  <c r="S1511" i="3"/>
  <c r="P1511" i="3"/>
  <c r="O1511" i="3"/>
  <c r="L1511" i="3"/>
  <c r="E1511" i="3"/>
  <c r="V1510" i="3"/>
  <c r="U1510" i="3"/>
  <c r="T1510" i="3"/>
  <c r="S1510" i="3"/>
  <c r="P1510" i="3"/>
  <c r="O1510" i="3"/>
  <c r="L1510" i="3"/>
  <c r="E1510" i="3"/>
  <c r="V1509" i="3"/>
  <c r="U1509" i="3"/>
  <c r="T1509" i="3"/>
  <c r="S1509" i="3"/>
  <c r="P1509" i="3"/>
  <c r="O1509" i="3"/>
  <c r="L1509" i="3"/>
  <c r="E1509" i="3"/>
  <c r="V1508" i="3"/>
  <c r="U1508" i="3"/>
  <c r="T1508" i="3"/>
  <c r="S1508" i="3"/>
  <c r="P1508" i="3"/>
  <c r="O1508" i="3"/>
  <c r="L1508" i="3"/>
  <c r="E1508" i="3"/>
  <c r="V1507" i="3"/>
  <c r="U1507" i="3"/>
  <c r="T1507" i="3"/>
  <c r="S1507" i="3"/>
  <c r="P1507" i="3"/>
  <c r="O1507" i="3"/>
  <c r="L1507" i="3"/>
  <c r="E1507" i="3"/>
  <c r="V1506" i="3"/>
  <c r="U1506" i="3"/>
  <c r="T1506" i="3"/>
  <c r="S1506" i="3"/>
  <c r="P1506" i="3"/>
  <c r="O1506" i="3"/>
  <c r="L1506" i="3"/>
  <c r="E1506" i="3"/>
  <c r="V1505" i="3"/>
  <c r="U1505" i="3"/>
  <c r="T1505" i="3"/>
  <c r="S1505" i="3"/>
  <c r="P1505" i="3"/>
  <c r="O1505" i="3"/>
  <c r="L1505" i="3"/>
  <c r="E1505" i="3"/>
  <c r="V1504" i="3"/>
  <c r="U1504" i="3"/>
  <c r="T1504" i="3"/>
  <c r="S1504" i="3"/>
  <c r="P1504" i="3"/>
  <c r="O1504" i="3"/>
  <c r="L1504" i="3"/>
  <c r="E1504" i="3"/>
  <c r="V1503" i="3"/>
  <c r="U1503" i="3"/>
  <c r="T1503" i="3"/>
  <c r="S1503" i="3"/>
  <c r="P1503" i="3"/>
  <c r="O1503" i="3"/>
  <c r="L1503" i="3"/>
  <c r="E1503" i="3"/>
  <c r="V1502" i="3"/>
  <c r="U1502" i="3"/>
  <c r="T1502" i="3"/>
  <c r="S1502" i="3"/>
  <c r="P1502" i="3"/>
  <c r="O1502" i="3"/>
  <c r="L1502" i="3"/>
  <c r="E1502" i="3"/>
  <c r="V1501" i="3"/>
  <c r="U1501" i="3"/>
  <c r="T1501" i="3"/>
  <c r="S1501" i="3"/>
  <c r="P1501" i="3"/>
  <c r="O1501" i="3"/>
  <c r="L1501" i="3"/>
  <c r="E1501" i="3"/>
  <c r="V1500" i="3"/>
  <c r="U1500" i="3"/>
  <c r="T1500" i="3"/>
  <c r="S1500" i="3"/>
  <c r="P1500" i="3"/>
  <c r="O1500" i="3"/>
  <c r="L1500" i="3"/>
  <c r="E1500" i="3"/>
  <c r="V1499" i="3"/>
  <c r="U1499" i="3"/>
  <c r="T1499" i="3"/>
  <c r="S1499" i="3"/>
  <c r="P1499" i="3"/>
  <c r="O1499" i="3"/>
  <c r="L1499" i="3"/>
  <c r="E1499" i="3"/>
  <c r="V1498" i="3"/>
  <c r="U1498" i="3"/>
  <c r="T1498" i="3"/>
  <c r="S1498" i="3"/>
  <c r="P1498" i="3"/>
  <c r="O1498" i="3"/>
  <c r="L1498" i="3"/>
  <c r="E1498" i="3"/>
  <c r="V1497" i="3"/>
  <c r="U1497" i="3"/>
  <c r="T1497" i="3"/>
  <c r="S1497" i="3"/>
  <c r="P1497" i="3"/>
  <c r="O1497" i="3"/>
  <c r="L1497" i="3"/>
  <c r="E1497" i="3"/>
  <c r="V1496" i="3"/>
  <c r="U1496" i="3"/>
  <c r="T1496" i="3"/>
  <c r="S1496" i="3"/>
  <c r="P1496" i="3"/>
  <c r="O1496" i="3"/>
  <c r="L1496" i="3"/>
  <c r="E1496" i="3"/>
  <c r="V1495" i="3"/>
  <c r="U1495" i="3"/>
  <c r="T1495" i="3"/>
  <c r="S1495" i="3"/>
  <c r="P1495" i="3"/>
  <c r="O1495" i="3"/>
  <c r="L1495" i="3"/>
  <c r="E1495" i="3"/>
  <c r="V1494" i="3"/>
  <c r="U1494" i="3"/>
  <c r="T1494" i="3"/>
  <c r="S1494" i="3"/>
  <c r="P1494" i="3"/>
  <c r="O1494" i="3"/>
  <c r="L1494" i="3"/>
  <c r="E1494" i="3"/>
  <c r="V1493" i="3"/>
  <c r="U1493" i="3"/>
  <c r="T1493" i="3"/>
  <c r="S1493" i="3"/>
  <c r="P1493" i="3"/>
  <c r="O1493" i="3"/>
  <c r="L1493" i="3"/>
  <c r="E1493" i="3"/>
  <c r="V1492" i="3"/>
  <c r="U1492" i="3"/>
  <c r="T1492" i="3"/>
  <c r="S1492" i="3"/>
  <c r="P1492" i="3"/>
  <c r="O1492" i="3"/>
  <c r="L1492" i="3"/>
  <c r="E1492" i="3"/>
  <c r="V1491" i="3"/>
  <c r="U1491" i="3"/>
  <c r="T1491" i="3"/>
  <c r="S1491" i="3"/>
  <c r="P1491" i="3"/>
  <c r="O1491" i="3"/>
  <c r="L1491" i="3"/>
  <c r="E1491" i="3"/>
  <c r="V1490" i="3"/>
  <c r="U1490" i="3"/>
  <c r="T1490" i="3"/>
  <c r="S1490" i="3"/>
  <c r="P1490" i="3"/>
  <c r="O1490" i="3"/>
  <c r="L1490" i="3"/>
  <c r="E1490" i="3"/>
  <c r="V1489" i="3"/>
  <c r="U1489" i="3"/>
  <c r="T1489" i="3"/>
  <c r="S1489" i="3"/>
  <c r="P1489" i="3"/>
  <c r="O1489" i="3"/>
  <c r="L1489" i="3"/>
  <c r="E1489" i="3"/>
  <c r="V1488" i="3"/>
  <c r="U1488" i="3"/>
  <c r="T1488" i="3"/>
  <c r="S1488" i="3"/>
  <c r="P1488" i="3"/>
  <c r="O1488" i="3"/>
  <c r="L1488" i="3"/>
  <c r="E1488" i="3"/>
  <c r="V1487" i="3"/>
  <c r="U1487" i="3"/>
  <c r="T1487" i="3"/>
  <c r="S1487" i="3"/>
  <c r="P1487" i="3"/>
  <c r="O1487" i="3"/>
  <c r="L1487" i="3"/>
  <c r="E1487" i="3"/>
  <c r="V1486" i="3"/>
  <c r="U1486" i="3"/>
  <c r="T1486" i="3"/>
  <c r="S1486" i="3"/>
  <c r="P1486" i="3"/>
  <c r="O1486" i="3"/>
  <c r="L1486" i="3"/>
  <c r="E1486" i="3"/>
  <c r="V1485" i="3"/>
  <c r="U1485" i="3"/>
  <c r="T1485" i="3"/>
  <c r="S1485" i="3"/>
  <c r="P1485" i="3"/>
  <c r="O1485" i="3"/>
  <c r="L1485" i="3"/>
  <c r="E1485" i="3"/>
  <c r="V1484" i="3"/>
  <c r="U1484" i="3"/>
  <c r="T1484" i="3"/>
  <c r="S1484" i="3"/>
  <c r="P1484" i="3"/>
  <c r="O1484" i="3"/>
  <c r="L1484" i="3"/>
  <c r="E1484" i="3"/>
  <c r="V1483" i="3"/>
  <c r="U1483" i="3"/>
  <c r="T1483" i="3"/>
  <c r="S1483" i="3"/>
  <c r="P1483" i="3"/>
  <c r="O1483" i="3"/>
  <c r="L1483" i="3"/>
  <c r="E1483" i="3"/>
  <c r="V1482" i="3"/>
  <c r="U1482" i="3"/>
  <c r="T1482" i="3"/>
  <c r="S1482" i="3"/>
  <c r="P1482" i="3"/>
  <c r="O1482" i="3"/>
  <c r="L1482" i="3"/>
  <c r="E1482" i="3"/>
  <c r="V1481" i="3"/>
  <c r="U1481" i="3"/>
  <c r="T1481" i="3"/>
  <c r="S1481" i="3"/>
  <c r="P1481" i="3"/>
  <c r="O1481" i="3"/>
  <c r="L1481" i="3"/>
  <c r="E1481" i="3"/>
  <c r="V1480" i="3"/>
  <c r="U1480" i="3"/>
  <c r="T1480" i="3"/>
  <c r="S1480" i="3"/>
  <c r="P1480" i="3"/>
  <c r="O1480" i="3"/>
  <c r="L1480" i="3"/>
  <c r="E1480" i="3"/>
  <c r="V1479" i="3"/>
  <c r="U1479" i="3"/>
  <c r="T1479" i="3"/>
  <c r="S1479" i="3"/>
  <c r="P1479" i="3"/>
  <c r="O1479" i="3"/>
  <c r="L1479" i="3"/>
  <c r="E1479" i="3"/>
  <c r="V1478" i="3"/>
  <c r="U1478" i="3"/>
  <c r="T1478" i="3"/>
  <c r="S1478" i="3"/>
  <c r="P1478" i="3"/>
  <c r="O1478" i="3"/>
  <c r="L1478" i="3"/>
  <c r="E1478" i="3"/>
  <c r="V1477" i="3"/>
  <c r="U1477" i="3"/>
  <c r="T1477" i="3"/>
  <c r="S1477" i="3"/>
  <c r="P1477" i="3"/>
  <c r="O1477" i="3"/>
  <c r="L1477" i="3"/>
  <c r="E1477" i="3"/>
  <c r="V1476" i="3"/>
  <c r="U1476" i="3"/>
  <c r="T1476" i="3"/>
  <c r="S1476" i="3"/>
  <c r="P1476" i="3"/>
  <c r="O1476" i="3"/>
  <c r="L1476" i="3"/>
  <c r="E1476" i="3"/>
  <c r="V1475" i="3"/>
  <c r="U1475" i="3"/>
  <c r="T1475" i="3"/>
  <c r="S1475" i="3"/>
  <c r="P1475" i="3"/>
  <c r="O1475" i="3"/>
  <c r="L1475" i="3"/>
  <c r="E1475" i="3"/>
  <c r="V1474" i="3"/>
  <c r="U1474" i="3"/>
  <c r="T1474" i="3"/>
  <c r="S1474" i="3"/>
  <c r="P1474" i="3"/>
  <c r="O1474" i="3"/>
  <c r="L1474" i="3"/>
  <c r="E1474" i="3"/>
  <c r="V1473" i="3"/>
  <c r="U1473" i="3"/>
  <c r="T1473" i="3"/>
  <c r="S1473" i="3"/>
  <c r="P1473" i="3"/>
  <c r="O1473" i="3"/>
  <c r="L1473" i="3"/>
  <c r="E1473" i="3"/>
  <c r="V1472" i="3"/>
  <c r="U1472" i="3"/>
  <c r="T1472" i="3"/>
  <c r="S1472" i="3"/>
  <c r="P1472" i="3"/>
  <c r="O1472" i="3"/>
  <c r="L1472" i="3"/>
  <c r="E1472" i="3"/>
  <c r="V1471" i="3"/>
  <c r="U1471" i="3"/>
  <c r="T1471" i="3"/>
  <c r="S1471" i="3"/>
  <c r="P1471" i="3"/>
  <c r="O1471" i="3"/>
  <c r="L1471" i="3"/>
  <c r="E1471" i="3"/>
  <c r="V1470" i="3"/>
  <c r="U1470" i="3"/>
  <c r="T1470" i="3"/>
  <c r="S1470" i="3"/>
  <c r="P1470" i="3"/>
  <c r="O1470" i="3"/>
  <c r="L1470" i="3"/>
  <c r="E1470" i="3"/>
  <c r="V1469" i="3"/>
  <c r="U1469" i="3"/>
  <c r="T1469" i="3"/>
  <c r="S1469" i="3"/>
  <c r="P1469" i="3"/>
  <c r="O1469" i="3"/>
  <c r="L1469" i="3"/>
  <c r="E1469" i="3"/>
  <c r="V1468" i="3"/>
  <c r="U1468" i="3"/>
  <c r="T1468" i="3"/>
  <c r="S1468" i="3"/>
  <c r="P1468" i="3"/>
  <c r="O1468" i="3"/>
  <c r="L1468" i="3"/>
  <c r="E1468" i="3"/>
  <c r="V1467" i="3"/>
  <c r="U1467" i="3"/>
  <c r="T1467" i="3"/>
  <c r="S1467" i="3"/>
  <c r="P1467" i="3"/>
  <c r="O1467" i="3"/>
  <c r="L1467" i="3"/>
  <c r="E1467" i="3"/>
  <c r="V1466" i="3"/>
  <c r="U1466" i="3"/>
  <c r="T1466" i="3"/>
  <c r="S1466" i="3"/>
  <c r="P1466" i="3"/>
  <c r="O1466" i="3"/>
  <c r="L1466" i="3"/>
  <c r="E1466" i="3"/>
  <c r="V1465" i="3"/>
  <c r="U1465" i="3"/>
  <c r="T1465" i="3"/>
  <c r="S1465" i="3"/>
  <c r="P1465" i="3"/>
  <c r="O1465" i="3"/>
  <c r="L1465" i="3"/>
  <c r="E1465" i="3"/>
  <c r="V1464" i="3"/>
  <c r="U1464" i="3"/>
  <c r="T1464" i="3"/>
  <c r="S1464" i="3"/>
  <c r="P1464" i="3"/>
  <c r="O1464" i="3"/>
  <c r="L1464" i="3"/>
  <c r="E1464" i="3"/>
  <c r="V1463" i="3"/>
  <c r="U1463" i="3"/>
  <c r="T1463" i="3"/>
  <c r="S1463" i="3"/>
  <c r="P1463" i="3"/>
  <c r="O1463" i="3"/>
  <c r="L1463" i="3"/>
  <c r="E1463" i="3"/>
  <c r="V1462" i="3"/>
  <c r="U1462" i="3"/>
  <c r="T1462" i="3"/>
  <c r="S1462" i="3"/>
  <c r="P1462" i="3"/>
  <c r="O1462" i="3"/>
  <c r="L1462" i="3"/>
  <c r="E1462" i="3"/>
  <c r="V1461" i="3"/>
  <c r="U1461" i="3"/>
  <c r="T1461" i="3"/>
  <c r="S1461" i="3"/>
  <c r="P1461" i="3"/>
  <c r="O1461" i="3"/>
  <c r="L1461" i="3"/>
  <c r="E1461" i="3"/>
  <c r="V1460" i="3"/>
  <c r="U1460" i="3"/>
  <c r="T1460" i="3"/>
  <c r="S1460" i="3"/>
  <c r="P1460" i="3"/>
  <c r="O1460" i="3"/>
  <c r="L1460" i="3"/>
  <c r="E1460" i="3"/>
  <c r="V1459" i="3"/>
  <c r="U1459" i="3"/>
  <c r="T1459" i="3"/>
  <c r="S1459" i="3"/>
  <c r="P1459" i="3"/>
  <c r="O1459" i="3"/>
  <c r="L1459" i="3"/>
  <c r="E1459" i="3"/>
  <c r="V1458" i="3"/>
  <c r="U1458" i="3"/>
  <c r="T1458" i="3"/>
  <c r="S1458" i="3"/>
  <c r="P1458" i="3"/>
  <c r="O1458" i="3"/>
  <c r="L1458" i="3"/>
  <c r="E1458" i="3"/>
  <c r="V1457" i="3"/>
  <c r="U1457" i="3"/>
  <c r="T1457" i="3"/>
  <c r="S1457" i="3"/>
  <c r="P1457" i="3"/>
  <c r="O1457" i="3"/>
  <c r="L1457" i="3"/>
  <c r="E1457" i="3"/>
  <c r="V1456" i="3"/>
  <c r="U1456" i="3"/>
  <c r="T1456" i="3"/>
  <c r="S1456" i="3"/>
  <c r="P1456" i="3"/>
  <c r="O1456" i="3"/>
  <c r="L1456" i="3"/>
  <c r="E1456" i="3"/>
  <c r="V1455" i="3"/>
  <c r="U1455" i="3"/>
  <c r="T1455" i="3"/>
  <c r="S1455" i="3"/>
  <c r="P1455" i="3"/>
  <c r="O1455" i="3"/>
  <c r="L1455" i="3"/>
  <c r="E1455" i="3"/>
  <c r="V1454" i="3"/>
  <c r="U1454" i="3"/>
  <c r="T1454" i="3"/>
  <c r="S1454" i="3"/>
  <c r="P1454" i="3"/>
  <c r="O1454" i="3"/>
  <c r="L1454" i="3"/>
  <c r="E1454" i="3"/>
  <c r="V1453" i="3"/>
  <c r="U1453" i="3"/>
  <c r="T1453" i="3"/>
  <c r="S1453" i="3"/>
  <c r="P1453" i="3"/>
  <c r="O1453" i="3"/>
  <c r="L1453" i="3"/>
  <c r="E1453" i="3"/>
  <c r="V1452" i="3"/>
  <c r="U1452" i="3"/>
  <c r="T1452" i="3"/>
  <c r="S1452" i="3"/>
  <c r="P1452" i="3"/>
  <c r="O1452" i="3"/>
  <c r="L1452" i="3"/>
  <c r="E1452" i="3"/>
  <c r="V1451" i="3"/>
  <c r="U1451" i="3"/>
  <c r="T1451" i="3"/>
  <c r="S1451" i="3"/>
  <c r="P1451" i="3"/>
  <c r="O1451" i="3"/>
  <c r="L1451" i="3"/>
  <c r="E1451" i="3"/>
  <c r="V1450" i="3"/>
  <c r="U1450" i="3"/>
  <c r="T1450" i="3"/>
  <c r="S1450" i="3"/>
  <c r="P1450" i="3"/>
  <c r="O1450" i="3"/>
  <c r="L1450" i="3"/>
  <c r="E1450" i="3"/>
  <c r="V1449" i="3"/>
  <c r="U1449" i="3"/>
  <c r="T1449" i="3"/>
  <c r="S1449" i="3"/>
  <c r="P1449" i="3"/>
  <c r="O1449" i="3"/>
  <c r="L1449" i="3"/>
  <c r="E1449" i="3"/>
  <c r="V1448" i="3"/>
  <c r="U1448" i="3"/>
  <c r="T1448" i="3"/>
  <c r="S1448" i="3"/>
  <c r="P1448" i="3"/>
  <c r="O1448" i="3"/>
  <c r="L1448" i="3"/>
  <c r="E1448" i="3"/>
  <c r="V1447" i="3"/>
  <c r="U1447" i="3"/>
  <c r="T1447" i="3"/>
  <c r="S1447" i="3"/>
  <c r="P1447" i="3"/>
  <c r="O1447" i="3"/>
  <c r="L1447" i="3"/>
  <c r="E1447" i="3"/>
  <c r="V1446" i="3"/>
  <c r="U1446" i="3"/>
  <c r="T1446" i="3"/>
  <c r="S1446" i="3"/>
  <c r="P1446" i="3"/>
  <c r="O1446" i="3"/>
  <c r="L1446" i="3"/>
  <c r="E1446" i="3"/>
  <c r="V1445" i="3"/>
  <c r="U1445" i="3"/>
  <c r="T1445" i="3"/>
  <c r="S1445" i="3"/>
  <c r="P1445" i="3"/>
  <c r="O1445" i="3"/>
  <c r="L1445" i="3"/>
  <c r="E1445" i="3"/>
  <c r="V1444" i="3"/>
  <c r="U1444" i="3"/>
  <c r="T1444" i="3"/>
  <c r="S1444" i="3"/>
  <c r="P1444" i="3"/>
  <c r="O1444" i="3"/>
  <c r="L1444" i="3"/>
  <c r="E1444" i="3"/>
  <c r="V1443" i="3"/>
  <c r="U1443" i="3"/>
  <c r="T1443" i="3"/>
  <c r="S1443" i="3"/>
  <c r="P1443" i="3"/>
  <c r="O1443" i="3"/>
  <c r="L1443" i="3"/>
  <c r="E1443" i="3"/>
  <c r="V1442" i="3"/>
  <c r="U1442" i="3"/>
  <c r="T1442" i="3"/>
  <c r="S1442" i="3"/>
  <c r="P1442" i="3"/>
  <c r="O1442" i="3"/>
  <c r="L1442" i="3"/>
  <c r="E1442" i="3"/>
  <c r="V1441" i="3"/>
  <c r="U1441" i="3"/>
  <c r="T1441" i="3"/>
  <c r="S1441" i="3"/>
  <c r="P1441" i="3"/>
  <c r="O1441" i="3"/>
  <c r="L1441" i="3"/>
  <c r="E1441" i="3"/>
  <c r="V1440" i="3"/>
  <c r="U1440" i="3"/>
  <c r="T1440" i="3"/>
  <c r="S1440" i="3"/>
  <c r="P1440" i="3"/>
  <c r="O1440" i="3"/>
  <c r="L1440" i="3"/>
  <c r="E1440" i="3"/>
  <c r="V1439" i="3"/>
  <c r="U1439" i="3"/>
  <c r="T1439" i="3"/>
  <c r="S1439" i="3"/>
  <c r="P1439" i="3"/>
  <c r="O1439" i="3"/>
  <c r="L1439" i="3"/>
  <c r="E1439" i="3"/>
  <c r="V1438" i="3"/>
  <c r="U1438" i="3"/>
  <c r="T1438" i="3"/>
  <c r="S1438" i="3"/>
  <c r="P1438" i="3"/>
  <c r="O1438" i="3"/>
  <c r="L1438" i="3"/>
  <c r="E1438" i="3"/>
  <c r="V1437" i="3"/>
  <c r="U1437" i="3"/>
  <c r="T1437" i="3"/>
  <c r="S1437" i="3"/>
  <c r="P1437" i="3"/>
  <c r="O1437" i="3"/>
  <c r="L1437" i="3"/>
  <c r="E1437" i="3"/>
  <c r="V1436" i="3"/>
  <c r="U1436" i="3"/>
  <c r="T1436" i="3"/>
  <c r="S1436" i="3"/>
  <c r="P1436" i="3"/>
  <c r="O1436" i="3"/>
  <c r="L1436" i="3"/>
  <c r="E1436" i="3"/>
  <c r="V1435" i="3"/>
  <c r="U1435" i="3"/>
  <c r="T1435" i="3"/>
  <c r="S1435" i="3"/>
  <c r="P1435" i="3"/>
  <c r="O1435" i="3"/>
  <c r="L1435" i="3"/>
  <c r="E1435" i="3"/>
  <c r="V1434" i="3"/>
  <c r="U1434" i="3"/>
  <c r="T1434" i="3"/>
  <c r="S1434" i="3"/>
  <c r="P1434" i="3"/>
  <c r="O1434" i="3"/>
  <c r="L1434" i="3"/>
  <c r="E1434" i="3"/>
  <c r="V1433" i="3"/>
  <c r="U1433" i="3"/>
  <c r="T1433" i="3"/>
  <c r="S1433" i="3"/>
  <c r="P1433" i="3"/>
  <c r="O1433" i="3"/>
  <c r="L1433" i="3"/>
  <c r="E1433" i="3"/>
  <c r="V1432" i="3"/>
  <c r="U1432" i="3"/>
  <c r="T1432" i="3"/>
  <c r="S1432" i="3"/>
  <c r="P1432" i="3"/>
  <c r="O1432" i="3"/>
  <c r="L1432" i="3"/>
  <c r="E1432" i="3"/>
  <c r="V1431" i="3"/>
  <c r="U1431" i="3"/>
  <c r="T1431" i="3"/>
  <c r="S1431" i="3"/>
  <c r="P1431" i="3"/>
  <c r="O1431" i="3"/>
  <c r="L1431" i="3"/>
  <c r="E1431" i="3"/>
  <c r="V1430" i="3"/>
  <c r="U1430" i="3"/>
  <c r="T1430" i="3"/>
  <c r="S1430" i="3"/>
  <c r="P1430" i="3"/>
  <c r="O1430" i="3"/>
  <c r="L1430" i="3"/>
  <c r="E1430" i="3"/>
  <c r="V1429" i="3"/>
  <c r="U1429" i="3"/>
  <c r="T1429" i="3"/>
  <c r="S1429" i="3"/>
  <c r="P1429" i="3"/>
  <c r="O1429" i="3"/>
  <c r="L1429" i="3"/>
  <c r="E1429" i="3"/>
  <c r="V1428" i="3"/>
  <c r="U1428" i="3"/>
  <c r="T1428" i="3"/>
  <c r="S1428" i="3"/>
  <c r="P1428" i="3"/>
  <c r="O1428" i="3"/>
  <c r="L1428" i="3"/>
  <c r="E1428" i="3"/>
  <c r="V1427" i="3"/>
  <c r="U1427" i="3"/>
  <c r="T1427" i="3"/>
  <c r="S1427" i="3"/>
  <c r="P1427" i="3"/>
  <c r="O1427" i="3"/>
  <c r="L1427" i="3"/>
  <c r="E1427" i="3"/>
  <c r="V1426" i="3"/>
  <c r="U1426" i="3"/>
  <c r="T1426" i="3"/>
  <c r="S1426" i="3"/>
  <c r="P1426" i="3"/>
  <c r="O1426" i="3"/>
  <c r="L1426" i="3"/>
  <c r="E1426" i="3"/>
  <c r="V1425" i="3"/>
  <c r="U1425" i="3"/>
  <c r="T1425" i="3"/>
  <c r="S1425" i="3"/>
  <c r="P1425" i="3"/>
  <c r="O1425" i="3"/>
  <c r="L1425" i="3"/>
  <c r="E1425" i="3"/>
  <c r="V1424" i="3"/>
  <c r="U1424" i="3"/>
  <c r="T1424" i="3"/>
  <c r="S1424" i="3"/>
  <c r="P1424" i="3"/>
  <c r="O1424" i="3"/>
  <c r="L1424" i="3"/>
  <c r="E1424" i="3"/>
  <c r="V1423" i="3"/>
  <c r="U1423" i="3"/>
  <c r="T1423" i="3"/>
  <c r="S1423" i="3"/>
  <c r="P1423" i="3"/>
  <c r="O1423" i="3"/>
  <c r="L1423" i="3"/>
  <c r="E1423" i="3"/>
  <c r="V1422" i="3"/>
  <c r="U1422" i="3"/>
  <c r="T1422" i="3"/>
  <c r="S1422" i="3"/>
  <c r="P1422" i="3"/>
  <c r="O1422" i="3"/>
  <c r="L1422" i="3"/>
  <c r="E1422" i="3"/>
  <c r="V1421" i="3"/>
  <c r="U1421" i="3"/>
  <c r="T1421" i="3"/>
  <c r="S1421" i="3"/>
  <c r="P1421" i="3"/>
  <c r="O1421" i="3"/>
  <c r="L1421" i="3"/>
  <c r="E1421" i="3"/>
  <c r="V1420" i="3"/>
  <c r="U1420" i="3"/>
  <c r="T1420" i="3"/>
  <c r="S1420" i="3"/>
  <c r="P1420" i="3"/>
  <c r="O1420" i="3"/>
  <c r="L1420" i="3"/>
  <c r="E1420" i="3"/>
  <c r="V1419" i="3"/>
  <c r="U1419" i="3"/>
  <c r="T1419" i="3"/>
  <c r="S1419" i="3"/>
  <c r="P1419" i="3"/>
  <c r="O1419" i="3"/>
  <c r="L1419" i="3"/>
  <c r="E1419" i="3"/>
  <c r="V1418" i="3"/>
  <c r="U1418" i="3"/>
  <c r="T1418" i="3"/>
  <c r="S1418" i="3"/>
  <c r="P1418" i="3"/>
  <c r="O1418" i="3"/>
  <c r="L1418" i="3"/>
  <c r="E1418" i="3"/>
  <c r="V1417" i="3"/>
  <c r="U1417" i="3"/>
  <c r="T1417" i="3"/>
  <c r="S1417" i="3"/>
  <c r="P1417" i="3"/>
  <c r="O1417" i="3"/>
  <c r="L1417" i="3"/>
  <c r="E1417" i="3"/>
  <c r="V1416" i="3"/>
  <c r="U1416" i="3"/>
  <c r="T1416" i="3"/>
  <c r="S1416" i="3"/>
  <c r="P1416" i="3"/>
  <c r="O1416" i="3"/>
  <c r="L1416" i="3"/>
  <c r="E1416" i="3"/>
  <c r="V1415" i="3"/>
  <c r="U1415" i="3"/>
  <c r="T1415" i="3"/>
  <c r="S1415" i="3"/>
  <c r="P1415" i="3"/>
  <c r="O1415" i="3"/>
  <c r="L1415" i="3"/>
  <c r="E1415" i="3"/>
  <c r="V1414" i="3"/>
  <c r="U1414" i="3"/>
  <c r="T1414" i="3"/>
  <c r="S1414" i="3"/>
  <c r="P1414" i="3"/>
  <c r="O1414" i="3"/>
  <c r="L1414" i="3"/>
  <c r="E1414" i="3"/>
  <c r="V1413" i="3"/>
  <c r="U1413" i="3"/>
  <c r="T1413" i="3"/>
  <c r="S1413" i="3"/>
  <c r="P1413" i="3"/>
  <c r="O1413" i="3"/>
  <c r="L1413" i="3"/>
  <c r="E1413" i="3"/>
  <c r="V1412" i="3"/>
  <c r="U1412" i="3"/>
  <c r="T1412" i="3"/>
  <c r="S1412" i="3"/>
  <c r="P1412" i="3"/>
  <c r="O1412" i="3"/>
  <c r="L1412" i="3"/>
  <c r="E1412" i="3"/>
  <c r="V1411" i="3"/>
  <c r="U1411" i="3"/>
  <c r="T1411" i="3"/>
  <c r="S1411" i="3"/>
  <c r="P1411" i="3"/>
  <c r="O1411" i="3"/>
  <c r="L1411" i="3"/>
  <c r="E1411" i="3"/>
  <c r="V1410" i="3"/>
  <c r="U1410" i="3"/>
  <c r="T1410" i="3"/>
  <c r="S1410" i="3"/>
  <c r="P1410" i="3"/>
  <c r="O1410" i="3"/>
  <c r="L1410" i="3"/>
  <c r="E1410" i="3"/>
  <c r="V1409" i="3"/>
  <c r="U1409" i="3"/>
  <c r="T1409" i="3"/>
  <c r="S1409" i="3"/>
  <c r="P1409" i="3"/>
  <c r="O1409" i="3"/>
  <c r="L1409" i="3"/>
  <c r="E1409" i="3"/>
  <c r="V1408" i="3"/>
  <c r="U1408" i="3"/>
  <c r="T1408" i="3"/>
  <c r="S1408" i="3"/>
  <c r="P1408" i="3"/>
  <c r="O1408" i="3"/>
  <c r="L1408" i="3"/>
  <c r="E1408" i="3"/>
  <c r="V1407" i="3"/>
  <c r="U1407" i="3"/>
  <c r="T1407" i="3"/>
  <c r="S1407" i="3"/>
  <c r="P1407" i="3"/>
  <c r="O1407" i="3"/>
  <c r="L1407" i="3"/>
  <c r="E1407" i="3"/>
  <c r="V1406" i="3"/>
  <c r="U1406" i="3"/>
  <c r="T1406" i="3"/>
  <c r="S1406" i="3"/>
  <c r="P1406" i="3"/>
  <c r="O1406" i="3"/>
  <c r="L1406" i="3"/>
  <c r="E1406" i="3"/>
  <c r="V1405" i="3"/>
  <c r="U1405" i="3"/>
  <c r="T1405" i="3"/>
  <c r="S1405" i="3"/>
  <c r="P1405" i="3"/>
  <c r="O1405" i="3"/>
  <c r="L1405" i="3"/>
  <c r="E1405" i="3"/>
  <c r="V1404" i="3"/>
  <c r="U1404" i="3"/>
  <c r="T1404" i="3"/>
  <c r="S1404" i="3"/>
  <c r="P1404" i="3"/>
  <c r="O1404" i="3"/>
  <c r="L1404" i="3"/>
  <c r="E1404" i="3"/>
  <c r="V1403" i="3"/>
  <c r="U1403" i="3"/>
  <c r="T1403" i="3"/>
  <c r="S1403" i="3"/>
  <c r="P1403" i="3"/>
  <c r="O1403" i="3"/>
  <c r="L1403" i="3"/>
  <c r="E1403" i="3"/>
  <c r="V1402" i="3"/>
  <c r="U1402" i="3"/>
  <c r="T1402" i="3"/>
  <c r="S1402" i="3"/>
  <c r="P1402" i="3"/>
  <c r="O1402" i="3"/>
  <c r="L1402" i="3"/>
  <c r="E1402" i="3"/>
  <c r="V1401" i="3"/>
  <c r="U1401" i="3"/>
  <c r="T1401" i="3"/>
  <c r="S1401" i="3"/>
  <c r="P1401" i="3"/>
  <c r="O1401" i="3"/>
  <c r="L1401" i="3"/>
  <c r="E1401" i="3"/>
  <c r="V1400" i="3"/>
  <c r="U1400" i="3"/>
  <c r="T1400" i="3"/>
  <c r="S1400" i="3"/>
  <c r="P1400" i="3"/>
  <c r="O1400" i="3"/>
  <c r="L1400" i="3"/>
  <c r="E1400" i="3"/>
  <c r="V1399" i="3"/>
  <c r="U1399" i="3"/>
  <c r="T1399" i="3"/>
  <c r="S1399" i="3"/>
  <c r="P1399" i="3"/>
  <c r="O1399" i="3"/>
  <c r="L1399" i="3"/>
  <c r="E1399" i="3"/>
  <c r="V1398" i="3"/>
  <c r="U1398" i="3"/>
  <c r="T1398" i="3"/>
  <c r="S1398" i="3"/>
  <c r="P1398" i="3"/>
  <c r="O1398" i="3"/>
  <c r="L1398" i="3"/>
  <c r="E1398" i="3"/>
  <c r="V1397" i="3"/>
  <c r="U1397" i="3"/>
  <c r="T1397" i="3"/>
  <c r="S1397" i="3"/>
  <c r="P1397" i="3"/>
  <c r="O1397" i="3"/>
  <c r="L1397" i="3"/>
  <c r="E1397" i="3"/>
  <c r="V1396" i="3"/>
  <c r="U1396" i="3"/>
  <c r="T1396" i="3"/>
  <c r="S1396" i="3"/>
  <c r="P1396" i="3"/>
  <c r="O1396" i="3"/>
  <c r="L1396" i="3"/>
  <c r="E1396" i="3"/>
  <c r="V1395" i="3"/>
  <c r="U1395" i="3"/>
  <c r="T1395" i="3"/>
  <c r="S1395" i="3"/>
  <c r="P1395" i="3"/>
  <c r="O1395" i="3"/>
  <c r="L1395" i="3"/>
  <c r="E1395" i="3"/>
  <c r="V1394" i="3"/>
  <c r="U1394" i="3"/>
  <c r="T1394" i="3"/>
  <c r="S1394" i="3"/>
  <c r="P1394" i="3"/>
  <c r="O1394" i="3"/>
  <c r="L1394" i="3"/>
  <c r="E1394" i="3"/>
  <c r="V1393" i="3"/>
  <c r="U1393" i="3"/>
  <c r="T1393" i="3"/>
  <c r="S1393" i="3"/>
  <c r="P1393" i="3"/>
  <c r="O1393" i="3"/>
  <c r="L1393" i="3"/>
  <c r="E1393" i="3"/>
  <c r="V1392" i="3"/>
  <c r="U1392" i="3"/>
  <c r="T1392" i="3"/>
  <c r="S1392" i="3"/>
  <c r="P1392" i="3"/>
  <c r="O1392" i="3"/>
  <c r="L1392" i="3"/>
  <c r="E1392" i="3"/>
  <c r="V1391" i="3"/>
  <c r="U1391" i="3"/>
  <c r="T1391" i="3"/>
  <c r="S1391" i="3"/>
  <c r="P1391" i="3"/>
  <c r="O1391" i="3"/>
  <c r="L1391" i="3"/>
  <c r="E1391" i="3"/>
  <c r="V1390" i="3"/>
  <c r="U1390" i="3"/>
  <c r="T1390" i="3"/>
  <c r="S1390" i="3"/>
  <c r="P1390" i="3"/>
  <c r="O1390" i="3"/>
  <c r="L1390" i="3"/>
  <c r="E1390" i="3"/>
  <c r="V1389" i="3"/>
  <c r="U1389" i="3"/>
  <c r="T1389" i="3"/>
  <c r="S1389" i="3"/>
  <c r="P1389" i="3"/>
  <c r="O1389" i="3"/>
  <c r="L1389" i="3"/>
  <c r="E1389" i="3"/>
  <c r="V1388" i="3"/>
  <c r="U1388" i="3"/>
  <c r="T1388" i="3"/>
  <c r="S1388" i="3"/>
  <c r="P1388" i="3"/>
  <c r="O1388" i="3"/>
  <c r="L1388" i="3"/>
  <c r="E1388" i="3"/>
  <c r="V1387" i="3"/>
  <c r="U1387" i="3"/>
  <c r="T1387" i="3"/>
  <c r="S1387" i="3"/>
  <c r="P1387" i="3"/>
  <c r="O1387" i="3"/>
  <c r="L1387" i="3"/>
  <c r="E1387" i="3"/>
  <c r="V1386" i="3"/>
  <c r="U1386" i="3"/>
  <c r="T1386" i="3"/>
  <c r="S1386" i="3"/>
  <c r="P1386" i="3"/>
  <c r="O1386" i="3"/>
  <c r="L1386" i="3"/>
  <c r="E1386" i="3"/>
  <c r="V1385" i="3"/>
  <c r="U1385" i="3"/>
  <c r="T1385" i="3"/>
  <c r="S1385" i="3"/>
  <c r="P1385" i="3"/>
  <c r="O1385" i="3"/>
  <c r="L1385" i="3"/>
  <c r="E1385" i="3"/>
  <c r="V1384" i="3"/>
  <c r="U1384" i="3"/>
  <c r="T1384" i="3"/>
  <c r="S1384" i="3"/>
  <c r="P1384" i="3"/>
  <c r="O1384" i="3"/>
  <c r="L1384" i="3"/>
  <c r="E1384" i="3"/>
  <c r="V1383" i="3"/>
  <c r="U1383" i="3"/>
  <c r="T1383" i="3"/>
  <c r="S1383" i="3"/>
  <c r="P1383" i="3"/>
  <c r="O1383" i="3"/>
  <c r="L1383" i="3"/>
  <c r="E1383" i="3"/>
  <c r="V1382" i="3"/>
  <c r="U1382" i="3"/>
  <c r="T1382" i="3"/>
  <c r="S1382" i="3"/>
  <c r="P1382" i="3"/>
  <c r="O1382" i="3"/>
  <c r="L1382" i="3"/>
  <c r="E1382" i="3"/>
  <c r="V1381" i="3"/>
  <c r="U1381" i="3"/>
  <c r="T1381" i="3"/>
  <c r="S1381" i="3"/>
  <c r="P1381" i="3"/>
  <c r="O1381" i="3"/>
  <c r="L1381" i="3"/>
  <c r="E1381" i="3"/>
  <c r="V1380" i="3"/>
  <c r="U1380" i="3"/>
  <c r="T1380" i="3"/>
  <c r="S1380" i="3"/>
  <c r="P1380" i="3"/>
  <c r="O1380" i="3"/>
  <c r="L1380" i="3"/>
  <c r="E1380" i="3"/>
  <c r="V1379" i="3"/>
  <c r="U1379" i="3"/>
  <c r="T1379" i="3"/>
  <c r="S1379" i="3"/>
  <c r="P1379" i="3"/>
  <c r="O1379" i="3"/>
  <c r="L1379" i="3"/>
  <c r="E1379" i="3"/>
  <c r="V1378" i="3"/>
  <c r="U1378" i="3"/>
  <c r="T1378" i="3"/>
  <c r="S1378" i="3"/>
  <c r="P1378" i="3"/>
  <c r="O1378" i="3"/>
  <c r="L1378" i="3"/>
  <c r="E1378" i="3"/>
  <c r="V1377" i="3"/>
  <c r="U1377" i="3"/>
  <c r="T1377" i="3"/>
  <c r="S1377" i="3"/>
  <c r="P1377" i="3"/>
  <c r="O1377" i="3"/>
  <c r="L1377" i="3"/>
  <c r="E1377" i="3"/>
  <c r="V1376" i="3"/>
  <c r="U1376" i="3"/>
  <c r="T1376" i="3"/>
  <c r="S1376" i="3"/>
  <c r="P1376" i="3"/>
  <c r="O1376" i="3"/>
  <c r="L1376" i="3"/>
  <c r="E1376" i="3"/>
  <c r="V1375" i="3"/>
  <c r="U1375" i="3"/>
  <c r="T1375" i="3"/>
  <c r="S1375" i="3"/>
  <c r="P1375" i="3"/>
  <c r="O1375" i="3"/>
  <c r="L1375" i="3"/>
  <c r="E1375" i="3"/>
  <c r="V1374" i="3"/>
  <c r="U1374" i="3"/>
  <c r="T1374" i="3"/>
  <c r="S1374" i="3"/>
  <c r="P1374" i="3"/>
  <c r="O1374" i="3"/>
  <c r="L1374" i="3"/>
  <c r="E1374" i="3"/>
  <c r="V1373" i="3"/>
  <c r="U1373" i="3"/>
  <c r="T1373" i="3"/>
  <c r="S1373" i="3"/>
  <c r="P1373" i="3"/>
  <c r="O1373" i="3"/>
  <c r="L1373" i="3"/>
  <c r="E1373" i="3"/>
  <c r="V1372" i="3"/>
  <c r="U1372" i="3"/>
  <c r="T1372" i="3"/>
  <c r="S1372" i="3"/>
  <c r="P1372" i="3"/>
  <c r="O1372" i="3"/>
  <c r="L1372" i="3"/>
  <c r="E1372" i="3"/>
  <c r="V1371" i="3"/>
  <c r="U1371" i="3"/>
  <c r="T1371" i="3"/>
  <c r="S1371" i="3"/>
  <c r="P1371" i="3"/>
  <c r="O1371" i="3"/>
  <c r="L1371" i="3"/>
  <c r="E1371" i="3"/>
  <c r="V1370" i="3"/>
  <c r="U1370" i="3"/>
  <c r="T1370" i="3"/>
  <c r="S1370" i="3"/>
  <c r="P1370" i="3"/>
  <c r="O1370" i="3"/>
  <c r="L1370" i="3"/>
  <c r="E1370" i="3"/>
  <c r="V1369" i="3"/>
  <c r="U1369" i="3"/>
  <c r="T1369" i="3"/>
  <c r="S1369" i="3"/>
  <c r="P1369" i="3"/>
  <c r="O1369" i="3"/>
  <c r="L1369" i="3"/>
  <c r="E1369" i="3"/>
  <c r="V1368" i="3"/>
  <c r="U1368" i="3"/>
  <c r="T1368" i="3"/>
  <c r="S1368" i="3"/>
  <c r="P1368" i="3"/>
  <c r="O1368" i="3"/>
  <c r="L1368" i="3"/>
  <c r="E1368" i="3"/>
  <c r="V1367" i="3"/>
  <c r="U1367" i="3"/>
  <c r="T1367" i="3"/>
  <c r="S1367" i="3"/>
  <c r="P1367" i="3"/>
  <c r="O1367" i="3"/>
  <c r="L1367" i="3"/>
  <c r="E1367" i="3"/>
  <c r="V1366" i="3"/>
  <c r="U1366" i="3"/>
  <c r="T1366" i="3"/>
  <c r="S1366" i="3"/>
  <c r="P1366" i="3"/>
  <c r="O1366" i="3"/>
  <c r="L1366" i="3"/>
  <c r="E1366" i="3"/>
  <c r="V1365" i="3"/>
  <c r="U1365" i="3"/>
  <c r="T1365" i="3"/>
  <c r="S1365" i="3"/>
  <c r="P1365" i="3"/>
  <c r="O1365" i="3"/>
  <c r="L1365" i="3"/>
  <c r="E1365" i="3"/>
  <c r="V1364" i="3"/>
  <c r="U1364" i="3"/>
  <c r="T1364" i="3"/>
  <c r="S1364" i="3"/>
  <c r="P1364" i="3"/>
  <c r="O1364" i="3"/>
  <c r="L1364" i="3"/>
  <c r="E1364" i="3"/>
  <c r="V1363" i="3"/>
  <c r="U1363" i="3"/>
  <c r="T1363" i="3"/>
  <c r="S1363" i="3"/>
  <c r="P1363" i="3"/>
  <c r="O1363" i="3"/>
  <c r="L1363" i="3"/>
  <c r="E1363" i="3"/>
  <c r="V1362" i="3"/>
  <c r="U1362" i="3"/>
  <c r="T1362" i="3"/>
  <c r="S1362" i="3"/>
  <c r="P1362" i="3"/>
  <c r="O1362" i="3"/>
  <c r="L1362" i="3"/>
  <c r="E1362" i="3"/>
  <c r="V1361" i="3"/>
  <c r="U1361" i="3"/>
  <c r="T1361" i="3"/>
  <c r="S1361" i="3"/>
  <c r="P1361" i="3"/>
  <c r="O1361" i="3"/>
  <c r="L1361" i="3"/>
  <c r="E1361" i="3"/>
  <c r="V1360" i="3"/>
  <c r="U1360" i="3"/>
  <c r="T1360" i="3"/>
  <c r="S1360" i="3"/>
  <c r="P1360" i="3"/>
  <c r="O1360" i="3"/>
  <c r="L1360" i="3"/>
  <c r="E1360" i="3"/>
  <c r="V1359" i="3"/>
  <c r="U1359" i="3"/>
  <c r="T1359" i="3"/>
  <c r="S1359" i="3"/>
  <c r="P1359" i="3"/>
  <c r="O1359" i="3"/>
  <c r="L1359" i="3"/>
  <c r="E1359" i="3"/>
  <c r="V1358" i="3"/>
  <c r="U1358" i="3"/>
  <c r="T1358" i="3"/>
  <c r="S1358" i="3"/>
  <c r="P1358" i="3"/>
  <c r="O1358" i="3"/>
  <c r="L1358" i="3"/>
  <c r="E1358" i="3"/>
  <c r="V1357" i="3"/>
  <c r="U1357" i="3"/>
  <c r="T1357" i="3"/>
  <c r="S1357" i="3"/>
  <c r="P1357" i="3"/>
  <c r="O1357" i="3"/>
  <c r="L1357" i="3"/>
  <c r="E1357" i="3"/>
  <c r="V1356" i="3"/>
  <c r="U1356" i="3"/>
  <c r="T1356" i="3"/>
  <c r="S1356" i="3"/>
  <c r="P1356" i="3"/>
  <c r="O1356" i="3"/>
  <c r="L1356" i="3"/>
  <c r="E1356" i="3"/>
  <c r="V1355" i="3"/>
  <c r="U1355" i="3"/>
  <c r="T1355" i="3"/>
  <c r="S1355" i="3"/>
  <c r="P1355" i="3"/>
  <c r="O1355" i="3"/>
  <c r="L1355" i="3"/>
  <c r="E1355" i="3"/>
  <c r="V1354" i="3"/>
  <c r="U1354" i="3"/>
  <c r="T1354" i="3"/>
  <c r="S1354" i="3"/>
  <c r="P1354" i="3"/>
  <c r="O1354" i="3"/>
  <c r="L1354" i="3"/>
  <c r="E1354" i="3"/>
  <c r="V1353" i="3"/>
  <c r="U1353" i="3"/>
  <c r="T1353" i="3"/>
  <c r="S1353" i="3"/>
  <c r="P1353" i="3"/>
  <c r="O1353" i="3"/>
  <c r="L1353" i="3"/>
  <c r="E1353" i="3"/>
  <c r="V1352" i="3"/>
  <c r="U1352" i="3"/>
  <c r="T1352" i="3"/>
  <c r="S1352" i="3"/>
  <c r="P1352" i="3"/>
  <c r="O1352" i="3"/>
  <c r="L1352" i="3"/>
  <c r="E1352" i="3"/>
  <c r="V1351" i="3"/>
  <c r="U1351" i="3"/>
  <c r="T1351" i="3"/>
  <c r="S1351" i="3"/>
  <c r="P1351" i="3"/>
  <c r="O1351" i="3"/>
  <c r="L1351" i="3"/>
  <c r="E1351" i="3"/>
  <c r="V1350" i="3"/>
  <c r="U1350" i="3"/>
  <c r="T1350" i="3"/>
  <c r="S1350" i="3"/>
  <c r="P1350" i="3"/>
  <c r="O1350" i="3"/>
  <c r="L1350" i="3"/>
  <c r="E1350" i="3"/>
  <c r="V1349" i="3"/>
  <c r="U1349" i="3"/>
  <c r="T1349" i="3"/>
  <c r="S1349" i="3"/>
  <c r="P1349" i="3"/>
  <c r="O1349" i="3"/>
  <c r="L1349" i="3"/>
  <c r="E1349" i="3"/>
  <c r="V1348" i="3"/>
  <c r="U1348" i="3"/>
  <c r="T1348" i="3"/>
  <c r="S1348" i="3"/>
  <c r="P1348" i="3"/>
  <c r="O1348" i="3"/>
  <c r="L1348" i="3"/>
  <c r="E1348" i="3"/>
  <c r="V1347" i="3"/>
  <c r="U1347" i="3"/>
  <c r="T1347" i="3"/>
  <c r="S1347" i="3"/>
  <c r="P1347" i="3"/>
  <c r="O1347" i="3"/>
  <c r="L1347" i="3"/>
  <c r="E1347" i="3"/>
  <c r="V1346" i="3"/>
  <c r="U1346" i="3"/>
  <c r="T1346" i="3"/>
  <c r="S1346" i="3"/>
  <c r="P1346" i="3"/>
  <c r="O1346" i="3"/>
  <c r="L1346" i="3"/>
  <c r="E1346" i="3"/>
  <c r="V1345" i="3"/>
  <c r="U1345" i="3"/>
  <c r="T1345" i="3"/>
  <c r="S1345" i="3"/>
  <c r="P1345" i="3"/>
  <c r="O1345" i="3"/>
  <c r="L1345" i="3"/>
  <c r="E1345" i="3"/>
  <c r="V1344" i="3"/>
  <c r="U1344" i="3"/>
  <c r="T1344" i="3"/>
  <c r="S1344" i="3"/>
  <c r="P1344" i="3"/>
  <c r="O1344" i="3"/>
  <c r="L1344" i="3"/>
  <c r="E1344" i="3"/>
  <c r="V1343" i="3"/>
  <c r="U1343" i="3"/>
  <c r="T1343" i="3"/>
  <c r="S1343" i="3"/>
  <c r="P1343" i="3"/>
  <c r="O1343" i="3"/>
  <c r="L1343" i="3"/>
  <c r="E1343" i="3"/>
  <c r="V1342" i="3"/>
  <c r="U1342" i="3"/>
  <c r="T1342" i="3"/>
  <c r="S1342" i="3"/>
  <c r="P1342" i="3"/>
  <c r="O1342" i="3"/>
  <c r="L1342" i="3"/>
  <c r="E1342" i="3"/>
  <c r="V1341" i="3"/>
  <c r="U1341" i="3"/>
  <c r="T1341" i="3"/>
  <c r="S1341" i="3"/>
  <c r="P1341" i="3"/>
  <c r="O1341" i="3"/>
  <c r="L1341" i="3"/>
  <c r="E1341" i="3"/>
  <c r="V1340" i="3"/>
  <c r="U1340" i="3"/>
  <c r="T1340" i="3"/>
  <c r="S1340" i="3"/>
  <c r="P1340" i="3"/>
  <c r="O1340" i="3"/>
  <c r="L1340" i="3"/>
  <c r="E1340" i="3"/>
  <c r="V1339" i="3"/>
  <c r="U1339" i="3"/>
  <c r="T1339" i="3"/>
  <c r="S1339" i="3"/>
  <c r="P1339" i="3"/>
  <c r="O1339" i="3"/>
  <c r="L1339" i="3"/>
  <c r="E1339" i="3"/>
  <c r="V1338" i="3"/>
  <c r="U1338" i="3"/>
  <c r="T1338" i="3"/>
  <c r="S1338" i="3"/>
  <c r="P1338" i="3"/>
  <c r="O1338" i="3"/>
  <c r="L1338" i="3"/>
  <c r="E1338" i="3"/>
  <c r="V1337" i="3"/>
  <c r="U1337" i="3"/>
  <c r="T1337" i="3"/>
  <c r="S1337" i="3"/>
  <c r="P1337" i="3"/>
  <c r="O1337" i="3"/>
  <c r="L1337" i="3"/>
  <c r="E1337" i="3"/>
  <c r="V1336" i="3"/>
  <c r="U1336" i="3"/>
  <c r="T1336" i="3"/>
  <c r="S1336" i="3"/>
  <c r="P1336" i="3"/>
  <c r="O1336" i="3"/>
  <c r="L1336" i="3"/>
  <c r="E1336" i="3"/>
  <c r="V1335" i="3"/>
  <c r="U1335" i="3"/>
  <c r="T1335" i="3"/>
  <c r="S1335" i="3"/>
  <c r="P1335" i="3"/>
  <c r="O1335" i="3"/>
  <c r="L1335" i="3"/>
  <c r="E1335" i="3"/>
  <c r="V1334" i="3"/>
  <c r="U1334" i="3"/>
  <c r="T1334" i="3"/>
  <c r="S1334" i="3"/>
  <c r="P1334" i="3"/>
  <c r="O1334" i="3"/>
  <c r="L1334" i="3"/>
  <c r="E1334" i="3"/>
  <c r="V1333" i="3"/>
  <c r="U1333" i="3"/>
  <c r="T1333" i="3"/>
  <c r="S1333" i="3"/>
  <c r="P1333" i="3"/>
  <c r="O1333" i="3"/>
  <c r="L1333" i="3"/>
  <c r="E1333" i="3"/>
  <c r="V1332" i="3"/>
  <c r="U1332" i="3"/>
  <c r="T1332" i="3"/>
  <c r="S1332" i="3"/>
  <c r="P1332" i="3"/>
  <c r="O1332" i="3"/>
  <c r="L1332" i="3"/>
  <c r="E1332" i="3"/>
  <c r="V1331" i="3"/>
  <c r="U1331" i="3"/>
  <c r="T1331" i="3"/>
  <c r="S1331" i="3"/>
  <c r="P1331" i="3"/>
  <c r="O1331" i="3"/>
  <c r="L1331" i="3"/>
  <c r="E1331" i="3"/>
  <c r="V1330" i="3"/>
  <c r="U1330" i="3"/>
  <c r="T1330" i="3"/>
  <c r="S1330" i="3"/>
  <c r="P1330" i="3"/>
  <c r="O1330" i="3"/>
  <c r="L1330" i="3"/>
  <c r="E1330" i="3"/>
  <c r="V1329" i="3"/>
  <c r="U1329" i="3"/>
  <c r="T1329" i="3"/>
  <c r="S1329" i="3"/>
  <c r="P1329" i="3"/>
  <c r="O1329" i="3"/>
  <c r="L1329" i="3"/>
  <c r="E1329" i="3"/>
  <c r="V1328" i="3"/>
  <c r="U1328" i="3"/>
  <c r="T1328" i="3"/>
  <c r="S1328" i="3"/>
  <c r="P1328" i="3"/>
  <c r="O1328" i="3"/>
  <c r="L1328" i="3"/>
  <c r="E1328" i="3"/>
  <c r="V1327" i="3"/>
  <c r="U1327" i="3"/>
  <c r="T1327" i="3"/>
  <c r="S1327" i="3"/>
  <c r="P1327" i="3"/>
  <c r="O1327" i="3"/>
  <c r="L1327" i="3"/>
  <c r="E1327" i="3"/>
  <c r="V1326" i="3"/>
  <c r="U1326" i="3"/>
  <c r="T1326" i="3"/>
  <c r="S1326" i="3"/>
  <c r="P1326" i="3"/>
  <c r="O1326" i="3"/>
  <c r="L1326" i="3"/>
  <c r="E1326" i="3"/>
  <c r="V1325" i="3"/>
  <c r="U1325" i="3"/>
  <c r="T1325" i="3"/>
  <c r="S1325" i="3"/>
  <c r="P1325" i="3"/>
  <c r="O1325" i="3"/>
  <c r="L1325" i="3"/>
  <c r="E1325" i="3"/>
  <c r="V1324" i="3"/>
  <c r="U1324" i="3"/>
  <c r="T1324" i="3"/>
  <c r="S1324" i="3"/>
  <c r="P1324" i="3"/>
  <c r="O1324" i="3"/>
  <c r="L1324" i="3"/>
  <c r="E1324" i="3"/>
  <c r="V1323" i="3"/>
  <c r="U1323" i="3"/>
  <c r="T1323" i="3"/>
  <c r="S1323" i="3"/>
  <c r="P1323" i="3"/>
  <c r="O1323" i="3"/>
  <c r="L1323" i="3"/>
  <c r="E1323" i="3"/>
  <c r="V1322" i="3"/>
  <c r="U1322" i="3"/>
  <c r="T1322" i="3"/>
  <c r="S1322" i="3"/>
  <c r="P1322" i="3"/>
  <c r="O1322" i="3"/>
  <c r="L1322" i="3"/>
  <c r="E1322" i="3"/>
  <c r="V1321" i="3"/>
  <c r="U1321" i="3"/>
  <c r="T1321" i="3"/>
  <c r="S1321" i="3"/>
  <c r="P1321" i="3"/>
  <c r="O1321" i="3"/>
  <c r="L1321" i="3"/>
  <c r="E1321" i="3"/>
  <c r="V1320" i="3"/>
  <c r="U1320" i="3"/>
  <c r="T1320" i="3"/>
  <c r="S1320" i="3"/>
  <c r="P1320" i="3"/>
  <c r="O1320" i="3"/>
  <c r="L1320" i="3"/>
  <c r="E1320" i="3"/>
  <c r="V1319" i="3"/>
  <c r="U1319" i="3"/>
  <c r="T1319" i="3"/>
  <c r="S1319" i="3"/>
  <c r="P1319" i="3"/>
  <c r="O1319" i="3"/>
  <c r="L1319" i="3"/>
  <c r="E1319" i="3"/>
  <c r="V1318" i="3"/>
  <c r="U1318" i="3"/>
  <c r="T1318" i="3"/>
  <c r="S1318" i="3"/>
  <c r="P1318" i="3"/>
  <c r="O1318" i="3"/>
  <c r="L1318" i="3"/>
  <c r="E1318" i="3"/>
  <c r="V1317" i="3"/>
  <c r="U1317" i="3"/>
  <c r="T1317" i="3"/>
  <c r="S1317" i="3"/>
  <c r="P1317" i="3"/>
  <c r="O1317" i="3"/>
  <c r="L1317" i="3"/>
  <c r="E1317" i="3"/>
  <c r="V1316" i="3"/>
  <c r="U1316" i="3"/>
  <c r="T1316" i="3"/>
  <c r="S1316" i="3"/>
  <c r="P1316" i="3"/>
  <c r="O1316" i="3"/>
  <c r="L1316" i="3"/>
  <c r="E1316" i="3"/>
  <c r="V1315" i="3"/>
  <c r="U1315" i="3"/>
  <c r="T1315" i="3"/>
  <c r="S1315" i="3"/>
  <c r="P1315" i="3"/>
  <c r="O1315" i="3"/>
  <c r="L1315" i="3"/>
  <c r="E1315" i="3"/>
  <c r="V1314" i="3"/>
  <c r="U1314" i="3"/>
  <c r="T1314" i="3"/>
  <c r="S1314" i="3"/>
  <c r="P1314" i="3"/>
  <c r="O1314" i="3"/>
  <c r="L1314" i="3"/>
  <c r="E1314" i="3"/>
  <c r="V1313" i="3"/>
  <c r="U1313" i="3"/>
  <c r="T1313" i="3"/>
  <c r="S1313" i="3"/>
  <c r="P1313" i="3"/>
  <c r="O1313" i="3"/>
  <c r="L1313" i="3"/>
  <c r="E1313" i="3"/>
  <c r="V1312" i="3"/>
  <c r="U1312" i="3"/>
  <c r="T1312" i="3"/>
  <c r="S1312" i="3"/>
  <c r="P1312" i="3"/>
  <c r="O1312" i="3"/>
  <c r="L1312" i="3"/>
  <c r="E1312" i="3"/>
  <c r="V1311" i="3"/>
  <c r="U1311" i="3"/>
  <c r="T1311" i="3"/>
  <c r="S1311" i="3"/>
  <c r="P1311" i="3"/>
  <c r="O1311" i="3"/>
  <c r="L1311" i="3"/>
  <c r="E1311" i="3"/>
  <c r="V1310" i="3"/>
  <c r="U1310" i="3"/>
  <c r="T1310" i="3"/>
  <c r="S1310" i="3"/>
  <c r="P1310" i="3"/>
  <c r="O1310" i="3"/>
  <c r="L1310" i="3"/>
  <c r="E1310" i="3"/>
  <c r="V1309" i="3"/>
  <c r="U1309" i="3"/>
  <c r="T1309" i="3"/>
  <c r="S1309" i="3"/>
  <c r="P1309" i="3"/>
  <c r="O1309" i="3"/>
  <c r="L1309" i="3"/>
  <c r="E1309" i="3"/>
  <c r="V1308" i="3"/>
  <c r="U1308" i="3"/>
  <c r="T1308" i="3"/>
  <c r="S1308" i="3"/>
  <c r="P1308" i="3"/>
  <c r="O1308" i="3"/>
  <c r="L1308" i="3"/>
  <c r="E1308" i="3"/>
  <c r="V1307" i="3"/>
  <c r="U1307" i="3"/>
  <c r="T1307" i="3"/>
  <c r="S1307" i="3"/>
  <c r="P1307" i="3"/>
  <c r="O1307" i="3"/>
  <c r="L1307" i="3"/>
  <c r="E1307" i="3"/>
  <c r="V1306" i="3"/>
  <c r="U1306" i="3"/>
  <c r="T1306" i="3"/>
  <c r="S1306" i="3"/>
  <c r="P1306" i="3"/>
  <c r="O1306" i="3"/>
  <c r="L1306" i="3"/>
  <c r="E1306" i="3"/>
  <c r="V1305" i="3"/>
  <c r="U1305" i="3"/>
  <c r="T1305" i="3"/>
  <c r="S1305" i="3"/>
  <c r="P1305" i="3"/>
  <c r="O1305" i="3"/>
  <c r="L1305" i="3"/>
  <c r="E1305" i="3"/>
  <c r="V1304" i="3"/>
  <c r="U1304" i="3"/>
  <c r="T1304" i="3"/>
  <c r="S1304" i="3"/>
  <c r="P1304" i="3"/>
  <c r="O1304" i="3"/>
  <c r="L1304" i="3"/>
  <c r="E1304" i="3"/>
  <c r="V1303" i="3"/>
  <c r="U1303" i="3"/>
  <c r="T1303" i="3"/>
  <c r="S1303" i="3"/>
  <c r="P1303" i="3"/>
  <c r="O1303" i="3"/>
  <c r="L1303" i="3"/>
  <c r="E1303" i="3"/>
  <c r="V1302" i="3"/>
  <c r="U1302" i="3"/>
  <c r="T1302" i="3"/>
  <c r="S1302" i="3"/>
  <c r="P1302" i="3"/>
  <c r="O1302" i="3"/>
  <c r="L1302" i="3"/>
  <c r="E1302" i="3"/>
  <c r="V1301" i="3"/>
  <c r="U1301" i="3"/>
  <c r="T1301" i="3"/>
  <c r="S1301" i="3"/>
  <c r="P1301" i="3"/>
  <c r="O1301" i="3"/>
  <c r="L1301" i="3"/>
  <c r="E1301" i="3"/>
  <c r="V1300" i="3"/>
  <c r="U1300" i="3"/>
  <c r="T1300" i="3"/>
  <c r="S1300" i="3"/>
  <c r="P1300" i="3"/>
  <c r="O1300" i="3"/>
  <c r="L1300" i="3"/>
  <c r="E1300" i="3"/>
  <c r="V1299" i="3"/>
  <c r="U1299" i="3"/>
  <c r="T1299" i="3"/>
  <c r="S1299" i="3"/>
  <c r="P1299" i="3"/>
  <c r="O1299" i="3"/>
  <c r="L1299" i="3"/>
  <c r="E1299" i="3"/>
  <c r="V1298" i="3"/>
  <c r="U1298" i="3"/>
  <c r="T1298" i="3"/>
  <c r="S1298" i="3"/>
  <c r="P1298" i="3"/>
  <c r="O1298" i="3"/>
  <c r="L1298" i="3"/>
  <c r="E1298" i="3"/>
  <c r="V1297" i="3"/>
  <c r="U1297" i="3"/>
  <c r="T1297" i="3"/>
  <c r="S1297" i="3"/>
  <c r="P1297" i="3"/>
  <c r="O1297" i="3"/>
  <c r="L1297" i="3"/>
  <c r="E1297" i="3"/>
  <c r="V1296" i="3"/>
  <c r="U1296" i="3"/>
  <c r="T1296" i="3"/>
  <c r="S1296" i="3"/>
  <c r="P1296" i="3"/>
  <c r="O1296" i="3"/>
  <c r="L1296" i="3"/>
  <c r="E1296" i="3"/>
  <c r="V1295" i="3"/>
  <c r="U1295" i="3"/>
  <c r="T1295" i="3"/>
  <c r="S1295" i="3"/>
  <c r="P1295" i="3"/>
  <c r="O1295" i="3"/>
  <c r="L1295" i="3"/>
  <c r="E1295" i="3"/>
  <c r="V1294" i="3"/>
  <c r="U1294" i="3"/>
  <c r="T1294" i="3"/>
  <c r="S1294" i="3"/>
  <c r="P1294" i="3"/>
  <c r="O1294" i="3"/>
  <c r="L1294" i="3"/>
  <c r="E1294" i="3"/>
  <c r="V1293" i="3"/>
  <c r="U1293" i="3"/>
  <c r="T1293" i="3"/>
  <c r="S1293" i="3"/>
  <c r="P1293" i="3"/>
  <c r="O1293" i="3"/>
  <c r="L1293" i="3"/>
  <c r="E1293" i="3"/>
  <c r="V1292" i="3"/>
  <c r="U1292" i="3"/>
  <c r="T1292" i="3"/>
  <c r="S1292" i="3"/>
  <c r="P1292" i="3"/>
  <c r="O1292" i="3"/>
  <c r="L1292" i="3"/>
  <c r="E1292" i="3"/>
  <c r="V1291" i="3"/>
  <c r="U1291" i="3"/>
  <c r="T1291" i="3"/>
  <c r="S1291" i="3"/>
  <c r="P1291" i="3"/>
  <c r="O1291" i="3"/>
  <c r="L1291" i="3"/>
  <c r="E1291" i="3"/>
  <c r="V1290" i="3"/>
  <c r="U1290" i="3"/>
  <c r="T1290" i="3"/>
  <c r="S1290" i="3"/>
  <c r="P1290" i="3"/>
  <c r="O1290" i="3"/>
  <c r="L1290" i="3"/>
  <c r="E1290" i="3"/>
  <c r="V1289" i="3"/>
  <c r="U1289" i="3"/>
  <c r="T1289" i="3"/>
  <c r="S1289" i="3"/>
  <c r="P1289" i="3"/>
  <c r="O1289" i="3"/>
  <c r="L1289" i="3"/>
  <c r="E1289" i="3"/>
  <c r="V1288" i="3"/>
  <c r="U1288" i="3"/>
  <c r="T1288" i="3"/>
  <c r="S1288" i="3"/>
  <c r="P1288" i="3"/>
  <c r="O1288" i="3"/>
  <c r="L1288" i="3"/>
  <c r="E1288" i="3"/>
  <c r="V1287" i="3"/>
  <c r="U1287" i="3"/>
  <c r="T1287" i="3"/>
  <c r="S1287" i="3"/>
  <c r="P1287" i="3"/>
  <c r="O1287" i="3"/>
  <c r="L1287" i="3"/>
  <c r="E1287" i="3"/>
  <c r="V1286" i="3"/>
  <c r="U1286" i="3"/>
  <c r="T1286" i="3"/>
  <c r="S1286" i="3"/>
  <c r="P1286" i="3"/>
  <c r="O1286" i="3"/>
  <c r="L1286" i="3"/>
  <c r="E1286" i="3"/>
  <c r="V1285" i="3"/>
  <c r="U1285" i="3"/>
  <c r="T1285" i="3"/>
  <c r="S1285" i="3"/>
  <c r="P1285" i="3"/>
  <c r="O1285" i="3"/>
  <c r="L1285" i="3"/>
  <c r="E1285" i="3"/>
  <c r="V1284" i="3"/>
  <c r="U1284" i="3"/>
  <c r="T1284" i="3"/>
  <c r="S1284" i="3"/>
  <c r="P1284" i="3"/>
  <c r="O1284" i="3"/>
  <c r="L1284" i="3"/>
  <c r="E1284" i="3"/>
  <c r="V1283" i="3"/>
  <c r="U1283" i="3"/>
  <c r="T1283" i="3"/>
  <c r="S1283" i="3"/>
  <c r="P1283" i="3"/>
  <c r="O1283" i="3"/>
  <c r="L1283" i="3"/>
  <c r="E1283" i="3"/>
  <c r="V1282" i="3"/>
  <c r="U1282" i="3"/>
  <c r="T1282" i="3"/>
  <c r="S1282" i="3"/>
  <c r="P1282" i="3"/>
  <c r="O1282" i="3"/>
  <c r="L1282" i="3"/>
  <c r="E1282" i="3"/>
  <c r="V1281" i="3"/>
  <c r="U1281" i="3"/>
  <c r="T1281" i="3"/>
  <c r="S1281" i="3"/>
  <c r="P1281" i="3"/>
  <c r="O1281" i="3"/>
  <c r="L1281" i="3"/>
  <c r="E1281" i="3"/>
  <c r="V1280" i="3"/>
  <c r="U1280" i="3"/>
  <c r="T1280" i="3"/>
  <c r="S1280" i="3"/>
  <c r="P1280" i="3"/>
  <c r="O1280" i="3"/>
  <c r="L1280" i="3"/>
  <c r="E1280" i="3"/>
  <c r="V1279" i="3"/>
  <c r="U1279" i="3"/>
  <c r="T1279" i="3"/>
  <c r="S1279" i="3"/>
  <c r="P1279" i="3"/>
  <c r="O1279" i="3"/>
  <c r="L1279" i="3"/>
  <c r="E1279" i="3"/>
  <c r="V1278" i="3"/>
  <c r="U1278" i="3"/>
  <c r="T1278" i="3"/>
  <c r="S1278" i="3"/>
  <c r="P1278" i="3"/>
  <c r="O1278" i="3"/>
  <c r="L1278" i="3"/>
  <c r="E1278" i="3"/>
  <c r="V1277" i="3"/>
  <c r="U1277" i="3"/>
  <c r="T1277" i="3"/>
  <c r="S1277" i="3"/>
  <c r="P1277" i="3"/>
  <c r="O1277" i="3"/>
  <c r="L1277" i="3"/>
  <c r="E1277" i="3"/>
  <c r="V1276" i="3"/>
  <c r="U1276" i="3"/>
  <c r="T1276" i="3"/>
  <c r="S1276" i="3"/>
  <c r="P1276" i="3"/>
  <c r="O1276" i="3"/>
  <c r="L1276" i="3"/>
  <c r="E1276" i="3"/>
  <c r="V1275" i="3"/>
  <c r="U1275" i="3"/>
  <c r="T1275" i="3"/>
  <c r="S1275" i="3"/>
  <c r="P1275" i="3"/>
  <c r="O1275" i="3"/>
  <c r="L1275" i="3"/>
  <c r="E1275" i="3"/>
  <c r="V1274" i="3"/>
  <c r="U1274" i="3"/>
  <c r="T1274" i="3"/>
  <c r="S1274" i="3"/>
  <c r="P1274" i="3"/>
  <c r="O1274" i="3"/>
  <c r="L1274" i="3"/>
  <c r="E1274" i="3"/>
  <c r="V1273" i="3"/>
  <c r="U1273" i="3"/>
  <c r="T1273" i="3"/>
  <c r="S1273" i="3"/>
  <c r="P1273" i="3"/>
  <c r="O1273" i="3"/>
  <c r="L1273" i="3"/>
  <c r="E1273" i="3"/>
  <c r="V1272" i="3"/>
  <c r="U1272" i="3"/>
  <c r="T1272" i="3"/>
  <c r="S1272" i="3"/>
  <c r="P1272" i="3"/>
  <c r="O1272" i="3"/>
  <c r="L1272" i="3"/>
  <c r="E1272" i="3"/>
  <c r="V1271" i="3"/>
  <c r="U1271" i="3"/>
  <c r="T1271" i="3"/>
  <c r="S1271" i="3"/>
  <c r="P1271" i="3"/>
  <c r="O1271" i="3"/>
  <c r="L1271" i="3"/>
  <c r="E1271" i="3"/>
  <c r="V1270" i="3"/>
  <c r="U1270" i="3"/>
  <c r="T1270" i="3"/>
  <c r="S1270" i="3"/>
  <c r="P1270" i="3"/>
  <c r="O1270" i="3"/>
  <c r="L1270" i="3"/>
  <c r="E1270" i="3"/>
  <c r="V1269" i="3"/>
  <c r="U1269" i="3"/>
  <c r="T1269" i="3"/>
  <c r="S1269" i="3"/>
  <c r="P1269" i="3"/>
  <c r="O1269" i="3"/>
  <c r="L1269" i="3"/>
  <c r="E1269" i="3"/>
  <c r="V1268" i="3"/>
  <c r="U1268" i="3"/>
  <c r="T1268" i="3"/>
  <c r="S1268" i="3"/>
  <c r="P1268" i="3"/>
  <c r="O1268" i="3"/>
  <c r="L1268" i="3"/>
  <c r="E1268" i="3"/>
  <c r="V1267" i="3"/>
  <c r="U1267" i="3"/>
  <c r="T1267" i="3"/>
  <c r="S1267" i="3"/>
  <c r="P1267" i="3"/>
  <c r="O1267" i="3"/>
  <c r="L1267" i="3"/>
  <c r="E1267" i="3"/>
  <c r="V1266" i="3"/>
  <c r="U1266" i="3"/>
  <c r="T1266" i="3"/>
  <c r="S1266" i="3"/>
  <c r="P1266" i="3"/>
  <c r="O1266" i="3"/>
  <c r="L1266" i="3"/>
  <c r="E1266" i="3"/>
  <c r="V1265" i="3"/>
  <c r="U1265" i="3"/>
  <c r="T1265" i="3"/>
  <c r="S1265" i="3"/>
  <c r="P1265" i="3"/>
  <c r="O1265" i="3"/>
  <c r="L1265" i="3"/>
  <c r="E1265" i="3"/>
  <c r="V1264" i="3"/>
  <c r="U1264" i="3"/>
  <c r="T1264" i="3"/>
  <c r="S1264" i="3"/>
  <c r="P1264" i="3"/>
  <c r="O1264" i="3"/>
  <c r="L1264" i="3"/>
  <c r="E1264" i="3"/>
  <c r="V1263" i="3"/>
  <c r="U1263" i="3"/>
  <c r="T1263" i="3"/>
  <c r="S1263" i="3"/>
  <c r="P1263" i="3"/>
  <c r="O1263" i="3"/>
  <c r="L1263" i="3"/>
  <c r="E1263" i="3"/>
  <c r="V1262" i="3"/>
  <c r="U1262" i="3"/>
  <c r="T1262" i="3"/>
  <c r="S1262" i="3"/>
  <c r="P1262" i="3"/>
  <c r="O1262" i="3"/>
  <c r="L1262" i="3"/>
  <c r="E1262" i="3"/>
  <c r="V1261" i="3"/>
  <c r="U1261" i="3"/>
  <c r="T1261" i="3"/>
  <c r="S1261" i="3"/>
  <c r="P1261" i="3"/>
  <c r="O1261" i="3"/>
  <c r="L1261" i="3"/>
  <c r="E1261" i="3"/>
  <c r="V1260" i="3"/>
  <c r="U1260" i="3"/>
  <c r="T1260" i="3"/>
  <c r="S1260" i="3"/>
  <c r="P1260" i="3"/>
  <c r="O1260" i="3"/>
  <c r="L1260" i="3"/>
  <c r="E1260" i="3"/>
  <c r="V1259" i="3"/>
  <c r="U1259" i="3"/>
  <c r="T1259" i="3"/>
  <c r="S1259" i="3"/>
  <c r="P1259" i="3"/>
  <c r="O1259" i="3"/>
  <c r="L1259" i="3"/>
  <c r="E1259" i="3"/>
  <c r="V1258" i="3"/>
  <c r="U1258" i="3"/>
  <c r="T1258" i="3"/>
  <c r="S1258" i="3"/>
  <c r="P1258" i="3"/>
  <c r="O1258" i="3"/>
  <c r="L1258" i="3"/>
  <c r="E1258" i="3"/>
  <c r="V1257" i="3"/>
  <c r="U1257" i="3"/>
  <c r="T1257" i="3"/>
  <c r="S1257" i="3"/>
  <c r="P1257" i="3"/>
  <c r="O1257" i="3"/>
  <c r="L1257" i="3"/>
  <c r="E1257" i="3"/>
  <c r="V1256" i="3"/>
  <c r="U1256" i="3"/>
  <c r="T1256" i="3"/>
  <c r="S1256" i="3"/>
  <c r="P1256" i="3"/>
  <c r="O1256" i="3"/>
  <c r="L1256" i="3"/>
  <c r="E1256" i="3"/>
  <c r="V1255" i="3"/>
  <c r="U1255" i="3"/>
  <c r="T1255" i="3"/>
  <c r="S1255" i="3"/>
  <c r="P1255" i="3"/>
  <c r="O1255" i="3"/>
  <c r="L1255" i="3"/>
  <c r="E1255" i="3"/>
  <c r="V1254" i="3"/>
  <c r="U1254" i="3"/>
  <c r="T1254" i="3"/>
  <c r="S1254" i="3"/>
  <c r="P1254" i="3"/>
  <c r="O1254" i="3"/>
  <c r="L1254" i="3"/>
  <c r="E1254" i="3"/>
  <c r="V1253" i="3"/>
  <c r="U1253" i="3"/>
  <c r="T1253" i="3"/>
  <c r="S1253" i="3"/>
  <c r="P1253" i="3"/>
  <c r="O1253" i="3"/>
  <c r="L1253" i="3"/>
  <c r="E1253" i="3"/>
  <c r="V1252" i="3"/>
  <c r="U1252" i="3"/>
  <c r="T1252" i="3"/>
  <c r="S1252" i="3"/>
  <c r="P1252" i="3"/>
  <c r="O1252" i="3"/>
  <c r="L1252" i="3"/>
  <c r="E1252" i="3"/>
  <c r="V1251" i="3"/>
  <c r="U1251" i="3"/>
  <c r="T1251" i="3"/>
  <c r="S1251" i="3"/>
  <c r="P1251" i="3"/>
  <c r="O1251" i="3"/>
  <c r="L1251" i="3"/>
  <c r="E1251" i="3"/>
  <c r="V1250" i="3"/>
  <c r="U1250" i="3"/>
  <c r="T1250" i="3"/>
  <c r="S1250" i="3"/>
  <c r="P1250" i="3"/>
  <c r="O1250" i="3"/>
  <c r="L1250" i="3"/>
  <c r="E1250" i="3"/>
  <c r="V1249" i="3"/>
  <c r="U1249" i="3"/>
  <c r="T1249" i="3"/>
  <c r="S1249" i="3"/>
  <c r="P1249" i="3"/>
  <c r="O1249" i="3"/>
  <c r="L1249" i="3"/>
  <c r="E1249" i="3"/>
  <c r="V1248" i="3"/>
  <c r="U1248" i="3"/>
  <c r="T1248" i="3"/>
  <c r="S1248" i="3"/>
  <c r="P1248" i="3"/>
  <c r="O1248" i="3"/>
  <c r="L1248" i="3"/>
  <c r="E1248" i="3"/>
  <c r="V1247" i="3"/>
  <c r="U1247" i="3"/>
  <c r="T1247" i="3"/>
  <c r="S1247" i="3"/>
  <c r="P1247" i="3"/>
  <c r="O1247" i="3"/>
  <c r="L1247" i="3"/>
  <c r="E1247" i="3"/>
  <c r="V1246" i="3"/>
  <c r="U1246" i="3"/>
  <c r="T1246" i="3"/>
  <c r="S1246" i="3"/>
  <c r="P1246" i="3"/>
  <c r="O1246" i="3"/>
  <c r="L1246" i="3"/>
  <c r="E1246" i="3"/>
  <c r="V1245" i="3"/>
  <c r="U1245" i="3"/>
  <c r="T1245" i="3"/>
  <c r="S1245" i="3"/>
  <c r="P1245" i="3"/>
  <c r="O1245" i="3"/>
  <c r="L1245" i="3"/>
  <c r="E1245" i="3"/>
  <c r="V1244" i="3"/>
  <c r="U1244" i="3"/>
  <c r="T1244" i="3"/>
  <c r="S1244" i="3"/>
  <c r="P1244" i="3"/>
  <c r="O1244" i="3"/>
  <c r="L1244" i="3"/>
  <c r="E1244" i="3"/>
  <c r="V1243" i="3"/>
  <c r="U1243" i="3"/>
  <c r="T1243" i="3"/>
  <c r="S1243" i="3"/>
  <c r="P1243" i="3"/>
  <c r="O1243" i="3"/>
  <c r="L1243" i="3"/>
  <c r="E1243" i="3"/>
  <c r="V1242" i="3"/>
  <c r="U1242" i="3"/>
  <c r="T1242" i="3"/>
  <c r="S1242" i="3"/>
  <c r="P1242" i="3"/>
  <c r="O1242" i="3"/>
  <c r="L1242" i="3"/>
  <c r="E1242" i="3"/>
  <c r="V1241" i="3"/>
  <c r="U1241" i="3"/>
  <c r="T1241" i="3"/>
  <c r="S1241" i="3"/>
  <c r="P1241" i="3"/>
  <c r="O1241" i="3"/>
  <c r="L1241" i="3"/>
  <c r="E1241" i="3"/>
  <c r="V1240" i="3"/>
  <c r="U1240" i="3"/>
  <c r="T1240" i="3"/>
  <c r="S1240" i="3"/>
  <c r="P1240" i="3"/>
  <c r="O1240" i="3"/>
  <c r="L1240" i="3"/>
  <c r="E1240" i="3"/>
  <c r="V1239" i="3"/>
  <c r="U1239" i="3"/>
  <c r="T1239" i="3"/>
  <c r="S1239" i="3"/>
  <c r="P1239" i="3"/>
  <c r="O1239" i="3"/>
  <c r="L1239" i="3"/>
  <c r="E1239" i="3"/>
  <c r="V1238" i="3"/>
  <c r="U1238" i="3"/>
  <c r="T1238" i="3"/>
  <c r="S1238" i="3"/>
  <c r="P1238" i="3"/>
  <c r="O1238" i="3"/>
  <c r="L1238" i="3"/>
  <c r="E1238" i="3"/>
  <c r="V1237" i="3"/>
  <c r="U1237" i="3"/>
  <c r="T1237" i="3"/>
  <c r="S1237" i="3"/>
  <c r="P1237" i="3"/>
  <c r="O1237" i="3"/>
  <c r="L1237" i="3"/>
  <c r="E1237" i="3"/>
  <c r="V1236" i="3"/>
  <c r="U1236" i="3"/>
  <c r="T1236" i="3"/>
  <c r="S1236" i="3"/>
  <c r="P1236" i="3"/>
  <c r="O1236" i="3"/>
  <c r="L1236" i="3"/>
  <c r="E1236" i="3"/>
  <c r="V1235" i="3"/>
  <c r="U1235" i="3"/>
  <c r="T1235" i="3"/>
  <c r="S1235" i="3"/>
  <c r="P1235" i="3"/>
  <c r="O1235" i="3"/>
  <c r="L1235" i="3"/>
  <c r="E1235" i="3"/>
  <c r="V1234" i="3"/>
  <c r="U1234" i="3"/>
  <c r="T1234" i="3"/>
  <c r="S1234" i="3"/>
  <c r="P1234" i="3"/>
  <c r="O1234" i="3"/>
  <c r="L1234" i="3"/>
  <c r="E1234" i="3"/>
  <c r="V1233" i="3"/>
  <c r="U1233" i="3"/>
  <c r="T1233" i="3"/>
  <c r="S1233" i="3"/>
  <c r="P1233" i="3"/>
  <c r="O1233" i="3"/>
  <c r="L1233" i="3"/>
  <c r="E1233" i="3"/>
  <c r="V1232" i="3"/>
  <c r="U1232" i="3"/>
  <c r="T1232" i="3"/>
  <c r="S1232" i="3"/>
  <c r="P1232" i="3"/>
  <c r="O1232" i="3"/>
  <c r="L1232" i="3"/>
  <c r="E1232" i="3"/>
  <c r="V1231" i="3"/>
  <c r="U1231" i="3"/>
  <c r="T1231" i="3"/>
  <c r="S1231" i="3"/>
  <c r="P1231" i="3"/>
  <c r="O1231" i="3"/>
  <c r="L1231" i="3"/>
  <c r="E1231" i="3"/>
  <c r="V1230" i="3"/>
  <c r="U1230" i="3"/>
  <c r="T1230" i="3"/>
  <c r="S1230" i="3"/>
  <c r="P1230" i="3"/>
  <c r="O1230" i="3"/>
  <c r="L1230" i="3"/>
  <c r="E1230" i="3"/>
  <c r="V1229" i="3"/>
  <c r="U1229" i="3"/>
  <c r="T1229" i="3"/>
  <c r="S1229" i="3"/>
  <c r="P1229" i="3"/>
  <c r="O1229" i="3"/>
  <c r="L1229" i="3"/>
  <c r="E1229" i="3"/>
  <c r="V1228" i="3"/>
  <c r="U1228" i="3"/>
  <c r="T1228" i="3"/>
  <c r="S1228" i="3"/>
  <c r="P1228" i="3"/>
  <c r="O1228" i="3"/>
  <c r="L1228" i="3"/>
  <c r="E1228" i="3"/>
  <c r="V1227" i="3"/>
  <c r="U1227" i="3"/>
  <c r="T1227" i="3"/>
  <c r="S1227" i="3"/>
  <c r="P1227" i="3"/>
  <c r="O1227" i="3"/>
  <c r="L1227" i="3"/>
  <c r="E1227" i="3"/>
  <c r="V1226" i="3"/>
  <c r="U1226" i="3"/>
  <c r="T1226" i="3"/>
  <c r="S1226" i="3"/>
  <c r="P1226" i="3"/>
  <c r="O1226" i="3"/>
  <c r="L1226" i="3"/>
  <c r="E1226" i="3"/>
  <c r="V1225" i="3"/>
  <c r="U1225" i="3"/>
  <c r="T1225" i="3"/>
  <c r="S1225" i="3"/>
  <c r="P1225" i="3"/>
  <c r="O1225" i="3"/>
  <c r="L1225" i="3"/>
  <c r="E1225" i="3"/>
  <c r="V1224" i="3"/>
  <c r="U1224" i="3"/>
  <c r="T1224" i="3"/>
  <c r="S1224" i="3"/>
  <c r="P1224" i="3"/>
  <c r="O1224" i="3"/>
  <c r="L1224" i="3"/>
  <c r="E1224" i="3"/>
  <c r="V1223" i="3"/>
  <c r="U1223" i="3"/>
  <c r="T1223" i="3"/>
  <c r="S1223" i="3"/>
  <c r="P1223" i="3"/>
  <c r="O1223" i="3"/>
  <c r="L1223" i="3"/>
  <c r="E1223" i="3"/>
  <c r="V1222" i="3"/>
  <c r="U1222" i="3"/>
  <c r="T1222" i="3"/>
  <c r="S1222" i="3"/>
  <c r="P1222" i="3"/>
  <c r="O1222" i="3"/>
  <c r="L1222" i="3"/>
  <c r="E1222" i="3"/>
  <c r="V1221" i="3"/>
  <c r="U1221" i="3"/>
  <c r="T1221" i="3"/>
  <c r="S1221" i="3"/>
  <c r="P1221" i="3"/>
  <c r="O1221" i="3"/>
  <c r="L1221" i="3"/>
  <c r="E1221" i="3"/>
  <c r="V1220" i="3"/>
  <c r="U1220" i="3"/>
  <c r="T1220" i="3"/>
  <c r="S1220" i="3"/>
  <c r="P1220" i="3"/>
  <c r="O1220" i="3"/>
  <c r="L1220" i="3"/>
  <c r="E1220" i="3"/>
  <c r="V1219" i="3"/>
  <c r="U1219" i="3"/>
  <c r="T1219" i="3"/>
  <c r="S1219" i="3"/>
  <c r="P1219" i="3"/>
  <c r="O1219" i="3"/>
  <c r="L1219" i="3"/>
  <c r="E1219" i="3"/>
  <c r="V1218" i="3"/>
  <c r="U1218" i="3"/>
  <c r="T1218" i="3"/>
  <c r="S1218" i="3"/>
  <c r="P1218" i="3"/>
  <c r="O1218" i="3"/>
  <c r="L1218" i="3"/>
  <c r="E1218" i="3"/>
  <c r="V1217" i="3"/>
  <c r="U1217" i="3"/>
  <c r="T1217" i="3"/>
  <c r="S1217" i="3"/>
  <c r="P1217" i="3"/>
  <c r="O1217" i="3"/>
  <c r="L1217" i="3"/>
  <c r="E1217" i="3"/>
  <c r="V1216" i="3"/>
  <c r="U1216" i="3"/>
  <c r="T1216" i="3"/>
  <c r="S1216" i="3"/>
  <c r="P1216" i="3"/>
  <c r="O1216" i="3"/>
  <c r="L1216" i="3"/>
  <c r="E1216" i="3"/>
  <c r="V1215" i="3"/>
  <c r="U1215" i="3"/>
  <c r="T1215" i="3"/>
  <c r="S1215" i="3"/>
  <c r="P1215" i="3"/>
  <c r="O1215" i="3"/>
  <c r="L1215" i="3"/>
  <c r="E1215" i="3"/>
  <c r="V1214" i="3"/>
  <c r="U1214" i="3"/>
  <c r="T1214" i="3"/>
  <c r="S1214" i="3"/>
  <c r="P1214" i="3"/>
  <c r="O1214" i="3"/>
  <c r="L1214" i="3"/>
  <c r="E1214" i="3"/>
  <c r="V1213" i="3"/>
  <c r="U1213" i="3"/>
  <c r="T1213" i="3"/>
  <c r="S1213" i="3"/>
  <c r="P1213" i="3"/>
  <c r="O1213" i="3"/>
  <c r="L1213" i="3"/>
  <c r="E1213" i="3"/>
  <c r="V1212" i="3"/>
  <c r="U1212" i="3"/>
  <c r="T1212" i="3"/>
  <c r="S1212" i="3"/>
  <c r="P1212" i="3"/>
  <c r="O1212" i="3"/>
  <c r="L1212" i="3"/>
  <c r="E1212" i="3"/>
  <c r="V1211" i="3"/>
  <c r="U1211" i="3"/>
  <c r="T1211" i="3"/>
  <c r="S1211" i="3"/>
  <c r="P1211" i="3"/>
  <c r="O1211" i="3"/>
  <c r="L1211" i="3"/>
  <c r="E1211" i="3"/>
  <c r="V1210" i="3"/>
  <c r="U1210" i="3"/>
  <c r="T1210" i="3"/>
  <c r="S1210" i="3"/>
  <c r="P1210" i="3"/>
  <c r="O1210" i="3"/>
  <c r="L1210" i="3"/>
  <c r="E1210" i="3"/>
  <c r="V1209" i="3"/>
  <c r="U1209" i="3"/>
  <c r="T1209" i="3"/>
  <c r="S1209" i="3"/>
  <c r="P1209" i="3"/>
  <c r="O1209" i="3"/>
  <c r="L1209" i="3"/>
  <c r="E1209" i="3"/>
  <c r="V1208" i="3"/>
  <c r="U1208" i="3"/>
  <c r="T1208" i="3"/>
  <c r="S1208" i="3"/>
  <c r="P1208" i="3"/>
  <c r="O1208" i="3"/>
  <c r="L1208" i="3"/>
  <c r="E1208" i="3"/>
  <c r="V1207" i="3"/>
  <c r="U1207" i="3"/>
  <c r="T1207" i="3"/>
  <c r="S1207" i="3"/>
  <c r="P1207" i="3"/>
  <c r="O1207" i="3"/>
  <c r="L1207" i="3"/>
  <c r="E1207" i="3"/>
  <c r="V1206" i="3"/>
  <c r="U1206" i="3"/>
  <c r="T1206" i="3"/>
  <c r="S1206" i="3"/>
  <c r="P1206" i="3"/>
  <c r="O1206" i="3"/>
  <c r="L1206" i="3"/>
  <c r="E1206" i="3"/>
  <c r="V1205" i="3"/>
  <c r="U1205" i="3"/>
  <c r="T1205" i="3"/>
  <c r="S1205" i="3"/>
  <c r="P1205" i="3"/>
  <c r="O1205" i="3"/>
  <c r="L1205" i="3"/>
  <c r="E1205" i="3"/>
  <c r="V1204" i="3"/>
  <c r="U1204" i="3"/>
  <c r="T1204" i="3"/>
  <c r="S1204" i="3"/>
  <c r="P1204" i="3"/>
  <c r="O1204" i="3"/>
  <c r="L1204" i="3"/>
  <c r="E1204" i="3"/>
  <c r="V1203" i="3"/>
  <c r="U1203" i="3"/>
  <c r="T1203" i="3"/>
  <c r="S1203" i="3"/>
  <c r="P1203" i="3"/>
  <c r="O1203" i="3"/>
  <c r="L1203" i="3"/>
  <c r="E1203" i="3"/>
  <c r="V1202" i="3"/>
  <c r="U1202" i="3"/>
  <c r="T1202" i="3"/>
  <c r="S1202" i="3"/>
  <c r="P1202" i="3"/>
  <c r="O1202" i="3"/>
  <c r="L1202" i="3"/>
  <c r="E1202" i="3"/>
  <c r="V1201" i="3"/>
  <c r="U1201" i="3"/>
  <c r="T1201" i="3"/>
  <c r="S1201" i="3"/>
  <c r="P1201" i="3"/>
  <c r="O1201" i="3"/>
  <c r="L1201" i="3"/>
  <c r="E1201" i="3"/>
  <c r="V1200" i="3"/>
  <c r="U1200" i="3"/>
  <c r="T1200" i="3"/>
  <c r="S1200" i="3"/>
  <c r="P1200" i="3"/>
  <c r="O1200" i="3"/>
  <c r="L1200" i="3"/>
  <c r="E1200" i="3"/>
  <c r="V1199" i="3"/>
  <c r="U1199" i="3"/>
  <c r="T1199" i="3"/>
  <c r="S1199" i="3"/>
  <c r="P1199" i="3"/>
  <c r="O1199" i="3"/>
  <c r="L1199" i="3"/>
  <c r="E1199" i="3"/>
  <c r="V1198" i="3"/>
  <c r="U1198" i="3"/>
  <c r="T1198" i="3"/>
  <c r="S1198" i="3"/>
  <c r="P1198" i="3"/>
  <c r="O1198" i="3"/>
  <c r="L1198" i="3"/>
  <c r="E1198" i="3"/>
  <c r="V1197" i="3"/>
  <c r="U1197" i="3"/>
  <c r="T1197" i="3"/>
  <c r="S1197" i="3"/>
  <c r="P1197" i="3"/>
  <c r="O1197" i="3"/>
  <c r="L1197" i="3"/>
  <c r="E1197" i="3"/>
  <c r="V1196" i="3"/>
  <c r="U1196" i="3"/>
  <c r="T1196" i="3"/>
  <c r="S1196" i="3"/>
  <c r="P1196" i="3"/>
  <c r="O1196" i="3"/>
  <c r="L1196" i="3"/>
  <c r="E1196" i="3"/>
  <c r="V1195" i="3"/>
  <c r="U1195" i="3"/>
  <c r="T1195" i="3"/>
  <c r="S1195" i="3"/>
  <c r="P1195" i="3"/>
  <c r="O1195" i="3"/>
  <c r="L1195" i="3"/>
  <c r="E1195" i="3"/>
  <c r="V1194" i="3"/>
  <c r="U1194" i="3"/>
  <c r="T1194" i="3"/>
  <c r="S1194" i="3"/>
  <c r="P1194" i="3"/>
  <c r="O1194" i="3"/>
  <c r="L1194" i="3"/>
  <c r="E1194" i="3"/>
  <c r="V1193" i="3"/>
  <c r="U1193" i="3"/>
  <c r="T1193" i="3"/>
  <c r="S1193" i="3"/>
  <c r="P1193" i="3"/>
  <c r="O1193" i="3"/>
  <c r="L1193" i="3"/>
  <c r="E1193" i="3"/>
  <c r="V1192" i="3"/>
  <c r="U1192" i="3"/>
  <c r="T1192" i="3"/>
  <c r="S1192" i="3"/>
  <c r="P1192" i="3"/>
  <c r="O1192" i="3"/>
  <c r="L1192" i="3"/>
  <c r="E1192" i="3"/>
  <c r="V1191" i="3"/>
  <c r="U1191" i="3"/>
  <c r="T1191" i="3"/>
  <c r="S1191" i="3"/>
  <c r="P1191" i="3"/>
  <c r="O1191" i="3"/>
  <c r="L1191" i="3"/>
  <c r="E1191" i="3"/>
  <c r="V1190" i="3"/>
  <c r="U1190" i="3"/>
  <c r="T1190" i="3"/>
  <c r="S1190" i="3"/>
  <c r="P1190" i="3"/>
  <c r="O1190" i="3"/>
  <c r="L1190" i="3"/>
  <c r="E1190" i="3"/>
  <c r="V1189" i="3"/>
  <c r="U1189" i="3"/>
  <c r="T1189" i="3"/>
  <c r="S1189" i="3"/>
  <c r="P1189" i="3"/>
  <c r="O1189" i="3"/>
  <c r="L1189" i="3"/>
  <c r="E1189" i="3"/>
  <c r="V1188" i="3"/>
  <c r="U1188" i="3"/>
  <c r="T1188" i="3"/>
  <c r="S1188" i="3"/>
  <c r="P1188" i="3"/>
  <c r="O1188" i="3"/>
  <c r="L1188" i="3"/>
  <c r="E1188" i="3"/>
  <c r="V1187" i="3"/>
  <c r="U1187" i="3"/>
  <c r="T1187" i="3"/>
  <c r="S1187" i="3"/>
  <c r="P1187" i="3"/>
  <c r="O1187" i="3"/>
  <c r="L1187" i="3"/>
  <c r="E1187" i="3"/>
  <c r="V1186" i="3"/>
  <c r="U1186" i="3"/>
  <c r="T1186" i="3"/>
  <c r="S1186" i="3"/>
  <c r="P1186" i="3"/>
  <c r="O1186" i="3"/>
  <c r="L1186" i="3"/>
  <c r="E1186" i="3"/>
  <c r="V1185" i="3"/>
  <c r="U1185" i="3"/>
  <c r="T1185" i="3"/>
  <c r="S1185" i="3"/>
  <c r="P1185" i="3"/>
  <c r="O1185" i="3"/>
  <c r="L1185" i="3"/>
  <c r="E1185" i="3"/>
  <c r="V1184" i="3"/>
  <c r="U1184" i="3"/>
  <c r="T1184" i="3"/>
  <c r="S1184" i="3"/>
  <c r="P1184" i="3"/>
  <c r="O1184" i="3"/>
  <c r="L1184" i="3"/>
  <c r="E1184" i="3"/>
  <c r="V1183" i="3"/>
  <c r="U1183" i="3"/>
  <c r="T1183" i="3"/>
  <c r="S1183" i="3"/>
  <c r="P1183" i="3"/>
  <c r="O1183" i="3"/>
  <c r="L1183" i="3"/>
  <c r="E1183" i="3"/>
  <c r="V1182" i="3"/>
  <c r="U1182" i="3"/>
  <c r="T1182" i="3"/>
  <c r="S1182" i="3"/>
  <c r="P1182" i="3"/>
  <c r="O1182" i="3"/>
  <c r="L1182" i="3"/>
  <c r="E1182" i="3"/>
  <c r="V1181" i="3"/>
  <c r="U1181" i="3"/>
  <c r="T1181" i="3"/>
  <c r="S1181" i="3"/>
  <c r="P1181" i="3"/>
  <c r="O1181" i="3"/>
  <c r="L1181" i="3"/>
  <c r="E1181" i="3"/>
  <c r="V1180" i="3"/>
  <c r="U1180" i="3"/>
  <c r="T1180" i="3"/>
  <c r="S1180" i="3"/>
  <c r="P1180" i="3"/>
  <c r="O1180" i="3"/>
  <c r="L1180" i="3"/>
  <c r="E1180" i="3"/>
  <c r="V1179" i="3"/>
  <c r="U1179" i="3"/>
  <c r="T1179" i="3"/>
  <c r="S1179" i="3"/>
  <c r="P1179" i="3"/>
  <c r="O1179" i="3"/>
  <c r="L1179" i="3"/>
  <c r="E1179" i="3"/>
  <c r="V1178" i="3"/>
  <c r="U1178" i="3"/>
  <c r="T1178" i="3"/>
  <c r="S1178" i="3"/>
  <c r="P1178" i="3"/>
  <c r="O1178" i="3"/>
  <c r="L1178" i="3"/>
  <c r="E1178" i="3"/>
  <c r="V1177" i="3"/>
  <c r="U1177" i="3"/>
  <c r="T1177" i="3"/>
  <c r="S1177" i="3"/>
  <c r="P1177" i="3"/>
  <c r="O1177" i="3"/>
  <c r="L1177" i="3"/>
  <c r="E1177" i="3"/>
  <c r="V1176" i="3"/>
  <c r="U1176" i="3"/>
  <c r="T1176" i="3"/>
  <c r="S1176" i="3"/>
  <c r="P1176" i="3"/>
  <c r="O1176" i="3"/>
  <c r="L1176" i="3"/>
  <c r="E1176" i="3"/>
  <c r="V1175" i="3"/>
  <c r="U1175" i="3"/>
  <c r="T1175" i="3"/>
  <c r="S1175" i="3"/>
  <c r="P1175" i="3"/>
  <c r="O1175" i="3"/>
  <c r="L1175" i="3"/>
  <c r="E1175" i="3"/>
  <c r="V1174" i="3"/>
  <c r="U1174" i="3"/>
  <c r="T1174" i="3"/>
  <c r="S1174" i="3"/>
  <c r="P1174" i="3"/>
  <c r="O1174" i="3"/>
  <c r="L1174" i="3"/>
  <c r="E1174" i="3"/>
  <c r="V1173" i="3"/>
  <c r="U1173" i="3"/>
  <c r="T1173" i="3"/>
  <c r="S1173" i="3"/>
  <c r="P1173" i="3"/>
  <c r="O1173" i="3"/>
  <c r="L1173" i="3"/>
  <c r="E1173" i="3"/>
  <c r="V1172" i="3"/>
  <c r="U1172" i="3"/>
  <c r="T1172" i="3"/>
  <c r="S1172" i="3"/>
  <c r="P1172" i="3"/>
  <c r="O1172" i="3"/>
  <c r="L1172" i="3"/>
  <c r="E1172" i="3"/>
  <c r="V1171" i="3"/>
  <c r="U1171" i="3"/>
  <c r="T1171" i="3"/>
  <c r="S1171" i="3"/>
  <c r="P1171" i="3"/>
  <c r="O1171" i="3"/>
  <c r="L1171" i="3"/>
  <c r="E1171" i="3"/>
  <c r="V1170" i="3"/>
  <c r="U1170" i="3"/>
  <c r="T1170" i="3"/>
  <c r="S1170" i="3"/>
  <c r="P1170" i="3"/>
  <c r="O1170" i="3"/>
  <c r="L1170" i="3"/>
  <c r="E1170" i="3"/>
  <c r="V1169" i="3"/>
  <c r="U1169" i="3"/>
  <c r="T1169" i="3"/>
  <c r="S1169" i="3"/>
  <c r="P1169" i="3"/>
  <c r="O1169" i="3"/>
  <c r="L1169" i="3"/>
  <c r="E1169" i="3"/>
  <c r="V1168" i="3"/>
  <c r="U1168" i="3"/>
  <c r="T1168" i="3"/>
  <c r="S1168" i="3"/>
  <c r="P1168" i="3"/>
  <c r="O1168" i="3"/>
  <c r="L1168" i="3"/>
  <c r="E1168" i="3"/>
  <c r="V1167" i="3"/>
  <c r="U1167" i="3"/>
  <c r="T1167" i="3"/>
  <c r="S1167" i="3"/>
  <c r="P1167" i="3"/>
  <c r="O1167" i="3"/>
  <c r="L1167" i="3"/>
  <c r="E1167" i="3"/>
  <c r="V1166" i="3"/>
  <c r="U1166" i="3"/>
  <c r="T1166" i="3"/>
  <c r="S1166" i="3"/>
  <c r="P1166" i="3"/>
  <c r="O1166" i="3"/>
  <c r="L1166" i="3"/>
  <c r="E1166" i="3"/>
  <c r="V1165" i="3"/>
  <c r="U1165" i="3"/>
  <c r="T1165" i="3"/>
  <c r="S1165" i="3"/>
  <c r="P1165" i="3"/>
  <c r="O1165" i="3"/>
  <c r="L1165" i="3"/>
  <c r="E1165" i="3"/>
  <c r="V1164" i="3"/>
  <c r="U1164" i="3"/>
  <c r="T1164" i="3"/>
  <c r="S1164" i="3"/>
  <c r="P1164" i="3"/>
  <c r="O1164" i="3"/>
  <c r="L1164" i="3"/>
  <c r="E1164" i="3"/>
  <c r="V1163" i="3"/>
  <c r="U1163" i="3"/>
  <c r="T1163" i="3"/>
  <c r="S1163" i="3"/>
  <c r="P1163" i="3"/>
  <c r="O1163" i="3"/>
  <c r="L1163" i="3"/>
  <c r="E1163" i="3"/>
  <c r="V1162" i="3"/>
  <c r="U1162" i="3"/>
  <c r="T1162" i="3"/>
  <c r="S1162" i="3"/>
  <c r="P1162" i="3"/>
  <c r="O1162" i="3"/>
  <c r="L1162" i="3"/>
  <c r="E1162" i="3"/>
  <c r="V1161" i="3"/>
  <c r="U1161" i="3"/>
  <c r="T1161" i="3"/>
  <c r="S1161" i="3"/>
  <c r="P1161" i="3"/>
  <c r="O1161" i="3"/>
  <c r="L1161" i="3"/>
  <c r="E1161" i="3"/>
  <c r="V1160" i="3"/>
  <c r="U1160" i="3"/>
  <c r="T1160" i="3"/>
  <c r="S1160" i="3"/>
  <c r="P1160" i="3"/>
  <c r="O1160" i="3"/>
  <c r="L1160" i="3"/>
  <c r="E1160" i="3"/>
  <c r="V1159" i="3"/>
  <c r="U1159" i="3"/>
  <c r="T1159" i="3"/>
  <c r="S1159" i="3"/>
  <c r="P1159" i="3"/>
  <c r="O1159" i="3"/>
  <c r="L1159" i="3"/>
  <c r="E1159" i="3"/>
  <c r="V1158" i="3"/>
  <c r="U1158" i="3"/>
  <c r="T1158" i="3"/>
  <c r="S1158" i="3"/>
  <c r="P1158" i="3"/>
  <c r="O1158" i="3"/>
  <c r="L1158" i="3"/>
  <c r="E1158" i="3"/>
  <c r="V1157" i="3"/>
  <c r="U1157" i="3"/>
  <c r="T1157" i="3"/>
  <c r="S1157" i="3"/>
  <c r="P1157" i="3"/>
  <c r="O1157" i="3"/>
  <c r="L1157" i="3"/>
  <c r="E1157" i="3"/>
  <c r="V1156" i="3"/>
  <c r="U1156" i="3"/>
  <c r="T1156" i="3"/>
  <c r="S1156" i="3"/>
  <c r="P1156" i="3"/>
  <c r="O1156" i="3"/>
  <c r="L1156" i="3"/>
  <c r="E1156" i="3"/>
  <c r="V1155" i="3"/>
  <c r="U1155" i="3"/>
  <c r="T1155" i="3"/>
  <c r="S1155" i="3"/>
  <c r="P1155" i="3"/>
  <c r="O1155" i="3"/>
  <c r="L1155" i="3"/>
  <c r="E1155" i="3"/>
  <c r="V1154" i="3"/>
  <c r="U1154" i="3"/>
  <c r="T1154" i="3"/>
  <c r="S1154" i="3"/>
  <c r="P1154" i="3"/>
  <c r="O1154" i="3"/>
  <c r="L1154" i="3"/>
  <c r="E1154" i="3"/>
  <c r="V1153" i="3"/>
  <c r="U1153" i="3"/>
  <c r="T1153" i="3"/>
  <c r="S1153" i="3"/>
  <c r="P1153" i="3"/>
  <c r="O1153" i="3"/>
  <c r="L1153" i="3"/>
  <c r="E1153" i="3"/>
  <c r="V1152" i="3"/>
  <c r="U1152" i="3"/>
  <c r="T1152" i="3"/>
  <c r="S1152" i="3"/>
  <c r="P1152" i="3"/>
  <c r="O1152" i="3"/>
  <c r="L1152" i="3"/>
  <c r="E1152" i="3"/>
  <c r="V1151" i="3"/>
  <c r="U1151" i="3"/>
  <c r="T1151" i="3"/>
  <c r="S1151" i="3"/>
  <c r="P1151" i="3"/>
  <c r="O1151" i="3"/>
  <c r="L1151" i="3"/>
  <c r="E1151" i="3"/>
  <c r="V1150" i="3"/>
  <c r="U1150" i="3"/>
  <c r="T1150" i="3"/>
  <c r="S1150" i="3"/>
  <c r="P1150" i="3"/>
  <c r="O1150" i="3"/>
  <c r="L1150" i="3"/>
  <c r="E1150" i="3"/>
  <c r="V1149" i="3"/>
  <c r="U1149" i="3"/>
  <c r="T1149" i="3"/>
  <c r="S1149" i="3"/>
  <c r="P1149" i="3"/>
  <c r="O1149" i="3"/>
  <c r="L1149" i="3"/>
  <c r="E1149" i="3"/>
  <c r="V1148" i="3"/>
  <c r="U1148" i="3"/>
  <c r="T1148" i="3"/>
  <c r="S1148" i="3"/>
  <c r="P1148" i="3"/>
  <c r="O1148" i="3"/>
  <c r="L1148" i="3"/>
  <c r="E1148" i="3"/>
  <c r="V1147" i="3"/>
  <c r="U1147" i="3"/>
  <c r="T1147" i="3"/>
  <c r="S1147" i="3"/>
  <c r="P1147" i="3"/>
  <c r="O1147" i="3"/>
  <c r="L1147" i="3"/>
  <c r="E1147" i="3"/>
  <c r="V1146" i="3"/>
  <c r="U1146" i="3"/>
  <c r="T1146" i="3"/>
  <c r="S1146" i="3"/>
  <c r="P1146" i="3"/>
  <c r="O1146" i="3"/>
  <c r="L1146" i="3"/>
  <c r="E1146" i="3"/>
  <c r="V1145" i="3"/>
  <c r="U1145" i="3"/>
  <c r="T1145" i="3"/>
  <c r="S1145" i="3"/>
  <c r="P1145" i="3"/>
  <c r="O1145" i="3"/>
  <c r="L1145" i="3"/>
  <c r="E1145" i="3"/>
  <c r="V1144" i="3"/>
  <c r="U1144" i="3"/>
  <c r="T1144" i="3"/>
  <c r="S1144" i="3"/>
  <c r="P1144" i="3"/>
  <c r="O1144" i="3"/>
  <c r="L1144" i="3"/>
  <c r="E1144" i="3"/>
  <c r="V1143" i="3"/>
  <c r="U1143" i="3"/>
  <c r="T1143" i="3"/>
  <c r="S1143" i="3"/>
  <c r="P1143" i="3"/>
  <c r="O1143" i="3"/>
  <c r="L1143" i="3"/>
  <c r="E1143" i="3"/>
  <c r="V1142" i="3"/>
  <c r="U1142" i="3"/>
  <c r="T1142" i="3"/>
  <c r="S1142" i="3"/>
  <c r="P1142" i="3"/>
  <c r="O1142" i="3"/>
  <c r="L1142" i="3"/>
  <c r="E1142" i="3"/>
  <c r="V1141" i="3"/>
  <c r="U1141" i="3"/>
  <c r="T1141" i="3"/>
  <c r="S1141" i="3"/>
  <c r="P1141" i="3"/>
  <c r="O1141" i="3"/>
  <c r="L1141" i="3"/>
  <c r="E1141" i="3"/>
  <c r="V1140" i="3"/>
  <c r="U1140" i="3"/>
  <c r="T1140" i="3"/>
  <c r="S1140" i="3"/>
  <c r="P1140" i="3"/>
  <c r="O1140" i="3"/>
  <c r="L1140" i="3"/>
  <c r="E1140" i="3"/>
  <c r="V1139" i="3"/>
  <c r="U1139" i="3"/>
  <c r="T1139" i="3"/>
  <c r="S1139" i="3"/>
  <c r="P1139" i="3"/>
  <c r="O1139" i="3"/>
  <c r="L1139" i="3"/>
  <c r="E1139" i="3"/>
  <c r="V1138" i="3"/>
  <c r="U1138" i="3"/>
  <c r="T1138" i="3"/>
  <c r="S1138" i="3"/>
  <c r="P1138" i="3"/>
  <c r="O1138" i="3"/>
  <c r="L1138" i="3"/>
  <c r="E1138" i="3"/>
  <c r="V1137" i="3"/>
  <c r="U1137" i="3"/>
  <c r="T1137" i="3"/>
  <c r="S1137" i="3"/>
  <c r="P1137" i="3"/>
  <c r="O1137" i="3"/>
  <c r="L1137" i="3"/>
  <c r="E1137" i="3"/>
  <c r="V1136" i="3"/>
  <c r="U1136" i="3"/>
  <c r="T1136" i="3"/>
  <c r="S1136" i="3"/>
  <c r="P1136" i="3"/>
  <c r="O1136" i="3"/>
  <c r="L1136" i="3"/>
  <c r="E1136" i="3"/>
  <c r="V1135" i="3"/>
  <c r="U1135" i="3"/>
  <c r="T1135" i="3"/>
  <c r="S1135" i="3"/>
  <c r="P1135" i="3"/>
  <c r="O1135" i="3"/>
  <c r="L1135" i="3"/>
  <c r="E1135" i="3"/>
  <c r="V1134" i="3"/>
  <c r="U1134" i="3"/>
  <c r="T1134" i="3"/>
  <c r="S1134" i="3"/>
  <c r="P1134" i="3"/>
  <c r="O1134" i="3"/>
  <c r="L1134" i="3"/>
  <c r="E1134" i="3"/>
  <c r="V1133" i="3"/>
  <c r="U1133" i="3"/>
  <c r="T1133" i="3"/>
  <c r="S1133" i="3"/>
  <c r="P1133" i="3"/>
  <c r="O1133" i="3"/>
  <c r="L1133" i="3"/>
  <c r="E1133" i="3"/>
  <c r="V1132" i="3"/>
  <c r="U1132" i="3"/>
  <c r="T1132" i="3"/>
  <c r="S1132" i="3"/>
  <c r="P1132" i="3"/>
  <c r="O1132" i="3"/>
  <c r="L1132" i="3"/>
  <c r="E1132" i="3"/>
  <c r="V1131" i="3"/>
  <c r="U1131" i="3"/>
  <c r="T1131" i="3"/>
  <c r="S1131" i="3"/>
  <c r="P1131" i="3"/>
  <c r="O1131" i="3"/>
  <c r="L1131" i="3"/>
  <c r="E1131" i="3"/>
  <c r="V1130" i="3"/>
  <c r="U1130" i="3"/>
  <c r="T1130" i="3"/>
  <c r="S1130" i="3"/>
  <c r="P1130" i="3"/>
  <c r="O1130" i="3"/>
  <c r="L1130" i="3"/>
  <c r="E1130" i="3"/>
  <c r="V1129" i="3"/>
  <c r="U1129" i="3"/>
  <c r="T1129" i="3"/>
  <c r="S1129" i="3"/>
  <c r="P1129" i="3"/>
  <c r="O1129" i="3"/>
  <c r="L1129" i="3"/>
  <c r="E1129" i="3"/>
  <c r="V1128" i="3"/>
  <c r="U1128" i="3"/>
  <c r="T1128" i="3"/>
  <c r="S1128" i="3"/>
  <c r="P1128" i="3"/>
  <c r="O1128" i="3"/>
  <c r="L1128" i="3"/>
  <c r="E1128" i="3"/>
  <c r="V1127" i="3"/>
  <c r="U1127" i="3"/>
  <c r="T1127" i="3"/>
  <c r="S1127" i="3"/>
  <c r="P1127" i="3"/>
  <c r="O1127" i="3"/>
  <c r="L1127" i="3"/>
  <c r="E1127" i="3"/>
  <c r="V1126" i="3"/>
  <c r="U1126" i="3"/>
  <c r="T1126" i="3"/>
  <c r="S1126" i="3"/>
  <c r="P1126" i="3"/>
  <c r="O1126" i="3"/>
  <c r="L1126" i="3"/>
  <c r="E1126" i="3"/>
  <c r="V1125" i="3"/>
  <c r="U1125" i="3"/>
  <c r="T1125" i="3"/>
  <c r="S1125" i="3"/>
  <c r="P1125" i="3"/>
  <c r="O1125" i="3"/>
  <c r="L1125" i="3"/>
  <c r="E1125" i="3"/>
  <c r="V1124" i="3"/>
  <c r="U1124" i="3"/>
  <c r="T1124" i="3"/>
  <c r="S1124" i="3"/>
  <c r="P1124" i="3"/>
  <c r="O1124" i="3"/>
  <c r="L1124" i="3"/>
  <c r="E1124" i="3"/>
  <c r="V1123" i="3"/>
  <c r="U1123" i="3"/>
  <c r="T1123" i="3"/>
  <c r="S1123" i="3"/>
  <c r="P1123" i="3"/>
  <c r="O1123" i="3"/>
  <c r="L1123" i="3"/>
  <c r="E1123" i="3"/>
  <c r="V1122" i="3"/>
  <c r="U1122" i="3"/>
  <c r="T1122" i="3"/>
  <c r="S1122" i="3"/>
  <c r="P1122" i="3"/>
  <c r="O1122" i="3"/>
  <c r="L1122" i="3"/>
  <c r="E1122" i="3"/>
  <c r="V1121" i="3"/>
  <c r="U1121" i="3"/>
  <c r="T1121" i="3"/>
  <c r="S1121" i="3"/>
  <c r="P1121" i="3"/>
  <c r="O1121" i="3"/>
  <c r="L1121" i="3"/>
  <c r="E1121" i="3"/>
  <c r="V1120" i="3"/>
  <c r="U1120" i="3"/>
  <c r="T1120" i="3"/>
  <c r="S1120" i="3"/>
  <c r="P1120" i="3"/>
  <c r="O1120" i="3"/>
  <c r="L1120" i="3"/>
  <c r="E1120" i="3"/>
  <c r="V1119" i="3"/>
  <c r="U1119" i="3"/>
  <c r="T1119" i="3"/>
  <c r="S1119" i="3"/>
  <c r="P1119" i="3"/>
  <c r="O1119" i="3"/>
  <c r="L1119" i="3"/>
  <c r="E1119" i="3"/>
  <c r="V1118" i="3"/>
  <c r="U1118" i="3"/>
  <c r="T1118" i="3"/>
  <c r="S1118" i="3"/>
  <c r="P1118" i="3"/>
  <c r="O1118" i="3"/>
  <c r="L1118" i="3"/>
  <c r="E1118" i="3"/>
  <c r="V1117" i="3"/>
  <c r="U1117" i="3"/>
  <c r="T1117" i="3"/>
  <c r="S1117" i="3"/>
  <c r="P1117" i="3"/>
  <c r="O1117" i="3"/>
  <c r="L1117" i="3"/>
  <c r="E1117" i="3"/>
  <c r="V1116" i="3"/>
  <c r="U1116" i="3"/>
  <c r="T1116" i="3"/>
  <c r="S1116" i="3"/>
  <c r="P1116" i="3"/>
  <c r="O1116" i="3"/>
  <c r="L1116" i="3"/>
  <c r="E1116" i="3"/>
  <c r="V1115" i="3"/>
  <c r="U1115" i="3"/>
  <c r="T1115" i="3"/>
  <c r="S1115" i="3"/>
  <c r="P1115" i="3"/>
  <c r="O1115" i="3"/>
  <c r="L1115" i="3"/>
  <c r="E1115" i="3"/>
  <c r="V1114" i="3"/>
  <c r="U1114" i="3"/>
  <c r="T1114" i="3"/>
  <c r="S1114" i="3"/>
  <c r="P1114" i="3"/>
  <c r="O1114" i="3"/>
  <c r="L1114" i="3"/>
  <c r="E1114" i="3"/>
  <c r="V1113" i="3"/>
  <c r="U1113" i="3"/>
  <c r="T1113" i="3"/>
  <c r="S1113" i="3"/>
  <c r="P1113" i="3"/>
  <c r="O1113" i="3"/>
  <c r="L1113" i="3"/>
  <c r="E1113" i="3"/>
  <c r="V1112" i="3"/>
  <c r="U1112" i="3"/>
  <c r="T1112" i="3"/>
  <c r="S1112" i="3"/>
  <c r="P1112" i="3"/>
  <c r="O1112" i="3"/>
  <c r="L1112" i="3"/>
  <c r="E1112" i="3"/>
  <c r="V1111" i="3"/>
  <c r="U1111" i="3"/>
  <c r="T1111" i="3"/>
  <c r="S1111" i="3"/>
  <c r="P1111" i="3"/>
  <c r="O1111" i="3"/>
  <c r="L1111" i="3"/>
  <c r="E1111" i="3"/>
  <c r="V1110" i="3"/>
  <c r="U1110" i="3"/>
  <c r="T1110" i="3"/>
  <c r="S1110" i="3"/>
  <c r="P1110" i="3"/>
  <c r="O1110" i="3"/>
  <c r="L1110" i="3"/>
  <c r="E1110" i="3"/>
  <c r="V1109" i="3"/>
  <c r="U1109" i="3"/>
  <c r="T1109" i="3"/>
  <c r="S1109" i="3"/>
  <c r="P1109" i="3"/>
  <c r="O1109" i="3"/>
  <c r="L1109" i="3"/>
  <c r="E1109" i="3"/>
  <c r="V1108" i="3"/>
  <c r="U1108" i="3"/>
  <c r="T1108" i="3"/>
  <c r="S1108" i="3"/>
  <c r="P1108" i="3"/>
  <c r="O1108" i="3"/>
  <c r="L1108" i="3"/>
  <c r="E1108" i="3"/>
  <c r="V1107" i="3"/>
  <c r="U1107" i="3"/>
  <c r="T1107" i="3"/>
  <c r="S1107" i="3"/>
  <c r="P1107" i="3"/>
  <c r="O1107" i="3"/>
  <c r="L1107" i="3"/>
  <c r="E1107" i="3"/>
  <c r="V1106" i="3"/>
  <c r="U1106" i="3"/>
  <c r="T1106" i="3"/>
  <c r="S1106" i="3"/>
  <c r="P1106" i="3"/>
  <c r="O1106" i="3"/>
  <c r="L1106" i="3"/>
  <c r="E1106" i="3"/>
  <c r="V1105" i="3"/>
  <c r="U1105" i="3"/>
  <c r="T1105" i="3"/>
  <c r="S1105" i="3"/>
  <c r="P1105" i="3"/>
  <c r="O1105" i="3"/>
  <c r="L1105" i="3"/>
  <c r="E1105" i="3"/>
  <c r="V1104" i="3"/>
  <c r="U1104" i="3"/>
  <c r="T1104" i="3"/>
  <c r="S1104" i="3"/>
  <c r="P1104" i="3"/>
  <c r="O1104" i="3"/>
  <c r="L1104" i="3"/>
  <c r="E1104" i="3"/>
  <c r="V1103" i="3"/>
  <c r="U1103" i="3"/>
  <c r="T1103" i="3"/>
  <c r="S1103" i="3"/>
  <c r="P1103" i="3"/>
  <c r="O1103" i="3"/>
  <c r="L1103" i="3"/>
  <c r="E1103" i="3"/>
  <c r="V1102" i="3"/>
  <c r="U1102" i="3"/>
  <c r="T1102" i="3"/>
  <c r="S1102" i="3"/>
  <c r="P1102" i="3"/>
  <c r="O1102" i="3"/>
  <c r="L1102" i="3"/>
  <c r="E1102" i="3"/>
  <c r="V1101" i="3"/>
  <c r="U1101" i="3"/>
  <c r="T1101" i="3"/>
  <c r="S1101" i="3"/>
  <c r="P1101" i="3"/>
  <c r="O1101" i="3"/>
  <c r="L1101" i="3"/>
  <c r="E1101" i="3"/>
  <c r="V1100" i="3"/>
  <c r="U1100" i="3"/>
  <c r="T1100" i="3"/>
  <c r="S1100" i="3"/>
  <c r="P1100" i="3"/>
  <c r="O1100" i="3"/>
  <c r="L1100" i="3"/>
  <c r="E1100" i="3"/>
  <c r="V1099" i="3"/>
  <c r="U1099" i="3"/>
  <c r="T1099" i="3"/>
  <c r="S1099" i="3"/>
  <c r="P1099" i="3"/>
  <c r="O1099" i="3"/>
  <c r="L1099" i="3"/>
  <c r="E1099" i="3"/>
  <c r="V1098" i="3"/>
  <c r="U1098" i="3"/>
  <c r="T1098" i="3"/>
  <c r="S1098" i="3"/>
  <c r="P1098" i="3"/>
  <c r="O1098" i="3"/>
  <c r="L1098" i="3"/>
  <c r="E1098" i="3"/>
  <c r="V1097" i="3"/>
  <c r="U1097" i="3"/>
  <c r="T1097" i="3"/>
  <c r="S1097" i="3"/>
  <c r="P1097" i="3"/>
  <c r="O1097" i="3"/>
  <c r="L1097" i="3"/>
  <c r="E1097" i="3"/>
  <c r="V1096" i="3"/>
  <c r="U1096" i="3"/>
  <c r="T1096" i="3"/>
  <c r="S1096" i="3"/>
  <c r="P1096" i="3"/>
  <c r="O1096" i="3"/>
  <c r="L1096" i="3"/>
  <c r="E1096" i="3"/>
  <c r="V1095" i="3"/>
  <c r="U1095" i="3"/>
  <c r="T1095" i="3"/>
  <c r="S1095" i="3"/>
  <c r="P1095" i="3"/>
  <c r="O1095" i="3"/>
  <c r="L1095" i="3"/>
  <c r="E1095" i="3"/>
  <c r="V1094" i="3"/>
  <c r="U1094" i="3"/>
  <c r="T1094" i="3"/>
  <c r="S1094" i="3"/>
  <c r="P1094" i="3"/>
  <c r="O1094" i="3"/>
  <c r="L1094" i="3"/>
  <c r="E1094" i="3"/>
  <c r="V1093" i="3"/>
  <c r="U1093" i="3"/>
  <c r="T1093" i="3"/>
  <c r="S1093" i="3"/>
  <c r="P1093" i="3"/>
  <c r="O1093" i="3"/>
  <c r="L1093" i="3"/>
  <c r="E1093" i="3"/>
  <c r="V1092" i="3"/>
  <c r="U1092" i="3"/>
  <c r="T1092" i="3"/>
  <c r="S1092" i="3"/>
  <c r="P1092" i="3"/>
  <c r="O1092" i="3"/>
  <c r="L1092" i="3"/>
  <c r="E1092" i="3"/>
  <c r="V1091" i="3"/>
  <c r="U1091" i="3"/>
  <c r="T1091" i="3"/>
  <c r="S1091" i="3"/>
  <c r="P1091" i="3"/>
  <c r="O1091" i="3"/>
  <c r="L1091" i="3"/>
  <c r="E1091" i="3"/>
  <c r="V1090" i="3"/>
  <c r="U1090" i="3"/>
  <c r="T1090" i="3"/>
  <c r="S1090" i="3"/>
  <c r="P1090" i="3"/>
  <c r="O1090" i="3"/>
  <c r="L1090" i="3"/>
  <c r="E1090" i="3"/>
  <c r="V1089" i="3"/>
  <c r="U1089" i="3"/>
  <c r="T1089" i="3"/>
  <c r="S1089" i="3"/>
  <c r="P1089" i="3"/>
  <c r="O1089" i="3"/>
  <c r="L1089" i="3"/>
  <c r="E1089" i="3"/>
  <c r="V1088" i="3"/>
  <c r="U1088" i="3"/>
  <c r="T1088" i="3"/>
  <c r="S1088" i="3"/>
  <c r="P1088" i="3"/>
  <c r="O1088" i="3"/>
  <c r="L1088" i="3"/>
  <c r="E1088" i="3"/>
  <c r="V1087" i="3"/>
  <c r="U1087" i="3"/>
  <c r="T1087" i="3"/>
  <c r="S1087" i="3"/>
  <c r="P1087" i="3"/>
  <c r="O1087" i="3"/>
  <c r="L1087" i="3"/>
  <c r="E1087" i="3"/>
  <c r="V1086" i="3"/>
  <c r="U1086" i="3"/>
  <c r="T1086" i="3"/>
  <c r="S1086" i="3"/>
  <c r="P1086" i="3"/>
  <c r="O1086" i="3"/>
  <c r="L1086" i="3"/>
  <c r="E1086" i="3"/>
  <c r="V1085" i="3"/>
  <c r="U1085" i="3"/>
  <c r="T1085" i="3"/>
  <c r="S1085" i="3"/>
  <c r="P1085" i="3"/>
  <c r="O1085" i="3"/>
  <c r="L1085" i="3"/>
  <c r="E1085" i="3"/>
  <c r="V1084" i="3"/>
  <c r="U1084" i="3"/>
  <c r="T1084" i="3"/>
  <c r="S1084" i="3"/>
  <c r="P1084" i="3"/>
  <c r="O1084" i="3"/>
  <c r="L1084" i="3"/>
  <c r="E1084" i="3"/>
  <c r="V1083" i="3"/>
  <c r="U1083" i="3"/>
  <c r="T1083" i="3"/>
  <c r="S1083" i="3"/>
  <c r="P1083" i="3"/>
  <c r="O1083" i="3"/>
  <c r="L1083" i="3"/>
  <c r="E1083" i="3"/>
  <c r="V1082" i="3"/>
  <c r="U1082" i="3"/>
  <c r="T1082" i="3"/>
  <c r="S1082" i="3"/>
  <c r="P1082" i="3"/>
  <c r="O1082" i="3"/>
  <c r="L1082" i="3"/>
  <c r="E1082" i="3"/>
  <c r="V1081" i="3"/>
  <c r="U1081" i="3"/>
  <c r="T1081" i="3"/>
  <c r="S1081" i="3"/>
  <c r="P1081" i="3"/>
  <c r="O1081" i="3"/>
  <c r="L1081" i="3"/>
  <c r="E1081" i="3"/>
  <c r="V1080" i="3"/>
  <c r="U1080" i="3"/>
  <c r="T1080" i="3"/>
  <c r="S1080" i="3"/>
  <c r="P1080" i="3"/>
  <c r="O1080" i="3"/>
  <c r="L1080" i="3"/>
  <c r="E1080" i="3"/>
  <c r="V1079" i="3"/>
  <c r="U1079" i="3"/>
  <c r="T1079" i="3"/>
  <c r="S1079" i="3"/>
  <c r="P1079" i="3"/>
  <c r="O1079" i="3"/>
  <c r="L1079" i="3"/>
  <c r="E1079" i="3"/>
  <c r="V1078" i="3"/>
  <c r="U1078" i="3"/>
  <c r="T1078" i="3"/>
  <c r="S1078" i="3"/>
  <c r="P1078" i="3"/>
  <c r="O1078" i="3"/>
  <c r="L1078" i="3"/>
  <c r="E1078" i="3"/>
  <c r="V1077" i="3"/>
  <c r="U1077" i="3"/>
  <c r="T1077" i="3"/>
  <c r="S1077" i="3"/>
  <c r="P1077" i="3"/>
  <c r="O1077" i="3"/>
  <c r="L1077" i="3"/>
  <c r="E1077" i="3"/>
  <c r="V1076" i="3"/>
  <c r="U1076" i="3"/>
  <c r="T1076" i="3"/>
  <c r="S1076" i="3"/>
  <c r="P1076" i="3"/>
  <c r="O1076" i="3"/>
  <c r="L1076" i="3"/>
  <c r="E1076" i="3"/>
  <c r="V1075" i="3"/>
  <c r="U1075" i="3"/>
  <c r="T1075" i="3"/>
  <c r="S1075" i="3"/>
  <c r="P1075" i="3"/>
  <c r="O1075" i="3"/>
  <c r="L1075" i="3"/>
  <c r="E1075" i="3"/>
  <c r="V1074" i="3"/>
  <c r="U1074" i="3"/>
  <c r="T1074" i="3"/>
  <c r="S1074" i="3"/>
  <c r="P1074" i="3"/>
  <c r="O1074" i="3"/>
  <c r="L1074" i="3"/>
  <c r="E1074" i="3"/>
  <c r="V1073" i="3"/>
  <c r="U1073" i="3"/>
  <c r="T1073" i="3"/>
  <c r="S1073" i="3"/>
  <c r="P1073" i="3"/>
  <c r="O1073" i="3"/>
  <c r="L1073" i="3"/>
  <c r="E1073" i="3"/>
  <c r="V1072" i="3"/>
  <c r="U1072" i="3"/>
  <c r="T1072" i="3"/>
  <c r="S1072" i="3"/>
  <c r="P1072" i="3"/>
  <c r="O1072" i="3"/>
  <c r="L1072" i="3"/>
  <c r="E1072" i="3"/>
  <c r="V1071" i="3"/>
  <c r="U1071" i="3"/>
  <c r="T1071" i="3"/>
  <c r="S1071" i="3"/>
  <c r="P1071" i="3"/>
  <c r="O1071" i="3"/>
  <c r="L1071" i="3"/>
  <c r="E1071" i="3"/>
  <c r="V1070" i="3"/>
  <c r="U1070" i="3"/>
  <c r="T1070" i="3"/>
  <c r="S1070" i="3"/>
  <c r="P1070" i="3"/>
  <c r="O1070" i="3"/>
  <c r="L1070" i="3"/>
  <c r="E1070" i="3"/>
  <c r="V1069" i="3"/>
  <c r="U1069" i="3"/>
  <c r="T1069" i="3"/>
  <c r="S1069" i="3"/>
  <c r="P1069" i="3"/>
  <c r="O1069" i="3"/>
  <c r="L1069" i="3"/>
  <c r="E1069" i="3"/>
  <c r="V1068" i="3"/>
  <c r="U1068" i="3"/>
  <c r="T1068" i="3"/>
  <c r="S1068" i="3"/>
  <c r="P1068" i="3"/>
  <c r="O1068" i="3"/>
  <c r="L1068" i="3"/>
  <c r="E1068" i="3"/>
  <c r="V1067" i="3"/>
  <c r="U1067" i="3"/>
  <c r="T1067" i="3"/>
  <c r="S1067" i="3"/>
  <c r="P1067" i="3"/>
  <c r="O1067" i="3"/>
  <c r="L1067" i="3"/>
  <c r="E1067" i="3"/>
  <c r="V1066" i="3"/>
  <c r="U1066" i="3"/>
  <c r="T1066" i="3"/>
  <c r="S1066" i="3"/>
  <c r="P1066" i="3"/>
  <c r="O1066" i="3"/>
  <c r="L1066" i="3"/>
  <c r="E1066" i="3"/>
  <c r="V1065" i="3"/>
  <c r="U1065" i="3"/>
  <c r="T1065" i="3"/>
  <c r="S1065" i="3"/>
  <c r="P1065" i="3"/>
  <c r="O1065" i="3"/>
  <c r="L1065" i="3"/>
  <c r="E1065" i="3"/>
  <c r="V1064" i="3"/>
  <c r="U1064" i="3"/>
  <c r="T1064" i="3"/>
  <c r="S1064" i="3"/>
  <c r="P1064" i="3"/>
  <c r="O1064" i="3"/>
  <c r="L1064" i="3"/>
  <c r="E1064" i="3"/>
  <c r="V1063" i="3"/>
  <c r="U1063" i="3"/>
  <c r="T1063" i="3"/>
  <c r="S1063" i="3"/>
  <c r="P1063" i="3"/>
  <c r="O1063" i="3"/>
  <c r="L1063" i="3"/>
  <c r="E1063" i="3"/>
  <c r="V1062" i="3"/>
  <c r="U1062" i="3"/>
  <c r="T1062" i="3"/>
  <c r="S1062" i="3"/>
  <c r="P1062" i="3"/>
  <c r="O1062" i="3"/>
  <c r="L1062" i="3"/>
  <c r="E1062" i="3"/>
  <c r="V1061" i="3"/>
  <c r="U1061" i="3"/>
  <c r="T1061" i="3"/>
  <c r="S1061" i="3"/>
  <c r="P1061" i="3"/>
  <c r="O1061" i="3"/>
  <c r="L1061" i="3"/>
  <c r="E1061" i="3"/>
  <c r="V1060" i="3"/>
  <c r="U1060" i="3"/>
  <c r="T1060" i="3"/>
  <c r="S1060" i="3"/>
  <c r="P1060" i="3"/>
  <c r="O1060" i="3"/>
  <c r="L1060" i="3"/>
  <c r="E1060" i="3"/>
  <c r="V1059" i="3"/>
  <c r="U1059" i="3"/>
  <c r="T1059" i="3"/>
  <c r="S1059" i="3"/>
  <c r="P1059" i="3"/>
  <c r="O1059" i="3"/>
  <c r="L1059" i="3"/>
  <c r="E1059" i="3"/>
  <c r="V1058" i="3"/>
  <c r="U1058" i="3"/>
  <c r="T1058" i="3"/>
  <c r="S1058" i="3"/>
  <c r="P1058" i="3"/>
  <c r="O1058" i="3"/>
  <c r="L1058" i="3"/>
  <c r="E1058" i="3"/>
  <c r="V1057" i="3"/>
  <c r="U1057" i="3"/>
  <c r="T1057" i="3"/>
  <c r="S1057" i="3"/>
  <c r="P1057" i="3"/>
  <c r="O1057" i="3"/>
  <c r="L1057" i="3"/>
  <c r="E1057" i="3"/>
  <c r="V1056" i="3"/>
  <c r="U1056" i="3"/>
  <c r="T1056" i="3"/>
  <c r="S1056" i="3"/>
  <c r="P1056" i="3"/>
  <c r="O1056" i="3"/>
  <c r="L1056" i="3"/>
  <c r="E1056" i="3"/>
  <c r="V1055" i="3"/>
  <c r="U1055" i="3"/>
  <c r="T1055" i="3"/>
  <c r="S1055" i="3"/>
  <c r="P1055" i="3"/>
  <c r="O1055" i="3"/>
  <c r="L1055" i="3"/>
  <c r="E1055" i="3"/>
  <c r="V1054" i="3"/>
  <c r="U1054" i="3"/>
  <c r="T1054" i="3"/>
  <c r="S1054" i="3"/>
  <c r="P1054" i="3"/>
  <c r="O1054" i="3"/>
  <c r="L1054" i="3"/>
  <c r="E1054" i="3"/>
  <c r="V1053" i="3"/>
  <c r="U1053" i="3"/>
  <c r="T1053" i="3"/>
  <c r="S1053" i="3"/>
  <c r="P1053" i="3"/>
  <c r="O1053" i="3"/>
  <c r="L1053" i="3"/>
  <c r="E1053" i="3"/>
  <c r="V1052" i="3"/>
  <c r="U1052" i="3"/>
  <c r="T1052" i="3"/>
  <c r="S1052" i="3"/>
  <c r="P1052" i="3"/>
  <c r="O1052" i="3"/>
  <c r="L1052" i="3"/>
  <c r="E1052" i="3"/>
  <c r="V1051" i="3"/>
  <c r="U1051" i="3"/>
  <c r="T1051" i="3"/>
  <c r="S1051" i="3"/>
  <c r="P1051" i="3"/>
  <c r="O1051" i="3"/>
  <c r="L1051" i="3"/>
  <c r="E1051" i="3"/>
  <c r="V1050" i="3"/>
  <c r="U1050" i="3"/>
  <c r="T1050" i="3"/>
  <c r="S1050" i="3"/>
  <c r="P1050" i="3"/>
  <c r="O1050" i="3"/>
  <c r="L1050" i="3"/>
  <c r="E1050" i="3"/>
  <c r="V1049" i="3"/>
  <c r="U1049" i="3"/>
  <c r="T1049" i="3"/>
  <c r="S1049" i="3"/>
  <c r="P1049" i="3"/>
  <c r="O1049" i="3"/>
  <c r="L1049" i="3"/>
  <c r="E1049" i="3"/>
  <c r="V1048" i="3"/>
  <c r="U1048" i="3"/>
  <c r="T1048" i="3"/>
  <c r="S1048" i="3"/>
  <c r="P1048" i="3"/>
  <c r="O1048" i="3"/>
  <c r="L1048" i="3"/>
  <c r="E1048" i="3"/>
  <c r="V1047" i="3"/>
  <c r="U1047" i="3"/>
  <c r="T1047" i="3"/>
  <c r="S1047" i="3"/>
  <c r="P1047" i="3"/>
  <c r="O1047" i="3"/>
  <c r="L1047" i="3"/>
  <c r="E1047" i="3"/>
  <c r="V1046" i="3"/>
  <c r="U1046" i="3"/>
  <c r="T1046" i="3"/>
  <c r="S1046" i="3"/>
  <c r="P1046" i="3"/>
  <c r="O1046" i="3"/>
  <c r="L1046" i="3"/>
  <c r="E1046" i="3"/>
  <c r="V1045" i="3"/>
  <c r="U1045" i="3"/>
  <c r="T1045" i="3"/>
  <c r="S1045" i="3"/>
  <c r="P1045" i="3"/>
  <c r="O1045" i="3"/>
  <c r="L1045" i="3"/>
  <c r="E1045" i="3"/>
  <c r="V1044" i="3"/>
  <c r="U1044" i="3"/>
  <c r="T1044" i="3"/>
  <c r="S1044" i="3"/>
  <c r="P1044" i="3"/>
  <c r="O1044" i="3"/>
  <c r="L1044" i="3"/>
  <c r="E1044" i="3"/>
  <c r="V1043" i="3"/>
  <c r="U1043" i="3"/>
  <c r="T1043" i="3"/>
  <c r="S1043" i="3"/>
  <c r="P1043" i="3"/>
  <c r="O1043" i="3"/>
  <c r="L1043" i="3"/>
  <c r="E1043" i="3"/>
  <c r="V1042" i="3"/>
  <c r="U1042" i="3"/>
  <c r="T1042" i="3"/>
  <c r="S1042" i="3"/>
  <c r="P1042" i="3"/>
  <c r="O1042" i="3"/>
  <c r="L1042" i="3"/>
  <c r="E1042" i="3"/>
  <c r="V1041" i="3"/>
  <c r="U1041" i="3"/>
  <c r="T1041" i="3"/>
  <c r="S1041" i="3"/>
  <c r="P1041" i="3"/>
  <c r="O1041" i="3"/>
  <c r="L1041" i="3"/>
  <c r="E1041" i="3"/>
  <c r="V1040" i="3"/>
  <c r="U1040" i="3"/>
  <c r="T1040" i="3"/>
  <c r="S1040" i="3"/>
  <c r="P1040" i="3"/>
  <c r="O1040" i="3"/>
  <c r="L1040" i="3"/>
  <c r="E1040" i="3"/>
  <c r="V1039" i="3"/>
  <c r="U1039" i="3"/>
  <c r="T1039" i="3"/>
  <c r="S1039" i="3"/>
  <c r="P1039" i="3"/>
  <c r="O1039" i="3"/>
  <c r="L1039" i="3"/>
  <c r="E1039" i="3"/>
  <c r="V1038" i="3"/>
  <c r="U1038" i="3"/>
  <c r="T1038" i="3"/>
  <c r="S1038" i="3"/>
  <c r="P1038" i="3"/>
  <c r="O1038" i="3"/>
  <c r="L1038" i="3"/>
  <c r="E1038" i="3"/>
  <c r="V1037" i="3"/>
  <c r="U1037" i="3"/>
  <c r="T1037" i="3"/>
  <c r="S1037" i="3"/>
  <c r="P1037" i="3"/>
  <c r="O1037" i="3"/>
  <c r="L1037" i="3"/>
  <c r="E1037" i="3"/>
  <c r="V1036" i="3"/>
  <c r="U1036" i="3"/>
  <c r="T1036" i="3"/>
  <c r="S1036" i="3"/>
  <c r="P1036" i="3"/>
  <c r="O1036" i="3"/>
  <c r="L1036" i="3"/>
  <c r="E1036" i="3"/>
  <c r="V1035" i="3"/>
  <c r="U1035" i="3"/>
  <c r="T1035" i="3"/>
  <c r="S1035" i="3"/>
  <c r="P1035" i="3"/>
  <c r="O1035" i="3"/>
  <c r="L1035" i="3"/>
  <c r="E1035" i="3"/>
  <c r="V1034" i="3"/>
  <c r="U1034" i="3"/>
  <c r="T1034" i="3"/>
  <c r="S1034" i="3"/>
  <c r="P1034" i="3"/>
  <c r="O1034" i="3"/>
  <c r="L1034" i="3"/>
  <c r="E1034" i="3"/>
  <c r="V1033" i="3"/>
  <c r="U1033" i="3"/>
  <c r="T1033" i="3"/>
  <c r="S1033" i="3"/>
  <c r="P1033" i="3"/>
  <c r="O1033" i="3"/>
  <c r="L1033" i="3"/>
  <c r="E1033" i="3"/>
  <c r="V1032" i="3"/>
  <c r="U1032" i="3"/>
  <c r="T1032" i="3"/>
  <c r="S1032" i="3"/>
  <c r="P1032" i="3"/>
  <c r="O1032" i="3"/>
  <c r="L1032" i="3"/>
  <c r="E1032" i="3"/>
  <c r="V1031" i="3"/>
  <c r="U1031" i="3"/>
  <c r="T1031" i="3"/>
  <c r="S1031" i="3"/>
  <c r="P1031" i="3"/>
  <c r="O1031" i="3"/>
  <c r="L1031" i="3"/>
  <c r="E1031" i="3"/>
  <c r="V1030" i="3"/>
  <c r="U1030" i="3"/>
  <c r="T1030" i="3"/>
  <c r="S1030" i="3"/>
  <c r="P1030" i="3"/>
  <c r="O1030" i="3"/>
  <c r="L1030" i="3"/>
  <c r="E1030" i="3"/>
  <c r="V1029" i="3"/>
  <c r="U1029" i="3"/>
  <c r="T1029" i="3"/>
  <c r="S1029" i="3"/>
  <c r="P1029" i="3"/>
  <c r="O1029" i="3"/>
  <c r="L1029" i="3"/>
  <c r="E1029" i="3"/>
  <c r="V1028" i="3"/>
  <c r="U1028" i="3"/>
  <c r="T1028" i="3"/>
  <c r="S1028" i="3"/>
  <c r="P1028" i="3"/>
  <c r="O1028" i="3"/>
  <c r="L1028" i="3"/>
  <c r="E1028" i="3"/>
  <c r="V1027" i="3"/>
  <c r="U1027" i="3"/>
  <c r="T1027" i="3"/>
  <c r="S1027" i="3"/>
  <c r="P1027" i="3"/>
  <c r="O1027" i="3"/>
  <c r="L1027" i="3"/>
  <c r="E1027" i="3"/>
  <c r="V1026" i="3"/>
  <c r="U1026" i="3"/>
  <c r="T1026" i="3"/>
  <c r="S1026" i="3"/>
  <c r="P1026" i="3"/>
  <c r="O1026" i="3"/>
  <c r="L1026" i="3"/>
  <c r="E1026" i="3"/>
  <c r="V1025" i="3"/>
  <c r="U1025" i="3"/>
  <c r="T1025" i="3"/>
  <c r="S1025" i="3"/>
  <c r="P1025" i="3"/>
  <c r="O1025" i="3"/>
  <c r="L1025" i="3"/>
  <c r="E1025" i="3"/>
  <c r="V1024" i="3"/>
  <c r="U1024" i="3"/>
  <c r="T1024" i="3"/>
  <c r="S1024" i="3"/>
  <c r="P1024" i="3"/>
  <c r="O1024" i="3"/>
  <c r="L1024" i="3"/>
  <c r="E1024" i="3"/>
  <c r="V1023" i="3"/>
  <c r="U1023" i="3"/>
  <c r="T1023" i="3"/>
  <c r="S1023" i="3"/>
  <c r="P1023" i="3"/>
  <c r="O1023" i="3"/>
  <c r="L1023" i="3"/>
  <c r="E1023" i="3"/>
  <c r="V1022" i="3"/>
  <c r="U1022" i="3"/>
  <c r="T1022" i="3"/>
  <c r="S1022" i="3"/>
  <c r="P1022" i="3"/>
  <c r="O1022" i="3"/>
  <c r="L1022" i="3"/>
  <c r="E1022" i="3"/>
  <c r="V1021" i="3"/>
  <c r="U1021" i="3"/>
  <c r="T1021" i="3"/>
  <c r="S1021" i="3"/>
  <c r="P1021" i="3"/>
  <c r="O1021" i="3"/>
  <c r="L1021" i="3"/>
  <c r="E1021" i="3"/>
  <c r="V1020" i="3"/>
  <c r="U1020" i="3"/>
  <c r="T1020" i="3"/>
  <c r="S1020" i="3"/>
  <c r="P1020" i="3"/>
  <c r="O1020" i="3"/>
  <c r="L1020" i="3"/>
  <c r="E1020" i="3"/>
  <c r="V1019" i="3"/>
  <c r="U1019" i="3"/>
  <c r="T1019" i="3"/>
  <c r="S1019" i="3"/>
  <c r="P1019" i="3"/>
  <c r="O1019" i="3"/>
  <c r="L1019" i="3"/>
  <c r="E1019" i="3"/>
  <c r="V1018" i="3"/>
  <c r="U1018" i="3"/>
  <c r="T1018" i="3"/>
  <c r="S1018" i="3"/>
  <c r="P1018" i="3"/>
  <c r="O1018" i="3"/>
  <c r="L1018" i="3"/>
  <c r="E1018" i="3"/>
  <c r="V1017" i="3"/>
  <c r="U1017" i="3"/>
  <c r="T1017" i="3"/>
  <c r="S1017" i="3"/>
  <c r="P1017" i="3"/>
  <c r="O1017" i="3"/>
  <c r="L1017" i="3"/>
  <c r="E1017" i="3"/>
  <c r="V1016" i="3"/>
  <c r="U1016" i="3"/>
  <c r="T1016" i="3"/>
  <c r="S1016" i="3"/>
  <c r="P1016" i="3"/>
  <c r="O1016" i="3"/>
  <c r="L1016" i="3"/>
  <c r="E1016" i="3"/>
  <c r="V1015" i="3"/>
  <c r="U1015" i="3"/>
  <c r="T1015" i="3"/>
  <c r="S1015" i="3"/>
  <c r="P1015" i="3"/>
  <c r="O1015" i="3"/>
  <c r="L1015" i="3"/>
  <c r="E1015" i="3"/>
  <c r="V1014" i="3"/>
  <c r="U1014" i="3"/>
  <c r="T1014" i="3"/>
  <c r="S1014" i="3"/>
  <c r="P1014" i="3"/>
  <c r="O1014" i="3"/>
  <c r="L1014" i="3"/>
  <c r="E1014" i="3"/>
  <c r="V1013" i="3"/>
  <c r="U1013" i="3"/>
  <c r="T1013" i="3"/>
  <c r="S1013" i="3"/>
  <c r="P1013" i="3"/>
  <c r="O1013" i="3"/>
  <c r="L1013" i="3"/>
  <c r="E1013" i="3"/>
  <c r="V1012" i="3"/>
  <c r="U1012" i="3"/>
  <c r="T1012" i="3"/>
  <c r="S1012" i="3"/>
  <c r="P1012" i="3"/>
  <c r="O1012" i="3"/>
  <c r="L1012" i="3"/>
  <c r="E1012" i="3"/>
  <c r="V1011" i="3"/>
  <c r="U1011" i="3"/>
  <c r="T1011" i="3"/>
  <c r="S1011" i="3"/>
  <c r="P1011" i="3"/>
  <c r="O1011" i="3"/>
  <c r="L1011" i="3"/>
  <c r="E1011" i="3"/>
  <c r="V1010" i="3"/>
  <c r="U1010" i="3"/>
  <c r="T1010" i="3"/>
  <c r="S1010" i="3"/>
  <c r="P1010" i="3"/>
  <c r="O1010" i="3"/>
  <c r="L1010" i="3"/>
  <c r="E1010" i="3"/>
  <c r="V1009" i="3"/>
  <c r="U1009" i="3"/>
  <c r="T1009" i="3"/>
  <c r="S1009" i="3"/>
  <c r="P1009" i="3"/>
  <c r="O1009" i="3"/>
  <c r="L1009" i="3"/>
  <c r="E1009" i="3"/>
  <c r="V1008" i="3"/>
  <c r="U1008" i="3"/>
  <c r="T1008" i="3"/>
  <c r="S1008" i="3"/>
  <c r="P1008" i="3"/>
  <c r="O1008" i="3"/>
  <c r="L1008" i="3"/>
  <c r="E1008" i="3"/>
  <c r="V1007" i="3"/>
  <c r="U1007" i="3"/>
  <c r="T1007" i="3"/>
  <c r="S1007" i="3"/>
  <c r="P1007" i="3"/>
  <c r="O1007" i="3"/>
  <c r="L1007" i="3"/>
  <c r="E1007" i="3"/>
  <c r="V1006" i="3"/>
  <c r="U1006" i="3"/>
  <c r="T1006" i="3"/>
  <c r="S1006" i="3"/>
  <c r="P1006" i="3"/>
  <c r="O1006" i="3"/>
  <c r="L1006" i="3"/>
  <c r="E1006" i="3"/>
  <c r="V1005" i="3"/>
  <c r="U1005" i="3"/>
  <c r="T1005" i="3"/>
  <c r="S1005" i="3"/>
  <c r="P1005" i="3"/>
  <c r="O1005" i="3"/>
  <c r="L1005" i="3"/>
  <c r="E1005" i="3"/>
  <c r="V1004" i="3"/>
  <c r="U1004" i="3"/>
  <c r="T1004" i="3"/>
  <c r="S1004" i="3"/>
  <c r="P1004" i="3"/>
  <c r="O1004" i="3"/>
  <c r="L1004" i="3"/>
  <c r="E1004" i="3"/>
  <c r="V1003" i="3"/>
  <c r="U1003" i="3"/>
  <c r="T1003" i="3"/>
  <c r="S1003" i="3"/>
  <c r="P1003" i="3"/>
  <c r="O1003" i="3"/>
  <c r="L1003" i="3"/>
  <c r="E1003" i="3"/>
  <c r="V1002" i="3"/>
  <c r="U1002" i="3"/>
  <c r="T1002" i="3"/>
  <c r="S1002" i="3"/>
  <c r="P1002" i="3"/>
  <c r="O1002" i="3"/>
  <c r="L1002" i="3"/>
  <c r="E1002" i="3"/>
  <c r="V1001" i="3"/>
  <c r="U1001" i="3"/>
  <c r="T1001" i="3"/>
  <c r="S1001" i="3"/>
  <c r="P1001" i="3"/>
  <c r="O1001" i="3"/>
  <c r="L1001" i="3"/>
  <c r="E1001" i="3"/>
  <c r="V1000" i="3"/>
  <c r="U1000" i="3"/>
  <c r="T1000" i="3"/>
  <c r="S1000" i="3"/>
  <c r="P1000" i="3"/>
  <c r="O1000" i="3"/>
  <c r="L1000" i="3"/>
  <c r="E1000" i="3"/>
  <c r="V999" i="3"/>
  <c r="U999" i="3"/>
  <c r="T999" i="3"/>
  <c r="S999" i="3"/>
  <c r="P999" i="3"/>
  <c r="O999" i="3"/>
  <c r="L999" i="3"/>
  <c r="E999" i="3"/>
  <c r="V998" i="3"/>
  <c r="U998" i="3"/>
  <c r="T998" i="3"/>
  <c r="S998" i="3"/>
  <c r="P998" i="3"/>
  <c r="O998" i="3"/>
  <c r="L998" i="3"/>
  <c r="E998" i="3"/>
  <c r="V997" i="3"/>
  <c r="U997" i="3"/>
  <c r="T997" i="3"/>
  <c r="S997" i="3"/>
  <c r="P997" i="3"/>
  <c r="O997" i="3"/>
  <c r="L997" i="3"/>
  <c r="E997" i="3"/>
  <c r="V996" i="3"/>
  <c r="U996" i="3"/>
  <c r="T996" i="3"/>
  <c r="S996" i="3"/>
  <c r="P996" i="3"/>
  <c r="O996" i="3"/>
  <c r="L996" i="3"/>
  <c r="E996" i="3"/>
  <c r="V995" i="3"/>
  <c r="U995" i="3"/>
  <c r="T995" i="3"/>
  <c r="S995" i="3"/>
  <c r="P995" i="3"/>
  <c r="O995" i="3"/>
  <c r="L995" i="3"/>
  <c r="E995" i="3"/>
  <c r="V994" i="3"/>
  <c r="U994" i="3"/>
  <c r="T994" i="3"/>
  <c r="S994" i="3"/>
  <c r="P994" i="3"/>
  <c r="O994" i="3"/>
  <c r="L994" i="3"/>
  <c r="E994" i="3"/>
  <c r="V993" i="3"/>
  <c r="U993" i="3"/>
  <c r="T993" i="3"/>
  <c r="S993" i="3"/>
  <c r="P993" i="3"/>
  <c r="O993" i="3"/>
  <c r="L993" i="3"/>
  <c r="E993" i="3"/>
  <c r="V992" i="3"/>
  <c r="U992" i="3"/>
  <c r="T992" i="3"/>
  <c r="S992" i="3"/>
  <c r="P992" i="3"/>
  <c r="O992" i="3"/>
  <c r="L992" i="3"/>
  <c r="E992" i="3"/>
  <c r="V991" i="3"/>
  <c r="U991" i="3"/>
  <c r="T991" i="3"/>
  <c r="S991" i="3"/>
  <c r="P991" i="3"/>
  <c r="O991" i="3"/>
  <c r="L991" i="3"/>
  <c r="E991" i="3"/>
  <c r="V990" i="3"/>
  <c r="U990" i="3"/>
  <c r="T990" i="3"/>
  <c r="S990" i="3"/>
  <c r="P990" i="3"/>
  <c r="O990" i="3"/>
  <c r="L990" i="3"/>
  <c r="E990" i="3"/>
  <c r="V989" i="3"/>
  <c r="U989" i="3"/>
  <c r="T989" i="3"/>
  <c r="S989" i="3"/>
  <c r="P989" i="3"/>
  <c r="O989" i="3"/>
  <c r="L989" i="3"/>
  <c r="E989" i="3"/>
  <c r="V988" i="3"/>
  <c r="U988" i="3"/>
  <c r="T988" i="3"/>
  <c r="S988" i="3"/>
  <c r="P988" i="3"/>
  <c r="O988" i="3"/>
  <c r="L988" i="3"/>
  <c r="E988" i="3"/>
  <c r="V987" i="3"/>
  <c r="U987" i="3"/>
  <c r="T987" i="3"/>
  <c r="S987" i="3"/>
  <c r="P987" i="3"/>
  <c r="O987" i="3"/>
  <c r="L987" i="3"/>
  <c r="E987" i="3"/>
  <c r="V986" i="3"/>
  <c r="U986" i="3"/>
  <c r="T986" i="3"/>
  <c r="S986" i="3"/>
  <c r="P986" i="3"/>
  <c r="O986" i="3"/>
  <c r="L986" i="3"/>
  <c r="E986" i="3"/>
  <c r="V985" i="3"/>
  <c r="U985" i="3"/>
  <c r="T985" i="3"/>
  <c r="S985" i="3"/>
  <c r="P985" i="3"/>
  <c r="O985" i="3"/>
  <c r="L985" i="3"/>
  <c r="E985" i="3"/>
  <c r="V984" i="3"/>
  <c r="U984" i="3"/>
  <c r="T984" i="3"/>
  <c r="S984" i="3"/>
  <c r="P984" i="3"/>
  <c r="O984" i="3"/>
  <c r="L984" i="3"/>
  <c r="E984" i="3"/>
  <c r="V983" i="3"/>
  <c r="U983" i="3"/>
  <c r="T983" i="3"/>
  <c r="S983" i="3"/>
  <c r="P983" i="3"/>
  <c r="O983" i="3"/>
  <c r="L983" i="3"/>
  <c r="E983" i="3"/>
  <c r="V982" i="3"/>
  <c r="U982" i="3"/>
  <c r="T982" i="3"/>
  <c r="S982" i="3"/>
  <c r="P982" i="3"/>
  <c r="O982" i="3"/>
  <c r="L982" i="3"/>
  <c r="E982" i="3"/>
  <c r="V981" i="3"/>
  <c r="U981" i="3"/>
  <c r="T981" i="3"/>
  <c r="S981" i="3"/>
  <c r="P981" i="3"/>
  <c r="O981" i="3"/>
  <c r="L981" i="3"/>
  <c r="E981" i="3"/>
  <c r="V980" i="3"/>
  <c r="U980" i="3"/>
  <c r="T980" i="3"/>
  <c r="S980" i="3"/>
  <c r="P980" i="3"/>
  <c r="O980" i="3"/>
  <c r="L980" i="3"/>
  <c r="E980" i="3"/>
  <c r="V979" i="3"/>
  <c r="U979" i="3"/>
  <c r="T979" i="3"/>
  <c r="S979" i="3"/>
  <c r="P979" i="3"/>
  <c r="O979" i="3"/>
  <c r="L979" i="3"/>
  <c r="E979" i="3"/>
  <c r="V978" i="3"/>
  <c r="U978" i="3"/>
  <c r="T978" i="3"/>
  <c r="S978" i="3"/>
  <c r="P978" i="3"/>
  <c r="O978" i="3"/>
  <c r="L978" i="3"/>
  <c r="E978" i="3"/>
  <c r="V977" i="3"/>
  <c r="U977" i="3"/>
  <c r="T977" i="3"/>
  <c r="S977" i="3"/>
  <c r="P977" i="3"/>
  <c r="O977" i="3"/>
  <c r="L977" i="3"/>
  <c r="E977" i="3"/>
  <c r="V976" i="3"/>
  <c r="U976" i="3"/>
  <c r="T976" i="3"/>
  <c r="S976" i="3"/>
  <c r="P976" i="3"/>
  <c r="O976" i="3"/>
  <c r="L976" i="3"/>
  <c r="E976" i="3"/>
  <c r="V975" i="3"/>
  <c r="U975" i="3"/>
  <c r="T975" i="3"/>
  <c r="S975" i="3"/>
  <c r="P975" i="3"/>
  <c r="O975" i="3"/>
  <c r="L975" i="3"/>
  <c r="E975" i="3"/>
  <c r="V974" i="3"/>
  <c r="U974" i="3"/>
  <c r="T974" i="3"/>
  <c r="S974" i="3"/>
  <c r="P974" i="3"/>
  <c r="O974" i="3"/>
  <c r="L974" i="3"/>
  <c r="E974" i="3"/>
  <c r="V973" i="3"/>
  <c r="U973" i="3"/>
  <c r="T973" i="3"/>
  <c r="S973" i="3"/>
  <c r="P973" i="3"/>
  <c r="O973" i="3"/>
  <c r="L973" i="3"/>
  <c r="E973" i="3"/>
  <c r="V972" i="3"/>
  <c r="U972" i="3"/>
  <c r="T972" i="3"/>
  <c r="S972" i="3"/>
  <c r="P972" i="3"/>
  <c r="O972" i="3"/>
  <c r="L972" i="3"/>
  <c r="E972" i="3"/>
  <c r="V971" i="3"/>
  <c r="U971" i="3"/>
  <c r="T971" i="3"/>
  <c r="S971" i="3"/>
  <c r="P971" i="3"/>
  <c r="O971" i="3"/>
  <c r="L971" i="3"/>
  <c r="E971" i="3"/>
  <c r="V970" i="3"/>
  <c r="U970" i="3"/>
  <c r="T970" i="3"/>
  <c r="S970" i="3"/>
  <c r="P970" i="3"/>
  <c r="O970" i="3"/>
  <c r="L970" i="3"/>
  <c r="E970" i="3"/>
  <c r="V969" i="3"/>
  <c r="U969" i="3"/>
  <c r="T969" i="3"/>
  <c r="S969" i="3"/>
  <c r="P969" i="3"/>
  <c r="O969" i="3"/>
  <c r="L969" i="3"/>
  <c r="E969" i="3"/>
  <c r="V968" i="3"/>
  <c r="U968" i="3"/>
  <c r="T968" i="3"/>
  <c r="S968" i="3"/>
  <c r="P968" i="3"/>
  <c r="O968" i="3"/>
  <c r="L968" i="3"/>
  <c r="E968" i="3"/>
  <c r="V967" i="3"/>
  <c r="U967" i="3"/>
  <c r="T967" i="3"/>
  <c r="S967" i="3"/>
  <c r="P967" i="3"/>
  <c r="O967" i="3"/>
  <c r="L967" i="3"/>
  <c r="E967" i="3"/>
  <c r="V966" i="3"/>
  <c r="U966" i="3"/>
  <c r="T966" i="3"/>
  <c r="S966" i="3"/>
  <c r="P966" i="3"/>
  <c r="O966" i="3"/>
  <c r="L966" i="3"/>
  <c r="E966" i="3"/>
  <c r="V965" i="3"/>
  <c r="U965" i="3"/>
  <c r="T965" i="3"/>
  <c r="S965" i="3"/>
  <c r="P965" i="3"/>
  <c r="O965" i="3"/>
  <c r="L965" i="3"/>
  <c r="E965" i="3"/>
  <c r="V964" i="3"/>
  <c r="U964" i="3"/>
  <c r="T964" i="3"/>
  <c r="S964" i="3"/>
  <c r="P964" i="3"/>
  <c r="O964" i="3"/>
  <c r="L964" i="3"/>
  <c r="E964" i="3"/>
  <c r="V963" i="3"/>
  <c r="U963" i="3"/>
  <c r="T963" i="3"/>
  <c r="S963" i="3"/>
  <c r="P963" i="3"/>
  <c r="O963" i="3"/>
  <c r="L963" i="3"/>
  <c r="E963" i="3"/>
  <c r="V962" i="3"/>
  <c r="U962" i="3"/>
  <c r="T962" i="3"/>
  <c r="S962" i="3"/>
  <c r="P962" i="3"/>
  <c r="O962" i="3"/>
  <c r="L962" i="3"/>
  <c r="E962" i="3"/>
  <c r="V961" i="3"/>
  <c r="U961" i="3"/>
  <c r="T961" i="3"/>
  <c r="S961" i="3"/>
  <c r="P961" i="3"/>
  <c r="O961" i="3"/>
  <c r="L961" i="3"/>
  <c r="E961" i="3"/>
  <c r="V960" i="3"/>
  <c r="U960" i="3"/>
  <c r="T960" i="3"/>
  <c r="S960" i="3"/>
  <c r="P960" i="3"/>
  <c r="O960" i="3"/>
  <c r="L960" i="3"/>
  <c r="E960" i="3"/>
  <c r="V959" i="3"/>
  <c r="U959" i="3"/>
  <c r="T959" i="3"/>
  <c r="S959" i="3"/>
  <c r="P959" i="3"/>
  <c r="O959" i="3"/>
  <c r="L959" i="3"/>
  <c r="E959" i="3"/>
  <c r="V958" i="3"/>
  <c r="U958" i="3"/>
  <c r="T958" i="3"/>
  <c r="S958" i="3"/>
  <c r="P958" i="3"/>
  <c r="O958" i="3"/>
  <c r="L958" i="3"/>
  <c r="E958" i="3"/>
  <c r="V957" i="3"/>
  <c r="U957" i="3"/>
  <c r="T957" i="3"/>
  <c r="S957" i="3"/>
  <c r="P957" i="3"/>
  <c r="O957" i="3"/>
  <c r="L957" i="3"/>
  <c r="E957" i="3"/>
  <c r="V956" i="3"/>
  <c r="U956" i="3"/>
  <c r="T956" i="3"/>
  <c r="S956" i="3"/>
  <c r="P956" i="3"/>
  <c r="O956" i="3"/>
  <c r="L956" i="3"/>
  <c r="E956" i="3"/>
  <c r="V955" i="3"/>
  <c r="U955" i="3"/>
  <c r="T955" i="3"/>
  <c r="S955" i="3"/>
  <c r="P955" i="3"/>
  <c r="O955" i="3"/>
  <c r="L955" i="3"/>
  <c r="E955" i="3"/>
  <c r="V954" i="3"/>
  <c r="U954" i="3"/>
  <c r="T954" i="3"/>
  <c r="S954" i="3"/>
  <c r="P954" i="3"/>
  <c r="O954" i="3"/>
  <c r="L954" i="3"/>
  <c r="E954" i="3"/>
  <c r="V953" i="3"/>
  <c r="U953" i="3"/>
  <c r="T953" i="3"/>
  <c r="S953" i="3"/>
  <c r="P953" i="3"/>
  <c r="O953" i="3"/>
  <c r="L953" i="3"/>
  <c r="E953" i="3"/>
  <c r="V952" i="3"/>
  <c r="U952" i="3"/>
  <c r="T952" i="3"/>
  <c r="S952" i="3"/>
  <c r="P952" i="3"/>
  <c r="O952" i="3"/>
  <c r="L952" i="3"/>
  <c r="E952" i="3"/>
  <c r="V951" i="3"/>
  <c r="U951" i="3"/>
  <c r="T951" i="3"/>
  <c r="S951" i="3"/>
  <c r="P951" i="3"/>
  <c r="O951" i="3"/>
  <c r="L951" i="3"/>
  <c r="E951" i="3"/>
  <c r="V950" i="3"/>
  <c r="U950" i="3"/>
  <c r="T950" i="3"/>
  <c r="S950" i="3"/>
  <c r="P950" i="3"/>
  <c r="O950" i="3"/>
  <c r="L950" i="3"/>
  <c r="E950" i="3"/>
  <c r="V949" i="3"/>
  <c r="U949" i="3"/>
  <c r="T949" i="3"/>
  <c r="S949" i="3"/>
  <c r="P949" i="3"/>
  <c r="O949" i="3"/>
  <c r="L949" i="3"/>
  <c r="E949" i="3"/>
  <c r="V948" i="3"/>
  <c r="U948" i="3"/>
  <c r="T948" i="3"/>
  <c r="S948" i="3"/>
  <c r="P948" i="3"/>
  <c r="O948" i="3"/>
  <c r="L948" i="3"/>
  <c r="E948" i="3"/>
  <c r="V947" i="3"/>
  <c r="U947" i="3"/>
  <c r="T947" i="3"/>
  <c r="S947" i="3"/>
  <c r="P947" i="3"/>
  <c r="O947" i="3"/>
  <c r="L947" i="3"/>
  <c r="E947" i="3"/>
  <c r="V946" i="3"/>
  <c r="U946" i="3"/>
  <c r="T946" i="3"/>
  <c r="S946" i="3"/>
  <c r="P946" i="3"/>
  <c r="O946" i="3"/>
  <c r="L946" i="3"/>
  <c r="E946" i="3"/>
  <c r="V945" i="3"/>
  <c r="U945" i="3"/>
  <c r="T945" i="3"/>
  <c r="S945" i="3"/>
  <c r="P945" i="3"/>
  <c r="O945" i="3"/>
  <c r="L945" i="3"/>
  <c r="E945" i="3"/>
  <c r="V944" i="3"/>
  <c r="U944" i="3"/>
  <c r="T944" i="3"/>
  <c r="S944" i="3"/>
  <c r="P944" i="3"/>
  <c r="O944" i="3"/>
  <c r="L944" i="3"/>
  <c r="E944" i="3"/>
  <c r="V943" i="3"/>
  <c r="U943" i="3"/>
  <c r="T943" i="3"/>
  <c r="S943" i="3"/>
  <c r="P943" i="3"/>
  <c r="O943" i="3"/>
  <c r="L943" i="3"/>
  <c r="E943" i="3"/>
  <c r="V942" i="3"/>
  <c r="U942" i="3"/>
  <c r="T942" i="3"/>
  <c r="S942" i="3"/>
  <c r="P942" i="3"/>
  <c r="O942" i="3"/>
  <c r="L942" i="3"/>
  <c r="E942" i="3"/>
  <c r="V941" i="3"/>
  <c r="U941" i="3"/>
  <c r="T941" i="3"/>
  <c r="S941" i="3"/>
  <c r="P941" i="3"/>
  <c r="O941" i="3"/>
  <c r="L941" i="3"/>
  <c r="E941" i="3"/>
  <c r="V940" i="3"/>
  <c r="U940" i="3"/>
  <c r="T940" i="3"/>
  <c r="S940" i="3"/>
  <c r="P940" i="3"/>
  <c r="O940" i="3"/>
  <c r="L940" i="3"/>
  <c r="E940" i="3"/>
  <c r="V939" i="3"/>
  <c r="U939" i="3"/>
  <c r="T939" i="3"/>
  <c r="S939" i="3"/>
  <c r="P939" i="3"/>
  <c r="O939" i="3"/>
  <c r="L939" i="3"/>
  <c r="E939" i="3"/>
  <c r="V938" i="3"/>
  <c r="U938" i="3"/>
  <c r="T938" i="3"/>
  <c r="S938" i="3"/>
  <c r="P938" i="3"/>
  <c r="O938" i="3"/>
  <c r="L938" i="3"/>
  <c r="E938" i="3"/>
  <c r="V937" i="3"/>
  <c r="U937" i="3"/>
  <c r="T937" i="3"/>
  <c r="S937" i="3"/>
  <c r="P937" i="3"/>
  <c r="O937" i="3"/>
  <c r="L937" i="3"/>
  <c r="E937" i="3"/>
  <c r="V936" i="3"/>
  <c r="U936" i="3"/>
  <c r="T936" i="3"/>
  <c r="S936" i="3"/>
  <c r="P936" i="3"/>
  <c r="O936" i="3"/>
  <c r="L936" i="3"/>
  <c r="E936" i="3"/>
  <c r="V935" i="3"/>
  <c r="U935" i="3"/>
  <c r="T935" i="3"/>
  <c r="S935" i="3"/>
  <c r="P935" i="3"/>
  <c r="O935" i="3"/>
  <c r="L935" i="3"/>
  <c r="E935" i="3"/>
  <c r="V934" i="3"/>
  <c r="U934" i="3"/>
  <c r="T934" i="3"/>
  <c r="S934" i="3"/>
  <c r="P934" i="3"/>
  <c r="O934" i="3"/>
  <c r="L934" i="3"/>
  <c r="E934" i="3"/>
  <c r="V933" i="3"/>
  <c r="U933" i="3"/>
  <c r="T933" i="3"/>
  <c r="S933" i="3"/>
  <c r="P933" i="3"/>
  <c r="O933" i="3"/>
  <c r="L933" i="3"/>
  <c r="E933" i="3"/>
  <c r="V932" i="3"/>
  <c r="U932" i="3"/>
  <c r="T932" i="3"/>
  <c r="S932" i="3"/>
  <c r="P932" i="3"/>
  <c r="O932" i="3"/>
  <c r="L932" i="3"/>
  <c r="E932" i="3"/>
  <c r="V931" i="3"/>
  <c r="U931" i="3"/>
  <c r="T931" i="3"/>
  <c r="S931" i="3"/>
  <c r="P931" i="3"/>
  <c r="O931" i="3"/>
  <c r="L931" i="3"/>
  <c r="E931" i="3"/>
  <c r="V930" i="3"/>
  <c r="U930" i="3"/>
  <c r="T930" i="3"/>
  <c r="S930" i="3"/>
  <c r="P930" i="3"/>
  <c r="O930" i="3"/>
  <c r="L930" i="3"/>
  <c r="E930" i="3"/>
  <c r="V929" i="3"/>
  <c r="U929" i="3"/>
  <c r="T929" i="3"/>
  <c r="S929" i="3"/>
  <c r="P929" i="3"/>
  <c r="O929" i="3"/>
  <c r="L929" i="3"/>
  <c r="E929" i="3"/>
  <c r="V928" i="3"/>
  <c r="U928" i="3"/>
  <c r="T928" i="3"/>
  <c r="S928" i="3"/>
  <c r="P928" i="3"/>
  <c r="O928" i="3"/>
  <c r="L928" i="3"/>
  <c r="E928" i="3"/>
  <c r="V927" i="3"/>
  <c r="U927" i="3"/>
  <c r="T927" i="3"/>
  <c r="S927" i="3"/>
  <c r="P927" i="3"/>
  <c r="O927" i="3"/>
  <c r="L927" i="3"/>
  <c r="E927" i="3"/>
  <c r="V926" i="3"/>
  <c r="U926" i="3"/>
  <c r="T926" i="3"/>
  <c r="S926" i="3"/>
  <c r="P926" i="3"/>
  <c r="O926" i="3"/>
  <c r="L926" i="3"/>
  <c r="E926" i="3"/>
  <c r="V925" i="3"/>
  <c r="U925" i="3"/>
  <c r="T925" i="3"/>
  <c r="S925" i="3"/>
  <c r="P925" i="3"/>
  <c r="O925" i="3"/>
  <c r="L925" i="3"/>
  <c r="E925" i="3"/>
  <c r="V924" i="3"/>
  <c r="U924" i="3"/>
  <c r="T924" i="3"/>
  <c r="S924" i="3"/>
  <c r="P924" i="3"/>
  <c r="O924" i="3"/>
  <c r="L924" i="3"/>
  <c r="E924" i="3"/>
  <c r="V923" i="3"/>
  <c r="U923" i="3"/>
  <c r="T923" i="3"/>
  <c r="S923" i="3"/>
  <c r="P923" i="3"/>
  <c r="O923" i="3"/>
  <c r="L923" i="3"/>
  <c r="E923" i="3"/>
  <c r="V922" i="3"/>
  <c r="U922" i="3"/>
  <c r="T922" i="3"/>
  <c r="S922" i="3"/>
  <c r="P922" i="3"/>
  <c r="O922" i="3"/>
  <c r="L922" i="3"/>
  <c r="E922" i="3"/>
  <c r="V921" i="3"/>
  <c r="U921" i="3"/>
  <c r="T921" i="3"/>
  <c r="S921" i="3"/>
  <c r="P921" i="3"/>
  <c r="O921" i="3"/>
  <c r="L921" i="3"/>
  <c r="E921" i="3"/>
  <c r="V920" i="3"/>
  <c r="U920" i="3"/>
  <c r="T920" i="3"/>
  <c r="S920" i="3"/>
  <c r="P920" i="3"/>
  <c r="O920" i="3"/>
  <c r="L920" i="3"/>
  <c r="E920" i="3"/>
  <c r="V919" i="3"/>
  <c r="U919" i="3"/>
  <c r="T919" i="3"/>
  <c r="S919" i="3"/>
  <c r="P919" i="3"/>
  <c r="O919" i="3"/>
  <c r="L919" i="3"/>
  <c r="E919" i="3"/>
  <c r="V918" i="3"/>
  <c r="U918" i="3"/>
  <c r="T918" i="3"/>
  <c r="S918" i="3"/>
  <c r="P918" i="3"/>
  <c r="O918" i="3"/>
  <c r="L918" i="3"/>
  <c r="E918" i="3"/>
  <c r="V917" i="3"/>
  <c r="U917" i="3"/>
  <c r="T917" i="3"/>
  <c r="S917" i="3"/>
  <c r="P917" i="3"/>
  <c r="O917" i="3"/>
  <c r="L917" i="3"/>
  <c r="E917" i="3"/>
  <c r="V916" i="3"/>
  <c r="U916" i="3"/>
  <c r="T916" i="3"/>
  <c r="S916" i="3"/>
  <c r="P916" i="3"/>
  <c r="O916" i="3"/>
  <c r="L916" i="3"/>
  <c r="E916" i="3"/>
  <c r="V915" i="3"/>
  <c r="U915" i="3"/>
  <c r="T915" i="3"/>
  <c r="S915" i="3"/>
  <c r="P915" i="3"/>
  <c r="O915" i="3"/>
  <c r="L915" i="3"/>
  <c r="E915" i="3"/>
  <c r="V914" i="3"/>
  <c r="U914" i="3"/>
  <c r="T914" i="3"/>
  <c r="S914" i="3"/>
  <c r="P914" i="3"/>
  <c r="O914" i="3"/>
  <c r="L914" i="3"/>
  <c r="E914" i="3"/>
  <c r="V913" i="3"/>
  <c r="U913" i="3"/>
  <c r="T913" i="3"/>
  <c r="S913" i="3"/>
  <c r="P913" i="3"/>
  <c r="O913" i="3"/>
  <c r="L913" i="3"/>
  <c r="E913" i="3"/>
  <c r="V912" i="3"/>
  <c r="U912" i="3"/>
  <c r="T912" i="3"/>
  <c r="S912" i="3"/>
  <c r="P912" i="3"/>
  <c r="O912" i="3"/>
  <c r="L912" i="3"/>
  <c r="E912" i="3"/>
  <c r="V911" i="3"/>
  <c r="U911" i="3"/>
  <c r="T911" i="3"/>
  <c r="S911" i="3"/>
  <c r="P911" i="3"/>
  <c r="O911" i="3"/>
  <c r="L911" i="3"/>
  <c r="E911" i="3"/>
  <c r="V910" i="3"/>
  <c r="U910" i="3"/>
  <c r="T910" i="3"/>
  <c r="S910" i="3"/>
  <c r="P910" i="3"/>
  <c r="O910" i="3"/>
  <c r="L910" i="3"/>
  <c r="E910" i="3"/>
  <c r="V909" i="3"/>
  <c r="U909" i="3"/>
  <c r="T909" i="3"/>
  <c r="S909" i="3"/>
  <c r="P909" i="3"/>
  <c r="O909" i="3"/>
  <c r="L909" i="3"/>
  <c r="E909" i="3"/>
  <c r="V908" i="3"/>
  <c r="U908" i="3"/>
  <c r="T908" i="3"/>
  <c r="S908" i="3"/>
  <c r="P908" i="3"/>
  <c r="O908" i="3"/>
  <c r="L908" i="3"/>
  <c r="E908" i="3"/>
  <c r="V907" i="3"/>
  <c r="U907" i="3"/>
  <c r="T907" i="3"/>
  <c r="S907" i="3"/>
  <c r="P907" i="3"/>
  <c r="O907" i="3"/>
  <c r="L907" i="3"/>
  <c r="E907" i="3"/>
  <c r="V906" i="3"/>
  <c r="U906" i="3"/>
  <c r="T906" i="3"/>
  <c r="S906" i="3"/>
  <c r="P906" i="3"/>
  <c r="O906" i="3"/>
  <c r="L906" i="3"/>
  <c r="E906" i="3"/>
  <c r="V905" i="3"/>
  <c r="U905" i="3"/>
  <c r="T905" i="3"/>
  <c r="S905" i="3"/>
  <c r="P905" i="3"/>
  <c r="O905" i="3"/>
  <c r="L905" i="3"/>
  <c r="E905" i="3"/>
  <c r="V904" i="3"/>
  <c r="U904" i="3"/>
  <c r="T904" i="3"/>
  <c r="S904" i="3"/>
  <c r="P904" i="3"/>
  <c r="O904" i="3"/>
  <c r="L904" i="3"/>
  <c r="E904" i="3"/>
  <c r="V903" i="3"/>
  <c r="U903" i="3"/>
  <c r="T903" i="3"/>
  <c r="S903" i="3"/>
  <c r="P903" i="3"/>
  <c r="O903" i="3"/>
  <c r="L903" i="3"/>
  <c r="E903" i="3"/>
  <c r="V902" i="3"/>
  <c r="U902" i="3"/>
  <c r="T902" i="3"/>
  <c r="S902" i="3"/>
  <c r="P902" i="3"/>
  <c r="O902" i="3"/>
  <c r="L902" i="3"/>
  <c r="E902" i="3"/>
  <c r="V901" i="3"/>
  <c r="U901" i="3"/>
  <c r="T901" i="3"/>
  <c r="S901" i="3"/>
  <c r="P901" i="3"/>
  <c r="O901" i="3"/>
  <c r="L901" i="3"/>
  <c r="E901" i="3"/>
  <c r="V900" i="3"/>
  <c r="U900" i="3"/>
  <c r="T900" i="3"/>
  <c r="S900" i="3"/>
  <c r="P900" i="3"/>
  <c r="O900" i="3"/>
  <c r="L900" i="3"/>
  <c r="E900" i="3"/>
  <c r="V899" i="3"/>
  <c r="U899" i="3"/>
  <c r="T899" i="3"/>
  <c r="S899" i="3"/>
  <c r="P899" i="3"/>
  <c r="O899" i="3"/>
  <c r="L899" i="3"/>
  <c r="E899" i="3"/>
  <c r="V898" i="3"/>
  <c r="U898" i="3"/>
  <c r="T898" i="3"/>
  <c r="S898" i="3"/>
  <c r="P898" i="3"/>
  <c r="O898" i="3"/>
  <c r="L898" i="3"/>
  <c r="E898" i="3"/>
  <c r="V897" i="3"/>
  <c r="U897" i="3"/>
  <c r="T897" i="3"/>
  <c r="S897" i="3"/>
  <c r="P897" i="3"/>
  <c r="O897" i="3"/>
  <c r="L897" i="3"/>
  <c r="E897" i="3"/>
  <c r="V896" i="3"/>
  <c r="U896" i="3"/>
  <c r="T896" i="3"/>
  <c r="S896" i="3"/>
  <c r="P896" i="3"/>
  <c r="O896" i="3"/>
  <c r="L896" i="3"/>
  <c r="E896" i="3"/>
  <c r="V895" i="3"/>
  <c r="U895" i="3"/>
  <c r="T895" i="3"/>
  <c r="S895" i="3"/>
  <c r="P895" i="3"/>
  <c r="O895" i="3"/>
  <c r="L895" i="3"/>
  <c r="E895" i="3"/>
  <c r="V894" i="3"/>
  <c r="U894" i="3"/>
  <c r="T894" i="3"/>
  <c r="S894" i="3"/>
  <c r="P894" i="3"/>
  <c r="O894" i="3"/>
  <c r="L894" i="3"/>
  <c r="E894" i="3"/>
  <c r="V893" i="3"/>
  <c r="U893" i="3"/>
  <c r="T893" i="3"/>
  <c r="S893" i="3"/>
  <c r="P893" i="3"/>
  <c r="O893" i="3"/>
  <c r="L893" i="3"/>
  <c r="E893" i="3"/>
  <c r="V892" i="3"/>
  <c r="U892" i="3"/>
  <c r="T892" i="3"/>
  <c r="S892" i="3"/>
  <c r="P892" i="3"/>
  <c r="O892" i="3"/>
  <c r="L892" i="3"/>
  <c r="E892" i="3"/>
  <c r="V891" i="3"/>
  <c r="U891" i="3"/>
  <c r="T891" i="3"/>
  <c r="S891" i="3"/>
  <c r="P891" i="3"/>
  <c r="O891" i="3"/>
  <c r="L891" i="3"/>
  <c r="E891" i="3"/>
  <c r="V890" i="3"/>
  <c r="U890" i="3"/>
  <c r="T890" i="3"/>
  <c r="S890" i="3"/>
  <c r="P890" i="3"/>
  <c r="O890" i="3"/>
  <c r="L890" i="3"/>
  <c r="E890" i="3"/>
  <c r="V889" i="3"/>
  <c r="U889" i="3"/>
  <c r="T889" i="3"/>
  <c r="S889" i="3"/>
  <c r="P889" i="3"/>
  <c r="O889" i="3"/>
  <c r="L889" i="3"/>
  <c r="E889" i="3"/>
  <c r="V888" i="3"/>
  <c r="U888" i="3"/>
  <c r="T888" i="3"/>
  <c r="S888" i="3"/>
  <c r="P888" i="3"/>
  <c r="O888" i="3"/>
  <c r="L888" i="3"/>
  <c r="E888" i="3"/>
  <c r="V887" i="3"/>
  <c r="U887" i="3"/>
  <c r="T887" i="3"/>
  <c r="S887" i="3"/>
  <c r="P887" i="3"/>
  <c r="O887" i="3"/>
  <c r="L887" i="3"/>
  <c r="E887" i="3"/>
  <c r="V886" i="3"/>
  <c r="U886" i="3"/>
  <c r="T886" i="3"/>
  <c r="S886" i="3"/>
  <c r="P886" i="3"/>
  <c r="O886" i="3"/>
  <c r="L886" i="3"/>
  <c r="E886" i="3"/>
  <c r="V885" i="3"/>
  <c r="U885" i="3"/>
  <c r="T885" i="3"/>
  <c r="S885" i="3"/>
  <c r="P885" i="3"/>
  <c r="O885" i="3"/>
  <c r="L885" i="3"/>
  <c r="E885" i="3"/>
  <c r="V884" i="3"/>
  <c r="U884" i="3"/>
  <c r="T884" i="3"/>
  <c r="S884" i="3"/>
  <c r="P884" i="3"/>
  <c r="O884" i="3"/>
  <c r="L884" i="3"/>
  <c r="E884" i="3"/>
  <c r="V883" i="3"/>
  <c r="U883" i="3"/>
  <c r="T883" i="3"/>
  <c r="S883" i="3"/>
  <c r="P883" i="3"/>
  <c r="O883" i="3"/>
  <c r="L883" i="3"/>
  <c r="E883" i="3"/>
  <c r="V882" i="3"/>
  <c r="U882" i="3"/>
  <c r="T882" i="3"/>
  <c r="S882" i="3"/>
  <c r="P882" i="3"/>
  <c r="O882" i="3"/>
  <c r="L882" i="3"/>
  <c r="E882" i="3"/>
  <c r="V881" i="3"/>
  <c r="U881" i="3"/>
  <c r="T881" i="3"/>
  <c r="S881" i="3"/>
  <c r="P881" i="3"/>
  <c r="O881" i="3"/>
  <c r="L881" i="3"/>
  <c r="E881" i="3"/>
  <c r="V880" i="3"/>
  <c r="U880" i="3"/>
  <c r="T880" i="3"/>
  <c r="S880" i="3"/>
  <c r="P880" i="3"/>
  <c r="O880" i="3"/>
  <c r="L880" i="3"/>
  <c r="E880" i="3"/>
  <c r="V879" i="3"/>
  <c r="U879" i="3"/>
  <c r="T879" i="3"/>
  <c r="S879" i="3"/>
  <c r="P879" i="3"/>
  <c r="O879" i="3"/>
  <c r="L879" i="3"/>
  <c r="E879" i="3"/>
  <c r="V878" i="3"/>
  <c r="U878" i="3"/>
  <c r="T878" i="3"/>
  <c r="S878" i="3"/>
  <c r="P878" i="3"/>
  <c r="O878" i="3"/>
  <c r="L878" i="3"/>
  <c r="E878" i="3"/>
  <c r="V877" i="3"/>
  <c r="U877" i="3"/>
  <c r="T877" i="3"/>
  <c r="S877" i="3"/>
  <c r="P877" i="3"/>
  <c r="O877" i="3"/>
  <c r="L877" i="3"/>
  <c r="E877" i="3"/>
  <c r="V876" i="3"/>
  <c r="U876" i="3"/>
  <c r="T876" i="3"/>
  <c r="S876" i="3"/>
  <c r="P876" i="3"/>
  <c r="O876" i="3"/>
  <c r="L876" i="3"/>
  <c r="E876" i="3"/>
  <c r="V875" i="3"/>
  <c r="U875" i="3"/>
  <c r="T875" i="3"/>
  <c r="S875" i="3"/>
  <c r="P875" i="3"/>
  <c r="O875" i="3"/>
  <c r="L875" i="3"/>
  <c r="E875" i="3"/>
  <c r="V874" i="3"/>
  <c r="U874" i="3"/>
  <c r="T874" i="3"/>
  <c r="S874" i="3"/>
  <c r="P874" i="3"/>
  <c r="O874" i="3"/>
  <c r="L874" i="3"/>
  <c r="E874" i="3"/>
  <c r="V873" i="3"/>
  <c r="U873" i="3"/>
  <c r="T873" i="3"/>
  <c r="S873" i="3"/>
  <c r="P873" i="3"/>
  <c r="O873" i="3"/>
  <c r="L873" i="3"/>
  <c r="E873" i="3"/>
  <c r="V872" i="3"/>
  <c r="U872" i="3"/>
  <c r="T872" i="3"/>
  <c r="S872" i="3"/>
  <c r="P872" i="3"/>
  <c r="O872" i="3"/>
  <c r="L872" i="3"/>
  <c r="E872" i="3"/>
  <c r="V871" i="3"/>
  <c r="U871" i="3"/>
  <c r="T871" i="3"/>
  <c r="S871" i="3"/>
  <c r="P871" i="3"/>
  <c r="O871" i="3"/>
  <c r="L871" i="3"/>
  <c r="E871" i="3"/>
  <c r="V870" i="3"/>
  <c r="U870" i="3"/>
  <c r="T870" i="3"/>
  <c r="S870" i="3"/>
  <c r="P870" i="3"/>
  <c r="O870" i="3"/>
  <c r="L870" i="3"/>
  <c r="E870" i="3"/>
  <c r="V869" i="3"/>
  <c r="U869" i="3"/>
  <c r="T869" i="3"/>
  <c r="S869" i="3"/>
  <c r="P869" i="3"/>
  <c r="O869" i="3"/>
  <c r="L869" i="3"/>
  <c r="E869" i="3"/>
  <c r="V868" i="3"/>
  <c r="U868" i="3"/>
  <c r="T868" i="3"/>
  <c r="S868" i="3"/>
  <c r="P868" i="3"/>
  <c r="O868" i="3"/>
  <c r="L868" i="3"/>
  <c r="E868" i="3"/>
  <c r="V867" i="3"/>
  <c r="U867" i="3"/>
  <c r="T867" i="3"/>
  <c r="S867" i="3"/>
  <c r="P867" i="3"/>
  <c r="O867" i="3"/>
  <c r="L867" i="3"/>
  <c r="E867" i="3"/>
  <c r="V866" i="3"/>
  <c r="U866" i="3"/>
  <c r="T866" i="3"/>
  <c r="S866" i="3"/>
  <c r="P866" i="3"/>
  <c r="O866" i="3"/>
  <c r="L866" i="3"/>
  <c r="E866" i="3"/>
  <c r="V865" i="3"/>
  <c r="U865" i="3"/>
  <c r="T865" i="3"/>
  <c r="S865" i="3"/>
  <c r="P865" i="3"/>
  <c r="O865" i="3"/>
  <c r="L865" i="3"/>
  <c r="E865" i="3"/>
  <c r="V864" i="3"/>
  <c r="U864" i="3"/>
  <c r="T864" i="3"/>
  <c r="S864" i="3"/>
  <c r="P864" i="3"/>
  <c r="O864" i="3"/>
  <c r="L864" i="3"/>
  <c r="E864" i="3"/>
  <c r="V863" i="3"/>
  <c r="U863" i="3"/>
  <c r="T863" i="3"/>
  <c r="S863" i="3"/>
  <c r="P863" i="3"/>
  <c r="O863" i="3"/>
  <c r="L863" i="3"/>
  <c r="E863" i="3"/>
  <c r="V862" i="3"/>
  <c r="U862" i="3"/>
  <c r="T862" i="3"/>
  <c r="S862" i="3"/>
  <c r="P862" i="3"/>
  <c r="O862" i="3"/>
  <c r="L862" i="3"/>
  <c r="E862" i="3"/>
  <c r="V861" i="3"/>
  <c r="U861" i="3"/>
  <c r="T861" i="3"/>
  <c r="S861" i="3"/>
  <c r="P861" i="3"/>
  <c r="O861" i="3"/>
  <c r="L861" i="3"/>
  <c r="E861" i="3"/>
  <c r="V860" i="3"/>
  <c r="U860" i="3"/>
  <c r="T860" i="3"/>
  <c r="S860" i="3"/>
  <c r="P860" i="3"/>
  <c r="O860" i="3"/>
  <c r="L860" i="3"/>
  <c r="E860" i="3"/>
  <c r="V859" i="3"/>
  <c r="U859" i="3"/>
  <c r="T859" i="3"/>
  <c r="S859" i="3"/>
  <c r="P859" i="3"/>
  <c r="O859" i="3"/>
  <c r="L859" i="3"/>
  <c r="E859" i="3"/>
  <c r="V858" i="3"/>
  <c r="U858" i="3"/>
  <c r="T858" i="3"/>
  <c r="S858" i="3"/>
  <c r="P858" i="3"/>
  <c r="O858" i="3"/>
  <c r="L858" i="3"/>
  <c r="E858" i="3"/>
  <c r="V857" i="3"/>
  <c r="U857" i="3"/>
  <c r="T857" i="3"/>
  <c r="S857" i="3"/>
  <c r="P857" i="3"/>
  <c r="O857" i="3"/>
  <c r="L857" i="3"/>
  <c r="E857" i="3"/>
  <c r="V856" i="3"/>
  <c r="U856" i="3"/>
  <c r="T856" i="3"/>
  <c r="S856" i="3"/>
  <c r="P856" i="3"/>
  <c r="O856" i="3"/>
  <c r="L856" i="3"/>
  <c r="E856" i="3"/>
  <c r="V855" i="3"/>
  <c r="U855" i="3"/>
  <c r="T855" i="3"/>
  <c r="S855" i="3"/>
  <c r="P855" i="3"/>
  <c r="O855" i="3"/>
  <c r="L855" i="3"/>
  <c r="E855" i="3"/>
  <c r="V854" i="3"/>
  <c r="U854" i="3"/>
  <c r="T854" i="3"/>
  <c r="S854" i="3"/>
  <c r="P854" i="3"/>
  <c r="O854" i="3"/>
  <c r="L854" i="3"/>
  <c r="E854" i="3"/>
  <c r="V853" i="3"/>
  <c r="U853" i="3"/>
  <c r="T853" i="3"/>
  <c r="S853" i="3"/>
  <c r="P853" i="3"/>
  <c r="O853" i="3"/>
  <c r="L853" i="3"/>
  <c r="E853" i="3"/>
  <c r="V852" i="3"/>
  <c r="U852" i="3"/>
  <c r="T852" i="3"/>
  <c r="S852" i="3"/>
  <c r="P852" i="3"/>
  <c r="O852" i="3"/>
  <c r="L852" i="3"/>
  <c r="E852" i="3"/>
  <c r="V851" i="3"/>
  <c r="U851" i="3"/>
  <c r="T851" i="3"/>
  <c r="S851" i="3"/>
  <c r="P851" i="3"/>
  <c r="O851" i="3"/>
  <c r="L851" i="3"/>
  <c r="E851" i="3"/>
  <c r="V850" i="3"/>
  <c r="U850" i="3"/>
  <c r="T850" i="3"/>
  <c r="S850" i="3"/>
  <c r="P850" i="3"/>
  <c r="O850" i="3"/>
  <c r="L850" i="3"/>
  <c r="E850" i="3"/>
  <c r="V849" i="3"/>
  <c r="U849" i="3"/>
  <c r="T849" i="3"/>
  <c r="S849" i="3"/>
  <c r="P849" i="3"/>
  <c r="O849" i="3"/>
  <c r="L849" i="3"/>
  <c r="E849" i="3"/>
  <c r="V848" i="3"/>
  <c r="U848" i="3"/>
  <c r="T848" i="3"/>
  <c r="S848" i="3"/>
  <c r="P848" i="3"/>
  <c r="O848" i="3"/>
  <c r="L848" i="3"/>
  <c r="E848" i="3"/>
  <c r="V847" i="3"/>
  <c r="U847" i="3"/>
  <c r="T847" i="3"/>
  <c r="S847" i="3"/>
  <c r="P847" i="3"/>
  <c r="O847" i="3"/>
  <c r="L847" i="3"/>
  <c r="E847" i="3"/>
  <c r="V846" i="3"/>
  <c r="U846" i="3"/>
  <c r="T846" i="3"/>
  <c r="S846" i="3"/>
  <c r="P846" i="3"/>
  <c r="O846" i="3"/>
  <c r="L846" i="3"/>
  <c r="E846" i="3"/>
  <c r="V845" i="3"/>
  <c r="U845" i="3"/>
  <c r="T845" i="3"/>
  <c r="S845" i="3"/>
  <c r="P845" i="3"/>
  <c r="O845" i="3"/>
  <c r="L845" i="3"/>
  <c r="E845" i="3"/>
  <c r="V844" i="3"/>
  <c r="U844" i="3"/>
  <c r="T844" i="3"/>
  <c r="S844" i="3"/>
  <c r="P844" i="3"/>
  <c r="O844" i="3"/>
  <c r="L844" i="3"/>
  <c r="E844" i="3"/>
  <c r="V843" i="3"/>
  <c r="U843" i="3"/>
  <c r="T843" i="3"/>
  <c r="S843" i="3"/>
  <c r="P843" i="3"/>
  <c r="O843" i="3"/>
  <c r="L843" i="3"/>
  <c r="E843" i="3"/>
  <c r="V842" i="3"/>
  <c r="U842" i="3"/>
  <c r="T842" i="3"/>
  <c r="S842" i="3"/>
  <c r="P842" i="3"/>
  <c r="O842" i="3"/>
  <c r="L842" i="3"/>
  <c r="E842" i="3"/>
  <c r="V841" i="3"/>
  <c r="U841" i="3"/>
  <c r="T841" i="3"/>
  <c r="S841" i="3"/>
  <c r="P841" i="3"/>
  <c r="O841" i="3"/>
  <c r="L841" i="3"/>
  <c r="E841" i="3"/>
  <c r="V840" i="3"/>
  <c r="U840" i="3"/>
  <c r="T840" i="3"/>
  <c r="S840" i="3"/>
  <c r="P840" i="3"/>
  <c r="O840" i="3"/>
  <c r="L840" i="3"/>
  <c r="E840" i="3"/>
  <c r="V839" i="3"/>
  <c r="U839" i="3"/>
  <c r="T839" i="3"/>
  <c r="S839" i="3"/>
  <c r="P839" i="3"/>
  <c r="O839" i="3"/>
  <c r="L839" i="3"/>
  <c r="E839" i="3"/>
  <c r="V838" i="3"/>
  <c r="U838" i="3"/>
  <c r="T838" i="3"/>
  <c r="S838" i="3"/>
  <c r="P838" i="3"/>
  <c r="O838" i="3"/>
  <c r="L838" i="3"/>
  <c r="E838" i="3"/>
  <c r="V837" i="3"/>
  <c r="U837" i="3"/>
  <c r="T837" i="3"/>
  <c r="S837" i="3"/>
  <c r="P837" i="3"/>
  <c r="O837" i="3"/>
  <c r="L837" i="3"/>
  <c r="E837" i="3"/>
  <c r="V836" i="3"/>
  <c r="U836" i="3"/>
  <c r="T836" i="3"/>
  <c r="S836" i="3"/>
  <c r="P836" i="3"/>
  <c r="O836" i="3"/>
  <c r="L836" i="3"/>
  <c r="E836" i="3"/>
  <c r="V835" i="3"/>
  <c r="U835" i="3"/>
  <c r="T835" i="3"/>
  <c r="S835" i="3"/>
  <c r="P835" i="3"/>
  <c r="O835" i="3"/>
  <c r="L835" i="3"/>
  <c r="E835" i="3"/>
  <c r="V834" i="3"/>
  <c r="U834" i="3"/>
  <c r="T834" i="3"/>
  <c r="S834" i="3"/>
  <c r="P834" i="3"/>
  <c r="O834" i="3"/>
  <c r="L834" i="3"/>
  <c r="E834" i="3"/>
  <c r="V833" i="3"/>
  <c r="U833" i="3"/>
  <c r="T833" i="3"/>
  <c r="S833" i="3"/>
  <c r="P833" i="3"/>
  <c r="O833" i="3"/>
  <c r="L833" i="3"/>
  <c r="E833" i="3"/>
  <c r="V832" i="3"/>
  <c r="U832" i="3"/>
  <c r="T832" i="3"/>
  <c r="S832" i="3"/>
  <c r="P832" i="3"/>
  <c r="O832" i="3"/>
  <c r="L832" i="3"/>
  <c r="E832" i="3"/>
  <c r="V831" i="3"/>
  <c r="U831" i="3"/>
  <c r="T831" i="3"/>
  <c r="S831" i="3"/>
  <c r="P831" i="3"/>
  <c r="O831" i="3"/>
  <c r="L831" i="3"/>
  <c r="E831" i="3"/>
  <c r="V830" i="3"/>
  <c r="U830" i="3"/>
  <c r="T830" i="3"/>
  <c r="S830" i="3"/>
  <c r="P830" i="3"/>
  <c r="O830" i="3"/>
  <c r="L830" i="3"/>
  <c r="E830" i="3"/>
  <c r="V829" i="3"/>
  <c r="U829" i="3"/>
  <c r="T829" i="3"/>
  <c r="S829" i="3"/>
  <c r="P829" i="3"/>
  <c r="O829" i="3"/>
  <c r="L829" i="3"/>
  <c r="E829" i="3"/>
  <c r="V828" i="3"/>
  <c r="U828" i="3"/>
  <c r="T828" i="3"/>
  <c r="S828" i="3"/>
  <c r="P828" i="3"/>
  <c r="O828" i="3"/>
  <c r="L828" i="3"/>
  <c r="E828" i="3"/>
  <c r="V827" i="3"/>
  <c r="U827" i="3"/>
  <c r="T827" i="3"/>
  <c r="S827" i="3"/>
  <c r="P827" i="3"/>
  <c r="O827" i="3"/>
  <c r="L827" i="3"/>
  <c r="E827" i="3"/>
  <c r="V826" i="3"/>
  <c r="U826" i="3"/>
  <c r="T826" i="3"/>
  <c r="S826" i="3"/>
  <c r="P826" i="3"/>
  <c r="O826" i="3"/>
  <c r="L826" i="3"/>
  <c r="E826" i="3"/>
  <c r="V825" i="3"/>
  <c r="U825" i="3"/>
  <c r="T825" i="3"/>
  <c r="S825" i="3"/>
  <c r="P825" i="3"/>
  <c r="O825" i="3"/>
  <c r="L825" i="3"/>
  <c r="E825" i="3"/>
  <c r="V824" i="3"/>
  <c r="U824" i="3"/>
  <c r="T824" i="3"/>
  <c r="S824" i="3"/>
  <c r="P824" i="3"/>
  <c r="O824" i="3"/>
  <c r="L824" i="3"/>
  <c r="E824" i="3"/>
  <c r="V823" i="3"/>
  <c r="U823" i="3"/>
  <c r="T823" i="3"/>
  <c r="S823" i="3"/>
  <c r="P823" i="3"/>
  <c r="O823" i="3"/>
  <c r="L823" i="3"/>
  <c r="E823" i="3"/>
  <c r="V822" i="3"/>
  <c r="U822" i="3"/>
  <c r="T822" i="3"/>
  <c r="S822" i="3"/>
  <c r="P822" i="3"/>
  <c r="O822" i="3"/>
  <c r="L822" i="3"/>
  <c r="E822" i="3"/>
  <c r="V821" i="3"/>
  <c r="U821" i="3"/>
  <c r="T821" i="3"/>
  <c r="S821" i="3"/>
  <c r="P821" i="3"/>
  <c r="O821" i="3"/>
  <c r="L821" i="3"/>
  <c r="E821" i="3"/>
  <c r="V820" i="3"/>
  <c r="U820" i="3"/>
  <c r="T820" i="3"/>
  <c r="S820" i="3"/>
  <c r="P820" i="3"/>
  <c r="O820" i="3"/>
  <c r="L820" i="3"/>
  <c r="E820" i="3"/>
  <c r="V819" i="3"/>
  <c r="U819" i="3"/>
  <c r="T819" i="3"/>
  <c r="S819" i="3"/>
  <c r="P819" i="3"/>
  <c r="O819" i="3"/>
  <c r="L819" i="3"/>
  <c r="E819" i="3"/>
  <c r="V818" i="3"/>
  <c r="U818" i="3"/>
  <c r="T818" i="3"/>
  <c r="S818" i="3"/>
  <c r="P818" i="3"/>
  <c r="O818" i="3"/>
  <c r="L818" i="3"/>
  <c r="E818" i="3"/>
  <c r="V817" i="3"/>
  <c r="U817" i="3"/>
  <c r="T817" i="3"/>
  <c r="S817" i="3"/>
  <c r="P817" i="3"/>
  <c r="O817" i="3"/>
  <c r="L817" i="3"/>
  <c r="E817" i="3"/>
  <c r="V816" i="3"/>
  <c r="U816" i="3"/>
  <c r="T816" i="3"/>
  <c r="S816" i="3"/>
  <c r="P816" i="3"/>
  <c r="O816" i="3"/>
  <c r="L816" i="3"/>
  <c r="E816" i="3"/>
  <c r="V815" i="3"/>
  <c r="U815" i="3"/>
  <c r="T815" i="3"/>
  <c r="S815" i="3"/>
  <c r="P815" i="3"/>
  <c r="O815" i="3"/>
  <c r="L815" i="3"/>
  <c r="E815" i="3"/>
  <c r="V814" i="3"/>
  <c r="U814" i="3"/>
  <c r="T814" i="3"/>
  <c r="S814" i="3"/>
  <c r="P814" i="3"/>
  <c r="O814" i="3"/>
  <c r="L814" i="3"/>
  <c r="E814" i="3"/>
  <c r="V813" i="3"/>
  <c r="U813" i="3"/>
  <c r="T813" i="3"/>
  <c r="S813" i="3"/>
  <c r="P813" i="3"/>
  <c r="O813" i="3"/>
  <c r="L813" i="3"/>
  <c r="E813" i="3"/>
  <c r="V812" i="3"/>
  <c r="U812" i="3"/>
  <c r="T812" i="3"/>
  <c r="S812" i="3"/>
  <c r="P812" i="3"/>
  <c r="O812" i="3"/>
  <c r="L812" i="3"/>
  <c r="E812" i="3"/>
  <c r="V811" i="3"/>
  <c r="U811" i="3"/>
  <c r="T811" i="3"/>
  <c r="S811" i="3"/>
  <c r="P811" i="3"/>
  <c r="O811" i="3"/>
  <c r="L811" i="3"/>
  <c r="E811" i="3"/>
  <c r="V810" i="3"/>
  <c r="U810" i="3"/>
  <c r="T810" i="3"/>
  <c r="S810" i="3"/>
  <c r="P810" i="3"/>
  <c r="O810" i="3"/>
  <c r="L810" i="3"/>
  <c r="E810" i="3"/>
  <c r="V809" i="3"/>
  <c r="U809" i="3"/>
  <c r="T809" i="3"/>
  <c r="S809" i="3"/>
  <c r="P809" i="3"/>
  <c r="O809" i="3"/>
  <c r="L809" i="3"/>
  <c r="E809" i="3"/>
  <c r="V808" i="3"/>
  <c r="U808" i="3"/>
  <c r="T808" i="3"/>
  <c r="S808" i="3"/>
  <c r="P808" i="3"/>
  <c r="O808" i="3"/>
  <c r="L808" i="3"/>
  <c r="E808" i="3"/>
  <c r="V807" i="3"/>
  <c r="U807" i="3"/>
  <c r="T807" i="3"/>
  <c r="S807" i="3"/>
  <c r="P807" i="3"/>
  <c r="O807" i="3"/>
  <c r="L807" i="3"/>
  <c r="E807" i="3"/>
  <c r="V806" i="3"/>
  <c r="U806" i="3"/>
  <c r="T806" i="3"/>
  <c r="S806" i="3"/>
  <c r="P806" i="3"/>
  <c r="O806" i="3"/>
  <c r="L806" i="3"/>
  <c r="E806" i="3"/>
  <c r="V805" i="3"/>
  <c r="U805" i="3"/>
  <c r="T805" i="3"/>
  <c r="S805" i="3"/>
  <c r="P805" i="3"/>
  <c r="O805" i="3"/>
  <c r="L805" i="3"/>
  <c r="E805" i="3"/>
  <c r="V804" i="3"/>
  <c r="U804" i="3"/>
  <c r="T804" i="3"/>
  <c r="S804" i="3"/>
  <c r="P804" i="3"/>
  <c r="O804" i="3"/>
  <c r="L804" i="3"/>
  <c r="E804" i="3"/>
  <c r="V803" i="3"/>
  <c r="U803" i="3"/>
  <c r="T803" i="3"/>
  <c r="S803" i="3"/>
  <c r="P803" i="3"/>
  <c r="O803" i="3"/>
  <c r="L803" i="3"/>
  <c r="E803" i="3"/>
  <c r="V802" i="3"/>
  <c r="U802" i="3"/>
  <c r="T802" i="3"/>
  <c r="S802" i="3"/>
  <c r="P802" i="3"/>
  <c r="O802" i="3"/>
  <c r="L802" i="3"/>
  <c r="E802" i="3"/>
  <c r="V801" i="3"/>
  <c r="U801" i="3"/>
  <c r="T801" i="3"/>
  <c r="S801" i="3"/>
  <c r="P801" i="3"/>
  <c r="O801" i="3"/>
  <c r="L801" i="3"/>
  <c r="E801" i="3"/>
  <c r="V800" i="3"/>
  <c r="U800" i="3"/>
  <c r="T800" i="3"/>
  <c r="S800" i="3"/>
  <c r="P800" i="3"/>
  <c r="O800" i="3"/>
  <c r="L800" i="3"/>
  <c r="E800" i="3"/>
  <c r="V799" i="3"/>
  <c r="U799" i="3"/>
  <c r="T799" i="3"/>
  <c r="S799" i="3"/>
  <c r="P799" i="3"/>
  <c r="O799" i="3"/>
  <c r="L799" i="3"/>
  <c r="E799" i="3"/>
  <c r="V798" i="3"/>
  <c r="U798" i="3"/>
  <c r="T798" i="3"/>
  <c r="S798" i="3"/>
  <c r="P798" i="3"/>
  <c r="O798" i="3"/>
  <c r="L798" i="3"/>
  <c r="E798" i="3"/>
  <c r="V797" i="3"/>
  <c r="U797" i="3"/>
  <c r="T797" i="3"/>
  <c r="S797" i="3"/>
  <c r="P797" i="3"/>
  <c r="O797" i="3"/>
  <c r="L797" i="3"/>
  <c r="E797" i="3"/>
  <c r="V796" i="3"/>
  <c r="U796" i="3"/>
  <c r="T796" i="3"/>
  <c r="S796" i="3"/>
  <c r="P796" i="3"/>
  <c r="O796" i="3"/>
  <c r="L796" i="3"/>
  <c r="E796" i="3"/>
  <c r="V795" i="3"/>
  <c r="U795" i="3"/>
  <c r="T795" i="3"/>
  <c r="S795" i="3"/>
  <c r="P795" i="3"/>
  <c r="O795" i="3"/>
  <c r="L795" i="3"/>
  <c r="E795" i="3"/>
  <c r="V794" i="3"/>
  <c r="U794" i="3"/>
  <c r="T794" i="3"/>
  <c r="S794" i="3"/>
  <c r="P794" i="3"/>
  <c r="O794" i="3"/>
  <c r="L794" i="3"/>
  <c r="E794" i="3"/>
  <c r="V793" i="3"/>
  <c r="U793" i="3"/>
  <c r="T793" i="3"/>
  <c r="S793" i="3"/>
  <c r="P793" i="3"/>
  <c r="O793" i="3"/>
  <c r="L793" i="3"/>
  <c r="E793" i="3"/>
  <c r="V792" i="3"/>
  <c r="U792" i="3"/>
  <c r="T792" i="3"/>
  <c r="S792" i="3"/>
  <c r="P792" i="3"/>
  <c r="O792" i="3"/>
  <c r="L792" i="3"/>
  <c r="E792" i="3"/>
  <c r="V791" i="3"/>
  <c r="U791" i="3"/>
  <c r="T791" i="3"/>
  <c r="S791" i="3"/>
  <c r="P791" i="3"/>
  <c r="O791" i="3"/>
  <c r="L791" i="3"/>
  <c r="E791" i="3"/>
  <c r="V790" i="3"/>
  <c r="U790" i="3"/>
  <c r="T790" i="3"/>
  <c r="S790" i="3"/>
  <c r="P790" i="3"/>
  <c r="O790" i="3"/>
  <c r="L790" i="3"/>
  <c r="E790" i="3"/>
  <c r="V789" i="3"/>
  <c r="U789" i="3"/>
  <c r="T789" i="3"/>
  <c r="S789" i="3"/>
  <c r="P789" i="3"/>
  <c r="O789" i="3"/>
  <c r="L789" i="3"/>
  <c r="E789" i="3"/>
  <c r="V788" i="3"/>
  <c r="U788" i="3"/>
  <c r="T788" i="3"/>
  <c r="S788" i="3"/>
  <c r="P788" i="3"/>
  <c r="O788" i="3"/>
  <c r="L788" i="3"/>
  <c r="E788" i="3"/>
  <c r="V787" i="3"/>
  <c r="U787" i="3"/>
  <c r="T787" i="3"/>
  <c r="S787" i="3"/>
  <c r="P787" i="3"/>
  <c r="O787" i="3"/>
  <c r="L787" i="3"/>
  <c r="E787" i="3"/>
  <c r="V786" i="3"/>
  <c r="U786" i="3"/>
  <c r="T786" i="3"/>
  <c r="S786" i="3"/>
  <c r="P786" i="3"/>
  <c r="O786" i="3"/>
  <c r="L786" i="3"/>
  <c r="E786" i="3"/>
  <c r="V785" i="3"/>
  <c r="U785" i="3"/>
  <c r="T785" i="3"/>
  <c r="S785" i="3"/>
  <c r="P785" i="3"/>
  <c r="O785" i="3"/>
  <c r="L785" i="3"/>
  <c r="E785" i="3"/>
  <c r="V784" i="3"/>
  <c r="U784" i="3"/>
  <c r="T784" i="3"/>
  <c r="S784" i="3"/>
  <c r="P784" i="3"/>
  <c r="O784" i="3"/>
  <c r="L784" i="3"/>
  <c r="E784" i="3"/>
  <c r="V783" i="3"/>
  <c r="U783" i="3"/>
  <c r="T783" i="3"/>
  <c r="S783" i="3"/>
  <c r="P783" i="3"/>
  <c r="O783" i="3"/>
  <c r="L783" i="3"/>
  <c r="E783" i="3"/>
  <c r="V782" i="3"/>
  <c r="U782" i="3"/>
  <c r="T782" i="3"/>
  <c r="S782" i="3"/>
  <c r="P782" i="3"/>
  <c r="O782" i="3"/>
  <c r="L782" i="3"/>
  <c r="E782" i="3"/>
  <c r="V781" i="3"/>
  <c r="U781" i="3"/>
  <c r="T781" i="3"/>
  <c r="S781" i="3"/>
  <c r="P781" i="3"/>
  <c r="O781" i="3"/>
  <c r="L781" i="3"/>
  <c r="E781" i="3"/>
  <c r="V780" i="3"/>
  <c r="U780" i="3"/>
  <c r="T780" i="3"/>
  <c r="S780" i="3"/>
  <c r="P780" i="3"/>
  <c r="O780" i="3"/>
  <c r="L780" i="3"/>
  <c r="E780" i="3"/>
  <c r="V779" i="3"/>
  <c r="U779" i="3"/>
  <c r="T779" i="3"/>
  <c r="S779" i="3"/>
  <c r="P779" i="3"/>
  <c r="O779" i="3"/>
  <c r="L779" i="3"/>
  <c r="E779" i="3"/>
  <c r="V778" i="3"/>
  <c r="U778" i="3"/>
  <c r="T778" i="3"/>
  <c r="S778" i="3"/>
  <c r="P778" i="3"/>
  <c r="O778" i="3"/>
  <c r="L778" i="3"/>
  <c r="E778" i="3"/>
  <c r="V777" i="3"/>
  <c r="U777" i="3"/>
  <c r="T777" i="3"/>
  <c r="S777" i="3"/>
  <c r="P777" i="3"/>
  <c r="O777" i="3"/>
  <c r="L777" i="3"/>
  <c r="E777" i="3"/>
  <c r="V776" i="3"/>
  <c r="U776" i="3"/>
  <c r="T776" i="3"/>
  <c r="S776" i="3"/>
  <c r="P776" i="3"/>
  <c r="O776" i="3"/>
  <c r="L776" i="3"/>
  <c r="E776" i="3"/>
  <c r="V775" i="3"/>
  <c r="U775" i="3"/>
  <c r="T775" i="3"/>
  <c r="S775" i="3"/>
  <c r="P775" i="3"/>
  <c r="O775" i="3"/>
  <c r="L775" i="3"/>
  <c r="E775" i="3"/>
  <c r="V774" i="3"/>
  <c r="U774" i="3"/>
  <c r="T774" i="3"/>
  <c r="S774" i="3"/>
  <c r="P774" i="3"/>
  <c r="O774" i="3"/>
  <c r="L774" i="3"/>
  <c r="E774" i="3"/>
  <c r="V773" i="3"/>
  <c r="U773" i="3"/>
  <c r="T773" i="3"/>
  <c r="S773" i="3"/>
  <c r="P773" i="3"/>
  <c r="O773" i="3"/>
  <c r="L773" i="3"/>
  <c r="E773" i="3"/>
  <c r="V772" i="3"/>
  <c r="U772" i="3"/>
  <c r="T772" i="3"/>
  <c r="S772" i="3"/>
  <c r="P772" i="3"/>
  <c r="O772" i="3"/>
  <c r="L772" i="3"/>
  <c r="E772" i="3"/>
  <c r="V771" i="3"/>
  <c r="U771" i="3"/>
  <c r="T771" i="3"/>
  <c r="S771" i="3"/>
  <c r="P771" i="3"/>
  <c r="O771" i="3"/>
  <c r="L771" i="3"/>
  <c r="E771" i="3"/>
  <c r="V770" i="3"/>
  <c r="U770" i="3"/>
  <c r="T770" i="3"/>
  <c r="S770" i="3"/>
  <c r="P770" i="3"/>
  <c r="O770" i="3"/>
  <c r="L770" i="3"/>
  <c r="E770" i="3"/>
  <c r="V769" i="3"/>
  <c r="U769" i="3"/>
  <c r="T769" i="3"/>
  <c r="S769" i="3"/>
  <c r="P769" i="3"/>
  <c r="O769" i="3"/>
  <c r="L769" i="3"/>
  <c r="E769" i="3"/>
  <c r="V768" i="3"/>
  <c r="U768" i="3"/>
  <c r="T768" i="3"/>
  <c r="S768" i="3"/>
  <c r="P768" i="3"/>
  <c r="O768" i="3"/>
  <c r="L768" i="3"/>
  <c r="E768" i="3"/>
  <c r="V767" i="3"/>
  <c r="U767" i="3"/>
  <c r="T767" i="3"/>
  <c r="S767" i="3"/>
  <c r="P767" i="3"/>
  <c r="O767" i="3"/>
  <c r="L767" i="3"/>
  <c r="E767" i="3"/>
  <c r="V766" i="3"/>
  <c r="U766" i="3"/>
  <c r="T766" i="3"/>
  <c r="S766" i="3"/>
  <c r="P766" i="3"/>
  <c r="O766" i="3"/>
  <c r="L766" i="3"/>
  <c r="E766" i="3"/>
  <c r="V765" i="3"/>
  <c r="U765" i="3"/>
  <c r="T765" i="3"/>
  <c r="S765" i="3"/>
  <c r="P765" i="3"/>
  <c r="O765" i="3"/>
  <c r="L765" i="3"/>
  <c r="E765" i="3"/>
  <c r="V764" i="3"/>
  <c r="U764" i="3"/>
  <c r="T764" i="3"/>
  <c r="S764" i="3"/>
  <c r="P764" i="3"/>
  <c r="O764" i="3"/>
  <c r="L764" i="3"/>
  <c r="E764" i="3"/>
  <c r="V763" i="3"/>
  <c r="U763" i="3"/>
  <c r="T763" i="3"/>
  <c r="S763" i="3"/>
  <c r="P763" i="3"/>
  <c r="O763" i="3"/>
  <c r="L763" i="3"/>
  <c r="E763" i="3"/>
  <c r="V762" i="3"/>
  <c r="U762" i="3"/>
  <c r="T762" i="3"/>
  <c r="S762" i="3"/>
  <c r="P762" i="3"/>
  <c r="O762" i="3"/>
  <c r="L762" i="3"/>
  <c r="E762" i="3"/>
  <c r="V761" i="3"/>
  <c r="U761" i="3"/>
  <c r="T761" i="3"/>
  <c r="S761" i="3"/>
  <c r="P761" i="3"/>
  <c r="O761" i="3"/>
  <c r="L761" i="3"/>
  <c r="E761" i="3"/>
  <c r="V760" i="3"/>
  <c r="U760" i="3"/>
  <c r="T760" i="3"/>
  <c r="S760" i="3"/>
  <c r="P760" i="3"/>
  <c r="O760" i="3"/>
  <c r="L760" i="3"/>
  <c r="E760" i="3"/>
  <c r="V759" i="3"/>
  <c r="U759" i="3"/>
  <c r="T759" i="3"/>
  <c r="S759" i="3"/>
  <c r="P759" i="3"/>
  <c r="O759" i="3"/>
  <c r="L759" i="3"/>
  <c r="E759" i="3"/>
  <c r="V758" i="3"/>
  <c r="U758" i="3"/>
  <c r="T758" i="3"/>
  <c r="S758" i="3"/>
  <c r="P758" i="3"/>
  <c r="O758" i="3"/>
  <c r="L758" i="3"/>
  <c r="E758" i="3"/>
  <c r="V757" i="3"/>
  <c r="U757" i="3"/>
  <c r="T757" i="3"/>
  <c r="S757" i="3"/>
  <c r="P757" i="3"/>
  <c r="O757" i="3"/>
  <c r="L757" i="3"/>
  <c r="E757" i="3"/>
  <c r="V756" i="3"/>
  <c r="U756" i="3"/>
  <c r="T756" i="3"/>
  <c r="S756" i="3"/>
  <c r="P756" i="3"/>
  <c r="O756" i="3"/>
  <c r="L756" i="3"/>
  <c r="E756" i="3"/>
  <c r="V755" i="3"/>
  <c r="U755" i="3"/>
  <c r="T755" i="3"/>
  <c r="S755" i="3"/>
  <c r="P755" i="3"/>
  <c r="O755" i="3"/>
  <c r="L755" i="3"/>
  <c r="E755" i="3"/>
  <c r="V754" i="3"/>
  <c r="U754" i="3"/>
  <c r="T754" i="3"/>
  <c r="S754" i="3"/>
  <c r="P754" i="3"/>
  <c r="O754" i="3"/>
  <c r="L754" i="3"/>
  <c r="E754" i="3"/>
  <c r="V753" i="3"/>
  <c r="U753" i="3"/>
  <c r="T753" i="3"/>
  <c r="S753" i="3"/>
  <c r="P753" i="3"/>
  <c r="O753" i="3"/>
  <c r="L753" i="3"/>
  <c r="E753" i="3"/>
  <c r="V752" i="3"/>
  <c r="U752" i="3"/>
  <c r="T752" i="3"/>
  <c r="S752" i="3"/>
  <c r="P752" i="3"/>
  <c r="O752" i="3"/>
  <c r="L752" i="3"/>
  <c r="E752" i="3"/>
  <c r="V751" i="3"/>
  <c r="U751" i="3"/>
  <c r="T751" i="3"/>
  <c r="S751" i="3"/>
  <c r="P751" i="3"/>
  <c r="O751" i="3"/>
  <c r="L751" i="3"/>
  <c r="E751" i="3"/>
  <c r="V750" i="3"/>
  <c r="U750" i="3"/>
  <c r="T750" i="3"/>
  <c r="S750" i="3"/>
  <c r="P750" i="3"/>
  <c r="O750" i="3"/>
  <c r="L750" i="3"/>
  <c r="E750" i="3"/>
  <c r="V749" i="3"/>
  <c r="U749" i="3"/>
  <c r="T749" i="3"/>
  <c r="S749" i="3"/>
  <c r="P749" i="3"/>
  <c r="O749" i="3"/>
  <c r="L749" i="3"/>
  <c r="E749" i="3"/>
  <c r="V748" i="3"/>
  <c r="U748" i="3"/>
  <c r="T748" i="3"/>
  <c r="S748" i="3"/>
  <c r="P748" i="3"/>
  <c r="O748" i="3"/>
  <c r="L748" i="3"/>
  <c r="E748" i="3"/>
  <c r="V747" i="3"/>
  <c r="U747" i="3"/>
  <c r="T747" i="3"/>
  <c r="S747" i="3"/>
  <c r="P747" i="3"/>
  <c r="O747" i="3"/>
  <c r="L747" i="3"/>
  <c r="E747" i="3"/>
  <c r="V746" i="3"/>
  <c r="U746" i="3"/>
  <c r="T746" i="3"/>
  <c r="S746" i="3"/>
  <c r="P746" i="3"/>
  <c r="O746" i="3"/>
  <c r="L746" i="3"/>
  <c r="E746" i="3"/>
  <c r="V745" i="3"/>
  <c r="U745" i="3"/>
  <c r="T745" i="3"/>
  <c r="S745" i="3"/>
  <c r="P745" i="3"/>
  <c r="O745" i="3"/>
  <c r="L745" i="3"/>
  <c r="E745" i="3"/>
  <c r="V744" i="3"/>
  <c r="U744" i="3"/>
  <c r="T744" i="3"/>
  <c r="S744" i="3"/>
  <c r="P744" i="3"/>
  <c r="O744" i="3"/>
  <c r="L744" i="3"/>
  <c r="E744" i="3"/>
  <c r="V743" i="3"/>
  <c r="U743" i="3"/>
  <c r="T743" i="3"/>
  <c r="S743" i="3"/>
  <c r="P743" i="3"/>
  <c r="O743" i="3"/>
  <c r="L743" i="3"/>
  <c r="E743" i="3"/>
  <c r="V742" i="3"/>
  <c r="U742" i="3"/>
  <c r="T742" i="3"/>
  <c r="S742" i="3"/>
  <c r="P742" i="3"/>
  <c r="O742" i="3"/>
  <c r="L742" i="3"/>
  <c r="E742" i="3"/>
  <c r="V741" i="3"/>
  <c r="U741" i="3"/>
  <c r="T741" i="3"/>
  <c r="S741" i="3"/>
  <c r="P741" i="3"/>
  <c r="O741" i="3"/>
  <c r="L741" i="3"/>
  <c r="E741" i="3"/>
  <c r="V740" i="3"/>
  <c r="U740" i="3"/>
  <c r="T740" i="3"/>
  <c r="S740" i="3"/>
  <c r="P740" i="3"/>
  <c r="O740" i="3"/>
  <c r="L740" i="3"/>
  <c r="E740" i="3"/>
  <c r="V739" i="3"/>
  <c r="U739" i="3"/>
  <c r="T739" i="3"/>
  <c r="S739" i="3"/>
  <c r="P739" i="3"/>
  <c r="O739" i="3"/>
  <c r="L739" i="3"/>
  <c r="E739" i="3"/>
  <c r="V738" i="3"/>
  <c r="U738" i="3"/>
  <c r="T738" i="3"/>
  <c r="S738" i="3"/>
  <c r="P738" i="3"/>
  <c r="O738" i="3"/>
  <c r="L738" i="3"/>
  <c r="E738" i="3"/>
  <c r="V737" i="3"/>
  <c r="U737" i="3"/>
  <c r="T737" i="3"/>
  <c r="S737" i="3"/>
  <c r="P737" i="3"/>
  <c r="O737" i="3"/>
  <c r="L737" i="3"/>
  <c r="E737" i="3"/>
  <c r="V736" i="3"/>
  <c r="U736" i="3"/>
  <c r="T736" i="3"/>
  <c r="S736" i="3"/>
  <c r="P736" i="3"/>
  <c r="O736" i="3"/>
  <c r="L736" i="3"/>
  <c r="E736" i="3"/>
  <c r="V735" i="3"/>
  <c r="U735" i="3"/>
  <c r="T735" i="3"/>
  <c r="S735" i="3"/>
  <c r="P735" i="3"/>
  <c r="O735" i="3"/>
  <c r="L735" i="3"/>
  <c r="E735" i="3"/>
  <c r="V734" i="3"/>
  <c r="U734" i="3"/>
  <c r="T734" i="3"/>
  <c r="S734" i="3"/>
  <c r="P734" i="3"/>
  <c r="O734" i="3"/>
  <c r="L734" i="3"/>
  <c r="E734" i="3"/>
  <c r="V733" i="3"/>
  <c r="U733" i="3"/>
  <c r="T733" i="3"/>
  <c r="S733" i="3"/>
  <c r="P733" i="3"/>
  <c r="O733" i="3"/>
  <c r="L733" i="3"/>
  <c r="E733" i="3"/>
  <c r="V732" i="3"/>
  <c r="U732" i="3"/>
  <c r="T732" i="3"/>
  <c r="S732" i="3"/>
  <c r="P732" i="3"/>
  <c r="O732" i="3"/>
  <c r="L732" i="3"/>
  <c r="E732" i="3"/>
  <c r="V731" i="3"/>
  <c r="U731" i="3"/>
  <c r="T731" i="3"/>
  <c r="S731" i="3"/>
  <c r="P731" i="3"/>
  <c r="O731" i="3"/>
  <c r="L731" i="3"/>
  <c r="E731" i="3"/>
  <c r="V730" i="3"/>
  <c r="U730" i="3"/>
  <c r="T730" i="3"/>
  <c r="S730" i="3"/>
  <c r="P730" i="3"/>
  <c r="O730" i="3"/>
  <c r="L730" i="3"/>
  <c r="E730" i="3"/>
  <c r="V729" i="3"/>
  <c r="U729" i="3"/>
  <c r="T729" i="3"/>
  <c r="S729" i="3"/>
  <c r="P729" i="3"/>
  <c r="O729" i="3"/>
  <c r="L729" i="3"/>
  <c r="E729" i="3"/>
  <c r="V728" i="3"/>
  <c r="U728" i="3"/>
  <c r="T728" i="3"/>
  <c r="S728" i="3"/>
  <c r="P728" i="3"/>
  <c r="O728" i="3"/>
  <c r="L728" i="3"/>
  <c r="E728" i="3"/>
  <c r="V727" i="3"/>
  <c r="U727" i="3"/>
  <c r="T727" i="3"/>
  <c r="S727" i="3"/>
  <c r="P727" i="3"/>
  <c r="O727" i="3"/>
  <c r="L727" i="3"/>
  <c r="E727" i="3"/>
  <c r="V726" i="3"/>
  <c r="U726" i="3"/>
  <c r="T726" i="3"/>
  <c r="S726" i="3"/>
  <c r="P726" i="3"/>
  <c r="O726" i="3"/>
  <c r="L726" i="3"/>
  <c r="E726" i="3"/>
  <c r="V725" i="3"/>
  <c r="U725" i="3"/>
  <c r="T725" i="3"/>
  <c r="S725" i="3"/>
  <c r="P725" i="3"/>
  <c r="O725" i="3"/>
  <c r="L725" i="3"/>
  <c r="E725" i="3"/>
  <c r="V724" i="3"/>
  <c r="U724" i="3"/>
  <c r="T724" i="3"/>
  <c r="S724" i="3"/>
  <c r="P724" i="3"/>
  <c r="O724" i="3"/>
  <c r="L724" i="3"/>
  <c r="E724" i="3"/>
  <c r="V723" i="3"/>
  <c r="U723" i="3"/>
  <c r="T723" i="3"/>
  <c r="S723" i="3"/>
  <c r="P723" i="3"/>
  <c r="O723" i="3"/>
  <c r="L723" i="3"/>
  <c r="E723" i="3"/>
  <c r="V722" i="3"/>
  <c r="U722" i="3"/>
  <c r="T722" i="3"/>
  <c r="S722" i="3"/>
  <c r="P722" i="3"/>
  <c r="O722" i="3"/>
  <c r="L722" i="3"/>
  <c r="E722" i="3"/>
  <c r="V721" i="3"/>
  <c r="U721" i="3"/>
  <c r="T721" i="3"/>
  <c r="S721" i="3"/>
  <c r="P721" i="3"/>
  <c r="O721" i="3"/>
  <c r="L721" i="3"/>
  <c r="E721" i="3"/>
  <c r="V720" i="3"/>
  <c r="U720" i="3"/>
  <c r="T720" i="3"/>
  <c r="S720" i="3"/>
  <c r="P720" i="3"/>
  <c r="O720" i="3"/>
  <c r="L720" i="3"/>
  <c r="E720" i="3"/>
  <c r="V719" i="3"/>
  <c r="U719" i="3"/>
  <c r="T719" i="3"/>
  <c r="S719" i="3"/>
  <c r="P719" i="3"/>
  <c r="O719" i="3"/>
  <c r="L719" i="3"/>
  <c r="E719" i="3"/>
  <c r="V718" i="3"/>
  <c r="U718" i="3"/>
  <c r="T718" i="3"/>
  <c r="S718" i="3"/>
  <c r="P718" i="3"/>
  <c r="O718" i="3"/>
  <c r="L718" i="3"/>
  <c r="E718" i="3"/>
  <c r="V717" i="3"/>
  <c r="U717" i="3"/>
  <c r="T717" i="3"/>
  <c r="S717" i="3"/>
  <c r="P717" i="3"/>
  <c r="O717" i="3"/>
  <c r="L717" i="3"/>
  <c r="E717" i="3"/>
  <c r="V716" i="3"/>
  <c r="U716" i="3"/>
  <c r="T716" i="3"/>
  <c r="S716" i="3"/>
  <c r="P716" i="3"/>
  <c r="O716" i="3"/>
  <c r="L716" i="3"/>
  <c r="E716" i="3"/>
  <c r="V715" i="3"/>
  <c r="U715" i="3"/>
  <c r="T715" i="3"/>
  <c r="S715" i="3"/>
  <c r="P715" i="3"/>
  <c r="O715" i="3"/>
  <c r="L715" i="3"/>
  <c r="E715" i="3"/>
  <c r="V714" i="3"/>
  <c r="U714" i="3"/>
  <c r="T714" i="3"/>
  <c r="S714" i="3"/>
  <c r="P714" i="3"/>
  <c r="O714" i="3"/>
  <c r="L714" i="3"/>
  <c r="E714" i="3"/>
  <c r="V713" i="3"/>
  <c r="U713" i="3"/>
  <c r="T713" i="3"/>
  <c r="S713" i="3"/>
  <c r="P713" i="3"/>
  <c r="O713" i="3"/>
  <c r="L713" i="3"/>
  <c r="E713" i="3"/>
  <c r="V712" i="3"/>
  <c r="U712" i="3"/>
  <c r="T712" i="3"/>
  <c r="S712" i="3"/>
  <c r="P712" i="3"/>
  <c r="O712" i="3"/>
  <c r="L712" i="3"/>
  <c r="E712" i="3"/>
  <c r="V711" i="3"/>
  <c r="U711" i="3"/>
  <c r="T711" i="3"/>
  <c r="S711" i="3"/>
  <c r="P711" i="3"/>
  <c r="O711" i="3"/>
  <c r="L711" i="3"/>
  <c r="E711" i="3"/>
  <c r="V710" i="3"/>
  <c r="U710" i="3"/>
  <c r="T710" i="3"/>
  <c r="S710" i="3"/>
  <c r="P710" i="3"/>
  <c r="O710" i="3"/>
  <c r="L710" i="3"/>
  <c r="E710" i="3"/>
  <c r="V709" i="3"/>
  <c r="U709" i="3"/>
  <c r="T709" i="3"/>
  <c r="S709" i="3"/>
  <c r="P709" i="3"/>
  <c r="O709" i="3"/>
  <c r="L709" i="3"/>
  <c r="E709" i="3"/>
  <c r="V708" i="3"/>
  <c r="U708" i="3"/>
  <c r="T708" i="3"/>
  <c r="S708" i="3"/>
  <c r="P708" i="3"/>
  <c r="O708" i="3"/>
  <c r="L708" i="3"/>
  <c r="E708" i="3"/>
  <c r="V707" i="3"/>
  <c r="U707" i="3"/>
  <c r="T707" i="3"/>
  <c r="S707" i="3"/>
  <c r="P707" i="3"/>
  <c r="O707" i="3"/>
  <c r="L707" i="3"/>
  <c r="E707" i="3"/>
  <c r="V706" i="3"/>
  <c r="U706" i="3"/>
  <c r="T706" i="3"/>
  <c r="S706" i="3"/>
  <c r="P706" i="3"/>
  <c r="O706" i="3"/>
  <c r="L706" i="3"/>
  <c r="E706" i="3"/>
  <c r="V705" i="3"/>
  <c r="U705" i="3"/>
  <c r="T705" i="3"/>
  <c r="S705" i="3"/>
  <c r="P705" i="3"/>
  <c r="O705" i="3"/>
  <c r="L705" i="3"/>
  <c r="E705" i="3"/>
  <c r="V704" i="3"/>
  <c r="U704" i="3"/>
  <c r="T704" i="3"/>
  <c r="S704" i="3"/>
  <c r="P704" i="3"/>
  <c r="O704" i="3"/>
  <c r="L704" i="3"/>
  <c r="E704" i="3"/>
  <c r="V703" i="3"/>
  <c r="U703" i="3"/>
  <c r="T703" i="3"/>
  <c r="S703" i="3"/>
  <c r="P703" i="3"/>
  <c r="O703" i="3"/>
  <c r="L703" i="3"/>
  <c r="E703" i="3"/>
  <c r="V702" i="3"/>
  <c r="U702" i="3"/>
  <c r="T702" i="3"/>
  <c r="S702" i="3"/>
  <c r="P702" i="3"/>
  <c r="O702" i="3"/>
  <c r="L702" i="3"/>
  <c r="E702" i="3"/>
  <c r="V701" i="3"/>
  <c r="U701" i="3"/>
  <c r="T701" i="3"/>
  <c r="S701" i="3"/>
  <c r="P701" i="3"/>
  <c r="O701" i="3"/>
  <c r="L701" i="3"/>
  <c r="E701" i="3"/>
  <c r="V700" i="3"/>
  <c r="U700" i="3"/>
  <c r="T700" i="3"/>
  <c r="S700" i="3"/>
  <c r="P700" i="3"/>
  <c r="O700" i="3"/>
  <c r="L700" i="3"/>
  <c r="E700" i="3"/>
  <c r="V699" i="3"/>
  <c r="U699" i="3"/>
  <c r="T699" i="3"/>
  <c r="S699" i="3"/>
  <c r="P699" i="3"/>
  <c r="O699" i="3"/>
  <c r="L699" i="3"/>
  <c r="E699" i="3"/>
  <c r="V698" i="3"/>
  <c r="U698" i="3"/>
  <c r="T698" i="3"/>
  <c r="S698" i="3"/>
  <c r="P698" i="3"/>
  <c r="O698" i="3"/>
  <c r="L698" i="3"/>
  <c r="E698" i="3"/>
  <c r="V697" i="3"/>
  <c r="U697" i="3"/>
  <c r="T697" i="3"/>
  <c r="S697" i="3"/>
  <c r="P697" i="3"/>
  <c r="O697" i="3"/>
  <c r="L697" i="3"/>
  <c r="E697" i="3"/>
  <c r="V696" i="3"/>
  <c r="U696" i="3"/>
  <c r="T696" i="3"/>
  <c r="S696" i="3"/>
  <c r="P696" i="3"/>
  <c r="O696" i="3"/>
  <c r="L696" i="3"/>
  <c r="E696" i="3"/>
  <c r="V695" i="3"/>
  <c r="U695" i="3"/>
  <c r="T695" i="3"/>
  <c r="S695" i="3"/>
  <c r="P695" i="3"/>
  <c r="O695" i="3"/>
  <c r="L695" i="3"/>
  <c r="E695" i="3"/>
  <c r="V694" i="3"/>
  <c r="U694" i="3"/>
  <c r="T694" i="3"/>
  <c r="S694" i="3"/>
  <c r="P694" i="3"/>
  <c r="O694" i="3"/>
  <c r="L694" i="3"/>
  <c r="E694" i="3"/>
  <c r="V693" i="3"/>
  <c r="U693" i="3"/>
  <c r="T693" i="3"/>
  <c r="S693" i="3"/>
  <c r="P693" i="3"/>
  <c r="O693" i="3"/>
  <c r="L693" i="3"/>
  <c r="E693" i="3"/>
  <c r="V692" i="3"/>
  <c r="U692" i="3"/>
  <c r="T692" i="3"/>
  <c r="S692" i="3"/>
  <c r="P692" i="3"/>
  <c r="O692" i="3"/>
  <c r="L692" i="3"/>
  <c r="E692" i="3"/>
  <c r="V691" i="3"/>
  <c r="U691" i="3"/>
  <c r="T691" i="3"/>
  <c r="S691" i="3"/>
  <c r="P691" i="3"/>
  <c r="O691" i="3"/>
  <c r="L691" i="3"/>
  <c r="E691" i="3"/>
  <c r="V690" i="3"/>
  <c r="U690" i="3"/>
  <c r="T690" i="3"/>
  <c r="S690" i="3"/>
  <c r="P690" i="3"/>
  <c r="O690" i="3"/>
  <c r="L690" i="3"/>
  <c r="E690" i="3"/>
  <c r="V689" i="3"/>
  <c r="U689" i="3"/>
  <c r="T689" i="3"/>
  <c r="S689" i="3"/>
  <c r="P689" i="3"/>
  <c r="O689" i="3"/>
  <c r="L689" i="3"/>
  <c r="E689" i="3"/>
  <c r="V688" i="3"/>
  <c r="U688" i="3"/>
  <c r="T688" i="3"/>
  <c r="S688" i="3"/>
  <c r="P688" i="3"/>
  <c r="O688" i="3"/>
  <c r="L688" i="3"/>
  <c r="E688" i="3"/>
  <c r="V687" i="3"/>
  <c r="U687" i="3"/>
  <c r="T687" i="3"/>
  <c r="S687" i="3"/>
  <c r="P687" i="3"/>
  <c r="O687" i="3"/>
  <c r="L687" i="3"/>
  <c r="E687" i="3"/>
  <c r="V686" i="3"/>
  <c r="U686" i="3"/>
  <c r="T686" i="3"/>
  <c r="S686" i="3"/>
  <c r="P686" i="3"/>
  <c r="O686" i="3"/>
  <c r="L686" i="3"/>
  <c r="E686" i="3"/>
  <c r="V685" i="3"/>
  <c r="U685" i="3"/>
  <c r="T685" i="3"/>
  <c r="S685" i="3"/>
  <c r="P685" i="3"/>
  <c r="O685" i="3"/>
  <c r="L685" i="3"/>
  <c r="E685" i="3"/>
  <c r="V684" i="3"/>
  <c r="U684" i="3"/>
  <c r="T684" i="3"/>
  <c r="S684" i="3"/>
  <c r="P684" i="3"/>
  <c r="O684" i="3"/>
  <c r="L684" i="3"/>
  <c r="E684" i="3"/>
  <c r="V683" i="3"/>
  <c r="U683" i="3"/>
  <c r="T683" i="3"/>
  <c r="S683" i="3"/>
  <c r="P683" i="3"/>
  <c r="O683" i="3"/>
  <c r="L683" i="3"/>
  <c r="E683" i="3"/>
  <c r="V682" i="3"/>
  <c r="U682" i="3"/>
  <c r="T682" i="3"/>
  <c r="S682" i="3"/>
  <c r="P682" i="3"/>
  <c r="O682" i="3"/>
  <c r="L682" i="3"/>
  <c r="E682" i="3"/>
  <c r="V681" i="3"/>
  <c r="U681" i="3"/>
  <c r="T681" i="3"/>
  <c r="S681" i="3"/>
  <c r="P681" i="3"/>
  <c r="O681" i="3"/>
  <c r="L681" i="3"/>
  <c r="E681" i="3"/>
  <c r="V680" i="3"/>
  <c r="U680" i="3"/>
  <c r="T680" i="3"/>
  <c r="S680" i="3"/>
  <c r="P680" i="3"/>
  <c r="O680" i="3"/>
  <c r="L680" i="3"/>
  <c r="E680" i="3"/>
  <c r="V679" i="3"/>
  <c r="U679" i="3"/>
  <c r="T679" i="3"/>
  <c r="S679" i="3"/>
  <c r="P679" i="3"/>
  <c r="O679" i="3"/>
  <c r="L679" i="3"/>
  <c r="E679" i="3"/>
  <c r="V678" i="3"/>
  <c r="U678" i="3"/>
  <c r="T678" i="3"/>
  <c r="S678" i="3"/>
  <c r="P678" i="3"/>
  <c r="O678" i="3"/>
  <c r="L678" i="3"/>
  <c r="E678" i="3"/>
  <c r="V677" i="3"/>
  <c r="U677" i="3"/>
  <c r="T677" i="3"/>
  <c r="S677" i="3"/>
  <c r="P677" i="3"/>
  <c r="O677" i="3"/>
  <c r="L677" i="3"/>
  <c r="E677" i="3"/>
  <c r="V676" i="3"/>
  <c r="U676" i="3"/>
  <c r="T676" i="3"/>
  <c r="S676" i="3"/>
  <c r="P676" i="3"/>
  <c r="O676" i="3"/>
  <c r="L676" i="3"/>
  <c r="E676" i="3"/>
  <c r="V675" i="3"/>
  <c r="U675" i="3"/>
  <c r="T675" i="3"/>
  <c r="S675" i="3"/>
  <c r="P675" i="3"/>
  <c r="O675" i="3"/>
  <c r="L675" i="3"/>
  <c r="E675" i="3"/>
  <c r="V674" i="3"/>
  <c r="U674" i="3"/>
  <c r="T674" i="3"/>
  <c r="S674" i="3"/>
  <c r="P674" i="3"/>
  <c r="O674" i="3"/>
  <c r="L674" i="3"/>
  <c r="E674" i="3"/>
  <c r="V673" i="3"/>
  <c r="U673" i="3"/>
  <c r="T673" i="3"/>
  <c r="S673" i="3"/>
  <c r="P673" i="3"/>
  <c r="O673" i="3"/>
  <c r="L673" i="3"/>
  <c r="E673" i="3"/>
  <c r="V672" i="3"/>
  <c r="U672" i="3"/>
  <c r="T672" i="3"/>
  <c r="S672" i="3"/>
  <c r="P672" i="3"/>
  <c r="O672" i="3"/>
  <c r="L672" i="3"/>
  <c r="E672" i="3"/>
  <c r="V671" i="3"/>
  <c r="U671" i="3"/>
  <c r="T671" i="3"/>
  <c r="S671" i="3"/>
  <c r="P671" i="3"/>
  <c r="O671" i="3"/>
  <c r="L671" i="3"/>
  <c r="E671" i="3"/>
  <c r="V670" i="3"/>
  <c r="U670" i="3"/>
  <c r="T670" i="3"/>
  <c r="S670" i="3"/>
  <c r="P670" i="3"/>
  <c r="O670" i="3"/>
  <c r="L670" i="3"/>
  <c r="E670" i="3"/>
  <c r="V669" i="3"/>
  <c r="U669" i="3"/>
  <c r="T669" i="3"/>
  <c r="S669" i="3"/>
  <c r="P669" i="3"/>
  <c r="O669" i="3"/>
  <c r="L669" i="3"/>
  <c r="E669" i="3"/>
  <c r="V668" i="3"/>
  <c r="U668" i="3"/>
  <c r="T668" i="3"/>
  <c r="S668" i="3"/>
  <c r="P668" i="3"/>
  <c r="O668" i="3"/>
  <c r="L668" i="3"/>
  <c r="E668" i="3"/>
  <c r="V667" i="3"/>
  <c r="U667" i="3"/>
  <c r="T667" i="3"/>
  <c r="S667" i="3"/>
  <c r="P667" i="3"/>
  <c r="O667" i="3"/>
  <c r="L667" i="3"/>
  <c r="E667" i="3"/>
  <c r="V666" i="3"/>
  <c r="U666" i="3"/>
  <c r="T666" i="3"/>
  <c r="S666" i="3"/>
  <c r="P666" i="3"/>
  <c r="O666" i="3"/>
  <c r="L666" i="3"/>
  <c r="E666" i="3"/>
  <c r="V665" i="3"/>
  <c r="U665" i="3"/>
  <c r="T665" i="3"/>
  <c r="S665" i="3"/>
  <c r="P665" i="3"/>
  <c r="O665" i="3"/>
  <c r="L665" i="3"/>
  <c r="E665" i="3"/>
  <c r="V664" i="3"/>
  <c r="U664" i="3"/>
  <c r="T664" i="3"/>
  <c r="S664" i="3"/>
  <c r="P664" i="3"/>
  <c r="O664" i="3"/>
  <c r="L664" i="3"/>
  <c r="E664" i="3"/>
  <c r="V663" i="3"/>
  <c r="U663" i="3"/>
  <c r="T663" i="3"/>
  <c r="S663" i="3"/>
  <c r="P663" i="3"/>
  <c r="O663" i="3"/>
  <c r="L663" i="3"/>
  <c r="E663" i="3"/>
  <c r="V662" i="3"/>
  <c r="U662" i="3"/>
  <c r="T662" i="3"/>
  <c r="S662" i="3"/>
  <c r="P662" i="3"/>
  <c r="O662" i="3"/>
  <c r="L662" i="3"/>
  <c r="E662" i="3"/>
  <c r="V661" i="3"/>
  <c r="U661" i="3"/>
  <c r="T661" i="3"/>
  <c r="S661" i="3"/>
  <c r="P661" i="3"/>
  <c r="O661" i="3"/>
  <c r="L661" i="3"/>
  <c r="E661" i="3"/>
  <c r="V660" i="3"/>
  <c r="U660" i="3"/>
  <c r="T660" i="3"/>
  <c r="S660" i="3"/>
  <c r="P660" i="3"/>
  <c r="O660" i="3"/>
  <c r="L660" i="3"/>
  <c r="E660" i="3"/>
  <c r="V659" i="3"/>
  <c r="U659" i="3"/>
  <c r="T659" i="3"/>
  <c r="S659" i="3"/>
  <c r="P659" i="3"/>
  <c r="O659" i="3"/>
  <c r="L659" i="3"/>
  <c r="E659" i="3"/>
  <c r="V658" i="3"/>
  <c r="U658" i="3"/>
  <c r="T658" i="3"/>
  <c r="S658" i="3"/>
  <c r="P658" i="3"/>
  <c r="O658" i="3"/>
  <c r="L658" i="3"/>
  <c r="E658" i="3"/>
  <c r="V657" i="3"/>
  <c r="U657" i="3"/>
  <c r="T657" i="3"/>
  <c r="S657" i="3"/>
  <c r="P657" i="3"/>
  <c r="O657" i="3"/>
  <c r="L657" i="3"/>
  <c r="E657" i="3"/>
  <c r="V656" i="3"/>
  <c r="U656" i="3"/>
  <c r="T656" i="3"/>
  <c r="S656" i="3"/>
  <c r="P656" i="3"/>
  <c r="O656" i="3"/>
  <c r="L656" i="3"/>
  <c r="E656" i="3"/>
  <c r="V655" i="3"/>
  <c r="U655" i="3"/>
  <c r="T655" i="3"/>
  <c r="S655" i="3"/>
  <c r="P655" i="3"/>
  <c r="O655" i="3"/>
  <c r="L655" i="3"/>
  <c r="E655" i="3"/>
  <c r="V654" i="3"/>
  <c r="U654" i="3"/>
  <c r="T654" i="3"/>
  <c r="S654" i="3"/>
  <c r="P654" i="3"/>
  <c r="O654" i="3"/>
  <c r="L654" i="3"/>
  <c r="E654" i="3"/>
  <c r="V653" i="3"/>
  <c r="U653" i="3"/>
  <c r="T653" i="3"/>
  <c r="S653" i="3"/>
  <c r="P653" i="3"/>
  <c r="O653" i="3"/>
  <c r="L653" i="3"/>
  <c r="E653" i="3"/>
  <c r="V652" i="3"/>
  <c r="U652" i="3"/>
  <c r="T652" i="3"/>
  <c r="S652" i="3"/>
  <c r="P652" i="3"/>
  <c r="O652" i="3"/>
  <c r="L652" i="3"/>
  <c r="E652" i="3"/>
  <c r="V651" i="3"/>
  <c r="U651" i="3"/>
  <c r="T651" i="3"/>
  <c r="S651" i="3"/>
  <c r="P651" i="3"/>
  <c r="O651" i="3"/>
  <c r="L651" i="3"/>
  <c r="E651" i="3"/>
  <c r="V650" i="3"/>
  <c r="U650" i="3"/>
  <c r="T650" i="3"/>
  <c r="S650" i="3"/>
  <c r="P650" i="3"/>
  <c r="O650" i="3"/>
  <c r="L650" i="3"/>
  <c r="E650" i="3"/>
  <c r="V649" i="3"/>
  <c r="U649" i="3"/>
  <c r="T649" i="3"/>
  <c r="S649" i="3"/>
  <c r="P649" i="3"/>
  <c r="O649" i="3"/>
  <c r="L649" i="3"/>
  <c r="E649" i="3"/>
  <c r="V648" i="3"/>
  <c r="U648" i="3"/>
  <c r="T648" i="3"/>
  <c r="S648" i="3"/>
  <c r="P648" i="3"/>
  <c r="O648" i="3"/>
  <c r="L648" i="3"/>
  <c r="E648" i="3"/>
  <c r="V647" i="3"/>
  <c r="U647" i="3"/>
  <c r="T647" i="3"/>
  <c r="S647" i="3"/>
  <c r="P647" i="3"/>
  <c r="O647" i="3"/>
  <c r="L647" i="3"/>
  <c r="E647" i="3"/>
  <c r="V646" i="3"/>
  <c r="U646" i="3"/>
  <c r="T646" i="3"/>
  <c r="S646" i="3"/>
  <c r="P646" i="3"/>
  <c r="O646" i="3"/>
  <c r="L646" i="3"/>
  <c r="E646" i="3"/>
  <c r="V645" i="3"/>
  <c r="U645" i="3"/>
  <c r="T645" i="3"/>
  <c r="S645" i="3"/>
  <c r="P645" i="3"/>
  <c r="O645" i="3"/>
  <c r="L645" i="3"/>
  <c r="E645" i="3"/>
  <c r="V644" i="3"/>
  <c r="U644" i="3"/>
  <c r="T644" i="3"/>
  <c r="S644" i="3"/>
  <c r="P644" i="3"/>
  <c r="O644" i="3"/>
  <c r="L644" i="3"/>
  <c r="E644" i="3"/>
  <c r="V643" i="3"/>
  <c r="U643" i="3"/>
  <c r="T643" i="3"/>
  <c r="S643" i="3"/>
  <c r="P643" i="3"/>
  <c r="O643" i="3"/>
  <c r="L643" i="3"/>
  <c r="E643" i="3"/>
  <c r="V642" i="3"/>
  <c r="U642" i="3"/>
  <c r="T642" i="3"/>
  <c r="S642" i="3"/>
  <c r="P642" i="3"/>
  <c r="O642" i="3"/>
  <c r="L642" i="3"/>
  <c r="E642" i="3"/>
  <c r="V641" i="3"/>
  <c r="U641" i="3"/>
  <c r="T641" i="3"/>
  <c r="S641" i="3"/>
  <c r="P641" i="3"/>
  <c r="O641" i="3"/>
  <c r="L641" i="3"/>
  <c r="E641" i="3"/>
  <c r="V640" i="3"/>
  <c r="U640" i="3"/>
  <c r="T640" i="3"/>
  <c r="S640" i="3"/>
  <c r="P640" i="3"/>
  <c r="O640" i="3"/>
  <c r="L640" i="3"/>
  <c r="E640" i="3"/>
  <c r="V639" i="3"/>
  <c r="U639" i="3"/>
  <c r="T639" i="3"/>
  <c r="S639" i="3"/>
  <c r="P639" i="3"/>
  <c r="O639" i="3"/>
  <c r="L639" i="3"/>
  <c r="E639" i="3"/>
  <c r="V638" i="3"/>
  <c r="U638" i="3"/>
  <c r="T638" i="3"/>
  <c r="S638" i="3"/>
  <c r="P638" i="3"/>
  <c r="O638" i="3"/>
  <c r="L638" i="3"/>
  <c r="E638" i="3"/>
  <c r="V637" i="3"/>
  <c r="U637" i="3"/>
  <c r="T637" i="3"/>
  <c r="S637" i="3"/>
  <c r="P637" i="3"/>
  <c r="O637" i="3"/>
  <c r="L637" i="3"/>
  <c r="E637" i="3"/>
  <c r="V636" i="3"/>
  <c r="U636" i="3"/>
  <c r="T636" i="3"/>
  <c r="S636" i="3"/>
  <c r="P636" i="3"/>
  <c r="O636" i="3"/>
  <c r="L636" i="3"/>
  <c r="E636" i="3"/>
  <c r="V635" i="3"/>
  <c r="U635" i="3"/>
  <c r="T635" i="3"/>
  <c r="S635" i="3"/>
  <c r="P635" i="3"/>
  <c r="O635" i="3"/>
  <c r="L635" i="3"/>
  <c r="E635" i="3"/>
  <c r="V634" i="3"/>
  <c r="U634" i="3"/>
  <c r="T634" i="3"/>
  <c r="S634" i="3"/>
  <c r="P634" i="3"/>
  <c r="O634" i="3"/>
  <c r="L634" i="3"/>
  <c r="E634" i="3"/>
  <c r="V633" i="3"/>
  <c r="U633" i="3"/>
  <c r="T633" i="3"/>
  <c r="S633" i="3"/>
  <c r="P633" i="3"/>
  <c r="O633" i="3"/>
  <c r="L633" i="3"/>
  <c r="E633" i="3"/>
  <c r="V632" i="3"/>
  <c r="U632" i="3"/>
  <c r="T632" i="3"/>
  <c r="S632" i="3"/>
  <c r="P632" i="3"/>
  <c r="O632" i="3"/>
  <c r="L632" i="3"/>
  <c r="E632" i="3"/>
  <c r="V631" i="3"/>
  <c r="U631" i="3"/>
  <c r="T631" i="3"/>
  <c r="S631" i="3"/>
  <c r="P631" i="3"/>
  <c r="O631" i="3"/>
  <c r="L631" i="3"/>
  <c r="E631" i="3"/>
  <c r="V630" i="3"/>
  <c r="U630" i="3"/>
  <c r="T630" i="3"/>
  <c r="S630" i="3"/>
  <c r="P630" i="3"/>
  <c r="O630" i="3"/>
  <c r="L630" i="3"/>
  <c r="E630" i="3"/>
  <c r="V629" i="3"/>
  <c r="U629" i="3"/>
  <c r="T629" i="3"/>
  <c r="S629" i="3"/>
  <c r="P629" i="3"/>
  <c r="O629" i="3"/>
  <c r="L629" i="3"/>
  <c r="E629" i="3"/>
  <c r="V628" i="3"/>
  <c r="U628" i="3"/>
  <c r="T628" i="3"/>
  <c r="S628" i="3"/>
  <c r="P628" i="3"/>
  <c r="O628" i="3"/>
  <c r="L628" i="3"/>
  <c r="E628" i="3"/>
  <c r="V627" i="3"/>
  <c r="U627" i="3"/>
  <c r="T627" i="3"/>
  <c r="S627" i="3"/>
  <c r="P627" i="3"/>
  <c r="O627" i="3"/>
  <c r="L627" i="3"/>
  <c r="E627" i="3"/>
  <c r="V626" i="3"/>
  <c r="U626" i="3"/>
  <c r="T626" i="3"/>
  <c r="S626" i="3"/>
  <c r="P626" i="3"/>
  <c r="O626" i="3"/>
  <c r="L626" i="3"/>
  <c r="E626" i="3"/>
  <c r="V625" i="3"/>
  <c r="U625" i="3"/>
  <c r="T625" i="3"/>
  <c r="S625" i="3"/>
  <c r="P625" i="3"/>
  <c r="O625" i="3"/>
  <c r="L625" i="3"/>
  <c r="E625" i="3"/>
  <c r="V624" i="3"/>
  <c r="U624" i="3"/>
  <c r="T624" i="3"/>
  <c r="S624" i="3"/>
  <c r="P624" i="3"/>
  <c r="O624" i="3"/>
  <c r="L624" i="3"/>
  <c r="E624" i="3"/>
  <c r="V623" i="3"/>
  <c r="U623" i="3"/>
  <c r="T623" i="3"/>
  <c r="S623" i="3"/>
  <c r="P623" i="3"/>
  <c r="O623" i="3"/>
  <c r="L623" i="3"/>
  <c r="E623" i="3"/>
  <c r="V622" i="3"/>
  <c r="U622" i="3"/>
  <c r="T622" i="3"/>
  <c r="S622" i="3"/>
  <c r="P622" i="3"/>
  <c r="O622" i="3"/>
  <c r="L622" i="3"/>
  <c r="E622" i="3"/>
  <c r="V621" i="3"/>
  <c r="U621" i="3"/>
  <c r="T621" i="3"/>
  <c r="S621" i="3"/>
  <c r="P621" i="3"/>
  <c r="O621" i="3"/>
  <c r="L621" i="3"/>
  <c r="E621" i="3"/>
  <c r="V620" i="3"/>
  <c r="U620" i="3"/>
  <c r="T620" i="3"/>
  <c r="S620" i="3"/>
  <c r="P620" i="3"/>
  <c r="O620" i="3"/>
  <c r="L620" i="3"/>
  <c r="E620" i="3"/>
  <c r="V619" i="3"/>
  <c r="U619" i="3"/>
  <c r="T619" i="3"/>
  <c r="S619" i="3"/>
  <c r="P619" i="3"/>
  <c r="O619" i="3"/>
  <c r="L619" i="3"/>
  <c r="E619" i="3"/>
  <c r="V618" i="3"/>
  <c r="U618" i="3"/>
  <c r="T618" i="3"/>
  <c r="S618" i="3"/>
  <c r="P618" i="3"/>
  <c r="O618" i="3"/>
  <c r="L618" i="3"/>
  <c r="E618" i="3"/>
  <c r="V617" i="3"/>
  <c r="U617" i="3"/>
  <c r="T617" i="3"/>
  <c r="S617" i="3"/>
  <c r="P617" i="3"/>
  <c r="O617" i="3"/>
  <c r="L617" i="3"/>
  <c r="E617" i="3"/>
  <c r="V616" i="3"/>
  <c r="U616" i="3"/>
  <c r="T616" i="3"/>
  <c r="S616" i="3"/>
  <c r="P616" i="3"/>
  <c r="O616" i="3"/>
  <c r="L616" i="3"/>
  <c r="E616" i="3"/>
  <c r="V615" i="3"/>
  <c r="U615" i="3"/>
  <c r="T615" i="3"/>
  <c r="S615" i="3"/>
  <c r="P615" i="3"/>
  <c r="O615" i="3"/>
  <c r="L615" i="3"/>
  <c r="E615" i="3"/>
  <c r="V614" i="3"/>
  <c r="U614" i="3"/>
  <c r="T614" i="3"/>
  <c r="S614" i="3"/>
  <c r="P614" i="3"/>
  <c r="O614" i="3"/>
  <c r="L614" i="3"/>
  <c r="E614" i="3"/>
  <c r="V613" i="3"/>
  <c r="U613" i="3"/>
  <c r="T613" i="3"/>
  <c r="S613" i="3"/>
  <c r="P613" i="3"/>
  <c r="O613" i="3"/>
  <c r="L613" i="3"/>
  <c r="E613" i="3"/>
  <c r="V612" i="3"/>
  <c r="U612" i="3"/>
  <c r="T612" i="3"/>
  <c r="S612" i="3"/>
  <c r="P612" i="3"/>
  <c r="O612" i="3"/>
  <c r="L612" i="3"/>
  <c r="E612" i="3"/>
  <c r="V611" i="3"/>
  <c r="U611" i="3"/>
  <c r="T611" i="3"/>
  <c r="S611" i="3"/>
  <c r="P611" i="3"/>
  <c r="O611" i="3"/>
  <c r="L611" i="3"/>
  <c r="E611" i="3"/>
  <c r="V610" i="3"/>
  <c r="U610" i="3"/>
  <c r="T610" i="3"/>
  <c r="S610" i="3"/>
  <c r="P610" i="3"/>
  <c r="O610" i="3"/>
  <c r="L610" i="3"/>
  <c r="E610" i="3"/>
  <c r="V609" i="3"/>
  <c r="U609" i="3"/>
  <c r="T609" i="3"/>
  <c r="S609" i="3"/>
  <c r="P609" i="3"/>
  <c r="O609" i="3"/>
  <c r="L609" i="3"/>
  <c r="E609" i="3"/>
  <c r="V608" i="3"/>
  <c r="U608" i="3"/>
  <c r="T608" i="3"/>
  <c r="S608" i="3"/>
  <c r="P608" i="3"/>
  <c r="O608" i="3"/>
  <c r="L608" i="3"/>
  <c r="E608" i="3"/>
  <c r="V607" i="3"/>
  <c r="U607" i="3"/>
  <c r="T607" i="3"/>
  <c r="S607" i="3"/>
  <c r="P607" i="3"/>
  <c r="O607" i="3"/>
  <c r="L607" i="3"/>
  <c r="E607" i="3"/>
  <c r="V606" i="3"/>
  <c r="U606" i="3"/>
  <c r="T606" i="3"/>
  <c r="S606" i="3"/>
  <c r="P606" i="3"/>
  <c r="O606" i="3"/>
  <c r="L606" i="3"/>
  <c r="E606" i="3"/>
  <c r="V605" i="3"/>
  <c r="U605" i="3"/>
  <c r="T605" i="3"/>
  <c r="S605" i="3"/>
  <c r="P605" i="3"/>
  <c r="O605" i="3"/>
  <c r="L605" i="3"/>
  <c r="E605" i="3"/>
  <c r="V604" i="3"/>
  <c r="U604" i="3"/>
  <c r="T604" i="3"/>
  <c r="S604" i="3"/>
  <c r="P604" i="3"/>
  <c r="O604" i="3"/>
  <c r="L604" i="3"/>
  <c r="E604" i="3"/>
  <c r="V603" i="3"/>
  <c r="U603" i="3"/>
  <c r="T603" i="3"/>
  <c r="S603" i="3"/>
  <c r="P603" i="3"/>
  <c r="O603" i="3"/>
  <c r="L603" i="3"/>
  <c r="E603" i="3"/>
  <c r="V602" i="3"/>
  <c r="U602" i="3"/>
  <c r="T602" i="3"/>
  <c r="S602" i="3"/>
  <c r="P602" i="3"/>
  <c r="O602" i="3"/>
  <c r="L602" i="3"/>
  <c r="E602" i="3"/>
  <c r="V601" i="3"/>
  <c r="U601" i="3"/>
  <c r="T601" i="3"/>
  <c r="S601" i="3"/>
  <c r="P601" i="3"/>
  <c r="O601" i="3"/>
  <c r="L601" i="3"/>
  <c r="E601" i="3"/>
  <c r="V600" i="3"/>
  <c r="U600" i="3"/>
  <c r="T600" i="3"/>
  <c r="S600" i="3"/>
  <c r="P600" i="3"/>
  <c r="O600" i="3"/>
  <c r="L600" i="3"/>
  <c r="E600" i="3"/>
  <c r="V599" i="3"/>
  <c r="U599" i="3"/>
  <c r="T599" i="3"/>
  <c r="S599" i="3"/>
  <c r="P599" i="3"/>
  <c r="O599" i="3"/>
  <c r="L599" i="3"/>
  <c r="E599" i="3"/>
  <c r="V598" i="3"/>
  <c r="U598" i="3"/>
  <c r="T598" i="3"/>
  <c r="S598" i="3"/>
  <c r="P598" i="3"/>
  <c r="O598" i="3"/>
  <c r="L598" i="3"/>
  <c r="E598" i="3"/>
  <c r="V597" i="3"/>
  <c r="U597" i="3"/>
  <c r="T597" i="3"/>
  <c r="S597" i="3"/>
  <c r="P597" i="3"/>
  <c r="O597" i="3"/>
  <c r="L597" i="3"/>
  <c r="E597" i="3"/>
  <c r="V596" i="3"/>
  <c r="U596" i="3"/>
  <c r="T596" i="3"/>
  <c r="S596" i="3"/>
  <c r="P596" i="3"/>
  <c r="O596" i="3"/>
  <c r="L596" i="3"/>
  <c r="E596" i="3"/>
  <c r="V595" i="3"/>
  <c r="U595" i="3"/>
  <c r="T595" i="3"/>
  <c r="S595" i="3"/>
  <c r="P595" i="3"/>
  <c r="O595" i="3"/>
  <c r="L595" i="3"/>
  <c r="E595" i="3"/>
  <c r="V594" i="3"/>
  <c r="U594" i="3"/>
  <c r="T594" i="3"/>
  <c r="S594" i="3"/>
  <c r="P594" i="3"/>
  <c r="O594" i="3"/>
  <c r="L594" i="3"/>
  <c r="E594" i="3"/>
  <c r="V593" i="3"/>
  <c r="U593" i="3"/>
  <c r="T593" i="3"/>
  <c r="S593" i="3"/>
  <c r="P593" i="3"/>
  <c r="O593" i="3"/>
  <c r="L593" i="3"/>
  <c r="E593" i="3"/>
  <c r="V592" i="3"/>
  <c r="U592" i="3"/>
  <c r="T592" i="3"/>
  <c r="S592" i="3"/>
  <c r="P592" i="3"/>
  <c r="O592" i="3"/>
  <c r="L592" i="3"/>
  <c r="E592" i="3"/>
  <c r="V591" i="3"/>
  <c r="U591" i="3"/>
  <c r="T591" i="3"/>
  <c r="S591" i="3"/>
  <c r="P591" i="3"/>
  <c r="O591" i="3"/>
  <c r="L591" i="3"/>
  <c r="E591" i="3"/>
  <c r="V590" i="3"/>
  <c r="U590" i="3"/>
  <c r="T590" i="3"/>
  <c r="S590" i="3"/>
  <c r="P590" i="3"/>
  <c r="O590" i="3"/>
  <c r="L590" i="3"/>
  <c r="E590" i="3"/>
  <c r="V589" i="3"/>
  <c r="U589" i="3"/>
  <c r="T589" i="3"/>
  <c r="S589" i="3"/>
  <c r="P589" i="3"/>
  <c r="O589" i="3"/>
  <c r="L589" i="3"/>
  <c r="E589" i="3"/>
  <c r="V588" i="3"/>
  <c r="U588" i="3"/>
  <c r="T588" i="3"/>
  <c r="S588" i="3"/>
  <c r="P588" i="3"/>
  <c r="O588" i="3"/>
  <c r="L588" i="3"/>
  <c r="E588" i="3"/>
  <c r="V587" i="3"/>
  <c r="U587" i="3"/>
  <c r="T587" i="3"/>
  <c r="S587" i="3"/>
  <c r="P587" i="3"/>
  <c r="O587" i="3"/>
  <c r="L587" i="3"/>
  <c r="E587" i="3"/>
  <c r="V586" i="3"/>
  <c r="U586" i="3"/>
  <c r="T586" i="3"/>
  <c r="S586" i="3"/>
  <c r="P586" i="3"/>
  <c r="O586" i="3"/>
  <c r="L586" i="3"/>
  <c r="E586" i="3"/>
  <c r="V585" i="3"/>
  <c r="U585" i="3"/>
  <c r="T585" i="3"/>
  <c r="S585" i="3"/>
  <c r="P585" i="3"/>
  <c r="O585" i="3"/>
  <c r="L585" i="3"/>
  <c r="E585" i="3"/>
  <c r="V584" i="3"/>
  <c r="U584" i="3"/>
  <c r="T584" i="3"/>
  <c r="S584" i="3"/>
  <c r="P584" i="3"/>
  <c r="O584" i="3"/>
  <c r="L584" i="3"/>
  <c r="E584" i="3"/>
  <c r="V583" i="3"/>
  <c r="U583" i="3"/>
  <c r="T583" i="3"/>
  <c r="S583" i="3"/>
  <c r="P583" i="3"/>
  <c r="O583" i="3"/>
  <c r="L583" i="3"/>
  <c r="E583" i="3"/>
  <c r="V582" i="3"/>
  <c r="U582" i="3"/>
  <c r="T582" i="3"/>
  <c r="S582" i="3"/>
  <c r="P582" i="3"/>
  <c r="O582" i="3"/>
  <c r="L582" i="3"/>
  <c r="E582" i="3"/>
  <c r="V581" i="3"/>
  <c r="U581" i="3"/>
  <c r="T581" i="3"/>
  <c r="S581" i="3"/>
  <c r="P581" i="3"/>
  <c r="O581" i="3"/>
  <c r="L581" i="3"/>
  <c r="E581" i="3"/>
  <c r="V580" i="3"/>
  <c r="U580" i="3"/>
  <c r="T580" i="3"/>
  <c r="S580" i="3"/>
  <c r="P580" i="3"/>
  <c r="O580" i="3"/>
  <c r="L580" i="3"/>
  <c r="E580" i="3"/>
  <c r="V579" i="3"/>
  <c r="U579" i="3"/>
  <c r="T579" i="3"/>
  <c r="S579" i="3"/>
  <c r="P579" i="3"/>
  <c r="O579" i="3"/>
  <c r="L579" i="3"/>
  <c r="E579" i="3"/>
  <c r="V578" i="3"/>
  <c r="U578" i="3"/>
  <c r="T578" i="3"/>
  <c r="S578" i="3"/>
  <c r="P578" i="3"/>
  <c r="O578" i="3"/>
  <c r="L578" i="3"/>
  <c r="E578" i="3"/>
  <c r="V577" i="3"/>
  <c r="U577" i="3"/>
  <c r="T577" i="3"/>
  <c r="S577" i="3"/>
  <c r="P577" i="3"/>
  <c r="O577" i="3"/>
  <c r="L577" i="3"/>
  <c r="E577" i="3"/>
  <c r="V576" i="3"/>
  <c r="U576" i="3"/>
  <c r="T576" i="3"/>
  <c r="S576" i="3"/>
  <c r="P576" i="3"/>
  <c r="O576" i="3"/>
  <c r="L576" i="3"/>
  <c r="E576" i="3"/>
  <c r="V575" i="3"/>
  <c r="U575" i="3"/>
  <c r="T575" i="3"/>
  <c r="S575" i="3"/>
  <c r="P575" i="3"/>
  <c r="O575" i="3"/>
  <c r="L575" i="3"/>
  <c r="E575" i="3"/>
  <c r="V574" i="3"/>
  <c r="U574" i="3"/>
  <c r="T574" i="3"/>
  <c r="S574" i="3"/>
  <c r="P574" i="3"/>
  <c r="O574" i="3"/>
  <c r="L574" i="3"/>
  <c r="E574" i="3"/>
  <c r="V573" i="3"/>
  <c r="U573" i="3"/>
  <c r="T573" i="3"/>
  <c r="S573" i="3"/>
  <c r="P573" i="3"/>
  <c r="O573" i="3"/>
  <c r="L573" i="3"/>
  <c r="E573" i="3"/>
  <c r="V572" i="3"/>
  <c r="U572" i="3"/>
  <c r="T572" i="3"/>
  <c r="S572" i="3"/>
  <c r="P572" i="3"/>
  <c r="O572" i="3"/>
  <c r="L572" i="3"/>
  <c r="E572" i="3"/>
  <c r="V571" i="3"/>
  <c r="U571" i="3"/>
  <c r="T571" i="3"/>
  <c r="S571" i="3"/>
  <c r="P571" i="3"/>
  <c r="O571" i="3"/>
  <c r="L571" i="3"/>
  <c r="E571" i="3"/>
  <c r="V570" i="3"/>
  <c r="U570" i="3"/>
  <c r="T570" i="3"/>
  <c r="S570" i="3"/>
  <c r="P570" i="3"/>
  <c r="O570" i="3"/>
  <c r="L570" i="3"/>
  <c r="E570" i="3"/>
  <c r="V569" i="3"/>
  <c r="U569" i="3"/>
  <c r="T569" i="3"/>
  <c r="S569" i="3"/>
  <c r="P569" i="3"/>
  <c r="O569" i="3"/>
  <c r="L569" i="3"/>
  <c r="E569" i="3"/>
  <c r="V568" i="3"/>
  <c r="U568" i="3"/>
  <c r="T568" i="3"/>
  <c r="S568" i="3"/>
  <c r="P568" i="3"/>
  <c r="O568" i="3"/>
  <c r="L568" i="3"/>
  <c r="E568" i="3"/>
  <c r="V567" i="3"/>
  <c r="U567" i="3"/>
  <c r="T567" i="3"/>
  <c r="S567" i="3"/>
  <c r="P567" i="3"/>
  <c r="O567" i="3"/>
  <c r="L567" i="3"/>
  <c r="E567" i="3"/>
  <c r="V566" i="3"/>
  <c r="U566" i="3"/>
  <c r="T566" i="3"/>
  <c r="S566" i="3"/>
  <c r="P566" i="3"/>
  <c r="O566" i="3"/>
  <c r="L566" i="3"/>
  <c r="E566" i="3"/>
  <c r="V565" i="3"/>
  <c r="U565" i="3"/>
  <c r="T565" i="3"/>
  <c r="S565" i="3"/>
  <c r="P565" i="3"/>
  <c r="O565" i="3"/>
  <c r="L565" i="3"/>
  <c r="E565" i="3"/>
  <c r="V564" i="3"/>
  <c r="U564" i="3"/>
  <c r="T564" i="3"/>
  <c r="S564" i="3"/>
  <c r="P564" i="3"/>
  <c r="O564" i="3"/>
  <c r="L564" i="3"/>
  <c r="E564" i="3"/>
  <c r="V563" i="3"/>
  <c r="U563" i="3"/>
  <c r="T563" i="3"/>
  <c r="S563" i="3"/>
  <c r="P563" i="3"/>
  <c r="O563" i="3"/>
  <c r="L563" i="3"/>
  <c r="E563" i="3"/>
  <c r="V562" i="3"/>
  <c r="U562" i="3"/>
  <c r="T562" i="3"/>
  <c r="S562" i="3"/>
  <c r="P562" i="3"/>
  <c r="O562" i="3"/>
  <c r="L562" i="3"/>
  <c r="E562" i="3"/>
  <c r="V561" i="3"/>
  <c r="U561" i="3"/>
  <c r="T561" i="3"/>
  <c r="S561" i="3"/>
  <c r="P561" i="3"/>
  <c r="O561" i="3"/>
  <c r="L561" i="3"/>
  <c r="E561" i="3"/>
  <c r="V560" i="3"/>
  <c r="U560" i="3"/>
  <c r="T560" i="3"/>
  <c r="S560" i="3"/>
  <c r="P560" i="3"/>
  <c r="O560" i="3"/>
  <c r="L560" i="3"/>
  <c r="E560" i="3"/>
  <c r="V559" i="3"/>
  <c r="U559" i="3"/>
  <c r="T559" i="3"/>
  <c r="S559" i="3"/>
  <c r="P559" i="3"/>
  <c r="O559" i="3"/>
  <c r="L559" i="3"/>
  <c r="E559" i="3"/>
  <c r="V558" i="3"/>
  <c r="U558" i="3"/>
  <c r="T558" i="3"/>
  <c r="S558" i="3"/>
  <c r="P558" i="3"/>
  <c r="O558" i="3"/>
  <c r="L558" i="3"/>
  <c r="E558" i="3"/>
  <c r="V557" i="3"/>
  <c r="U557" i="3"/>
  <c r="T557" i="3"/>
  <c r="S557" i="3"/>
  <c r="P557" i="3"/>
  <c r="O557" i="3"/>
  <c r="L557" i="3"/>
  <c r="E557" i="3"/>
  <c r="V556" i="3"/>
  <c r="U556" i="3"/>
  <c r="T556" i="3"/>
  <c r="S556" i="3"/>
  <c r="P556" i="3"/>
  <c r="O556" i="3"/>
  <c r="L556" i="3"/>
  <c r="E556" i="3"/>
  <c r="V555" i="3"/>
  <c r="U555" i="3"/>
  <c r="T555" i="3"/>
  <c r="S555" i="3"/>
  <c r="P555" i="3"/>
  <c r="O555" i="3"/>
  <c r="L555" i="3"/>
  <c r="E555" i="3"/>
  <c r="V554" i="3"/>
  <c r="U554" i="3"/>
  <c r="T554" i="3"/>
  <c r="S554" i="3"/>
  <c r="P554" i="3"/>
  <c r="O554" i="3"/>
  <c r="L554" i="3"/>
  <c r="E554" i="3"/>
  <c r="V553" i="3"/>
  <c r="U553" i="3"/>
  <c r="T553" i="3"/>
  <c r="S553" i="3"/>
  <c r="P553" i="3"/>
  <c r="O553" i="3"/>
  <c r="L553" i="3"/>
  <c r="E553" i="3"/>
  <c r="V552" i="3"/>
  <c r="U552" i="3"/>
  <c r="T552" i="3"/>
  <c r="S552" i="3"/>
  <c r="P552" i="3"/>
  <c r="O552" i="3"/>
  <c r="L552" i="3"/>
  <c r="E552" i="3"/>
  <c r="V551" i="3"/>
  <c r="U551" i="3"/>
  <c r="T551" i="3"/>
  <c r="S551" i="3"/>
  <c r="P551" i="3"/>
  <c r="O551" i="3"/>
  <c r="L551" i="3"/>
  <c r="E551" i="3"/>
  <c r="V550" i="3"/>
  <c r="U550" i="3"/>
  <c r="T550" i="3"/>
  <c r="S550" i="3"/>
  <c r="P550" i="3"/>
  <c r="O550" i="3"/>
  <c r="L550" i="3"/>
  <c r="E550" i="3"/>
  <c r="V549" i="3"/>
  <c r="U549" i="3"/>
  <c r="T549" i="3"/>
  <c r="S549" i="3"/>
  <c r="P549" i="3"/>
  <c r="O549" i="3"/>
  <c r="L549" i="3"/>
  <c r="E549" i="3"/>
  <c r="V548" i="3"/>
  <c r="U548" i="3"/>
  <c r="T548" i="3"/>
  <c r="S548" i="3"/>
  <c r="P548" i="3"/>
  <c r="O548" i="3"/>
  <c r="L548" i="3"/>
  <c r="E548" i="3"/>
  <c r="V547" i="3"/>
  <c r="U547" i="3"/>
  <c r="T547" i="3"/>
  <c r="S547" i="3"/>
  <c r="P547" i="3"/>
  <c r="O547" i="3"/>
  <c r="L547" i="3"/>
  <c r="E547" i="3"/>
  <c r="V546" i="3"/>
  <c r="U546" i="3"/>
  <c r="T546" i="3"/>
  <c r="S546" i="3"/>
  <c r="P546" i="3"/>
  <c r="O546" i="3"/>
  <c r="L546" i="3"/>
  <c r="E546" i="3"/>
  <c r="V545" i="3"/>
  <c r="U545" i="3"/>
  <c r="T545" i="3"/>
  <c r="S545" i="3"/>
  <c r="P545" i="3"/>
  <c r="O545" i="3"/>
  <c r="L545" i="3"/>
  <c r="E545" i="3"/>
  <c r="V544" i="3"/>
  <c r="U544" i="3"/>
  <c r="T544" i="3"/>
  <c r="S544" i="3"/>
  <c r="P544" i="3"/>
  <c r="O544" i="3"/>
  <c r="L544" i="3"/>
  <c r="E544" i="3"/>
  <c r="V543" i="3"/>
  <c r="U543" i="3"/>
  <c r="T543" i="3"/>
  <c r="S543" i="3"/>
  <c r="P543" i="3"/>
  <c r="O543" i="3"/>
  <c r="L543" i="3"/>
  <c r="E543" i="3"/>
  <c r="V542" i="3"/>
  <c r="U542" i="3"/>
  <c r="T542" i="3"/>
  <c r="S542" i="3"/>
  <c r="P542" i="3"/>
  <c r="O542" i="3"/>
  <c r="L542" i="3"/>
  <c r="E542" i="3"/>
  <c r="V541" i="3"/>
  <c r="U541" i="3"/>
  <c r="T541" i="3"/>
  <c r="S541" i="3"/>
  <c r="P541" i="3"/>
  <c r="O541" i="3"/>
  <c r="L541" i="3"/>
  <c r="E541" i="3"/>
  <c r="V540" i="3"/>
  <c r="U540" i="3"/>
  <c r="T540" i="3"/>
  <c r="S540" i="3"/>
  <c r="P540" i="3"/>
  <c r="O540" i="3"/>
  <c r="L540" i="3"/>
  <c r="E540" i="3"/>
  <c r="V539" i="3"/>
  <c r="U539" i="3"/>
  <c r="T539" i="3"/>
  <c r="S539" i="3"/>
  <c r="P539" i="3"/>
  <c r="O539" i="3"/>
  <c r="L539" i="3"/>
  <c r="E539" i="3"/>
  <c r="V538" i="3"/>
  <c r="U538" i="3"/>
  <c r="T538" i="3"/>
  <c r="S538" i="3"/>
  <c r="P538" i="3"/>
  <c r="O538" i="3"/>
  <c r="L538" i="3"/>
  <c r="E538" i="3"/>
  <c r="V537" i="3"/>
  <c r="U537" i="3"/>
  <c r="T537" i="3"/>
  <c r="S537" i="3"/>
  <c r="P537" i="3"/>
  <c r="O537" i="3"/>
  <c r="L537" i="3"/>
  <c r="E537" i="3"/>
  <c r="V536" i="3"/>
  <c r="U536" i="3"/>
  <c r="T536" i="3"/>
  <c r="S536" i="3"/>
  <c r="P536" i="3"/>
  <c r="O536" i="3"/>
  <c r="L536" i="3"/>
  <c r="E536" i="3"/>
  <c r="V535" i="3"/>
  <c r="U535" i="3"/>
  <c r="T535" i="3"/>
  <c r="S535" i="3"/>
  <c r="P535" i="3"/>
  <c r="O535" i="3"/>
  <c r="L535" i="3"/>
  <c r="E535" i="3"/>
  <c r="V534" i="3"/>
  <c r="U534" i="3"/>
  <c r="T534" i="3"/>
  <c r="S534" i="3"/>
  <c r="P534" i="3"/>
  <c r="O534" i="3"/>
  <c r="L534" i="3"/>
  <c r="E534" i="3"/>
  <c r="V533" i="3"/>
  <c r="U533" i="3"/>
  <c r="T533" i="3"/>
  <c r="S533" i="3"/>
  <c r="P533" i="3"/>
  <c r="O533" i="3"/>
  <c r="L533" i="3"/>
  <c r="E533" i="3"/>
  <c r="V532" i="3"/>
  <c r="U532" i="3"/>
  <c r="T532" i="3"/>
  <c r="S532" i="3"/>
  <c r="P532" i="3"/>
  <c r="O532" i="3"/>
  <c r="L532" i="3"/>
  <c r="E532" i="3"/>
  <c r="V531" i="3"/>
  <c r="U531" i="3"/>
  <c r="T531" i="3"/>
  <c r="S531" i="3"/>
  <c r="P531" i="3"/>
  <c r="O531" i="3"/>
  <c r="L531" i="3"/>
  <c r="E531" i="3"/>
  <c r="V530" i="3"/>
  <c r="U530" i="3"/>
  <c r="T530" i="3"/>
  <c r="S530" i="3"/>
  <c r="P530" i="3"/>
  <c r="O530" i="3"/>
  <c r="L530" i="3"/>
  <c r="E530" i="3"/>
  <c r="V529" i="3"/>
  <c r="U529" i="3"/>
  <c r="T529" i="3"/>
  <c r="S529" i="3"/>
  <c r="P529" i="3"/>
  <c r="O529" i="3"/>
  <c r="L529" i="3"/>
  <c r="E529" i="3"/>
  <c r="V528" i="3"/>
  <c r="U528" i="3"/>
  <c r="T528" i="3"/>
  <c r="S528" i="3"/>
  <c r="P528" i="3"/>
  <c r="O528" i="3"/>
  <c r="L528" i="3"/>
  <c r="E528" i="3"/>
  <c r="V527" i="3"/>
  <c r="U527" i="3"/>
  <c r="T527" i="3"/>
  <c r="S527" i="3"/>
  <c r="P527" i="3"/>
  <c r="O527" i="3"/>
  <c r="L527" i="3"/>
  <c r="E527" i="3"/>
  <c r="V526" i="3"/>
  <c r="U526" i="3"/>
  <c r="T526" i="3"/>
  <c r="S526" i="3"/>
  <c r="P526" i="3"/>
  <c r="O526" i="3"/>
  <c r="L526" i="3"/>
  <c r="E526" i="3"/>
  <c r="V525" i="3"/>
  <c r="U525" i="3"/>
  <c r="T525" i="3"/>
  <c r="S525" i="3"/>
  <c r="P525" i="3"/>
  <c r="O525" i="3"/>
  <c r="L525" i="3"/>
  <c r="E525" i="3"/>
  <c r="V524" i="3"/>
  <c r="U524" i="3"/>
  <c r="T524" i="3"/>
  <c r="S524" i="3"/>
  <c r="P524" i="3"/>
  <c r="O524" i="3"/>
  <c r="L524" i="3"/>
  <c r="E524" i="3"/>
  <c r="V523" i="3"/>
  <c r="U523" i="3"/>
  <c r="T523" i="3"/>
  <c r="S523" i="3"/>
  <c r="P523" i="3"/>
  <c r="O523" i="3"/>
  <c r="L523" i="3"/>
  <c r="E523" i="3"/>
  <c r="V522" i="3"/>
  <c r="U522" i="3"/>
  <c r="T522" i="3"/>
  <c r="S522" i="3"/>
  <c r="P522" i="3"/>
  <c r="O522" i="3"/>
  <c r="L522" i="3"/>
  <c r="E522" i="3"/>
  <c r="V521" i="3"/>
  <c r="U521" i="3"/>
  <c r="T521" i="3"/>
  <c r="S521" i="3"/>
  <c r="P521" i="3"/>
  <c r="O521" i="3"/>
  <c r="L521" i="3"/>
  <c r="E521" i="3"/>
  <c r="V520" i="3"/>
  <c r="U520" i="3"/>
  <c r="T520" i="3"/>
  <c r="S520" i="3"/>
  <c r="P520" i="3"/>
  <c r="O520" i="3"/>
  <c r="L520" i="3"/>
  <c r="E520" i="3"/>
  <c r="V519" i="3"/>
  <c r="U519" i="3"/>
  <c r="T519" i="3"/>
  <c r="S519" i="3"/>
  <c r="P519" i="3"/>
  <c r="O519" i="3"/>
  <c r="L519" i="3"/>
  <c r="E519" i="3"/>
  <c r="V518" i="3"/>
  <c r="U518" i="3"/>
  <c r="T518" i="3"/>
  <c r="S518" i="3"/>
  <c r="P518" i="3"/>
  <c r="O518" i="3"/>
  <c r="L518" i="3"/>
  <c r="E518" i="3"/>
  <c r="V517" i="3"/>
  <c r="U517" i="3"/>
  <c r="T517" i="3"/>
  <c r="S517" i="3"/>
  <c r="P517" i="3"/>
  <c r="O517" i="3"/>
  <c r="L517" i="3"/>
  <c r="E517" i="3"/>
  <c r="V516" i="3"/>
  <c r="U516" i="3"/>
  <c r="T516" i="3"/>
  <c r="S516" i="3"/>
  <c r="L516" i="3"/>
  <c r="E516" i="3"/>
  <c r="V515" i="3"/>
  <c r="U515" i="3"/>
  <c r="T515" i="3"/>
  <c r="S515" i="3"/>
  <c r="L515" i="3"/>
  <c r="E515" i="3"/>
  <c r="V514" i="3"/>
  <c r="U514" i="3"/>
  <c r="T514" i="3"/>
  <c r="S514" i="3"/>
  <c r="L514" i="3"/>
  <c r="E514" i="3"/>
  <c r="V513" i="3"/>
  <c r="U513" i="3"/>
  <c r="T513" i="3"/>
  <c r="S513" i="3"/>
  <c r="L513" i="3"/>
  <c r="E513" i="3"/>
  <c r="V512" i="3"/>
  <c r="U512" i="3"/>
  <c r="T512" i="3"/>
  <c r="S512" i="3"/>
  <c r="L512" i="3"/>
  <c r="E512" i="3"/>
  <c r="V511" i="3"/>
  <c r="U511" i="3"/>
  <c r="T511" i="3"/>
  <c r="S511" i="3"/>
  <c r="L511" i="3"/>
  <c r="E511" i="3"/>
  <c r="V510" i="3"/>
  <c r="U510" i="3"/>
  <c r="T510" i="3"/>
  <c r="S510" i="3"/>
  <c r="L510" i="3"/>
  <c r="E510" i="3"/>
  <c r="V509" i="3"/>
  <c r="U509" i="3"/>
  <c r="T509" i="3"/>
  <c r="S509" i="3"/>
  <c r="L509" i="3"/>
  <c r="E509" i="3"/>
  <c r="V508" i="3"/>
  <c r="U508" i="3"/>
  <c r="T508" i="3"/>
  <c r="S508" i="3"/>
  <c r="L508" i="3"/>
  <c r="E508" i="3"/>
  <c r="V507" i="3"/>
  <c r="U507" i="3"/>
  <c r="T507" i="3"/>
  <c r="S507" i="3"/>
  <c r="L507" i="3"/>
  <c r="E507" i="3"/>
  <c r="V506" i="3"/>
  <c r="U506" i="3"/>
  <c r="T506" i="3"/>
  <c r="S506" i="3"/>
  <c r="L506" i="3"/>
  <c r="E506" i="3"/>
  <c r="V505" i="3"/>
  <c r="U505" i="3"/>
  <c r="T505" i="3"/>
  <c r="S505" i="3"/>
  <c r="L505" i="3"/>
  <c r="E505" i="3"/>
  <c r="V504" i="3"/>
  <c r="U504" i="3"/>
  <c r="T504" i="3"/>
  <c r="S504" i="3"/>
  <c r="L504" i="3"/>
  <c r="E504" i="3"/>
  <c r="V503" i="3"/>
  <c r="U503" i="3"/>
  <c r="T503" i="3"/>
  <c r="S503" i="3"/>
  <c r="L503" i="3"/>
  <c r="E503" i="3"/>
  <c r="V502" i="3"/>
  <c r="U502" i="3"/>
  <c r="T502" i="3"/>
  <c r="S502" i="3"/>
  <c r="L502" i="3"/>
  <c r="E502" i="3"/>
  <c r="V501" i="3"/>
  <c r="U501" i="3"/>
  <c r="T501" i="3"/>
  <c r="S501" i="3"/>
  <c r="L501" i="3"/>
  <c r="E501" i="3"/>
  <c r="V500" i="3"/>
  <c r="U500" i="3"/>
  <c r="T500" i="3"/>
  <c r="S500" i="3"/>
  <c r="L500" i="3"/>
  <c r="E500" i="3"/>
  <c r="V499" i="3"/>
  <c r="U499" i="3"/>
  <c r="T499" i="3"/>
  <c r="S499" i="3"/>
  <c r="L499" i="3"/>
  <c r="E499" i="3"/>
  <c r="V498" i="3"/>
  <c r="U498" i="3"/>
  <c r="T498" i="3"/>
  <c r="S498" i="3"/>
  <c r="L498" i="3"/>
  <c r="E498" i="3"/>
  <c r="V497" i="3"/>
  <c r="U497" i="3"/>
  <c r="T497" i="3"/>
  <c r="S497" i="3"/>
  <c r="L497" i="3"/>
  <c r="E497" i="3"/>
  <c r="V496" i="3"/>
  <c r="U496" i="3"/>
  <c r="T496" i="3"/>
  <c r="S496" i="3"/>
  <c r="L496" i="3"/>
  <c r="E496" i="3"/>
  <c r="V495" i="3"/>
  <c r="U495" i="3"/>
  <c r="T495" i="3"/>
  <c r="S495" i="3"/>
  <c r="L495" i="3"/>
  <c r="E495" i="3"/>
  <c r="V494" i="3"/>
  <c r="U494" i="3"/>
  <c r="T494" i="3"/>
  <c r="S494" i="3"/>
  <c r="L494" i="3"/>
  <c r="E494" i="3"/>
  <c r="V493" i="3"/>
  <c r="U493" i="3"/>
  <c r="T493" i="3"/>
  <c r="S493" i="3"/>
  <c r="L493" i="3"/>
  <c r="E493" i="3"/>
  <c r="V492" i="3"/>
  <c r="U492" i="3"/>
  <c r="T492" i="3"/>
  <c r="S492" i="3"/>
  <c r="L492" i="3"/>
  <c r="E492" i="3"/>
  <c r="V491" i="3"/>
  <c r="U491" i="3"/>
  <c r="T491" i="3"/>
  <c r="S491" i="3"/>
  <c r="L491" i="3"/>
  <c r="E491" i="3"/>
  <c r="V490" i="3"/>
  <c r="U490" i="3"/>
  <c r="T490" i="3"/>
  <c r="S490" i="3"/>
  <c r="L490" i="3"/>
  <c r="E490" i="3"/>
  <c r="V489" i="3"/>
  <c r="U489" i="3"/>
  <c r="T489" i="3"/>
  <c r="S489" i="3"/>
  <c r="L489" i="3"/>
  <c r="E489" i="3"/>
  <c r="V488" i="3"/>
  <c r="U488" i="3"/>
  <c r="T488" i="3"/>
  <c r="S488" i="3"/>
  <c r="L488" i="3"/>
  <c r="E488" i="3"/>
  <c r="V487" i="3"/>
  <c r="U487" i="3"/>
  <c r="T487" i="3"/>
  <c r="S487" i="3"/>
  <c r="L487" i="3"/>
  <c r="E487" i="3"/>
  <c r="V486" i="3"/>
  <c r="U486" i="3"/>
  <c r="T486" i="3"/>
  <c r="S486" i="3"/>
  <c r="L486" i="3"/>
  <c r="E486" i="3"/>
  <c r="V485" i="3"/>
  <c r="U485" i="3"/>
  <c r="T485" i="3"/>
  <c r="S485" i="3"/>
  <c r="L485" i="3"/>
  <c r="E485" i="3"/>
  <c r="V484" i="3"/>
  <c r="U484" i="3"/>
  <c r="T484" i="3"/>
  <c r="S484" i="3"/>
  <c r="L484" i="3"/>
  <c r="E484" i="3"/>
  <c r="V483" i="3"/>
  <c r="U483" i="3"/>
  <c r="T483" i="3"/>
  <c r="S483" i="3"/>
  <c r="L483" i="3"/>
  <c r="E483" i="3"/>
  <c r="V482" i="3"/>
  <c r="U482" i="3"/>
  <c r="T482" i="3"/>
  <c r="S482" i="3"/>
  <c r="L482" i="3"/>
  <c r="E482" i="3"/>
  <c r="V481" i="3"/>
  <c r="U481" i="3"/>
  <c r="T481" i="3"/>
  <c r="S481" i="3"/>
  <c r="L481" i="3"/>
  <c r="E481" i="3"/>
  <c r="V480" i="3"/>
  <c r="U480" i="3"/>
  <c r="T480" i="3"/>
  <c r="S480" i="3"/>
  <c r="L480" i="3"/>
  <c r="E480" i="3"/>
  <c r="V479" i="3"/>
  <c r="U479" i="3"/>
  <c r="T479" i="3"/>
  <c r="S479" i="3"/>
  <c r="L479" i="3"/>
  <c r="E479" i="3"/>
  <c r="V478" i="3"/>
  <c r="U478" i="3"/>
  <c r="T478" i="3"/>
  <c r="S478" i="3"/>
  <c r="L478" i="3"/>
  <c r="E478" i="3"/>
  <c r="V477" i="3"/>
  <c r="U477" i="3"/>
  <c r="T477" i="3"/>
  <c r="S477" i="3"/>
  <c r="L477" i="3"/>
  <c r="E477" i="3"/>
  <c r="V476" i="3"/>
  <c r="U476" i="3"/>
  <c r="T476" i="3"/>
  <c r="S476" i="3"/>
  <c r="L476" i="3"/>
  <c r="E476" i="3"/>
  <c r="V475" i="3"/>
  <c r="U475" i="3"/>
  <c r="T475" i="3"/>
  <c r="S475" i="3"/>
  <c r="L475" i="3"/>
  <c r="E475" i="3"/>
  <c r="V474" i="3"/>
  <c r="U474" i="3"/>
  <c r="T474" i="3"/>
  <c r="S474" i="3"/>
  <c r="L474" i="3"/>
  <c r="E474" i="3"/>
  <c r="V473" i="3"/>
  <c r="U473" i="3"/>
  <c r="T473" i="3"/>
  <c r="S473" i="3"/>
  <c r="L473" i="3"/>
  <c r="E473" i="3"/>
  <c r="V472" i="3"/>
  <c r="U472" i="3"/>
  <c r="T472" i="3"/>
  <c r="S472" i="3"/>
  <c r="L472" i="3"/>
  <c r="E472" i="3"/>
  <c r="V471" i="3"/>
  <c r="U471" i="3"/>
  <c r="T471" i="3"/>
  <c r="S471" i="3"/>
  <c r="L471" i="3"/>
  <c r="E471" i="3"/>
  <c r="V470" i="3"/>
  <c r="U470" i="3"/>
  <c r="T470" i="3"/>
  <c r="S470" i="3"/>
  <c r="L470" i="3"/>
  <c r="E470" i="3"/>
  <c r="V469" i="3"/>
  <c r="U469" i="3"/>
  <c r="T469" i="3"/>
  <c r="S469" i="3"/>
  <c r="L469" i="3"/>
  <c r="E469" i="3"/>
  <c r="V468" i="3"/>
  <c r="U468" i="3"/>
  <c r="T468" i="3"/>
  <c r="S468" i="3"/>
  <c r="L468" i="3"/>
  <c r="E468" i="3"/>
  <c r="V467" i="3"/>
  <c r="U467" i="3"/>
  <c r="T467" i="3"/>
  <c r="S467" i="3"/>
  <c r="L467" i="3"/>
  <c r="E467" i="3"/>
  <c r="V466" i="3"/>
  <c r="U466" i="3"/>
  <c r="T466" i="3"/>
  <c r="S466" i="3"/>
  <c r="L466" i="3"/>
  <c r="E466" i="3"/>
  <c r="V465" i="3"/>
  <c r="U465" i="3"/>
  <c r="T465" i="3"/>
  <c r="S465" i="3"/>
  <c r="L465" i="3"/>
  <c r="E465" i="3"/>
  <c r="V464" i="3"/>
  <c r="U464" i="3"/>
  <c r="T464" i="3"/>
  <c r="S464" i="3"/>
  <c r="L464" i="3"/>
  <c r="E464" i="3"/>
  <c r="V463" i="3"/>
  <c r="U463" i="3"/>
  <c r="T463" i="3"/>
  <c r="S463" i="3"/>
  <c r="L463" i="3"/>
  <c r="E463" i="3"/>
  <c r="V462" i="3"/>
  <c r="U462" i="3"/>
  <c r="T462" i="3"/>
  <c r="S462" i="3"/>
  <c r="L462" i="3"/>
  <c r="E462" i="3"/>
  <c r="V461" i="3"/>
  <c r="U461" i="3"/>
  <c r="T461" i="3"/>
  <c r="S461" i="3"/>
  <c r="L461" i="3"/>
  <c r="E461" i="3"/>
  <c r="V460" i="3"/>
  <c r="U460" i="3"/>
  <c r="T460" i="3"/>
  <c r="S460" i="3"/>
  <c r="L460" i="3"/>
  <c r="E460" i="3"/>
  <c r="V459" i="3"/>
  <c r="U459" i="3"/>
  <c r="T459" i="3"/>
  <c r="S459" i="3"/>
  <c r="L459" i="3"/>
  <c r="E459" i="3"/>
  <c r="V458" i="3"/>
  <c r="U458" i="3"/>
  <c r="T458" i="3"/>
  <c r="S458" i="3"/>
  <c r="L458" i="3"/>
  <c r="E458" i="3"/>
  <c r="V457" i="3"/>
  <c r="U457" i="3"/>
  <c r="T457" i="3"/>
  <c r="S457" i="3"/>
  <c r="L457" i="3"/>
  <c r="E457" i="3"/>
  <c r="V456" i="3"/>
  <c r="U456" i="3"/>
  <c r="T456" i="3"/>
  <c r="S456" i="3"/>
  <c r="L456" i="3"/>
  <c r="E456" i="3"/>
  <c r="V455" i="3"/>
  <c r="U455" i="3"/>
  <c r="T455" i="3"/>
  <c r="S455" i="3"/>
  <c r="L455" i="3"/>
  <c r="E455" i="3"/>
  <c r="V454" i="3"/>
  <c r="U454" i="3"/>
  <c r="T454" i="3"/>
  <c r="S454" i="3"/>
  <c r="L454" i="3"/>
  <c r="E454" i="3"/>
  <c r="V453" i="3"/>
  <c r="U453" i="3"/>
  <c r="T453" i="3"/>
  <c r="S453" i="3"/>
  <c r="L453" i="3"/>
  <c r="E453" i="3"/>
  <c r="V452" i="3"/>
  <c r="U452" i="3"/>
  <c r="T452" i="3"/>
  <c r="S452" i="3"/>
  <c r="L452" i="3"/>
  <c r="E452" i="3"/>
  <c r="V451" i="3"/>
  <c r="U451" i="3"/>
  <c r="T451" i="3"/>
  <c r="S451" i="3"/>
  <c r="L451" i="3"/>
  <c r="E451" i="3"/>
  <c r="V450" i="3"/>
  <c r="U450" i="3"/>
  <c r="T450" i="3"/>
  <c r="S450" i="3"/>
  <c r="L450" i="3"/>
  <c r="E450" i="3"/>
  <c r="V449" i="3"/>
  <c r="U449" i="3"/>
  <c r="T449" i="3"/>
  <c r="S449" i="3"/>
  <c r="L449" i="3"/>
  <c r="E449" i="3"/>
  <c r="V448" i="3"/>
  <c r="U448" i="3"/>
  <c r="T448" i="3"/>
  <c r="S448" i="3"/>
  <c r="L448" i="3"/>
  <c r="E448" i="3"/>
  <c r="V447" i="3"/>
  <c r="U447" i="3"/>
  <c r="T447" i="3"/>
  <c r="S447" i="3"/>
  <c r="L447" i="3"/>
  <c r="E447" i="3"/>
  <c r="V446" i="3"/>
  <c r="U446" i="3"/>
  <c r="T446" i="3"/>
  <c r="S446" i="3"/>
  <c r="L446" i="3"/>
  <c r="E446" i="3"/>
  <c r="V445" i="3"/>
  <c r="U445" i="3"/>
  <c r="T445" i="3"/>
  <c r="S445" i="3"/>
  <c r="L445" i="3"/>
  <c r="E445" i="3"/>
  <c r="V444" i="3"/>
  <c r="U444" i="3"/>
  <c r="T444" i="3"/>
  <c r="S444" i="3"/>
  <c r="L444" i="3"/>
  <c r="E444" i="3"/>
  <c r="V443" i="3"/>
  <c r="U443" i="3"/>
  <c r="T443" i="3"/>
  <c r="S443" i="3"/>
  <c r="L443" i="3"/>
  <c r="E443" i="3"/>
  <c r="V442" i="3"/>
  <c r="U442" i="3"/>
  <c r="T442" i="3"/>
  <c r="S442" i="3"/>
  <c r="L442" i="3"/>
  <c r="E442" i="3"/>
  <c r="V441" i="3"/>
  <c r="U441" i="3"/>
  <c r="T441" i="3"/>
  <c r="S441" i="3"/>
  <c r="L441" i="3"/>
  <c r="E441" i="3"/>
  <c r="V440" i="3"/>
  <c r="U440" i="3"/>
  <c r="T440" i="3"/>
  <c r="S440" i="3"/>
  <c r="L440" i="3"/>
  <c r="E440" i="3"/>
  <c r="V439" i="3"/>
  <c r="U439" i="3"/>
  <c r="T439" i="3"/>
  <c r="S439" i="3"/>
  <c r="L439" i="3"/>
  <c r="E439" i="3"/>
  <c r="V438" i="3"/>
  <c r="U438" i="3"/>
  <c r="T438" i="3"/>
  <c r="S438" i="3"/>
  <c r="L438" i="3"/>
  <c r="E438" i="3"/>
  <c r="V437" i="3"/>
  <c r="U437" i="3"/>
  <c r="T437" i="3"/>
  <c r="S437" i="3"/>
  <c r="L437" i="3"/>
  <c r="E437" i="3"/>
  <c r="V436" i="3"/>
  <c r="U436" i="3"/>
  <c r="T436" i="3"/>
  <c r="S436" i="3"/>
  <c r="L436" i="3"/>
  <c r="E436" i="3"/>
  <c r="V435" i="3"/>
  <c r="U435" i="3"/>
  <c r="T435" i="3"/>
  <c r="S435" i="3"/>
  <c r="L435" i="3"/>
  <c r="E435" i="3"/>
  <c r="V434" i="3"/>
  <c r="U434" i="3"/>
  <c r="T434" i="3"/>
  <c r="S434" i="3"/>
  <c r="L434" i="3"/>
  <c r="E434" i="3"/>
  <c r="V433" i="3"/>
  <c r="U433" i="3"/>
  <c r="T433" i="3"/>
  <c r="S433" i="3"/>
  <c r="L433" i="3"/>
  <c r="E433" i="3"/>
  <c r="V432" i="3"/>
  <c r="U432" i="3"/>
  <c r="T432" i="3"/>
  <c r="S432" i="3"/>
  <c r="L432" i="3"/>
  <c r="E432" i="3"/>
  <c r="V431" i="3"/>
  <c r="U431" i="3"/>
  <c r="T431" i="3"/>
  <c r="S431" i="3"/>
  <c r="L431" i="3"/>
  <c r="E431" i="3"/>
  <c r="V430" i="3"/>
  <c r="U430" i="3"/>
  <c r="T430" i="3"/>
  <c r="S430" i="3"/>
  <c r="L430" i="3"/>
  <c r="E430" i="3"/>
  <c r="V429" i="3"/>
  <c r="U429" i="3"/>
  <c r="T429" i="3"/>
  <c r="S429" i="3"/>
  <c r="L429" i="3"/>
  <c r="E429" i="3"/>
  <c r="V428" i="3"/>
  <c r="U428" i="3"/>
  <c r="T428" i="3"/>
  <c r="S428" i="3"/>
  <c r="L428" i="3"/>
  <c r="E428" i="3"/>
  <c r="V427" i="3"/>
  <c r="U427" i="3"/>
  <c r="T427" i="3"/>
  <c r="S427" i="3"/>
  <c r="L427" i="3"/>
  <c r="E427" i="3"/>
  <c r="V426" i="3"/>
  <c r="U426" i="3"/>
  <c r="T426" i="3"/>
  <c r="S426" i="3"/>
  <c r="L426" i="3"/>
  <c r="E426" i="3"/>
  <c r="V425" i="3"/>
  <c r="U425" i="3"/>
  <c r="T425" i="3"/>
  <c r="S425" i="3"/>
  <c r="L425" i="3"/>
  <c r="E425" i="3"/>
  <c r="V424" i="3"/>
  <c r="U424" i="3"/>
  <c r="T424" i="3"/>
  <c r="S424" i="3"/>
  <c r="L424" i="3"/>
  <c r="E424" i="3"/>
  <c r="V423" i="3"/>
  <c r="U423" i="3"/>
  <c r="T423" i="3"/>
  <c r="S423" i="3"/>
  <c r="L423" i="3"/>
  <c r="E423" i="3"/>
  <c r="V422" i="3"/>
  <c r="U422" i="3"/>
  <c r="T422" i="3"/>
  <c r="S422" i="3"/>
  <c r="L422" i="3"/>
  <c r="E422" i="3"/>
  <c r="V421" i="3"/>
  <c r="U421" i="3"/>
  <c r="T421" i="3"/>
  <c r="S421" i="3"/>
  <c r="L421" i="3"/>
  <c r="E421" i="3"/>
  <c r="V420" i="3"/>
  <c r="U420" i="3"/>
  <c r="T420" i="3"/>
  <c r="S420" i="3"/>
  <c r="L420" i="3"/>
  <c r="E420" i="3"/>
  <c r="V419" i="3"/>
  <c r="U419" i="3"/>
  <c r="T419" i="3"/>
  <c r="S419" i="3"/>
  <c r="L419" i="3"/>
  <c r="E419" i="3"/>
  <c r="V418" i="3"/>
  <c r="U418" i="3"/>
  <c r="T418" i="3"/>
  <c r="S418" i="3"/>
  <c r="L418" i="3"/>
  <c r="E418" i="3"/>
  <c r="V417" i="3"/>
  <c r="U417" i="3"/>
  <c r="T417" i="3"/>
  <c r="S417" i="3"/>
  <c r="L417" i="3"/>
  <c r="E417" i="3"/>
  <c r="V416" i="3"/>
  <c r="U416" i="3"/>
  <c r="T416" i="3"/>
  <c r="S416" i="3"/>
  <c r="L416" i="3"/>
  <c r="E416" i="3"/>
  <c r="V415" i="3"/>
  <c r="U415" i="3"/>
  <c r="T415" i="3"/>
  <c r="S415" i="3"/>
  <c r="L415" i="3"/>
  <c r="E415" i="3"/>
  <c r="V414" i="3"/>
  <c r="U414" i="3"/>
  <c r="T414" i="3"/>
  <c r="S414" i="3"/>
  <c r="L414" i="3"/>
  <c r="E414" i="3"/>
  <c r="V413" i="3"/>
  <c r="U413" i="3"/>
  <c r="T413" i="3"/>
  <c r="S413" i="3"/>
  <c r="L413" i="3"/>
  <c r="E413" i="3"/>
  <c r="V412" i="3"/>
  <c r="U412" i="3"/>
  <c r="T412" i="3"/>
  <c r="S412" i="3"/>
  <c r="L412" i="3"/>
  <c r="E412" i="3"/>
  <c r="V411" i="3"/>
  <c r="U411" i="3"/>
  <c r="T411" i="3"/>
  <c r="S411" i="3"/>
  <c r="L411" i="3"/>
  <c r="E411" i="3"/>
  <c r="V410" i="3"/>
  <c r="U410" i="3"/>
  <c r="T410" i="3"/>
  <c r="S410" i="3"/>
  <c r="L410" i="3"/>
  <c r="E410" i="3"/>
  <c r="V409" i="3"/>
  <c r="U409" i="3"/>
  <c r="T409" i="3"/>
  <c r="S409" i="3"/>
  <c r="L409" i="3"/>
  <c r="E409" i="3"/>
  <c r="V408" i="3"/>
  <c r="U408" i="3"/>
  <c r="T408" i="3"/>
  <c r="S408" i="3"/>
  <c r="L408" i="3"/>
  <c r="E408" i="3"/>
  <c r="V407" i="3"/>
  <c r="U407" i="3"/>
  <c r="T407" i="3"/>
  <c r="S407" i="3"/>
  <c r="L407" i="3"/>
  <c r="E407" i="3"/>
  <c r="V406" i="3"/>
  <c r="U406" i="3"/>
  <c r="T406" i="3"/>
  <c r="S406" i="3"/>
  <c r="L406" i="3"/>
  <c r="E406" i="3"/>
  <c r="V405" i="3"/>
  <c r="U405" i="3"/>
  <c r="T405" i="3"/>
  <c r="S405" i="3"/>
  <c r="L405" i="3"/>
  <c r="E405" i="3"/>
  <c r="V404" i="3"/>
  <c r="U404" i="3"/>
  <c r="T404" i="3"/>
  <c r="S404" i="3"/>
  <c r="L404" i="3"/>
  <c r="E404" i="3"/>
  <c r="V403" i="3"/>
  <c r="U403" i="3"/>
  <c r="T403" i="3"/>
  <c r="S403" i="3"/>
  <c r="L403" i="3"/>
  <c r="E403" i="3"/>
  <c r="V402" i="3"/>
  <c r="U402" i="3"/>
  <c r="T402" i="3"/>
  <c r="S402" i="3"/>
  <c r="L402" i="3"/>
  <c r="E402" i="3"/>
  <c r="V401" i="3"/>
  <c r="U401" i="3"/>
  <c r="T401" i="3"/>
  <c r="S401" i="3"/>
  <c r="L401" i="3"/>
  <c r="E401" i="3"/>
  <c r="V400" i="3"/>
  <c r="U400" i="3"/>
  <c r="T400" i="3"/>
  <c r="S400" i="3"/>
  <c r="L400" i="3"/>
  <c r="E400" i="3"/>
  <c r="V399" i="3"/>
  <c r="U399" i="3"/>
  <c r="T399" i="3"/>
  <c r="S399" i="3"/>
  <c r="L399" i="3"/>
  <c r="E399" i="3"/>
  <c r="V398" i="3"/>
  <c r="U398" i="3"/>
  <c r="T398" i="3"/>
  <c r="S398" i="3"/>
  <c r="L398" i="3"/>
  <c r="E398" i="3"/>
  <c r="V397" i="3"/>
  <c r="U397" i="3"/>
  <c r="T397" i="3"/>
  <c r="S397" i="3"/>
  <c r="L397" i="3"/>
  <c r="E397" i="3"/>
  <c r="V396" i="3"/>
  <c r="U396" i="3"/>
  <c r="T396" i="3"/>
  <c r="S396" i="3"/>
  <c r="L396" i="3"/>
  <c r="E396" i="3"/>
  <c r="V395" i="3"/>
  <c r="U395" i="3"/>
  <c r="T395" i="3"/>
  <c r="S395" i="3"/>
  <c r="L395" i="3"/>
  <c r="E395" i="3"/>
  <c r="V394" i="3"/>
  <c r="U394" i="3"/>
  <c r="T394" i="3"/>
  <c r="S394" i="3"/>
  <c r="L394" i="3"/>
  <c r="E394" i="3"/>
  <c r="V393" i="3"/>
  <c r="U393" i="3"/>
  <c r="T393" i="3"/>
  <c r="S393" i="3"/>
  <c r="L393" i="3"/>
  <c r="E393" i="3"/>
  <c r="V392" i="3"/>
  <c r="U392" i="3"/>
  <c r="T392" i="3"/>
  <c r="S392" i="3"/>
  <c r="L392" i="3"/>
  <c r="E392" i="3"/>
  <c r="V391" i="3"/>
  <c r="U391" i="3"/>
  <c r="T391" i="3"/>
  <c r="S391" i="3"/>
  <c r="L391" i="3"/>
  <c r="E391" i="3"/>
  <c r="V390" i="3"/>
  <c r="U390" i="3"/>
  <c r="T390" i="3"/>
  <c r="S390" i="3"/>
  <c r="L390" i="3"/>
  <c r="E390" i="3"/>
  <c r="V389" i="3"/>
  <c r="U389" i="3"/>
  <c r="T389" i="3"/>
  <c r="S389" i="3"/>
  <c r="L389" i="3"/>
  <c r="E389" i="3"/>
  <c r="V388" i="3"/>
  <c r="U388" i="3"/>
  <c r="T388" i="3"/>
  <c r="S388" i="3"/>
  <c r="L388" i="3"/>
  <c r="E388" i="3"/>
  <c r="V387" i="3"/>
  <c r="U387" i="3"/>
  <c r="T387" i="3"/>
  <c r="S387" i="3"/>
  <c r="L387" i="3"/>
  <c r="E387" i="3"/>
  <c r="V386" i="3"/>
  <c r="U386" i="3"/>
  <c r="T386" i="3"/>
  <c r="S386" i="3"/>
  <c r="L386" i="3"/>
  <c r="E386" i="3"/>
  <c r="V385" i="3"/>
  <c r="U385" i="3"/>
  <c r="T385" i="3"/>
  <c r="S385" i="3"/>
  <c r="L385" i="3"/>
  <c r="E385" i="3"/>
  <c r="V384" i="3"/>
  <c r="U384" i="3"/>
  <c r="T384" i="3"/>
  <c r="S384" i="3"/>
  <c r="L384" i="3"/>
  <c r="E384" i="3"/>
  <c r="V383" i="3"/>
  <c r="U383" i="3"/>
  <c r="T383" i="3"/>
  <c r="S383" i="3"/>
  <c r="L383" i="3"/>
  <c r="E383" i="3"/>
  <c r="V382" i="3"/>
  <c r="U382" i="3"/>
  <c r="T382" i="3"/>
  <c r="S382" i="3"/>
  <c r="L382" i="3"/>
  <c r="E382" i="3"/>
  <c r="V381" i="3"/>
  <c r="U381" i="3"/>
  <c r="T381" i="3"/>
  <c r="S381" i="3"/>
  <c r="L381" i="3"/>
  <c r="E381" i="3"/>
  <c r="V380" i="3"/>
  <c r="U380" i="3"/>
  <c r="T380" i="3"/>
  <c r="S380" i="3"/>
  <c r="L380" i="3"/>
  <c r="E380" i="3"/>
  <c r="V379" i="3"/>
  <c r="U379" i="3"/>
  <c r="T379" i="3"/>
  <c r="S379" i="3"/>
  <c r="L379" i="3"/>
  <c r="E379" i="3"/>
  <c r="V378" i="3"/>
  <c r="U378" i="3"/>
  <c r="T378" i="3"/>
  <c r="S378" i="3"/>
  <c r="L378" i="3"/>
  <c r="E378" i="3"/>
  <c r="V377" i="3"/>
  <c r="U377" i="3"/>
  <c r="T377" i="3"/>
  <c r="S377" i="3"/>
  <c r="L377" i="3"/>
  <c r="E377" i="3"/>
  <c r="V376" i="3"/>
  <c r="U376" i="3"/>
  <c r="T376" i="3"/>
  <c r="S376" i="3"/>
  <c r="L376" i="3"/>
  <c r="E376" i="3"/>
  <c r="V375" i="3"/>
  <c r="U375" i="3"/>
  <c r="T375" i="3"/>
  <c r="S375" i="3"/>
  <c r="L375" i="3"/>
  <c r="E375" i="3"/>
  <c r="V374" i="3"/>
  <c r="U374" i="3"/>
  <c r="T374" i="3"/>
  <c r="S374" i="3"/>
  <c r="L374" i="3"/>
  <c r="E374" i="3"/>
  <c r="V373" i="3"/>
  <c r="U373" i="3"/>
  <c r="T373" i="3"/>
  <c r="S373" i="3"/>
  <c r="L373" i="3"/>
  <c r="E373" i="3"/>
  <c r="V372" i="3"/>
  <c r="U372" i="3"/>
  <c r="T372" i="3"/>
  <c r="S372" i="3"/>
  <c r="L372" i="3"/>
  <c r="E372" i="3"/>
  <c r="V371" i="3"/>
  <c r="U371" i="3"/>
  <c r="T371" i="3"/>
  <c r="S371" i="3"/>
  <c r="L371" i="3"/>
  <c r="E371" i="3"/>
  <c r="V370" i="3"/>
  <c r="U370" i="3"/>
  <c r="T370" i="3"/>
  <c r="S370" i="3"/>
  <c r="L370" i="3"/>
  <c r="E370" i="3"/>
  <c r="V369" i="3"/>
  <c r="U369" i="3"/>
  <c r="T369" i="3"/>
  <c r="S369" i="3"/>
  <c r="L369" i="3"/>
  <c r="E369" i="3"/>
  <c r="V368" i="3"/>
  <c r="U368" i="3"/>
  <c r="T368" i="3"/>
  <c r="S368" i="3"/>
  <c r="L368" i="3"/>
  <c r="E368" i="3"/>
  <c r="V367" i="3"/>
  <c r="U367" i="3"/>
  <c r="T367" i="3"/>
  <c r="S367" i="3"/>
  <c r="L367" i="3"/>
  <c r="E367" i="3"/>
  <c r="V366" i="3"/>
  <c r="U366" i="3"/>
  <c r="T366" i="3"/>
  <c r="S366" i="3"/>
  <c r="L366" i="3"/>
  <c r="E366" i="3"/>
  <c r="V365" i="3"/>
  <c r="U365" i="3"/>
  <c r="T365" i="3"/>
  <c r="S365" i="3"/>
  <c r="L365" i="3"/>
  <c r="E365" i="3"/>
  <c r="V364" i="3"/>
  <c r="U364" i="3"/>
  <c r="T364" i="3"/>
  <c r="S364" i="3"/>
  <c r="L364" i="3"/>
  <c r="E364" i="3"/>
  <c r="V363" i="3"/>
  <c r="U363" i="3"/>
  <c r="T363" i="3"/>
  <c r="S363" i="3"/>
  <c r="L363" i="3"/>
  <c r="E363" i="3"/>
  <c r="V362" i="3"/>
  <c r="U362" i="3"/>
  <c r="T362" i="3"/>
  <c r="S362" i="3"/>
  <c r="L362" i="3"/>
  <c r="E362" i="3"/>
  <c r="V361" i="3"/>
  <c r="U361" i="3"/>
  <c r="T361" i="3"/>
  <c r="S361" i="3"/>
  <c r="L361" i="3"/>
  <c r="E361" i="3"/>
  <c r="V360" i="3"/>
  <c r="U360" i="3"/>
  <c r="T360" i="3"/>
  <c r="S360" i="3"/>
  <c r="L360" i="3"/>
  <c r="E360" i="3"/>
  <c r="V359" i="3"/>
  <c r="U359" i="3"/>
  <c r="T359" i="3"/>
  <c r="S359" i="3"/>
  <c r="L359" i="3"/>
  <c r="E359" i="3"/>
  <c r="V358" i="3"/>
  <c r="U358" i="3"/>
  <c r="T358" i="3"/>
  <c r="S358" i="3"/>
  <c r="L358" i="3"/>
  <c r="E358" i="3"/>
  <c r="V357" i="3"/>
  <c r="U357" i="3"/>
  <c r="T357" i="3"/>
  <c r="S357" i="3"/>
  <c r="L357" i="3"/>
  <c r="E357" i="3"/>
  <c r="V356" i="3"/>
  <c r="U356" i="3"/>
  <c r="T356" i="3"/>
  <c r="S356" i="3"/>
  <c r="L356" i="3"/>
  <c r="E356" i="3"/>
  <c r="V355" i="3"/>
  <c r="U355" i="3"/>
  <c r="T355" i="3"/>
  <c r="S355" i="3"/>
  <c r="L355" i="3"/>
  <c r="E355" i="3"/>
  <c r="V354" i="3"/>
  <c r="U354" i="3"/>
  <c r="T354" i="3"/>
  <c r="S354" i="3"/>
  <c r="L354" i="3"/>
  <c r="E354" i="3"/>
  <c r="V353" i="3"/>
  <c r="U353" i="3"/>
  <c r="T353" i="3"/>
  <c r="S353" i="3"/>
  <c r="L353" i="3"/>
  <c r="E353" i="3"/>
  <c r="V352" i="3"/>
  <c r="U352" i="3"/>
  <c r="T352" i="3"/>
  <c r="S352" i="3"/>
  <c r="L352" i="3"/>
  <c r="E352" i="3"/>
  <c r="V351" i="3"/>
  <c r="U351" i="3"/>
  <c r="T351" i="3"/>
  <c r="S351" i="3"/>
  <c r="L351" i="3"/>
  <c r="E351" i="3"/>
  <c r="V350" i="3"/>
  <c r="U350" i="3"/>
  <c r="T350" i="3"/>
  <c r="S350" i="3"/>
  <c r="L350" i="3"/>
  <c r="E350" i="3"/>
  <c r="V349" i="3"/>
  <c r="U349" i="3"/>
  <c r="T349" i="3"/>
  <c r="S349" i="3"/>
  <c r="L349" i="3"/>
  <c r="E349" i="3"/>
  <c r="V348" i="3"/>
  <c r="U348" i="3"/>
  <c r="T348" i="3"/>
  <c r="S348" i="3"/>
  <c r="L348" i="3"/>
  <c r="E348" i="3"/>
  <c r="V347" i="3"/>
  <c r="U347" i="3"/>
  <c r="T347" i="3"/>
  <c r="S347" i="3"/>
  <c r="L347" i="3"/>
  <c r="E347" i="3"/>
  <c r="V346" i="3"/>
  <c r="U346" i="3"/>
  <c r="T346" i="3"/>
  <c r="S346" i="3"/>
  <c r="L346" i="3"/>
  <c r="E346" i="3"/>
  <c r="V345" i="3"/>
  <c r="U345" i="3"/>
  <c r="T345" i="3"/>
  <c r="S345" i="3"/>
  <c r="L345" i="3"/>
  <c r="E345" i="3"/>
  <c r="V344" i="3"/>
  <c r="U344" i="3"/>
  <c r="T344" i="3"/>
  <c r="S344" i="3"/>
  <c r="L344" i="3"/>
  <c r="E344" i="3"/>
  <c r="V343" i="3"/>
  <c r="U343" i="3"/>
  <c r="T343" i="3"/>
  <c r="S343" i="3"/>
  <c r="L343" i="3"/>
  <c r="E343" i="3"/>
  <c r="V342" i="3"/>
  <c r="U342" i="3"/>
  <c r="T342" i="3"/>
  <c r="S342" i="3"/>
  <c r="L342" i="3"/>
  <c r="E342" i="3"/>
  <c r="V341" i="3"/>
  <c r="U341" i="3"/>
  <c r="T341" i="3"/>
  <c r="S341" i="3"/>
  <c r="L341" i="3"/>
  <c r="E341" i="3"/>
  <c r="V340" i="3"/>
  <c r="U340" i="3"/>
  <c r="T340" i="3"/>
  <c r="S340" i="3"/>
  <c r="L340" i="3"/>
  <c r="E340" i="3"/>
  <c r="V339" i="3"/>
  <c r="U339" i="3"/>
  <c r="T339" i="3"/>
  <c r="S339" i="3"/>
  <c r="L339" i="3"/>
  <c r="E339" i="3"/>
  <c r="V338" i="3"/>
  <c r="U338" i="3"/>
  <c r="T338" i="3"/>
  <c r="S338" i="3"/>
  <c r="L338" i="3"/>
  <c r="E338" i="3"/>
  <c r="V337" i="3"/>
  <c r="U337" i="3"/>
  <c r="T337" i="3"/>
  <c r="S337" i="3"/>
  <c r="L337" i="3"/>
  <c r="E337" i="3"/>
  <c r="V336" i="3"/>
  <c r="U336" i="3"/>
  <c r="T336" i="3"/>
  <c r="S336" i="3"/>
  <c r="L336" i="3"/>
  <c r="E336" i="3"/>
  <c r="V335" i="3"/>
  <c r="U335" i="3"/>
  <c r="T335" i="3"/>
  <c r="S335" i="3"/>
  <c r="L335" i="3"/>
  <c r="E335" i="3"/>
  <c r="V334" i="3"/>
  <c r="U334" i="3"/>
  <c r="T334" i="3"/>
  <c r="S334" i="3"/>
  <c r="L334" i="3"/>
  <c r="E334" i="3"/>
  <c r="V333" i="3"/>
  <c r="U333" i="3"/>
  <c r="T333" i="3"/>
  <c r="S333" i="3"/>
  <c r="L333" i="3"/>
  <c r="E333" i="3"/>
  <c r="V332" i="3"/>
  <c r="U332" i="3"/>
  <c r="T332" i="3"/>
  <c r="S332" i="3"/>
  <c r="L332" i="3"/>
  <c r="E332" i="3"/>
  <c r="V331" i="3"/>
  <c r="U331" i="3"/>
  <c r="T331" i="3"/>
  <c r="S331" i="3"/>
  <c r="L331" i="3"/>
  <c r="E331" i="3"/>
  <c r="V330" i="3"/>
  <c r="U330" i="3"/>
  <c r="T330" i="3"/>
  <c r="S330" i="3"/>
  <c r="L330" i="3"/>
  <c r="E330" i="3"/>
  <c r="V329" i="3"/>
  <c r="U329" i="3"/>
  <c r="T329" i="3"/>
  <c r="S329" i="3"/>
  <c r="L329" i="3"/>
  <c r="E329" i="3"/>
  <c r="V328" i="3"/>
  <c r="U328" i="3"/>
  <c r="T328" i="3"/>
  <c r="S328" i="3"/>
  <c r="L328" i="3"/>
  <c r="E328" i="3"/>
  <c r="V327" i="3"/>
  <c r="U327" i="3"/>
  <c r="T327" i="3"/>
  <c r="S327" i="3"/>
  <c r="L327" i="3"/>
  <c r="E327" i="3"/>
  <c r="V326" i="3"/>
  <c r="U326" i="3"/>
  <c r="T326" i="3"/>
  <c r="S326" i="3"/>
  <c r="L326" i="3"/>
  <c r="E326" i="3"/>
  <c r="V325" i="3"/>
  <c r="U325" i="3"/>
  <c r="T325" i="3"/>
  <c r="S325" i="3"/>
  <c r="L325" i="3"/>
  <c r="E325" i="3"/>
  <c r="V324" i="3"/>
  <c r="U324" i="3"/>
  <c r="T324" i="3"/>
  <c r="S324" i="3"/>
  <c r="L324" i="3"/>
  <c r="E324" i="3"/>
  <c r="V323" i="3"/>
  <c r="U323" i="3"/>
  <c r="T323" i="3"/>
  <c r="S323" i="3"/>
  <c r="L323" i="3"/>
  <c r="E323" i="3"/>
  <c r="V322" i="3"/>
  <c r="U322" i="3"/>
  <c r="T322" i="3"/>
  <c r="S322" i="3"/>
  <c r="L322" i="3"/>
  <c r="E322" i="3"/>
  <c r="V321" i="3"/>
  <c r="U321" i="3"/>
  <c r="T321" i="3"/>
  <c r="S321" i="3"/>
  <c r="L321" i="3"/>
  <c r="E321" i="3"/>
  <c r="V320" i="3"/>
  <c r="U320" i="3"/>
  <c r="T320" i="3"/>
  <c r="S320" i="3"/>
  <c r="L320" i="3"/>
  <c r="E320" i="3"/>
  <c r="V319" i="3"/>
  <c r="U319" i="3"/>
  <c r="T319" i="3"/>
  <c r="S319" i="3"/>
  <c r="L319" i="3"/>
  <c r="E319" i="3"/>
  <c r="V318" i="3"/>
  <c r="U318" i="3"/>
  <c r="T318" i="3"/>
  <c r="S318" i="3"/>
  <c r="L318" i="3"/>
  <c r="E318" i="3"/>
  <c r="V317" i="3"/>
  <c r="U317" i="3"/>
  <c r="T317" i="3"/>
  <c r="S317" i="3"/>
  <c r="L317" i="3"/>
  <c r="E317" i="3"/>
  <c r="V316" i="3"/>
  <c r="U316" i="3"/>
  <c r="T316" i="3"/>
  <c r="S316" i="3"/>
  <c r="L316" i="3"/>
  <c r="E316" i="3"/>
  <c r="V315" i="3"/>
  <c r="U315" i="3"/>
  <c r="T315" i="3"/>
  <c r="S315" i="3"/>
  <c r="L315" i="3"/>
  <c r="E315" i="3"/>
  <c r="V314" i="3"/>
  <c r="U314" i="3"/>
  <c r="T314" i="3"/>
  <c r="S314" i="3"/>
  <c r="L314" i="3"/>
  <c r="E314" i="3"/>
  <c r="V313" i="3"/>
  <c r="U313" i="3"/>
  <c r="T313" i="3"/>
  <c r="S313" i="3"/>
  <c r="L313" i="3"/>
  <c r="E313" i="3"/>
  <c r="V312" i="3"/>
  <c r="U312" i="3"/>
  <c r="T312" i="3"/>
  <c r="S312" i="3"/>
  <c r="L312" i="3"/>
  <c r="E312" i="3"/>
  <c r="V311" i="3"/>
  <c r="U311" i="3"/>
  <c r="T311" i="3"/>
  <c r="S311" i="3"/>
  <c r="L311" i="3"/>
  <c r="E311" i="3"/>
  <c r="V310" i="3"/>
  <c r="U310" i="3"/>
  <c r="T310" i="3"/>
  <c r="S310" i="3"/>
  <c r="L310" i="3"/>
  <c r="E310" i="3"/>
  <c r="V309" i="3"/>
  <c r="U309" i="3"/>
  <c r="T309" i="3"/>
  <c r="S309" i="3"/>
  <c r="L309" i="3"/>
  <c r="E309" i="3"/>
  <c r="V308" i="3"/>
  <c r="U308" i="3"/>
  <c r="T308" i="3"/>
  <c r="S308" i="3"/>
  <c r="L308" i="3"/>
  <c r="E308" i="3"/>
  <c r="V307" i="3"/>
  <c r="U307" i="3"/>
  <c r="T307" i="3"/>
  <c r="S307" i="3"/>
  <c r="L307" i="3"/>
  <c r="E307" i="3"/>
  <c r="V306" i="3"/>
  <c r="U306" i="3"/>
  <c r="T306" i="3"/>
  <c r="S306" i="3"/>
  <c r="L306" i="3"/>
  <c r="E306" i="3"/>
  <c r="V305" i="3"/>
  <c r="U305" i="3"/>
  <c r="T305" i="3"/>
  <c r="S305" i="3"/>
  <c r="L305" i="3"/>
  <c r="E305" i="3"/>
  <c r="V304" i="3"/>
  <c r="U304" i="3"/>
  <c r="T304" i="3"/>
  <c r="S304" i="3"/>
  <c r="L304" i="3"/>
  <c r="E304" i="3"/>
  <c r="V303" i="3"/>
  <c r="U303" i="3"/>
  <c r="T303" i="3"/>
  <c r="S303" i="3"/>
  <c r="L303" i="3"/>
  <c r="E303" i="3"/>
  <c r="V302" i="3"/>
  <c r="U302" i="3"/>
  <c r="T302" i="3"/>
  <c r="S302" i="3"/>
  <c r="L302" i="3"/>
  <c r="E302" i="3"/>
  <c r="V301" i="3"/>
  <c r="U301" i="3"/>
  <c r="T301" i="3"/>
  <c r="S301" i="3"/>
  <c r="L301" i="3"/>
  <c r="E301" i="3"/>
  <c r="V300" i="3"/>
  <c r="U300" i="3"/>
  <c r="T300" i="3"/>
  <c r="S300" i="3"/>
  <c r="L300" i="3"/>
  <c r="E300" i="3"/>
  <c r="V299" i="3"/>
  <c r="U299" i="3"/>
  <c r="T299" i="3"/>
  <c r="S299" i="3"/>
  <c r="L299" i="3"/>
  <c r="E299" i="3"/>
  <c r="V298" i="3"/>
  <c r="U298" i="3"/>
  <c r="T298" i="3"/>
  <c r="S298" i="3"/>
  <c r="L298" i="3"/>
  <c r="E298" i="3"/>
  <c r="V297" i="3"/>
  <c r="U297" i="3"/>
  <c r="T297" i="3"/>
  <c r="S297" i="3"/>
  <c r="L297" i="3"/>
  <c r="E297" i="3"/>
  <c r="V296" i="3"/>
  <c r="U296" i="3"/>
  <c r="T296" i="3"/>
  <c r="S296" i="3"/>
  <c r="L296" i="3"/>
  <c r="E296" i="3"/>
  <c r="V295" i="3"/>
  <c r="U295" i="3"/>
  <c r="T295" i="3"/>
  <c r="S295" i="3"/>
  <c r="L295" i="3"/>
  <c r="E295" i="3"/>
  <c r="V294" i="3"/>
  <c r="U294" i="3"/>
  <c r="T294" i="3"/>
  <c r="S294" i="3"/>
  <c r="L294" i="3"/>
  <c r="E294" i="3"/>
  <c r="V293" i="3"/>
  <c r="U293" i="3"/>
  <c r="T293" i="3"/>
  <c r="S293" i="3"/>
  <c r="L293" i="3"/>
  <c r="E293" i="3"/>
  <c r="V292" i="3"/>
  <c r="U292" i="3"/>
  <c r="T292" i="3"/>
  <c r="S292" i="3"/>
  <c r="L292" i="3"/>
  <c r="E292" i="3"/>
  <c r="V291" i="3"/>
  <c r="U291" i="3"/>
  <c r="T291" i="3"/>
  <c r="S291" i="3"/>
  <c r="L291" i="3"/>
  <c r="E291" i="3"/>
  <c r="V290" i="3"/>
  <c r="U290" i="3"/>
  <c r="T290" i="3"/>
  <c r="S290" i="3"/>
  <c r="L290" i="3"/>
  <c r="E290" i="3"/>
  <c r="V289" i="3"/>
  <c r="U289" i="3"/>
  <c r="T289" i="3"/>
  <c r="S289" i="3"/>
  <c r="L289" i="3"/>
  <c r="E289" i="3"/>
  <c r="V288" i="3"/>
  <c r="U288" i="3"/>
  <c r="T288" i="3"/>
  <c r="S288" i="3"/>
  <c r="L288" i="3"/>
  <c r="E288" i="3"/>
  <c r="V287" i="3"/>
  <c r="U287" i="3"/>
  <c r="T287" i="3"/>
  <c r="S287" i="3"/>
  <c r="L287" i="3"/>
  <c r="E287" i="3"/>
  <c r="V286" i="3"/>
  <c r="U286" i="3"/>
  <c r="T286" i="3"/>
  <c r="S286" i="3"/>
  <c r="L286" i="3"/>
  <c r="E286" i="3"/>
  <c r="V285" i="3"/>
  <c r="U285" i="3"/>
  <c r="T285" i="3"/>
  <c r="S285" i="3"/>
  <c r="L285" i="3"/>
  <c r="E285" i="3"/>
  <c r="V284" i="3"/>
  <c r="U284" i="3"/>
  <c r="T284" i="3"/>
  <c r="S284" i="3"/>
  <c r="L284" i="3"/>
  <c r="E284" i="3"/>
  <c r="V283" i="3"/>
  <c r="U283" i="3"/>
  <c r="T283" i="3"/>
  <c r="S283" i="3"/>
  <c r="L283" i="3"/>
  <c r="E283" i="3"/>
  <c r="V282" i="3"/>
  <c r="U282" i="3"/>
  <c r="T282" i="3"/>
  <c r="S282" i="3"/>
  <c r="L282" i="3"/>
  <c r="E282" i="3"/>
  <c r="V281" i="3"/>
  <c r="U281" i="3"/>
  <c r="T281" i="3"/>
  <c r="S281" i="3"/>
  <c r="L281" i="3"/>
  <c r="E281" i="3"/>
  <c r="V280" i="3"/>
  <c r="U280" i="3"/>
  <c r="T280" i="3"/>
  <c r="S280" i="3"/>
  <c r="L280" i="3"/>
  <c r="E280" i="3"/>
  <c r="V279" i="3"/>
  <c r="U279" i="3"/>
  <c r="T279" i="3"/>
  <c r="S279" i="3"/>
  <c r="L279" i="3"/>
  <c r="E279" i="3"/>
  <c r="V278" i="3"/>
  <c r="U278" i="3"/>
  <c r="T278" i="3"/>
  <c r="S278" i="3"/>
  <c r="L278" i="3"/>
  <c r="E278" i="3"/>
  <c r="V277" i="3"/>
  <c r="U277" i="3"/>
  <c r="T277" i="3"/>
  <c r="S277" i="3"/>
  <c r="L277" i="3"/>
  <c r="E277" i="3"/>
  <c r="V276" i="3"/>
  <c r="U276" i="3"/>
  <c r="T276" i="3"/>
  <c r="S276" i="3"/>
  <c r="L276" i="3"/>
  <c r="E276" i="3"/>
  <c r="V275" i="3"/>
  <c r="U275" i="3"/>
  <c r="T275" i="3"/>
  <c r="S275" i="3"/>
  <c r="L275" i="3"/>
  <c r="E275" i="3"/>
  <c r="V274" i="3"/>
  <c r="U274" i="3"/>
  <c r="T274" i="3"/>
  <c r="S274" i="3"/>
  <c r="L274" i="3"/>
  <c r="E274" i="3"/>
  <c r="V273" i="3"/>
  <c r="U273" i="3"/>
  <c r="T273" i="3"/>
  <c r="S273" i="3"/>
  <c r="L273" i="3"/>
  <c r="E273" i="3"/>
  <c r="V272" i="3"/>
  <c r="U272" i="3"/>
  <c r="T272" i="3"/>
  <c r="S272" i="3"/>
  <c r="L272" i="3"/>
  <c r="E272" i="3"/>
  <c r="V271" i="3"/>
  <c r="U271" i="3"/>
  <c r="T271" i="3"/>
  <c r="S271" i="3"/>
  <c r="L271" i="3"/>
  <c r="E271" i="3"/>
  <c r="V270" i="3"/>
  <c r="U270" i="3"/>
  <c r="T270" i="3"/>
  <c r="S270" i="3"/>
  <c r="L270" i="3"/>
  <c r="E270" i="3"/>
  <c r="V269" i="3"/>
  <c r="U269" i="3"/>
  <c r="T269" i="3"/>
  <c r="S269" i="3"/>
  <c r="L269" i="3"/>
  <c r="E269" i="3"/>
  <c r="V268" i="3"/>
  <c r="U268" i="3"/>
  <c r="T268" i="3"/>
  <c r="S268" i="3"/>
  <c r="L268" i="3"/>
  <c r="E268" i="3"/>
  <c r="V267" i="3"/>
  <c r="U267" i="3"/>
  <c r="T267" i="3"/>
  <c r="S267" i="3"/>
  <c r="L267" i="3"/>
  <c r="E267" i="3"/>
  <c r="V266" i="3"/>
  <c r="U266" i="3"/>
  <c r="T266" i="3"/>
  <c r="S266" i="3"/>
  <c r="L266" i="3"/>
  <c r="E266" i="3"/>
  <c r="V265" i="3"/>
  <c r="U265" i="3"/>
  <c r="T265" i="3"/>
  <c r="S265" i="3"/>
  <c r="L265" i="3"/>
  <c r="E265" i="3"/>
  <c r="V264" i="3"/>
  <c r="U264" i="3"/>
  <c r="T264" i="3"/>
  <c r="S264" i="3"/>
  <c r="L264" i="3"/>
  <c r="E264" i="3"/>
  <c r="V263" i="3"/>
  <c r="U263" i="3"/>
  <c r="T263" i="3"/>
  <c r="S263" i="3"/>
  <c r="L263" i="3"/>
  <c r="E263" i="3"/>
  <c r="V262" i="3"/>
  <c r="U262" i="3"/>
  <c r="T262" i="3"/>
  <c r="S262" i="3"/>
  <c r="L262" i="3"/>
  <c r="E262" i="3"/>
  <c r="V261" i="3"/>
  <c r="U261" i="3"/>
  <c r="T261" i="3"/>
  <c r="S261" i="3"/>
  <c r="L261" i="3"/>
  <c r="E261" i="3"/>
  <c r="V260" i="3"/>
  <c r="U260" i="3"/>
  <c r="T260" i="3"/>
  <c r="S260" i="3"/>
  <c r="L260" i="3"/>
  <c r="E260" i="3"/>
  <c r="V259" i="3"/>
  <c r="U259" i="3"/>
  <c r="T259" i="3"/>
  <c r="S259" i="3"/>
  <c r="L259" i="3"/>
  <c r="E259" i="3"/>
  <c r="V258" i="3"/>
  <c r="U258" i="3"/>
  <c r="T258" i="3"/>
  <c r="S258" i="3"/>
  <c r="L258" i="3"/>
  <c r="E258" i="3"/>
  <c r="V257" i="3"/>
  <c r="U257" i="3"/>
  <c r="T257" i="3"/>
  <c r="S257" i="3"/>
  <c r="L257" i="3"/>
  <c r="E257" i="3"/>
  <c r="V256" i="3"/>
  <c r="U256" i="3"/>
  <c r="T256" i="3"/>
  <c r="S256" i="3"/>
  <c r="L256" i="3"/>
  <c r="E256" i="3"/>
  <c r="V255" i="3"/>
  <c r="U255" i="3"/>
  <c r="T255" i="3"/>
  <c r="S255" i="3"/>
  <c r="L255" i="3"/>
  <c r="E255" i="3"/>
  <c r="V254" i="3"/>
  <c r="U254" i="3"/>
  <c r="T254" i="3"/>
  <c r="S254" i="3"/>
  <c r="L254" i="3"/>
  <c r="E254" i="3"/>
  <c r="V253" i="3"/>
  <c r="U253" i="3"/>
  <c r="T253" i="3"/>
  <c r="S253" i="3"/>
  <c r="L253" i="3"/>
  <c r="E253" i="3"/>
  <c r="V252" i="3"/>
  <c r="U252" i="3"/>
  <c r="T252" i="3"/>
  <c r="S252" i="3"/>
  <c r="L252" i="3"/>
  <c r="E252" i="3"/>
  <c r="V251" i="3"/>
  <c r="U251" i="3"/>
  <c r="T251" i="3"/>
  <c r="S251" i="3"/>
  <c r="L251" i="3"/>
  <c r="E251" i="3"/>
  <c r="V250" i="3"/>
  <c r="U250" i="3"/>
  <c r="T250" i="3"/>
  <c r="S250" i="3"/>
  <c r="L250" i="3"/>
  <c r="E250" i="3"/>
  <c r="V249" i="3"/>
  <c r="U249" i="3"/>
  <c r="T249" i="3"/>
  <c r="S249" i="3"/>
  <c r="L249" i="3"/>
  <c r="E249" i="3"/>
  <c r="V248" i="3"/>
  <c r="U248" i="3"/>
  <c r="T248" i="3"/>
  <c r="S248" i="3"/>
  <c r="L248" i="3"/>
  <c r="E248" i="3"/>
  <c r="V247" i="3"/>
  <c r="U247" i="3"/>
  <c r="T247" i="3"/>
  <c r="S247" i="3"/>
  <c r="L247" i="3"/>
  <c r="E247" i="3"/>
  <c r="V246" i="3"/>
  <c r="U246" i="3"/>
  <c r="T246" i="3"/>
  <c r="S246" i="3"/>
  <c r="L246" i="3"/>
  <c r="E246" i="3"/>
  <c r="V245" i="3"/>
  <c r="U245" i="3"/>
  <c r="T245" i="3"/>
  <c r="S245" i="3"/>
  <c r="L245" i="3"/>
  <c r="E245" i="3"/>
  <c r="V244" i="3"/>
  <c r="U244" i="3"/>
  <c r="T244" i="3"/>
  <c r="S244" i="3"/>
  <c r="L244" i="3"/>
  <c r="E244" i="3"/>
  <c r="V243" i="3"/>
  <c r="U243" i="3"/>
  <c r="T243" i="3"/>
  <c r="S243" i="3"/>
  <c r="L243" i="3"/>
  <c r="E243" i="3"/>
  <c r="V242" i="3"/>
  <c r="U242" i="3"/>
  <c r="T242" i="3"/>
  <c r="S242" i="3"/>
  <c r="L242" i="3"/>
  <c r="E242" i="3"/>
  <c r="V241" i="3"/>
  <c r="U241" i="3"/>
  <c r="T241" i="3"/>
  <c r="S241" i="3"/>
  <c r="L241" i="3"/>
  <c r="E241" i="3"/>
  <c r="V240" i="3"/>
  <c r="U240" i="3"/>
  <c r="T240" i="3"/>
  <c r="S240" i="3"/>
  <c r="L240" i="3"/>
  <c r="E240" i="3"/>
  <c r="V239" i="3"/>
  <c r="U239" i="3"/>
  <c r="T239" i="3"/>
  <c r="S239" i="3"/>
  <c r="L239" i="3"/>
  <c r="E239" i="3"/>
  <c r="V238" i="3"/>
  <c r="U238" i="3"/>
  <c r="T238" i="3"/>
  <c r="S238" i="3"/>
  <c r="L238" i="3"/>
  <c r="E238" i="3"/>
  <c r="V237" i="3"/>
  <c r="U237" i="3"/>
  <c r="T237" i="3"/>
  <c r="S237" i="3"/>
  <c r="L237" i="3"/>
  <c r="E237" i="3"/>
  <c r="V236" i="3"/>
  <c r="U236" i="3"/>
  <c r="T236" i="3"/>
  <c r="S236" i="3"/>
  <c r="L236" i="3"/>
  <c r="E236" i="3"/>
  <c r="V235" i="3"/>
  <c r="U235" i="3"/>
  <c r="T235" i="3"/>
  <c r="S235" i="3"/>
  <c r="L235" i="3"/>
  <c r="E235" i="3"/>
  <c r="V234" i="3"/>
  <c r="U234" i="3"/>
  <c r="T234" i="3"/>
  <c r="S234" i="3"/>
  <c r="L234" i="3"/>
  <c r="E234" i="3"/>
  <c r="V233" i="3"/>
  <c r="U233" i="3"/>
  <c r="T233" i="3"/>
  <c r="S233" i="3"/>
  <c r="L233" i="3"/>
  <c r="E233" i="3"/>
  <c r="V232" i="3"/>
  <c r="U232" i="3"/>
  <c r="T232" i="3"/>
  <c r="S232" i="3"/>
  <c r="L232" i="3"/>
  <c r="E232" i="3"/>
  <c r="V231" i="3"/>
  <c r="U231" i="3"/>
  <c r="T231" i="3"/>
  <c r="S231" i="3"/>
  <c r="L231" i="3"/>
  <c r="E231" i="3"/>
  <c r="V230" i="3"/>
  <c r="U230" i="3"/>
  <c r="T230" i="3"/>
  <c r="S230" i="3"/>
  <c r="L230" i="3"/>
  <c r="E230" i="3"/>
  <c r="V229" i="3"/>
  <c r="U229" i="3"/>
  <c r="T229" i="3"/>
  <c r="S229" i="3"/>
  <c r="L229" i="3"/>
  <c r="E229" i="3"/>
  <c r="V228" i="3"/>
  <c r="U228" i="3"/>
  <c r="T228" i="3"/>
  <c r="S228" i="3"/>
  <c r="L228" i="3"/>
  <c r="E228" i="3"/>
  <c r="V227" i="3"/>
  <c r="U227" i="3"/>
  <c r="T227" i="3"/>
  <c r="S227" i="3"/>
  <c r="L227" i="3"/>
  <c r="E227" i="3"/>
  <c r="V226" i="3"/>
  <c r="U226" i="3"/>
  <c r="T226" i="3"/>
  <c r="S226" i="3"/>
  <c r="L226" i="3"/>
  <c r="E226" i="3"/>
  <c r="V225" i="3"/>
  <c r="U225" i="3"/>
  <c r="T225" i="3"/>
  <c r="S225" i="3"/>
  <c r="L225" i="3"/>
  <c r="E225" i="3"/>
  <c r="V224" i="3"/>
  <c r="U224" i="3"/>
  <c r="T224" i="3"/>
  <c r="S224" i="3"/>
  <c r="L224" i="3"/>
  <c r="E224" i="3"/>
  <c r="V223" i="3"/>
  <c r="U223" i="3"/>
  <c r="T223" i="3"/>
  <c r="S223" i="3"/>
  <c r="L223" i="3"/>
  <c r="E223" i="3"/>
  <c r="V222" i="3"/>
  <c r="U222" i="3"/>
  <c r="T222" i="3"/>
  <c r="S222" i="3"/>
  <c r="L222" i="3"/>
  <c r="E222" i="3"/>
  <c r="V221" i="3"/>
  <c r="U221" i="3"/>
  <c r="T221" i="3"/>
  <c r="S221" i="3"/>
  <c r="L221" i="3"/>
  <c r="E221" i="3"/>
  <c r="V220" i="3"/>
  <c r="U220" i="3"/>
  <c r="T220" i="3"/>
  <c r="S220" i="3"/>
  <c r="L220" i="3"/>
  <c r="E220" i="3"/>
  <c r="V219" i="3"/>
  <c r="U219" i="3"/>
  <c r="T219" i="3"/>
  <c r="S219" i="3"/>
  <c r="L219" i="3"/>
  <c r="E219" i="3"/>
  <c r="V218" i="3"/>
  <c r="U218" i="3"/>
  <c r="T218" i="3"/>
  <c r="S218" i="3"/>
  <c r="L218" i="3"/>
  <c r="E218" i="3"/>
  <c r="V217" i="3"/>
  <c r="U217" i="3"/>
  <c r="T217" i="3"/>
  <c r="S217" i="3"/>
  <c r="L217" i="3"/>
  <c r="E217" i="3"/>
  <c r="V216" i="3"/>
  <c r="U216" i="3"/>
  <c r="T216" i="3"/>
  <c r="S216" i="3"/>
  <c r="L216" i="3"/>
  <c r="E216" i="3"/>
  <c r="V215" i="3"/>
  <c r="U215" i="3"/>
  <c r="T215" i="3"/>
  <c r="S215" i="3"/>
  <c r="L215" i="3"/>
  <c r="E215" i="3"/>
  <c r="V214" i="3"/>
  <c r="U214" i="3"/>
  <c r="T214" i="3"/>
  <c r="S214" i="3"/>
  <c r="L214" i="3"/>
  <c r="E214" i="3"/>
  <c r="V213" i="3"/>
  <c r="U213" i="3"/>
  <c r="T213" i="3"/>
  <c r="S213" i="3"/>
  <c r="L213" i="3"/>
  <c r="E213" i="3"/>
  <c r="V212" i="3"/>
  <c r="U212" i="3"/>
  <c r="T212" i="3"/>
  <c r="S212" i="3"/>
  <c r="L212" i="3"/>
  <c r="E212" i="3"/>
  <c r="V211" i="3"/>
  <c r="U211" i="3"/>
  <c r="T211" i="3"/>
  <c r="S211" i="3"/>
  <c r="L211" i="3"/>
  <c r="E211" i="3"/>
  <c r="V210" i="3"/>
  <c r="U210" i="3"/>
  <c r="T210" i="3"/>
  <c r="S210" i="3"/>
  <c r="L210" i="3"/>
  <c r="E210" i="3"/>
  <c r="V209" i="3"/>
  <c r="U209" i="3"/>
  <c r="T209" i="3"/>
  <c r="S209" i="3"/>
  <c r="L209" i="3"/>
  <c r="E209" i="3"/>
  <c r="V208" i="3"/>
  <c r="U208" i="3"/>
  <c r="T208" i="3"/>
  <c r="S208" i="3"/>
  <c r="L208" i="3"/>
  <c r="E208" i="3"/>
  <c r="V207" i="3"/>
  <c r="U207" i="3"/>
  <c r="T207" i="3"/>
  <c r="S207" i="3"/>
  <c r="L207" i="3"/>
  <c r="E207" i="3"/>
  <c r="V206" i="3"/>
  <c r="U206" i="3"/>
  <c r="T206" i="3"/>
  <c r="S206" i="3"/>
  <c r="L206" i="3"/>
  <c r="E206" i="3"/>
  <c r="V205" i="3"/>
  <c r="U205" i="3"/>
  <c r="T205" i="3"/>
  <c r="S205" i="3"/>
  <c r="L205" i="3"/>
  <c r="E205" i="3"/>
  <c r="V204" i="3"/>
  <c r="U204" i="3"/>
  <c r="T204" i="3"/>
  <c r="S204" i="3"/>
  <c r="L204" i="3"/>
  <c r="E204" i="3"/>
  <c r="V203" i="3"/>
  <c r="U203" i="3"/>
  <c r="T203" i="3"/>
  <c r="S203" i="3"/>
  <c r="L203" i="3"/>
  <c r="E203" i="3"/>
  <c r="V202" i="3"/>
  <c r="U202" i="3"/>
  <c r="T202" i="3"/>
  <c r="S202" i="3"/>
  <c r="L202" i="3"/>
  <c r="E202" i="3"/>
  <c r="V201" i="3"/>
  <c r="U201" i="3"/>
  <c r="T201" i="3"/>
  <c r="S201" i="3"/>
  <c r="L201" i="3"/>
  <c r="E201" i="3"/>
  <c r="V200" i="3"/>
  <c r="U200" i="3"/>
  <c r="T200" i="3"/>
  <c r="S200" i="3"/>
  <c r="L200" i="3"/>
  <c r="E200" i="3"/>
  <c r="V199" i="3"/>
  <c r="U199" i="3"/>
  <c r="T199" i="3"/>
  <c r="S199" i="3"/>
  <c r="L199" i="3"/>
  <c r="E199" i="3"/>
  <c r="V198" i="3"/>
  <c r="U198" i="3"/>
  <c r="T198" i="3"/>
  <c r="S198" i="3"/>
  <c r="L198" i="3"/>
  <c r="E198" i="3"/>
  <c r="V197" i="3"/>
  <c r="U197" i="3"/>
  <c r="T197" i="3"/>
  <c r="S197" i="3"/>
  <c r="L197" i="3"/>
  <c r="E197" i="3"/>
  <c r="V196" i="3"/>
  <c r="U196" i="3"/>
  <c r="T196" i="3"/>
  <c r="S196" i="3"/>
  <c r="L196" i="3"/>
  <c r="E196" i="3"/>
  <c r="V195" i="3"/>
  <c r="U195" i="3"/>
  <c r="T195" i="3"/>
  <c r="S195" i="3"/>
  <c r="L195" i="3"/>
  <c r="E195" i="3"/>
  <c r="V194" i="3"/>
  <c r="U194" i="3"/>
  <c r="T194" i="3"/>
  <c r="S194" i="3"/>
  <c r="L194" i="3"/>
  <c r="E194" i="3"/>
  <c r="V193" i="3"/>
  <c r="U193" i="3"/>
  <c r="T193" i="3"/>
  <c r="S193" i="3"/>
  <c r="L193" i="3"/>
  <c r="E193" i="3"/>
  <c r="V192" i="3"/>
  <c r="U192" i="3"/>
  <c r="T192" i="3"/>
  <c r="S192" i="3"/>
  <c r="L192" i="3"/>
  <c r="E192" i="3"/>
  <c r="V191" i="3"/>
  <c r="U191" i="3"/>
  <c r="T191" i="3"/>
  <c r="S191" i="3"/>
  <c r="L191" i="3"/>
  <c r="E191" i="3"/>
  <c r="V190" i="3"/>
  <c r="U190" i="3"/>
  <c r="T190" i="3"/>
  <c r="S190" i="3"/>
  <c r="L190" i="3"/>
  <c r="E190" i="3"/>
  <c r="V189" i="3"/>
  <c r="U189" i="3"/>
  <c r="T189" i="3"/>
  <c r="S189" i="3"/>
  <c r="L189" i="3"/>
  <c r="E189" i="3"/>
  <c r="V188" i="3"/>
  <c r="U188" i="3"/>
  <c r="T188" i="3"/>
  <c r="S188" i="3"/>
  <c r="L188" i="3"/>
  <c r="E188" i="3"/>
  <c r="V187" i="3"/>
  <c r="U187" i="3"/>
  <c r="T187" i="3"/>
  <c r="S187" i="3"/>
  <c r="L187" i="3"/>
  <c r="E187" i="3"/>
  <c r="V186" i="3"/>
  <c r="U186" i="3"/>
  <c r="T186" i="3"/>
  <c r="S186" i="3"/>
  <c r="L186" i="3"/>
  <c r="E186" i="3"/>
  <c r="V185" i="3"/>
  <c r="U185" i="3"/>
  <c r="T185" i="3"/>
  <c r="S185" i="3"/>
  <c r="L185" i="3"/>
  <c r="E185" i="3"/>
  <c r="V184" i="3"/>
  <c r="U184" i="3"/>
  <c r="T184" i="3"/>
  <c r="S184" i="3"/>
  <c r="L184" i="3"/>
  <c r="E184" i="3"/>
  <c r="V183" i="3"/>
  <c r="U183" i="3"/>
  <c r="T183" i="3"/>
  <c r="S183" i="3"/>
  <c r="L183" i="3"/>
  <c r="E183" i="3"/>
  <c r="V182" i="3"/>
  <c r="U182" i="3"/>
  <c r="T182" i="3"/>
  <c r="S182" i="3"/>
  <c r="L182" i="3"/>
  <c r="E182" i="3"/>
  <c r="V181" i="3"/>
  <c r="U181" i="3"/>
  <c r="T181" i="3"/>
  <c r="S181" i="3"/>
  <c r="L181" i="3"/>
  <c r="E181" i="3"/>
  <c r="V180" i="3"/>
  <c r="U180" i="3"/>
  <c r="T180" i="3"/>
  <c r="S180" i="3"/>
  <c r="L180" i="3"/>
  <c r="E180" i="3"/>
  <c r="V179" i="3"/>
  <c r="U179" i="3"/>
  <c r="T179" i="3"/>
  <c r="S179" i="3"/>
  <c r="L179" i="3"/>
  <c r="E179" i="3"/>
  <c r="V178" i="3"/>
  <c r="U178" i="3"/>
  <c r="T178" i="3"/>
  <c r="S178" i="3"/>
  <c r="L178" i="3"/>
  <c r="E178" i="3"/>
  <c r="V177" i="3"/>
  <c r="U177" i="3"/>
  <c r="T177" i="3"/>
  <c r="S177" i="3"/>
  <c r="L177" i="3"/>
  <c r="E177" i="3"/>
  <c r="V176" i="3"/>
  <c r="U176" i="3"/>
  <c r="T176" i="3"/>
  <c r="S176" i="3"/>
  <c r="L176" i="3"/>
  <c r="E176" i="3"/>
  <c r="V175" i="3"/>
  <c r="U175" i="3"/>
  <c r="T175" i="3"/>
  <c r="S175" i="3"/>
  <c r="L175" i="3"/>
  <c r="E175" i="3"/>
  <c r="V174" i="3"/>
  <c r="U174" i="3"/>
  <c r="T174" i="3"/>
  <c r="S174" i="3"/>
  <c r="L174" i="3"/>
  <c r="E174" i="3"/>
  <c r="V173" i="3"/>
  <c r="U173" i="3"/>
  <c r="T173" i="3"/>
  <c r="S173" i="3"/>
  <c r="L173" i="3"/>
  <c r="E173" i="3"/>
  <c r="V172" i="3"/>
  <c r="U172" i="3"/>
  <c r="T172" i="3"/>
  <c r="S172" i="3"/>
  <c r="L172" i="3"/>
  <c r="E172" i="3"/>
  <c r="V171" i="3"/>
  <c r="U171" i="3"/>
  <c r="T171" i="3"/>
  <c r="S171" i="3"/>
  <c r="L171" i="3"/>
  <c r="E171" i="3"/>
  <c r="V170" i="3"/>
  <c r="U170" i="3"/>
  <c r="T170" i="3"/>
  <c r="S170" i="3"/>
  <c r="L170" i="3"/>
  <c r="E170" i="3"/>
  <c r="V169" i="3"/>
  <c r="U169" i="3"/>
  <c r="T169" i="3"/>
  <c r="S169" i="3"/>
  <c r="L169" i="3"/>
  <c r="E169" i="3"/>
  <c r="V168" i="3"/>
  <c r="U168" i="3"/>
  <c r="T168" i="3"/>
  <c r="S168" i="3"/>
  <c r="L168" i="3"/>
  <c r="E168" i="3"/>
  <c r="V167" i="3"/>
  <c r="U167" i="3"/>
  <c r="T167" i="3"/>
  <c r="S167" i="3"/>
  <c r="L167" i="3"/>
  <c r="E167" i="3"/>
  <c r="V166" i="3"/>
  <c r="U166" i="3"/>
  <c r="T166" i="3"/>
  <c r="S166" i="3"/>
  <c r="L166" i="3"/>
  <c r="E166" i="3"/>
  <c r="V165" i="3"/>
  <c r="U165" i="3"/>
  <c r="T165" i="3"/>
  <c r="S165" i="3"/>
  <c r="L165" i="3"/>
  <c r="E165" i="3"/>
  <c r="V164" i="3"/>
  <c r="U164" i="3"/>
  <c r="T164" i="3"/>
  <c r="S164" i="3"/>
  <c r="L164" i="3"/>
  <c r="E164" i="3"/>
  <c r="V163" i="3"/>
  <c r="U163" i="3"/>
  <c r="T163" i="3"/>
  <c r="S163" i="3"/>
  <c r="L163" i="3"/>
  <c r="E163" i="3"/>
  <c r="V162" i="3"/>
  <c r="U162" i="3"/>
  <c r="T162" i="3"/>
  <c r="S162" i="3"/>
  <c r="L162" i="3"/>
  <c r="E162" i="3"/>
  <c r="V161" i="3"/>
  <c r="U161" i="3"/>
  <c r="T161" i="3"/>
  <c r="S161" i="3"/>
  <c r="L161" i="3"/>
  <c r="E161" i="3"/>
  <c r="V160" i="3"/>
  <c r="U160" i="3"/>
  <c r="T160" i="3"/>
  <c r="S160" i="3"/>
  <c r="L160" i="3"/>
  <c r="E160" i="3"/>
  <c r="V159" i="3"/>
  <c r="U159" i="3"/>
  <c r="T159" i="3"/>
  <c r="S159" i="3"/>
  <c r="L159" i="3"/>
  <c r="E159" i="3"/>
  <c r="V158" i="3"/>
  <c r="U158" i="3"/>
  <c r="T158" i="3"/>
  <c r="S158" i="3"/>
  <c r="L158" i="3"/>
  <c r="E158" i="3"/>
  <c r="V157" i="3"/>
  <c r="U157" i="3"/>
  <c r="T157" i="3"/>
  <c r="S157" i="3"/>
  <c r="L157" i="3"/>
  <c r="E157" i="3"/>
  <c r="V156" i="3"/>
  <c r="U156" i="3"/>
  <c r="T156" i="3"/>
  <c r="S156" i="3"/>
  <c r="L156" i="3"/>
  <c r="E156" i="3"/>
  <c r="V155" i="3"/>
  <c r="U155" i="3"/>
  <c r="T155" i="3"/>
  <c r="S155" i="3"/>
  <c r="L155" i="3"/>
  <c r="E155" i="3"/>
  <c r="V154" i="3"/>
  <c r="U154" i="3"/>
  <c r="T154" i="3"/>
  <c r="S154" i="3"/>
  <c r="L154" i="3"/>
  <c r="E154" i="3"/>
  <c r="V153" i="3"/>
  <c r="U153" i="3"/>
  <c r="T153" i="3"/>
  <c r="S153" i="3"/>
  <c r="L153" i="3"/>
  <c r="E153" i="3"/>
  <c r="V152" i="3"/>
  <c r="U152" i="3"/>
  <c r="T152" i="3"/>
  <c r="S152" i="3"/>
  <c r="L152" i="3"/>
  <c r="E152" i="3"/>
  <c r="V151" i="3"/>
  <c r="U151" i="3"/>
  <c r="T151" i="3"/>
  <c r="S151" i="3"/>
  <c r="L151" i="3"/>
  <c r="E151" i="3"/>
  <c r="V150" i="3"/>
  <c r="U150" i="3"/>
  <c r="T150" i="3"/>
  <c r="S150" i="3"/>
  <c r="L150" i="3"/>
  <c r="E150" i="3"/>
  <c r="V149" i="3"/>
  <c r="U149" i="3"/>
  <c r="T149" i="3"/>
  <c r="S149" i="3"/>
  <c r="L149" i="3"/>
  <c r="E149" i="3"/>
  <c r="V148" i="3"/>
  <c r="U148" i="3"/>
  <c r="T148" i="3"/>
  <c r="S148" i="3"/>
  <c r="L148" i="3"/>
  <c r="E148" i="3"/>
  <c r="V147" i="3"/>
  <c r="U147" i="3"/>
  <c r="T147" i="3"/>
  <c r="S147" i="3"/>
  <c r="L147" i="3"/>
  <c r="E147" i="3"/>
  <c r="V146" i="3"/>
  <c r="U146" i="3"/>
  <c r="T146" i="3"/>
  <c r="S146" i="3"/>
  <c r="L146" i="3"/>
  <c r="E146" i="3"/>
  <c r="V145" i="3"/>
  <c r="U145" i="3"/>
  <c r="T145" i="3"/>
  <c r="S145" i="3"/>
  <c r="L145" i="3"/>
  <c r="E145" i="3"/>
  <c r="V144" i="3"/>
  <c r="U144" i="3"/>
  <c r="T144" i="3"/>
  <c r="S144" i="3"/>
  <c r="L144" i="3"/>
  <c r="E144" i="3"/>
  <c r="V143" i="3"/>
  <c r="U143" i="3"/>
  <c r="T143" i="3"/>
  <c r="S143" i="3"/>
  <c r="L143" i="3"/>
  <c r="E143" i="3"/>
  <c r="V142" i="3"/>
  <c r="U142" i="3"/>
  <c r="T142" i="3"/>
  <c r="S142" i="3"/>
  <c r="L142" i="3"/>
  <c r="E142" i="3"/>
  <c r="V141" i="3"/>
  <c r="U141" i="3"/>
  <c r="T141" i="3"/>
  <c r="S141" i="3"/>
  <c r="L141" i="3"/>
  <c r="E141" i="3"/>
  <c r="V140" i="3"/>
  <c r="U140" i="3"/>
  <c r="T140" i="3"/>
  <c r="S140" i="3"/>
  <c r="L140" i="3"/>
  <c r="E140" i="3"/>
  <c r="V139" i="3"/>
  <c r="U139" i="3"/>
  <c r="T139" i="3"/>
  <c r="S139" i="3"/>
  <c r="L139" i="3"/>
  <c r="E139" i="3"/>
  <c r="V138" i="3"/>
  <c r="U138" i="3"/>
  <c r="T138" i="3"/>
  <c r="S138" i="3"/>
  <c r="L138" i="3"/>
  <c r="E138" i="3"/>
  <c r="V137" i="3"/>
  <c r="U137" i="3"/>
  <c r="T137" i="3"/>
  <c r="S137" i="3"/>
  <c r="L137" i="3"/>
  <c r="E137" i="3"/>
  <c r="V136" i="3"/>
  <c r="U136" i="3"/>
  <c r="T136" i="3"/>
  <c r="S136" i="3"/>
  <c r="L136" i="3"/>
  <c r="E136" i="3"/>
  <c r="V135" i="3"/>
  <c r="U135" i="3"/>
  <c r="T135" i="3"/>
  <c r="S135" i="3"/>
  <c r="L135" i="3"/>
  <c r="E135" i="3"/>
  <c r="V134" i="3"/>
  <c r="U134" i="3"/>
  <c r="T134" i="3"/>
  <c r="S134" i="3"/>
  <c r="L134" i="3"/>
  <c r="E134" i="3"/>
  <c r="V133" i="3"/>
  <c r="U133" i="3"/>
  <c r="T133" i="3"/>
  <c r="S133" i="3"/>
  <c r="L133" i="3"/>
  <c r="E133" i="3"/>
  <c r="V132" i="3"/>
  <c r="U132" i="3"/>
  <c r="T132" i="3"/>
  <c r="S132" i="3"/>
  <c r="L132" i="3"/>
  <c r="E132" i="3"/>
  <c r="V131" i="3"/>
  <c r="U131" i="3"/>
  <c r="T131" i="3"/>
  <c r="S131" i="3"/>
  <c r="L131" i="3"/>
  <c r="E131" i="3"/>
  <c r="V130" i="3"/>
  <c r="U130" i="3"/>
  <c r="T130" i="3"/>
  <c r="S130" i="3"/>
  <c r="L130" i="3"/>
  <c r="E130" i="3"/>
  <c r="V129" i="3"/>
  <c r="U129" i="3"/>
  <c r="T129" i="3"/>
  <c r="S129" i="3"/>
  <c r="L129" i="3"/>
  <c r="E129" i="3"/>
  <c r="V128" i="3"/>
  <c r="U128" i="3"/>
  <c r="T128" i="3"/>
  <c r="S128" i="3"/>
  <c r="L128" i="3"/>
  <c r="E128" i="3"/>
  <c r="V127" i="3"/>
  <c r="U127" i="3"/>
  <c r="T127" i="3"/>
  <c r="S127" i="3"/>
  <c r="L127" i="3"/>
  <c r="E127" i="3"/>
  <c r="V126" i="3"/>
  <c r="U126" i="3"/>
  <c r="T126" i="3"/>
  <c r="S126" i="3"/>
  <c r="L126" i="3"/>
  <c r="E126" i="3"/>
  <c r="V125" i="3"/>
  <c r="U125" i="3"/>
  <c r="T125" i="3"/>
  <c r="S125" i="3"/>
  <c r="L125" i="3"/>
  <c r="E125" i="3"/>
  <c r="V124" i="3"/>
  <c r="U124" i="3"/>
  <c r="T124" i="3"/>
  <c r="S124" i="3"/>
  <c r="L124" i="3"/>
  <c r="E124" i="3"/>
  <c r="V123" i="3"/>
  <c r="U123" i="3"/>
  <c r="T123" i="3"/>
  <c r="S123" i="3"/>
  <c r="L123" i="3"/>
  <c r="E123" i="3"/>
  <c r="V122" i="3"/>
  <c r="U122" i="3"/>
  <c r="T122" i="3"/>
  <c r="S122" i="3"/>
  <c r="L122" i="3"/>
  <c r="E122" i="3"/>
  <c r="V121" i="3"/>
  <c r="U121" i="3"/>
  <c r="T121" i="3"/>
  <c r="S121" i="3"/>
  <c r="L121" i="3"/>
  <c r="E121" i="3"/>
  <c r="V120" i="3"/>
  <c r="U120" i="3"/>
  <c r="T120" i="3"/>
  <c r="S120" i="3"/>
  <c r="L120" i="3"/>
  <c r="E120" i="3"/>
  <c r="V119" i="3"/>
  <c r="U119" i="3"/>
  <c r="T119" i="3"/>
  <c r="S119" i="3"/>
  <c r="L119" i="3"/>
  <c r="E119" i="3"/>
  <c r="V118" i="3"/>
  <c r="U118" i="3"/>
  <c r="T118" i="3"/>
  <c r="S118" i="3"/>
  <c r="L118" i="3"/>
  <c r="E118" i="3"/>
  <c r="V117" i="3"/>
  <c r="U117" i="3"/>
  <c r="T117" i="3"/>
  <c r="S117" i="3"/>
  <c r="L117" i="3"/>
  <c r="E117" i="3"/>
  <c r="V116" i="3"/>
  <c r="U116" i="3"/>
  <c r="T116" i="3"/>
  <c r="S116" i="3"/>
  <c r="L116" i="3"/>
  <c r="E116" i="3"/>
  <c r="V115" i="3"/>
  <c r="U115" i="3"/>
  <c r="T115" i="3"/>
  <c r="S115" i="3"/>
  <c r="L115" i="3"/>
  <c r="E115" i="3"/>
  <c r="V114" i="3"/>
  <c r="U114" i="3"/>
  <c r="T114" i="3"/>
  <c r="S114" i="3"/>
  <c r="L114" i="3"/>
  <c r="E114" i="3"/>
  <c r="V113" i="3"/>
  <c r="U113" i="3"/>
  <c r="T113" i="3"/>
  <c r="S113" i="3"/>
  <c r="L113" i="3"/>
  <c r="E113" i="3"/>
  <c r="V112" i="3"/>
  <c r="U112" i="3"/>
  <c r="T112" i="3"/>
  <c r="S112" i="3"/>
  <c r="L112" i="3"/>
  <c r="E112" i="3"/>
  <c r="V111" i="3"/>
  <c r="U111" i="3"/>
  <c r="T111" i="3"/>
  <c r="S111" i="3"/>
  <c r="L111" i="3"/>
  <c r="E111" i="3"/>
  <c r="V110" i="3"/>
  <c r="U110" i="3"/>
  <c r="T110" i="3"/>
  <c r="S110" i="3"/>
  <c r="L110" i="3"/>
  <c r="E110" i="3"/>
  <c r="V109" i="3"/>
  <c r="U109" i="3"/>
  <c r="T109" i="3"/>
  <c r="S109" i="3"/>
  <c r="L109" i="3"/>
  <c r="E109" i="3"/>
  <c r="V108" i="3"/>
  <c r="U108" i="3"/>
  <c r="T108" i="3"/>
  <c r="S108" i="3"/>
  <c r="L108" i="3"/>
  <c r="E108" i="3"/>
  <c r="V107" i="3"/>
  <c r="U107" i="3"/>
  <c r="T107" i="3"/>
  <c r="S107" i="3"/>
  <c r="L107" i="3"/>
  <c r="E107" i="3"/>
  <c r="V106" i="3"/>
  <c r="U106" i="3"/>
  <c r="T106" i="3"/>
  <c r="S106" i="3"/>
  <c r="L106" i="3"/>
  <c r="E106" i="3"/>
  <c r="V105" i="3"/>
  <c r="U105" i="3"/>
  <c r="T105" i="3"/>
  <c r="S105" i="3"/>
  <c r="L105" i="3"/>
  <c r="E105" i="3"/>
  <c r="V104" i="3"/>
  <c r="U104" i="3"/>
  <c r="T104" i="3"/>
  <c r="S104" i="3"/>
  <c r="L104" i="3"/>
  <c r="E104" i="3"/>
  <c r="V103" i="3"/>
  <c r="U103" i="3"/>
  <c r="T103" i="3"/>
  <c r="S103" i="3"/>
  <c r="L103" i="3"/>
  <c r="E103" i="3"/>
  <c r="V102" i="3"/>
  <c r="U102" i="3"/>
  <c r="T102" i="3"/>
  <c r="S102" i="3"/>
  <c r="L102" i="3"/>
  <c r="E102" i="3"/>
  <c r="V101" i="3"/>
  <c r="U101" i="3"/>
  <c r="T101" i="3"/>
  <c r="S101" i="3"/>
  <c r="L101" i="3"/>
  <c r="E101" i="3"/>
  <c r="V100" i="3"/>
  <c r="U100" i="3"/>
  <c r="T100" i="3"/>
  <c r="S100" i="3"/>
  <c r="L100" i="3"/>
  <c r="E100" i="3"/>
  <c r="V99" i="3"/>
  <c r="U99" i="3"/>
  <c r="T99" i="3"/>
  <c r="S99" i="3"/>
  <c r="L99" i="3"/>
  <c r="E99" i="3"/>
  <c r="V98" i="3"/>
  <c r="U98" i="3"/>
  <c r="T98" i="3"/>
  <c r="S98" i="3"/>
  <c r="L98" i="3"/>
  <c r="E98" i="3"/>
  <c r="V97" i="3"/>
  <c r="U97" i="3"/>
  <c r="T97" i="3"/>
  <c r="S97" i="3"/>
  <c r="L97" i="3"/>
  <c r="E97" i="3"/>
  <c r="V96" i="3"/>
  <c r="U96" i="3"/>
  <c r="T96" i="3"/>
  <c r="S96" i="3"/>
  <c r="L96" i="3"/>
  <c r="E96" i="3"/>
  <c r="V95" i="3"/>
  <c r="U95" i="3"/>
  <c r="T95" i="3"/>
  <c r="S95" i="3"/>
  <c r="L95" i="3"/>
  <c r="E95" i="3"/>
  <c r="V94" i="3"/>
  <c r="U94" i="3"/>
  <c r="T94" i="3"/>
  <c r="S94" i="3"/>
  <c r="L94" i="3"/>
  <c r="E94" i="3"/>
  <c r="V93" i="3"/>
  <c r="U93" i="3"/>
  <c r="T93" i="3"/>
  <c r="S93" i="3"/>
  <c r="L93" i="3"/>
  <c r="E93" i="3"/>
  <c r="V92" i="3"/>
  <c r="U92" i="3"/>
  <c r="T92" i="3"/>
  <c r="S92" i="3"/>
  <c r="L92" i="3"/>
  <c r="E92" i="3"/>
  <c r="V91" i="3"/>
  <c r="U91" i="3"/>
  <c r="T91" i="3"/>
  <c r="S91" i="3"/>
  <c r="L91" i="3"/>
  <c r="E91" i="3"/>
  <c r="V90" i="3"/>
  <c r="U90" i="3"/>
  <c r="T90" i="3"/>
  <c r="S90" i="3"/>
  <c r="L90" i="3"/>
  <c r="E90" i="3"/>
  <c r="V89" i="3"/>
  <c r="U89" i="3"/>
  <c r="T89" i="3"/>
  <c r="S89" i="3"/>
  <c r="L89" i="3"/>
  <c r="E89" i="3"/>
  <c r="V88" i="3"/>
  <c r="U88" i="3"/>
  <c r="T88" i="3"/>
  <c r="S88" i="3"/>
  <c r="L88" i="3"/>
  <c r="E88" i="3"/>
  <c r="V87" i="3"/>
  <c r="U87" i="3"/>
  <c r="T87" i="3"/>
  <c r="S87" i="3"/>
  <c r="L87" i="3"/>
  <c r="E87" i="3"/>
  <c r="V86" i="3"/>
  <c r="U86" i="3"/>
  <c r="T86" i="3"/>
  <c r="S86" i="3"/>
  <c r="L86" i="3"/>
  <c r="E86" i="3"/>
  <c r="V85" i="3"/>
  <c r="U85" i="3"/>
  <c r="T85" i="3"/>
  <c r="S85" i="3"/>
  <c r="L85" i="3"/>
  <c r="E85" i="3"/>
  <c r="V84" i="3"/>
  <c r="U84" i="3"/>
  <c r="T84" i="3"/>
  <c r="S84" i="3"/>
  <c r="L84" i="3"/>
  <c r="E84" i="3"/>
  <c r="V83" i="3"/>
  <c r="U83" i="3"/>
  <c r="T83" i="3"/>
  <c r="S83" i="3"/>
  <c r="L83" i="3"/>
  <c r="E83" i="3"/>
  <c r="V82" i="3"/>
  <c r="U82" i="3"/>
  <c r="T82" i="3"/>
  <c r="S82" i="3"/>
  <c r="L82" i="3"/>
  <c r="E82" i="3"/>
  <c r="V81" i="3"/>
  <c r="U81" i="3"/>
  <c r="T81" i="3"/>
  <c r="S81" i="3"/>
  <c r="L81" i="3"/>
  <c r="E81" i="3"/>
  <c r="V80" i="3"/>
  <c r="U80" i="3"/>
  <c r="T80" i="3"/>
  <c r="S80" i="3"/>
  <c r="L80" i="3"/>
  <c r="E80" i="3"/>
  <c r="V79" i="3"/>
  <c r="U79" i="3"/>
  <c r="T79" i="3"/>
  <c r="S79" i="3"/>
  <c r="L79" i="3"/>
  <c r="E79" i="3"/>
  <c r="V78" i="3"/>
  <c r="U78" i="3"/>
  <c r="T78" i="3"/>
  <c r="S78" i="3"/>
  <c r="L78" i="3"/>
  <c r="E78" i="3"/>
  <c r="V77" i="3"/>
  <c r="U77" i="3"/>
  <c r="T77" i="3"/>
  <c r="S77" i="3"/>
  <c r="L77" i="3"/>
  <c r="E77" i="3"/>
  <c r="V76" i="3"/>
  <c r="U76" i="3"/>
  <c r="T76" i="3"/>
  <c r="S76" i="3"/>
  <c r="L76" i="3"/>
  <c r="E76" i="3"/>
  <c r="V75" i="3"/>
  <c r="U75" i="3"/>
  <c r="T75" i="3"/>
  <c r="S75" i="3"/>
  <c r="L75" i="3"/>
  <c r="E75" i="3"/>
  <c r="V74" i="3"/>
  <c r="U74" i="3"/>
  <c r="T74" i="3"/>
  <c r="S74" i="3"/>
  <c r="L74" i="3"/>
  <c r="E74" i="3"/>
  <c r="V73" i="3"/>
  <c r="U73" i="3"/>
  <c r="T73" i="3"/>
  <c r="S73" i="3"/>
  <c r="L73" i="3"/>
  <c r="E73" i="3"/>
  <c r="V72" i="3"/>
  <c r="U72" i="3"/>
  <c r="T72" i="3"/>
  <c r="S72" i="3"/>
  <c r="L72" i="3"/>
  <c r="E72" i="3"/>
  <c r="V71" i="3"/>
  <c r="U71" i="3"/>
  <c r="T71" i="3"/>
  <c r="S71" i="3"/>
  <c r="L71" i="3"/>
  <c r="E71" i="3"/>
  <c r="V70" i="3"/>
  <c r="U70" i="3"/>
  <c r="T70" i="3"/>
  <c r="S70" i="3"/>
  <c r="L70" i="3"/>
  <c r="E70" i="3"/>
  <c r="V69" i="3"/>
  <c r="U69" i="3"/>
  <c r="T69" i="3"/>
  <c r="S69" i="3"/>
  <c r="L69" i="3"/>
  <c r="E69" i="3"/>
  <c r="V68" i="3"/>
  <c r="U68" i="3"/>
  <c r="T68" i="3"/>
  <c r="S68" i="3"/>
  <c r="L68" i="3"/>
  <c r="E68" i="3"/>
  <c r="V67" i="3"/>
  <c r="U67" i="3"/>
  <c r="T67" i="3"/>
  <c r="S67" i="3"/>
  <c r="L67" i="3"/>
  <c r="E67" i="3"/>
  <c r="V66" i="3"/>
  <c r="U66" i="3"/>
  <c r="T66" i="3"/>
  <c r="S66" i="3"/>
  <c r="L66" i="3"/>
  <c r="E66" i="3"/>
  <c r="V65" i="3"/>
  <c r="U65" i="3"/>
  <c r="T65" i="3"/>
  <c r="S65" i="3"/>
  <c r="L65" i="3"/>
  <c r="E65" i="3"/>
  <c r="V64" i="3"/>
  <c r="U64" i="3"/>
  <c r="T64" i="3"/>
  <c r="S64" i="3"/>
  <c r="L64" i="3"/>
  <c r="E64" i="3"/>
  <c r="V63" i="3"/>
  <c r="U63" i="3"/>
  <c r="T63" i="3"/>
  <c r="S63" i="3"/>
  <c r="L63" i="3"/>
  <c r="E63" i="3"/>
  <c r="V62" i="3"/>
  <c r="U62" i="3"/>
  <c r="T62" i="3"/>
  <c r="S62" i="3"/>
  <c r="L62" i="3"/>
  <c r="E62" i="3"/>
  <c r="V61" i="3"/>
  <c r="U61" i="3"/>
  <c r="T61" i="3"/>
  <c r="S61" i="3"/>
  <c r="L61" i="3"/>
  <c r="E61" i="3"/>
  <c r="V60" i="3"/>
  <c r="U60" i="3"/>
  <c r="T60" i="3"/>
  <c r="S60" i="3"/>
  <c r="L60" i="3"/>
  <c r="E60" i="3"/>
  <c r="V59" i="3"/>
  <c r="U59" i="3"/>
  <c r="T59" i="3"/>
  <c r="S59" i="3"/>
  <c r="L59" i="3"/>
  <c r="E59" i="3"/>
  <c r="V58" i="3"/>
  <c r="U58" i="3"/>
  <c r="T58" i="3"/>
  <c r="S58" i="3"/>
  <c r="L58" i="3"/>
  <c r="E58" i="3"/>
  <c r="V57" i="3"/>
  <c r="U57" i="3"/>
  <c r="T57" i="3"/>
  <c r="S57" i="3"/>
  <c r="L57" i="3"/>
  <c r="E57" i="3"/>
  <c r="V56" i="3"/>
  <c r="U56" i="3"/>
  <c r="T56" i="3"/>
  <c r="S56" i="3"/>
  <c r="L56" i="3"/>
  <c r="E56" i="3"/>
  <c r="V55" i="3"/>
  <c r="U55" i="3"/>
  <c r="T55" i="3"/>
  <c r="S55" i="3"/>
  <c r="L55" i="3"/>
  <c r="E55" i="3"/>
  <c r="V54" i="3"/>
  <c r="U54" i="3"/>
  <c r="T54" i="3"/>
  <c r="S54" i="3"/>
  <c r="L54" i="3"/>
  <c r="E54" i="3"/>
  <c r="V53" i="3"/>
  <c r="U53" i="3"/>
  <c r="T53" i="3"/>
  <c r="S53" i="3"/>
  <c r="L53" i="3"/>
  <c r="E53" i="3"/>
  <c r="V52" i="3"/>
  <c r="U52" i="3"/>
  <c r="T52" i="3"/>
  <c r="S52" i="3"/>
  <c r="L52" i="3"/>
  <c r="E52" i="3"/>
  <c r="V51" i="3"/>
  <c r="U51" i="3"/>
  <c r="T51" i="3"/>
  <c r="S51" i="3"/>
  <c r="L51" i="3"/>
  <c r="E51" i="3"/>
  <c r="V50" i="3"/>
  <c r="U50" i="3"/>
  <c r="T50" i="3"/>
  <c r="S50" i="3"/>
  <c r="L50" i="3"/>
  <c r="E50" i="3"/>
  <c r="V49" i="3"/>
  <c r="U49" i="3"/>
  <c r="T49" i="3"/>
  <c r="S49" i="3"/>
  <c r="L49" i="3"/>
  <c r="E49" i="3"/>
  <c r="V48" i="3"/>
  <c r="U48" i="3"/>
  <c r="T48" i="3"/>
  <c r="S48" i="3"/>
  <c r="L48" i="3"/>
  <c r="E48" i="3"/>
  <c r="V47" i="3"/>
  <c r="U47" i="3"/>
  <c r="T47" i="3"/>
  <c r="S47" i="3"/>
  <c r="L47" i="3"/>
  <c r="E47" i="3"/>
  <c r="V46" i="3"/>
  <c r="U46" i="3"/>
  <c r="T46" i="3"/>
  <c r="S46" i="3"/>
  <c r="L46" i="3"/>
  <c r="E46" i="3"/>
  <c r="V45" i="3"/>
  <c r="U45" i="3"/>
  <c r="T45" i="3"/>
  <c r="S45" i="3"/>
  <c r="L45" i="3"/>
  <c r="E45" i="3"/>
  <c r="V44" i="3"/>
  <c r="U44" i="3"/>
  <c r="T44" i="3"/>
  <c r="S44" i="3"/>
  <c r="L44" i="3"/>
  <c r="E44" i="3"/>
  <c r="V43" i="3"/>
  <c r="U43" i="3"/>
  <c r="T43" i="3"/>
  <c r="S43" i="3"/>
  <c r="L43" i="3"/>
  <c r="E43" i="3"/>
  <c r="V42" i="3"/>
  <c r="U42" i="3"/>
  <c r="T42" i="3"/>
  <c r="S42" i="3"/>
  <c r="L42" i="3"/>
  <c r="E42" i="3"/>
  <c r="V41" i="3"/>
  <c r="U41" i="3"/>
  <c r="T41" i="3"/>
  <c r="S41" i="3"/>
  <c r="L41" i="3"/>
  <c r="E41" i="3"/>
  <c r="V40" i="3"/>
  <c r="U40" i="3"/>
  <c r="T40" i="3"/>
  <c r="S40" i="3"/>
  <c r="L40" i="3"/>
  <c r="E40" i="3"/>
  <c r="V39" i="3"/>
  <c r="U39" i="3"/>
  <c r="T39" i="3"/>
  <c r="S39" i="3"/>
  <c r="L39" i="3"/>
  <c r="E39" i="3"/>
  <c r="V38" i="3"/>
  <c r="U38" i="3"/>
  <c r="T38" i="3"/>
  <c r="S38" i="3"/>
  <c r="L38" i="3"/>
  <c r="E38" i="3"/>
  <c r="V37" i="3"/>
  <c r="U37" i="3"/>
  <c r="T37" i="3"/>
  <c r="S37" i="3"/>
  <c r="L37" i="3"/>
  <c r="E37" i="3"/>
  <c r="V36" i="3"/>
  <c r="U36" i="3"/>
  <c r="T36" i="3"/>
  <c r="S36" i="3"/>
  <c r="L36" i="3"/>
  <c r="E36" i="3"/>
  <c r="V35" i="3"/>
  <c r="U35" i="3"/>
  <c r="T35" i="3"/>
  <c r="S35" i="3"/>
  <c r="L35" i="3"/>
  <c r="E35" i="3"/>
  <c r="V34" i="3"/>
  <c r="U34" i="3"/>
  <c r="T34" i="3"/>
  <c r="S34" i="3"/>
  <c r="L34" i="3"/>
  <c r="E34" i="3"/>
  <c r="V33" i="3"/>
  <c r="U33" i="3"/>
  <c r="T33" i="3"/>
  <c r="S33" i="3"/>
  <c r="L33" i="3"/>
  <c r="E33" i="3"/>
  <c r="V32" i="3"/>
  <c r="U32" i="3"/>
  <c r="T32" i="3"/>
  <c r="S32" i="3"/>
  <c r="L32" i="3"/>
  <c r="E32" i="3"/>
  <c r="V31" i="3"/>
  <c r="U31" i="3"/>
  <c r="T31" i="3"/>
  <c r="S31" i="3"/>
  <c r="L31" i="3"/>
  <c r="E31" i="3"/>
  <c r="V30" i="3"/>
  <c r="U30" i="3"/>
  <c r="T30" i="3"/>
  <c r="S30" i="3"/>
  <c r="L30" i="3"/>
  <c r="E30" i="3"/>
  <c r="V29" i="3"/>
  <c r="U29" i="3"/>
  <c r="T29" i="3"/>
  <c r="S29" i="3"/>
  <c r="L29" i="3"/>
  <c r="E29" i="3"/>
  <c r="V28" i="3"/>
  <c r="U28" i="3"/>
  <c r="T28" i="3"/>
  <c r="S28" i="3"/>
  <c r="L28" i="3"/>
  <c r="E28" i="3"/>
  <c r="V27" i="3"/>
  <c r="U27" i="3"/>
  <c r="T27" i="3"/>
  <c r="S27" i="3"/>
  <c r="L27" i="3"/>
  <c r="E27" i="3"/>
  <c r="V26" i="3"/>
  <c r="U26" i="3"/>
  <c r="T26" i="3"/>
  <c r="S26" i="3"/>
  <c r="L26" i="3"/>
  <c r="E26" i="3"/>
  <c r="V25" i="3"/>
  <c r="U25" i="3"/>
  <c r="T25" i="3"/>
  <c r="S25" i="3"/>
  <c r="L25" i="3"/>
  <c r="E25" i="3"/>
  <c r="V24" i="3"/>
  <c r="U24" i="3"/>
  <c r="T24" i="3"/>
  <c r="S24" i="3"/>
  <c r="L24" i="3"/>
  <c r="E24" i="3"/>
  <c r="V23" i="3"/>
  <c r="U23" i="3"/>
  <c r="T23" i="3"/>
  <c r="S23" i="3"/>
  <c r="L23" i="3"/>
  <c r="E23" i="3"/>
  <c r="V22" i="3"/>
  <c r="U22" i="3"/>
  <c r="T22" i="3"/>
  <c r="S22" i="3"/>
  <c r="L22" i="3"/>
  <c r="E22" i="3"/>
  <c r="V21" i="3"/>
  <c r="U21" i="3"/>
  <c r="T21" i="3"/>
  <c r="S21" i="3"/>
  <c r="L21" i="3"/>
  <c r="E21" i="3"/>
  <c r="V20" i="3"/>
  <c r="U20" i="3"/>
  <c r="T20" i="3"/>
  <c r="S20" i="3"/>
  <c r="L20" i="3"/>
  <c r="E20" i="3"/>
  <c r="V19" i="3"/>
  <c r="U19" i="3"/>
  <c r="T19" i="3"/>
  <c r="S19" i="3"/>
  <c r="L19" i="3"/>
  <c r="E19" i="3"/>
  <c r="V18" i="3"/>
  <c r="U18" i="3"/>
  <c r="T18" i="3"/>
  <c r="S18" i="3"/>
  <c r="L18" i="3"/>
  <c r="E18" i="3"/>
  <c r="V17" i="3"/>
  <c r="U17" i="3"/>
  <c r="T17" i="3"/>
  <c r="S17" i="3"/>
  <c r="L17" i="3"/>
  <c r="E17" i="3"/>
  <c r="V16" i="3"/>
  <c r="U16" i="3"/>
  <c r="T16" i="3"/>
  <c r="S16" i="3"/>
  <c r="L16" i="3"/>
  <c r="E16" i="3"/>
  <c r="V15" i="3"/>
  <c r="U15" i="3"/>
  <c r="T15" i="3"/>
  <c r="S15" i="3"/>
  <c r="L15" i="3"/>
  <c r="E15" i="3"/>
  <c r="V14" i="3"/>
  <c r="U14" i="3"/>
  <c r="T14" i="3"/>
  <c r="S14" i="3"/>
  <c r="L14" i="3"/>
  <c r="E14" i="3"/>
  <c r="V13" i="3"/>
  <c r="U13" i="3"/>
  <c r="T13" i="3"/>
  <c r="S13" i="3"/>
  <c r="L13" i="3"/>
  <c r="E13" i="3"/>
  <c r="V12" i="3"/>
  <c r="U12" i="3"/>
  <c r="T12" i="3"/>
  <c r="S12" i="3"/>
  <c r="L12" i="3"/>
  <c r="E12" i="3"/>
  <c r="V11" i="3"/>
  <c r="U11" i="3"/>
  <c r="T11" i="3"/>
  <c r="S11" i="3"/>
  <c r="L11" i="3"/>
  <c r="E11" i="3"/>
  <c r="V10" i="3"/>
  <c r="U10" i="3"/>
  <c r="T10" i="3"/>
  <c r="S10" i="3"/>
  <c r="L10" i="3"/>
  <c r="E10" i="3"/>
  <c r="V9" i="3"/>
  <c r="U9" i="3"/>
  <c r="T9" i="3"/>
  <c r="S9" i="3"/>
  <c r="L9" i="3"/>
  <c r="E9" i="3"/>
  <c r="V8" i="3"/>
  <c r="U8" i="3"/>
  <c r="T8" i="3"/>
  <c r="S8" i="3"/>
  <c r="L8" i="3"/>
  <c r="E8" i="3"/>
  <c r="V7" i="3"/>
  <c r="U7" i="3"/>
  <c r="T7" i="3"/>
  <c r="S7" i="3"/>
  <c r="L7" i="3"/>
  <c r="E7" i="3"/>
  <c r="V6" i="3"/>
  <c r="U6" i="3"/>
  <c r="T6" i="3"/>
  <c r="S6" i="3"/>
  <c r="L6" i="3"/>
  <c r="E6" i="3"/>
  <c r="V5" i="3"/>
  <c r="U5" i="3"/>
  <c r="T5" i="3"/>
  <c r="S5" i="3"/>
  <c r="L5" i="3"/>
  <c r="E5" i="3"/>
  <c r="V4" i="3"/>
  <c r="U4" i="3"/>
  <c r="T4" i="3"/>
  <c r="S4" i="3"/>
  <c r="L4" i="3"/>
  <c r="E4" i="3"/>
  <c r="V3" i="3"/>
  <c r="U3" i="3"/>
  <c r="T3" i="3"/>
  <c r="S3" i="3"/>
  <c r="L3" i="3"/>
  <c r="E3" i="3"/>
  <c r="V2" i="3"/>
  <c r="U2" i="3"/>
  <c r="T2" i="3"/>
  <c r="S2" i="3"/>
  <c r="L2" i="3"/>
  <c r="E2" i="3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2" i="2" l="1"/>
  <c r="F2" i="2"/>
  <c r="E2" i="2"/>
  <c r="D2" i="2"/>
  <c r="G3" i="2"/>
  <c r="F3" i="2"/>
  <c r="E3" i="2"/>
  <c r="D3" i="2"/>
  <c r="G4" i="2"/>
  <c r="F4" i="2"/>
  <c r="E4" i="2"/>
  <c r="D4" i="2"/>
  <c r="G5" i="2"/>
  <c r="F5" i="2"/>
  <c r="E5" i="2"/>
  <c r="D5" i="2"/>
  <c r="G6" i="2"/>
  <c r="F6" i="2"/>
  <c r="E6" i="2"/>
  <c r="D6" i="2"/>
  <c r="G7" i="2"/>
  <c r="F7" i="2"/>
  <c r="E7" i="2"/>
  <c r="D7" i="2"/>
  <c r="G8" i="2"/>
  <c r="F8" i="2"/>
  <c r="E8" i="2"/>
  <c r="D8" i="2"/>
  <c r="G9" i="2"/>
  <c r="F9" i="2"/>
  <c r="E9" i="2"/>
  <c r="D9" i="2"/>
  <c r="G10" i="2"/>
  <c r="F10" i="2"/>
  <c r="E10" i="2"/>
  <c r="D10" i="2"/>
  <c r="G11" i="2"/>
  <c r="F11" i="2"/>
  <c r="E11" i="2"/>
  <c r="D11" i="2"/>
  <c r="G12" i="2"/>
  <c r="F12" i="2"/>
  <c r="E12" i="2"/>
  <c r="D12" i="2"/>
  <c r="G13" i="2"/>
  <c r="F13" i="2"/>
  <c r="E13" i="2"/>
  <c r="D13" i="2"/>
  <c r="G14" i="2"/>
  <c r="F14" i="2"/>
  <c r="E14" i="2"/>
  <c r="D14" i="2"/>
  <c r="G15" i="2"/>
  <c r="F15" i="2"/>
  <c r="E15" i="2"/>
  <c r="D15" i="2"/>
  <c r="G16" i="2"/>
  <c r="F16" i="2"/>
  <c r="E16" i="2"/>
  <c r="D16" i="2"/>
  <c r="G17" i="2"/>
  <c r="F17" i="2"/>
  <c r="E17" i="2"/>
  <c r="D17" i="2"/>
  <c r="G18" i="2"/>
  <c r="F18" i="2"/>
  <c r="E18" i="2"/>
  <c r="D18" i="2"/>
  <c r="G19" i="2"/>
  <c r="F19" i="2"/>
  <c r="E19" i="2"/>
  <c r="D19" i="2"/>
  <c r="G20" i="2"/>
  <c r="F20" i="2"/>
  <c r="E20" i="2"/>
  <c r="D20" i="2"/>
  <c r="G21" i="2"/>
  <c r="F21" i="2"/>
  <c r="E21" i="2"/>
  <c r="D21" i="2"/>
  <c r="G22" i="2"/>
  <c r="F22" i="2"/>
  <c r="E22" i="2"/>
  <c r="D22" i="2"/>
  <c r="G23" i="2"/>
  <c r="F23" i="2"/>
  <c r="E23" i="2"/>
  <c r="D23" i="2"/>
  <c r="G24" i="2"/>
  <c r="F24" i="2"/>
  <c r="E24" i="2"/>
  <c r="D24" i="2"/>
  <c r="G25" i="2"/>
  <c r="F25" i="2"/>
  <c r="E25" i="2"/>
  <c r="D25" i="2"/>
  <c r="G26" i="2"/>
  <c r="F26" i="2"/>
  <c r="E26" i="2"/>
  <c r="D26" i="2"/>
  <c r="G27" i="2"/>
  <c r="F27" i="2"/>
  <c r="E27" i="2"/>
  <c r="D27" i="2"/>
  <c r="G28" i="2"/>
  <c r="F28" i="2"/>
  <c r="E28" i="2"/>
  <c r="D28" i="2"/>
  <c r="G29" i="2"/>
  <c r="F29" i="2"/>
  <c r="E29" i="2"/>
  <c r="D29" i="2"/>
  <c r="G30" i="2"/>
  <c r="F30" i="2"/>
  <c r="E30" i="2"/>
  <c r="D30" i="2"/>
  <c r="G31" i="2"/>
  <c r="F31" i="2"/>
  <c r="E31" i="2"/>
  <c r="D31" i="2"/>
  <c r="G32" i="2"/>
  <c r="F32" i="2"/>
  <c r="E32" i="2"/>
  <c r="D32" i="2"/>
  <c r="G33" i="2"/>
  <c r="F33" i="2"/>
  <c r="E33" i="2"/>
  <c r="D33" i="2"/>
  <c r="G34" i="2"/>
  <c r="F34" i="2"/>
  <c r="E34" i="2"/>
  <c r="D34" i="2"/>
  <c r="G35" i="2"/>
  <c r="F35" i="2"/>
  <c r="E35" i="2"/>
  <c r="D35" i="2"/>
  <c r="G36" i="2"/>
  <c r="F36" i="2"/>
  <c r="E36" i="2"/>
  <c r="D36" i="2"/>
  <c r="G37" i="2"/>
  <c r="F37" i="2"/>
  <c r="E37" i="2"/>
  <c r="D37" i="2"/>
  <c r="G38" i="2"/>
  <c r="F38" i="2"/>
  <c r="E38" i="2"/>
  <c r="D38" i="2"/>
  <c r="G39" i="2"/>
  <c r="F39" i="2"/>
  <c r="E39" i="2"/>
  <c r="D39" i="2"/>
  <c r="G40" i="2"/>
  <c r="F40" i="2"/>
  <c r="E40" i="2"/>
  <c r="D40" i="2"/>
  <c r="G41" i="2"/>
  <c r="F41" i="2"/>
  <c r="E41" i="2"/>
  <c r="D41" i="2"/>
  <c r="G42" i="2"/>
  <c r="F42" i="2"/>
  <c r="E42" i="2"/>
  <c r="D42" i="2"/>
  <c r="G43" i="2"/>
  <c r="F43" i="2"/>
  <c r="E43" i="2"/>
  <c r="D43" i="2"/>
  <c r="G44" i="2"/>
  <c r="F44" i="2"/>
  <c r="E44" i="2"/>
  <c r="D44" i="2"/>
  <c r="G45" i="2"/>
  <c r="F45" i="2"/>
  <c r="E45" i="2"/>
  <c r="D45" i="2"/>
  <c r="G46" i="2"/>
  <c r="F46" i="2"/>
  <c r="E46" i="2"/>
  <c r="D46" i="2"/>
  <c r="G47" i="2"/>
  <c r="F47" i="2"/>
  <c r="E47" i="2"/>
  <c r="D47" i="2"/>
  <c r="G48" i="2"/>
  <c r="F48" i="2"/>
  <c r="E48" i="2"/>
  <c r="D48" i="2"/>
  <c r="G49" i="2"/>
  <c r="F49" i="2"/>
  <c r="E49" i="2"/>
  <c r="D49" i="2"/>
  <c r="G50" i="2"/>
  <c r="F50" i="2"/>
  <c r="E50" i="2"/>
  <c r="D50" i="2"/>
  <c r="G51" i="2"/>
  <c r="F51" i="2"/>
  <c r="E51" i="2"/>
  <c r="D51" i="2"/>
  <c r="G52" i="2"/>
  <c r="F52" i="2"/>
  <c r="E52" i="2"/>
  <c r="D52" i="2"/>
  <c r="G53" i="2"/>
  <c r="F53" i="2"/>
  <c r="E53" i="2"/>
  <c r="D53" i="2"/>
  <c r="G54" i="2"/>
  <c r="F54" i="2"/>
  <c r="E54" i="2"/>
  <c r="D54" i="2"/>
  <c r="G55" i="2"/>
  <c r="F55" i="2"/>
  <c r="E55" i="2"/>
  <c r="D55" i="2"/>
  <c r="G56" i="2"/>
  <c r="F56" i="2"/>
  <c r="E56" i="2"/>
  <c r="D56" i="2"/>
  <c r="G57" i="2"/>
  <c r="F57" i="2"/>
  <c r="E57" i="2"/>
  <c r="D57" i="2"/>
  <c r="G58" i="2"/>
  <c r="F58" i="2"/>
  <c r="E58" i="2"/>
  <c r="D58" i="2"/>
  <c r="G59" i="2"/>
  <c r="F59" i="2"/>
  <c r="E59" i="2"/>
  <c r="D59" i="2"/>
  <c r="G60" i="2"/>
  <c r="F60" i="2"/>
  <c r="E60" i="2"/>
  <c r="D60" i="2"/>
  <c r="G61" i="2"/>
  <c r="F61" i="2"/>
  <c r="E61" i="2"/>
  <c r="D61" i="2"/>
  <c r="G62" i="2"/>
  <c r="F62" i="2"/>
  <c r="E62" i="2"/>
  <c r="D62" i="2"/>
  <c r="G63" i="2"/>
  <c r="F63" i="2"/>
  <c r="E63" i="2"/>
  <c r="D63" i="2"/>
  <c r="G64" i="2"/>
  <c r="F64" i="2"/>
  <c r="E64" i="2"/>
  <c r="D64" i="2"/>
  <c r="G65" i="2"/>
  <c r="F65" i="2"/>
  <c r="E65" i="2"/>
  <c r="D65" i="2"/>
  <c r="G66" i="2"/>
  <c r="F66" i="2"/>
  <c r="E66" i="2"/>
  <c r="D66" i="2"/>
  <c r="G67" i="2"/>
  <c r="F67" i="2"/>
  <c r="E67" i="2"/>
  <c r="D67" i="2"/>
  <c r="G68" i="2"/>
  <c r="F68" i="2"/>
  <c r="E68" i="2"/>
  <c r="D68" i="2"/>
  <c r="G69" i="2"/>
  <c r="F69" i="2"/>
  <c r="E69" i="2"/>
  <c r="D69" i="2"/>
  <c r="G70" i="2"/>
  <c r="F70" i="2"/>
  <c r="E70" i="2"/>
  <c r="D70" i="2"/>
  <c r="G71" i="2"/>
  <c r="F71" i="2"/>
  <c r="E71" i="2"/>
  <c r="D71" i="2"/>
  <c r="G72" i="2"/>
  <c r="F72" i="2"/>
  <c r="E72" i="2"/>
  <c r="D72" i="2"/>
  <c r="G73" i="2"/>
  <c r="F73" i="2"/>
  <c r="E73" i="2"/>
  <c r="D73" i="2"/>
  <c r="G74" i="2"/>
  <c r="F74" i="2"/>
  <c r="E74" i="2"/>
  <c r="D74" i="2"/>
  <c r="G75" i="2"/>
  <c r="F75" i="2"/>
  <c r="E75" i="2"/>
  <c r="D75" i="2"/>
  <c r="G76" i="2"/>
  <c r="F76" i="2"/>
  <c r="E76" i="2"/>
  <c r="D76" i="2"/>
  <c r="G77" i="2"/>
  <c r="F77" i="2"/>
  <c r="E77" i="2"/>
  <c r="D77" i="2"/>
  <c r="G78" i="2"/>
  <c r="F78" i="2"/>
  <c r="E78" i="2"/>
  <c r="D78" i="2"/>
  <c r="G79" i="2"/>
  <c r="F79" i="2"/>
  <c r="E79" i="2"/>
  <c r="D79" i="2"/>
  <c r="G80" i="2"/>
  <c r="F80" i="2"/>
  <c r="E80" i="2"/>
  <c r="D80" i="2"/>
  <c r="G81" i="2"/>
  <c r="F81" i="2"/>
  <c r="E81" i="2"/>
  <c r="D81" i="2"/>
  <c r="G82" i="2"/>
  <c r="F82" i="2"/>
  <c r="E82" i="2"/>
  <c r="D82" i="2"/>
  <c r="G83" i="2"/>
  <c r="F83" i="2"/>
  <c r="E83" i="2"/>
  <c r="D83" i="2"/>
  <c r="G84" i="2"/>
  <c r="F84" i="2"/>
  <c r="E84" i="2"/>
  <c r="D84" i="2"/>
  <c r="G85" i="2"/>
  <c r="F85" i="2"/>
  <c r="E85" i="2"/>
  <c r="D85" i="2"/>
  <c r="G86" i="2"/>
  <c r="F86" i="2"/>
  <c r="E86" i="2"/>
  <c r="D86" i="2"/>
  <c r="G87" i="2"/>
  <c r="F87" i="2"/>
  <c r="E87" i="2"/>
  <c r="D87" i="2"/>
  <c r="G88" i="2"/>
  <c r="F88" i="2"/>
  <c r="E88" i="2"/>
  <c r="D88" i="2"/>
  <c r="G89" i="2"/>
  <c r="F89" i="2"/>
  <c r="E89" i="2"/>
  <c r="D89" i="2"/>
  <c r="G90" i="2"/>
  <c r="F90" i="2"/>
  <c r="E90" i="2"/>
  <c r="D90" i="2"/>
  <c r="G91" i="2"/>
  <c r="F91" i="2"/>
  <c r="E91" i="2"/>
  <c r="D91" i="2"/>
  <c r="G92" i="2"/>
  <c r="F92" i="2"/>
  <c r="E92" i="2"/>
  <c r="D92" i="2"/>
  <c r="G93" i="2"/>
  <c r="F93" i="2"/>
  <c r="E93" i="2"/>
  <c r="D93" i="2"/>
  <c r="G94" i="2"/>
  <c r="F94" i="2"/>
  <c r="E94" i="2"/>
  <c r="D94" i="2"/>
  <c r="G95" i="2"/>
  <c r="F95" i="2"/>
  <c r="E95" i="2"/>
  <c r="D95" i="2"/>
  <c r="G96" i="2"/>
  <c r="F96" i="2"/>
  <c r="E96" i="2"/>
  <c r="D96" i="2"/>
  <c r="G97" i="2"/>
  <c r="F97" i="2"/>
  <c r="E97" i="2"/>
  <c r="D97" i="2"/>
  <c r="G98" i="2"/>
  <c r="F98" i="2"/>
  <c r="E98" i="2"/>
  <c r="D98" i="2"/>
  <c r="G99" i="2"/>
  <c r="F99" i="2"/>
  <c r="E99" i="2"/>
  <c r="D99" i="2"/>
  <c r="G100" i="2"/>
  <c r="F100" i="2"/>
  <c r="E100" i="2"/>
  <c r="D100" i="2"/>
  <c r="G101" i="2"/>
  <c r="F101" i="2"/>
  <c r="E101" i="2"/>
  <c r="D101" i="2"/>
  <c r="G102" i="2"/>
  <c r="F102" i="2"/>
  <c r="E102" i="2"/>
  <c r="D102" i="2"/>
  <c r="G103" i="2"/>
  <c r="F103" i="2"/>
  <c r="E103" i="2"/>
  <c r="D103" i="2"/>
  <c r="G104" i="2"/>
  <c r="F104" i="2"/>
  <c r="E104" i="2"/>
  <c r="D104" i="2"/>
  <c r="G105" i="2"/>
  <c r="F105" i="2"/>
  <c r="E105" i="2"/>
  <c r="D105" i="2"/>
  <c r="G106" i="2"/>
  <c r="F106" i="2"/>
  <c r="E106" i="2"/>
  <c r="D106" i="2"/>
  <c r="G107" i="2"/>
  <c r="F107" i="2"/>
  <c r="E107" i="2"/>
  <c r="D107" i="2"/>
  <c r="G108" i="2"/>
  <c r="F108" i="2"/>
  <c r="E108" i="2"/>
  <c r="D108" i="2"/>
  <c r="G109" i="2"/>
  <c r="F109" i="2"/>
  <c r="E109" i="2"/>
  <c r="D109" i="2"/>
  <c r="G110" i="2"/>
  <c r="F110" i="2"/>
  <c r="E110" i="2"/>
  <c r="D110" i="2"/>
  <c r="G111" i="2"/>
  <c r="F111" i="2"/>
  <c r="E111" i="2"/>
  <c r="D111" i="2"/>
  <c r="G112" i="2"/>
  <c r="F112" i="2"/>
  <c r="E112" i="2"/>
  <c r="D112" i="2"/>
  <c r="G113" i="2"/>
  <c r="F113" i="2"/>
  <c r="E113" i="2"/>
  <c r="D113" i="2"/>
  <c r="G114" i="2"/>
  <c r="F114" i="2"/>
  <c r="E114" i="2"/>
  <c r="D114" i="2"/>
  <c r="G115" i="2"/>
  <c r="F115" i="2"/>
  <c r="E115" i="2"/>
  <c r="D115" i="2"/>
  <c r="G116" i="2"/>
  <c r="F116" i="2"/>
  <c r="E116" i="2"/>
  <c r="D116" i="2"/>
  <c r="G117" i="2"/>
  <c r="F117" i="2"/>
  <c r="E117" i="2"/>
  <c r="D117" i="2"/>
  <c r="G118" i="2"/>
  <c r="F118" i="2"/>
  <c r="E118" i="2"/>
  <c r="D118" i="2"/>
  <c r="G119" i="2"/>
  <c r="F119" i="2"/>
  <c r="E119" i="2"/>
  <c r="D119" i="2"/>
  <c r="G120" i="2"/>
  <c r="F120" i="2"/>
  <c r="E120" i="2"/>
  <c r="D120" i="2"/>
  <c r="G121" i="2"/>
  <c r="F121" i="2"/>
  <c r="E121" i="2"/>
  <c r="D121" i="2"/>
  <c r="G122" i="2"/>
  <c r="F122" i="2"/>
  <c r="E122" i="2"/>
  <c r="D122" i="2"/>
  <c r="G123" i="2"/>
  <c r="F123" i="2"/>
  <c r="E123" i="2"/>
  <c r="D123" i="2"/>
  <c r="G124" i="2"/>
  <c r="F124" i="2"/>
  <c r="E124" i="2"/>
  <c r="D124" i="2"/>
  <c r="G125" i="2"/>
  <c r="F125" i="2"/>
  <c r="E125" i="2"/>
  <c r="D125" i="2"/>
  <c r="G126" i="2"/>
  <c r="F126" i="2"/>
  <c r="E126" i="2"/>
  <c r="D126" i="2"/>
  <c r="G127" i="2"/>
  <c r="F127" i="2"/>
  <c r="E127" i="2"/>
  <c r="D127" i="2"/>
  <c r="G128" i="2"/>
  <c r="F128" i="2"/>
  <c r="E128" i="2"/>
  <c r="D128" i="2"/>
  <c r="G129" i="2"/>
  <c r="F129" i="2"/>
  <c r="E129" i="2"/>
  <c r="D129" i="2"/>
  <c r="G130" i="2"/>
  <c r="F130" i="2"/>
  <c r="E130" i="2"/>
  <c r="D130" i="2"/>
  <c r="G131" i="2"/>
  <c r="F131" i="2"/>
  <c r="E131" i="2"/>
  <c r="D131" i="2"/>
  <c r="G132" i="2"/>
  <c r="F132" i="2"/>
  <c r="E132" i="2"/>
  <c r="D132" i="2"/>
  <c r="G133" i="2"/>
  <c r="F133" i="2"/>
  <c r="E133" i="2"/>
  <c r="D133" i="2"/>
  <c r="G134" i="2"/>
  <c r="F134" i="2"/>
  <c r="E134" i="2"/>
  <c r="D134" i="2"/>
  <c r="G135" i="2"/>
  <c r="F135" i="2"/>
  <c r="E135" i="2"/>
  <c r="D135" i="2"/>
  <c r="G136" i="2"/>
  <c r="F136" i="2"/>
  <c r="E136" i="2"/>
  <c r="D136" i="2"/>
  <c r="G137" i="2"/>
  <c r="F137" i="2"/>
  <c r="E137" i="2"/>
  <c r="D137" i="2"/>
  <c r="G138" i="2"/>
  <c r="F138" i="2"/>
  <c r="E138" i="2"/>
  <c r="D138" i="2"/>
  <c r="G139" i="2"/>
  <c r="F139" i="2"/>
  <c r="E139" i="2"/>
  <c r="D139" i="2"/>
  <c r="G140" i="2"/>
  <c r="F140" i="2"/>
  <c r="E140" i="2"/>
  <c r="D140" i="2"/>
  <c r="G141" i="2"/>
  <c r="F141" i="2"/>
  <c r="E141" i="2"/>
  <c r="D141" i="2"/>
  <c r="G142" i="2"/>
  <c r="F142" i="2"/>
  <c r="E142" i="2"/>
  <c r="D142" i="2"/>
  <c r="G143" i="2"/>
  <c r="F143" i="2"/>
  <c r="E143" i="2"/>
  <c r="D143" i="2"/>
  <c r="G144" i="2"/>
  <c r="F144" i="2"/>
  <c r="E144" i="2"/>
  <c r="D144" i="2"/>
  <c r="G145" i="2"/>
  <c r="F145" i="2"/>
  <c r="E145" i="2"/>
  <c r="D145" i="2"/>
  <c r="G146" i="2"/>
  <c r="F146" i="2"/>
  <c r="E146" i="2"/>
  <c r="D146" i="2"/>
  <c r="Q2" i="3"/>
  <c r="P2" i="3" s="1"/>
  <c r="K2" i="3"/>
  <c r="O2" i="3" s="1"/>
  <c r="F2" i="3"/>
  <c r="N2" i="3"/>
  <c r="M2" i="3"/>
  <c r="Q3" i="3"/>
  <c r="P3" i="3" s="1"/>
  <c r="K3" i="3"/>
  <c r="O3" i="3" s="1"/>
  <c r="F3" i="3"/>
  <c r="N3" i="3"/>
  <c r="M3" i="3"/>
  <c r="Q4" i="3"/>
  <c r="P4" i="3" s="1"/>
  <c r="K4" i="3"/>
  <c r="O4" i="3" s="1"/>
  <c r="F4" i="3"/>
  <c r="N4" i="3"/>
  <c r="M4" i="3"/>
  <c r="Q5" i="3"/>
  <c r="P5" i="3" s="1"/>
  <c r="K5" i="3"/>
  <c r="O5" i="3" s="1"/>
  <c r="F5" i="3"/>
  <c r="N5" i="3"/>
  <c r="M5" i="3"/>
  <c r="Q6" i="3"/>
  <c r="P6" i="3" s="1"/>
  <c r="K6" i="3"/>
  <c r="O6" i="3" s="1"/>
  <c r="F6" i="3"/>
  <c r="N6" i="3"/>
  <c r="M6" i="3"/>
  <c r="Q7" i="3"/>
  <c r="P7" i="3" s="1"/>
  <c r="K7" i="3"/>
  <c r="O7" i="3" s="1"/>
  <c r="F7" i="3"/>
  <c r="N7" i="3"/>
  <c r="M7" i="3"/>
  <c r="Q8" i="3"/>
  <c r="P8" i="3" s="1"/>
  <c r="K8" i="3"/>
  <c r="O8" i="3" s="1"/>
  <c r="F8" i="3"/>
  <c r="N8" i="3"/>
  <c r="M8" i="3"/>
  <c r="Q9" i="3"/>
  <c r="P9" i="3" s="1"/>
  <c r="K9" i="3"/>
  <c r="O9" i="3" s="1"/>
  <c r="F9" i="3"/>
  <c r="N9" i="3"/>
  <c r="M9" i="3"/>
  <c r="Q10" i="3"/>
  <c r="P10" i="3" s="1"/>
  <c r="K10" i="3"/>
  <c r="O10" i="3" s="1"/>
  <c r="F10" i="3"/>
  <c r="N10" i="3"/>
  <c r="M10" i="3"/>
  <c r="Q11" i="3"/>
  <c r="P11" i="3" s="1"/>
  <c r="K11" i="3"/>
  <c r="O11" i="3" s="1"/>
  <c r="F11" i="3"/>
  <c r="N11" i="3"/>
  <c r="M11" i="3"/>
  <c r="Q12" i="3"/>
  <c r="P12" i="3" s="1"/>
  <c r="K12" i="3"/>
  <c r="O12" i="3" s="1"/>
  <c r="F12" i="3"/>
  <c r="N12" i="3"/>
  <c r="M12" i="3"/>
  <c r="Q13" i="3"/>
  <c r="P13" i="3" s="1"/>
  <c r="K13" i="3"/>
  <c r="O13" i="3" s="1"/>
  <c r="F13" i="3"/>
  <c r="N13" i="3"/>
  <c r="M13" i="3"/>
  <c r="Q14" i="3"/>
  <c r="P14" i="3" s="1"/>
  <c r="K14" i="3"/>
  <c r="O14" i="3" s="1"/>
  <c r="F14" i="3"/>
  <c r="N14" i="3"/>
  <c r="M14" i="3"/>
  <c r="Q15" i="3"/>
  <c r="P15" i="3" s="1"/>
  <c r="K15" i="3"/>
  <c r="O15" i="3" s="1"/>
  <c r="F15" i="3"/>
  <c r="N15" i="3"/>
  <c r="M15" i="3"/>
  <c r="Q16" i="3"/>
  <c r="P16" i="3" s="1"/>
  <c r="K16" i="3"/>
  <c r="O16" i="3" s="1"/>
  <c r="F16" i="3"/>
  <c r="N16" i="3"/>
  <c r="M16" i="3"/>
  <c r="Q17" i="3"/>
  <c r="P17" i="3" s="1"/>
  <c r="K17" i="3"/>
  <c r="O17" i="3" s="1"/>
  <c r="F17" i="3"/>
  <c r="N17" i="3"/>
  <c r="M17" i="3"/>
  <c r="Q18" i="3"/>
  <c r="P18" i="3" s="1"/>
  <c r="K18" i="3"/>
  <c r="O18" i="3" s="1"/>
  <c r="F18" i="3"/>
  <c r="N18" i="3"/>
  <c r="M18" i="3"/>
  <c r="Q19" i="3"/>
  <c r="P19" i="3" s="1"/>
  <c r="K19" i="3"/>
  <c r="O19" i="3" s="1"/>
  <c r="F19" i="3"/>
  <c r="N19" i="3"/>
  <c r="M19" i="3"/>
  <c r="Q20" i="3"/>
  <c r="P20" i="3" s="1"/>
  <c r="K20" i="3"/>
  <c r="O20" i="3" s="1"/>
  <c r="F20" i="3"/>
  <c r="N20" i="3"/>
  <c r="M20" i="3"/>
  <c r="Q21" i="3"/>
  <c r="P21" i="3" s="1"/>
  <c r="K21" i="3"/>
  <c r="O21" i="3" s="1"/>
  <c r="F21" i="3"/>
  <c r="N21" i="3"/>
  <c r="M21" i="3"/>
  <c r="Q22" i="3"/>
  <c r="P22" i="3" s="1"/>
  <c r="K22" i="3"/>
  <c r="O22" i="3" s="1"/>
  <c r="F22" i="3"/>
  <c r="N22" i="3"/>
  <c r="M22" i="3"/>
  <c r="Q23" i="3"/>
  <c r="P23" i="3" s="1"/>
  <c r="K23" i="3"/>
  <c r="O23" i="3" s="1"/>
  <c r="F23" i="3"/>
  <c r="N23" i="3"/>
  <c r="M23" i="3"/>
  <c r="Q24" i="3"/>
  <c r="P24" i="3" s="1"/>
  <c r="K24" i="3"/>
  <c r="O24" i="3" s="1"/>
  <c r="F24" i="3"/>
  <c r="N24" i="3"/>
  <c r="M24" i="3"/>
  <c r="Q25" i="3"/>
  <c r="P25" i="3" s="1"/>
  <c r="K25" i="3"/>
  <c r="O25" i="3" s="1"/>
  <c r="F25" i="3"/>
  <c r="N25" i="3"/>
  <c r="M25" i="3"/>
  <c r="Q26" i="3"/>
  <c r="P26" i="3" s="1"/>
  <c r="K26" i="3"/>
  <c r="O26" i="3" s="1"/>
  <c r="F26" i="3"/>
  <c r="N26" i="3"/>
  <c r="M26" i="3"/>
  <c r="Q27" i="3"/>
  <c r="P27" i="3" s="1"/>
  <c r="K27" i="3"/>
  <c r="O27" i="3" s="1"/>
  <c r="F27" i="3"/>
  <c r="N27" i="3"/>
  <c r="M27" i="3"/>
  <c r="Q28" i="3"/>
  <c r="P28" i="3" s="1"/>
  <c r="K28" i="3"/>
  <c r="O28" i="3" s="1"/>
  <c r="F28" i="3"/>
  <c r="N28" i="3"/>
  <c r="M28" i="3"/>
  <c r="Q29" i="3"/>
  <c r="P29" i="3" s="1"/>
  <c r="K29" i="3"/>
  <c r="O29" i="3" s="1"/>
  <c r="F29" i="3"/>
  <c r="N29" i="3"/>
  <c r="M29" i="3"/>
  <c r="Q30" i="3"/>
  <c r="P30" i="3" s="1"/>
  <c r="K30" i="3"/>
  <c r="O30" i="3" s="1"/>
  <c r="F30" i="3"/>
  <c r="N30" i="3"/>
  <c r="M30" i="3"/>
  <c r="Q31" i="3"/>
  <c r="P31" i="3" s="1"/>
  <c r="K31" i="3"/>
  <c r="O31" i="3" s="1"/>
  <c r="F31" i="3"/>
  <c r="N31" i="3"/>
  <c r="M31" i="3"/>
  <c r="Q32" i="3"/>
  <c r="P32" i="3" s="1"/>
  <c r="K32" i="3"/>
  <c r="O32" i="3" s="1"/>
  <c r="F32" i="3"/>
  <c r="N32" i="3"/>
  <c r="M32" i="3"/>
  <c r="Q33" i="3"/>
  <c r="P33" i="3" s="1"/>
  <c r="K33" i="3"/>
  <c r="O33" i="3" s="1"/>
  <c r="F33" i="3"/>
  <c r="N33" i="3"/>
  <c r="M33" i="3"/>
  <c r="Q34" i="3"/>
  <c r="P34" i="3" s="1"/>
  <c r="K34" i="3"/>
  <c r="O34" i="3" s="1"/>
  <c r="F34" i="3"/>
  <c r="N34" i="3"/>
  <c r="M34" i="3"/>
  <c r="Q35" i="3"/>
  <c r="P35" i="3" s="1"/>
  <c r="K35" i="3"/>
  <c r="O35" i="3" s="1"/>
  <c r="F35" i="3"/>
  <c r="N35" i="3"/>
  <c r="M35" i="3"/>
  <c r="Q36" i="3"/>
  <c r="P36" i="3" s="1"/>
  <c r="K36" i="3"/>
  <c r="O36" i="3" s="1"/>
  <c r="F36" i="3"/>
  <c r="N36" i="3"/>
  <c r="M36" i="3"/>
  <c r="Q37" i="3"/>
  <c r="P37" i="3" s="1"/>
  <c r="K37" i="3"/>
  <c r="O37" i="3" s="1"/>
  <c r="F37" i="3"/>
  <c r="N37" i="3"/>
  <c r="M37" i="3"/>
  <c r="Q38" i="3"/>
  <c r="P38" i="3" s="1"/>
  <c r="K38" i="3"/>
  <c r="O38" i="3" s="1"/>
  <c r="F38" i="3"/>
  <c r="N38" i="3"/>
  <c r="M38" i="3"/>
  <c r="Q39" i="3"/>
  <c r="P39" i="3" s="1"/>
  <c r="K39" i="3"/>
  <c r="O39" i="3" s="1"/>
  <c r="F39" i="3"/>
  <c r="N39" i="3"/>
  <c r="M39" i="3"/>
  <c r="Q40" i="3"/>
  <c r="P40" i="3" s="1"/>
  <c r="K40" i="3"/>
  <c r="O40" i="3" s="1"/>
  <c r="F40" i="3"/>
  <c r="N40" i="3"/>
  <c r="M40" i="3"/>
  <c r="Q41" i="3"/>
  <c r="P41" i="3" s="1"/>
  <c r="K41" i="3"/>
  <c r="O41" i="3" s="1"/>
  <c r="F41" i="3"/>
  <c r="N41" i="3"/>
  <c r="M41" i="3"/>
  <c r="Q42" i="3"/>
  <c r="P42" i="3" s="1"/>
  <c r="K42" i="3"/>
  <c r="O42" i="3" s="1"/>
  <c r="F42" i="3"/>
  <c r="N42" i="3"/>
  <c r="M42" i="3"/>
  <c r="Q43" i="3"/>
  <c r="P43" i="3" s="1"/>
  <c r="K43" i="3"/>
  <c r="O43" i="3" s="1"/>
  <c r="F43" i="3"/>
  <c r="N43" i="3"/>
  <c r="M43" i="3"/>
  <c r="Q44" i="3"/>
  <c r="P44" i="3" s="1"/>
  <c r="K44" i="3"/>
  <c r="O44" i="3" s="1"/>
  <c r="F44" i="3"/>
  <c r="N44" i="3"/>
  <c r="M44" i="3"/>
  <c r="Q45" i="3"/>
  <c r="P45" i="3" s="1"/>
  <c r="K45" i="3"/>
  <c r="O45" i="3" s="1"/>
  <c r="F45" i="3"/>
  <c r="N45" i="3"/>
  <c r="M45" i="3"/>
  <c r="Q46" i="3"/>
  <c r="P46" i="3" s="1"/>
  <c r="K46" i="3"/>
  <c r="O46" i="3" s="1"/>
  <c r="F46" i="3"/>
  <c r="N46" i="3"/>
  <c r="M46" i="3"/>
  <c r="Q47" i="3"/>
  <c r="P47" i="3" s="1"/>
  <c r="K47" i="3"/>
  <c r="O47" i="3" s="1"/>
  <c r="F47" i="3"/>
  <c r="N47" i="3"/>
  <c r="M47" i="3"/>
  <c r="Q48" i="3"/>
  <c r="P48" i="3" s="1"/>
  <c r="K48" i="3"/>
  <c r="O48" i="3" s="1"/>
  <c r="F48" i="3"/>
  <c r="N48" i="3"/>
  <c r="M48" i="3"/>
  <c r="Q49" i="3"/>
  <c r="P49" i="3" s="1"/>
  <c r="K49" i="3"/>
  <c r="O49" i="3" s="1"/>
  <c r="F49" i="3"/>
  <c r="N49" i="3"/>
  <c r="M49" i="3"/>
  <c r="Q50" i="3"/>
  <c r="P50" i="3" s="1"/>
  <c r="K50" i="3"/>
  <c r="O50" i="3" s="1"/>
  <c r="F50" i="3"/>
  <c r="N50" i="3"/>
  <c r="M50" i="3"/>
  <c r="Q51" i="3"/>
  <c r="P51" i="3" s="1"/>
  <c r="K51" i="3"/>
  <c r="O51" i="3" s="1"/>
  <c r="F51" i="3"/>
  <c r="N51" i="3"/>
  <c r="M51" i="3"/>
  <c r="Q52" i="3"/>
  <c r="P52" i="3" s="1"/>
  <c r="K52" i="3"/>
  <c r="O52" i="3" s="1"/>
  <c r="F52" i="3"/>
  <c r="N52" i="3"/>
  <c r="M52" i="3"/>
  <c r="Q53" i="3"/>
  <c r="P53" i="3" s="1"/>
  <c r="K53" i="3"/>
  <c r="O53" i="3" s="1"/>
  <c r="F53" i="3"/>
  <c r="N53" i="3"/>
  <c r="M53" i="3"/>
  <c r="Q54" i="3"/>
  <c r="P54" i="3" s="1"/>
  <c r="K54" i="3"/>
  <c r="O54" i="3" s="1"/>
  <c r="F54" i="3"/>
  <c r="N54" i="3"/>
  <c r="M54" i="3"/>
  <c r="Q55" i="3"/>
  <c r="P55" i="3" s="1"/>
  <c r="K55" i="3"/>
  <c r="O55" i="3" s="1"/>
  <c r="F55" i="3"/>
  <c r="N55" i="3"/>
  <c r="M55" i="3"/>
  <c r="Q56" i="3"/>
  <c r="P56" i="3" s="1"/>
  <c r="K56" i="3"/>
  <c r="O56" i="3" s="1"/>
  <c r="F56" i="3"/>
  <c r="N56" i="3"/>
  <c r="M56" i="3"/>
  <c r="Q57" i="3"/>
  <c r="P57" i="3" s="1"/>
  <c r="K57" i="3"/>
  <c r="O57" i="3" s="1"/>
  <c r="F57" i="3"/>
  <c r="N57" i="3"/>
  <c r="M57" i="3"/>
  <c r="Q58" i="3"/>
  <c r="P58" i="3" s="1"/>
  <c r="K58" i="3"/>
  <c r="O58" i="3" s="1"/>
  <c r="F58" i="3"/>
  <c r="N58" i="3"/>
  <c r="M58" i="3"/>
  <c r="Q59" i="3"/>
  <c r="P59" i="3" s="1"/>
  <c r="K59" i="3"/>
  <c r="O59" i="3" s="1"/>
  <c r="F59" i="3"/>
  <c r="N59" i="3"/>
  <c r="M59" i="3"/>
  <c r="Q60" i="3"/>
  <c r="P60" i="3" s="1"/>
  <c r="K60" i="3"/>
  <c r="O60" i="3" s="1"/>
  <c r="F60" i="3"/>
  <c r="N60" i="3"/>
  <c r="M60" i="3"/>
  <c r="Q61" i="3"/>
  <c r="P61" i="3" s="1"/>
  <c r="K61" i="3"/>
  <c r="O61" i="3" s="1"/>
  <c r="F61" i="3"/>
  <c r="N61" i="3"/>
  <c r="M61" i="3"/>
  <c r="Q62" i="3"/>
  <c r="P62" i="3" s="1"/>
  <c r="K62" i="3"/>
  <c r="O62" i="3" s="1"/>
  <c r="F62" i="3"/>
  <c r="N62" i="3"/>
  <c r="M62" i="3"/>
  <c r="Q63" i="3"/>
  <c r="P63" i="3" s="1"/>
  <c r="K63" i="3"/>
  <c r="O63" i="3" s="1"/>
  <c r="F63" i="3"/>
  <c r="N63" i="3"/>
  <c r="M63" i="3"/>
  <c r="Q64" i="3"/>
  <c r="P64" i="3" s="1"/>
  <c r="K64" i="3"/>
  <c r="O64" i="3" s="1"/>
  <c r="F64" i="3"/>
  <c r="N64" i="3"/>
  <c r="M64" i="3"/>
  <c r="Q65" i="3"/>
  <c r="P65" i="3" s="1"/>
  <c r="K65" i="3"/>
  <c r="O65" i="3" s="1"/>
  <c r="F65" i="3"/>
  <c r="N65" i="3"/>
  <c r="M65" i="3"/>
  <c r="Q66" i="3"/>
  <c r="P66" i="3" s="1"/>
  <c r="K66" i="3"/>
  <c r="O66" i="3" s="1"/>
  <c r="F66" i="3"/>
  <c r="N66" i="3"/>
  <c r="M66" i="3"/>
  <c r="Q67" i="3"/>
  <c r="P67" i="3" s="1"/>
  <c r="K67" i="3"/>
  <c r="O67" i="3" s="1"/>
  <c r="F67" i="3"/>
  <c r="N67" i="3"/>
  <c r="M67" i="3"/>
  <c r="Q68" i="3"/>
  <c r="P68" i="3" s="1"/>
  <c r="K68" i="3"/>
  <c r="O68" i="3" s="1"/>
  <c r="F68" i="3"/>
  <c r="N68" i="3"/>
  <c r="M68" i="3"/>
  <c r="Q69" i="3"/>
  <c r="P69" i="3" s="1"/>
  <c r="K69" i="3"/>
  <c r="O69" i="3" s="1"/>
  <c r="F69" i="3"/>
  <c r="N69" i="3"/>
  <c r="M69" i="3"/>
  <c r="Q70" i="3"/>
  <c r="P70" i="3" s="1"/>
  <c r="K70" i="3"/>
  <c r="O70" i="3" s="1"/>
  <c r="F70" i="3"/>
  <c r="N70" i="3"/>
  <c r="M70" i="3"/>
  <c r="Q71" i="3"/>
  <c r="P71" i="3" s="1"/>
  <c r="K71" i="3"/>
  <c r="O71" i="3" s="1"/>
  <c r="F71" i="3"/>
  <c r="N71" i="3"/>
  <c r="M71" i="3"/>
  <c r="Q72" i="3"/>
  <c r="P72" i="3" s="1"/>
  <c r="K72" i="3"/>
  <c r="O72" i="3" s="1"/>
  <c r="F72" i="3"/>
  <c r="N72" i="3"/>
  <c r="M72" i="3"/>
  <c r="Q73" i="3"/>
  <c r="P73" i="3" s="1"/>
  <c r="K73" i="3"/>
  <c r="O73" i="3" s="1"/>
  <c r="F73" i="3"/>
  <c r="N73" i="3"/>
  <c r="M73" i="3"/>
  <c r="Q74" i="3"/>
  <c r="P74" i="3" s="1"/>
  <c r="K74" i="3"/>
  <c r="O74" i="3" s="1"/>
  <c r="F74" i="3"/>
  <c r="N74" i="3"/>
  <c r="M74" i="3"/>
  <c r="Q75" i="3"/>
  <c r="P75" i="3" s="1"/>
  <c r="K75" i="3"/>
  <c r="O75" i="3" s="1"/>
  <c r="F75" i="3"/>
  <c r="N75" i="3"/>
  <c r="M75" i="3"/>
  <c r="Q76" i="3"/>
  <c r="P76" i="3" s="1"/>
  <c r="K76" i="3"/>
  <c r="O76" i="3" s="1"/>
  <c r="F76" i="3"/>
  <c r="N76" i="3"/>
  <c r="M76" i="3"/>
  <c r="Q77" i="3"/>
  <c r="P77" i="3" s="1"/>
  <c r="K77" i="3"/>
  <c r="O77" i="3" s="1"/>
  <c r="F77" i="3"/>
  <c r="N77" i="3"/>
  <c r="M77" i="3"/>
  <c r="Q78" i="3"/>
  <c r="P78" i="3" s="1"/>
  <c r="K78" i="3"/>
  <c r="O78" i="3" s="1"/>
  <c r="F78" i="3"/>
  <c r="N78" i="3"/>
  <c r="M78" i="3"/>
  <c r="Q79" i="3"/>
  <c r="P79" i="3" s="1"/>
  <c r="K79" i="3"/>
  <c r="O79" i="3" s="1"/>
  <c r="F79" i="3"/>
  <c r="N79" i="3"/>
  <c r="M79" i="3"/>
  <c r="Q80" i="3"/>
  <c r="P80" i="3" s="1"/>
  <c r="K80" i="3"/>
  <c r="O80" i="3" s="1"/>
  <c r="F80" i="3"/>
  <c r="N80" i="3"/>
  <c r="M80" i="3"/>
  <c r="Q81" i="3"/>
  <c r="P81" i="3" s="1"/>
  <c r="K81" i="3"/>
  <c r="O81" i="3" s="1"/>
  <c r="F81" i="3"/>
  <c r="N81" i="3"/>
  <c r="M81" i="3"/>
  <c r="Q82" i="3"/>
  <c r="P82" i="3" s="1"/>
  <c r="K82" i="3"/>
  <c r="O82" i="3" s="1"/>
  <c r="F82" i="3"/>
  <c r="N82" i="3"/>
  <c r="M82" i="3"/>
  <c r="Q83" i="3"/>
  <c r="P83" i="3" s="1"/>
  <c r="K83" i="3"/>
  <c r="O83" i="3" s="1"/>
  <c r="F83" i="3"/>
  <c r="N83" i="3"/>
  <c r="M83" i="3"/>
  <c r="Q84" i="3"/>
  <c r="P84" i="3" s="1"/>
  <c r="K84" i="3"/>
  <c r="O84" i="3" s="1"/>
  <c r="F84" i="3"/>
  <c r="N84" i="3"/>
  <c r="M84" i="3"/>
  <c r="Q85" i="3"/>
  <c r="P85" i="3" s="1"/>
  <c r="K85" i="3"/>
  <c r="O85" i="3" s="1"/>
  <c r="F85" i="3"/>
  <c r="N85" i="3"/>
  <c r="M85" i="3"/>
  <c r="Q86" i="3"/>
  <c r="P86" i="3" s="1"/>
  <c r="K86" i="3"/>
  <c r="O86" i="3" s="1"/>
  <c r="F86" i="3"/>
  <c r="N86" i="3"/>
  <c r="M86" i="3"/>
  <c r="Q87" i="3"/>
  <c r="P87" i="3" s="1"/>
  <c r="K87" i="3"/>
  <c r="O87" i="3" s="1"/>
  <c r="F87" i="3"/>
  <c r="N87" i="3"/>
  <c r="M87" i="3"/>
  <c r="Q88" i="3"/>
  <c r="P88" i="3" s="1"/>
  <c r="K88" i="3"/>
  <c r="O88" i="3" s="1"/>
  <c r="F88" i="3"/>
  <c r="N88" i="3"/>
  <c r="M88" i="3"/>
  <c r="Q89" i="3"/>
  <c r="P89" i="3" s="1"/>
  <c r="K89" i="3"/>
  <c r="O89" i="3" s="1"/>
  <c r="F89" i="3"/>
  <c r="N89" i="3"/>
  <c r="M89" i="3"/>
  <c r="Q90" i="3"/>
  <c r="P90" i="3" s="1"/>
  <c r="K90" i="3"/>
  <c r="O90" i="3" s="1"/>
  <c r="F90" i="3"/>
  <c r="N90" i="3"/>
  <c r="M90" i="3"/>
  <c r="Q91" i="3"/>
  <c r="P91" i="3" s="1"/>
  <c r="K91" i="3"/>
  <c r="O91" i="3" s="1"/>
  <c r="F91" i="3"/>
  <c r="N91" i="3"/>
  <c r="M91" i="3"/>
  <c r="Q92" i="3"/>
  <c r="P92" i="3" s="1"/>
  <c r="K92" i="3"/>
  <c r="O92" i="3" s="1"/>
  <c r="F92" i="3"/>
  <c r="N92" i="3"/>
  <c r="M92" i="3"/>
  <c r="Q93" i="3"/>
  <c r="P93" i="3" s="1"/>
  <c r="K93" i="3"/>
  <c r="O93" i="3" s="1"/>
  <c r="F93" i="3"/>
  <c r="N93" i="3"/>
  <c r="M93" i="3"/>
  <c r="Q94" i="3"/>
  <c r="P94" i="3" s="1"/>
  <c r="K94" i="3"/>
  <c r="O94" i="3" s="1"/>
  <c r="F94" i="3"/>
  <c r="N94" i="3"/>
  <c r="M94" i="3"/>
  <c r="Q95" i="3"/>
  <c r="P95" i="3" s="1"/>
  <c r="K95" i="3"/>
  <c r="O95" i="3" s="1"/>
  <c r="F95" i="3"/>
  <c r="N95" i="3"/>
  <c r="M95" i="3"/>
  <c r="Q96" i="3"/>
  <c r="P96" i="3" s="1"/>
  <c r="K96" i="3"/>
  <c r="O96" i="3" s="1"/>
  <c r="F96" i="3"/>
  <c r="N96" i="3"/>
  <c r="M96" i="3"/>
  <c r="Q97" i="3"/>
  <c r="P97" i="3" s="1"/>
  <c r="K97" i="3"/>
  <c r="O97" i="3" s="1"/>
  <c r="F97" i="3"/>
  <c r="N97" i="3"/>
  <c r="M97" i="3"/>
  <c r="Q98" i="3"/>
  <c r="P98" i="3" s="1"/>
  <c r="K98" i="3"/>
  <c r="O98" i="3" s="1"/>
  <c r="F98" i="3"/>
  <c r="N98" i="3"/>
  <c r="M98" i="3"/>
  <c r="Q99" i="3"/>
  <c r="P99" i="3" s="1"/>
  <c r="K99" i="3"/>
  <c r="O99" i="3" s="1"/>
  <c r="F99" i="3"/>
  <c r="N99" i="3"/>
  <c r="M99" i="3"/>
  <c r="Q100" i="3"/>
  <c r="P100" i="3" s="1"/>
  <c r="K100" i="3"/>
  <c r="O100" i="3" s="1"/>
  <c r="F100" i="3"/>
  <c r="N100" i="3"/>
  <c r="M100" i="3"/>
  <c r="Q101" i="3"/>
  <c r="P101" i="3" s="1"/>
  <c r="K101" i="3"/>
  <c r="O101" i="3" s="1"/>
  <c r="F101" i="3"/>
  <c r="N101" i="3"/>
  <c r="M101" i="3"/>
  <c r="Q102" i="3"/>
  <c r="P102" i="3" s="1"/>
  <c r="K102" i="3"/>
  <c r="O102" i="3" s="1"/>
  <c r="F102" i="3"/>
  <c r="N102" i="3"/>
  <c r="M102" i="3"/>
  <c r="Q103" i="3"/>
  <c r="P103" i="3" s="1"/>
  <c r="K103" i="3"/>
  <c r="O103" i="3" s="1"/>
  <c r="F103" i="3"/>
  <c r="N103" i="3"/>
  <c r="M103" i="3"/>
  <c r="Q104" i="3"/>
  <c r="P104" i="3" s="1"/>
  <c r="K104" i="3"/>
  <c r="O104" i="3" s="1"/>
  <c r="F104" i="3"/>
  <c r="N104" i="3"/>
  <c r="M104" i="3"/>
  <c r="Q105" i="3"/>
  <c r="P105" i="3" s="1"/>
  <c r="K105" i="3"/>
  <c r="O105" i="3" s="1"/>
  <c r="F105" i="3"/>
  <c r="N105" i="3"/>
  <c r="M105" i="3"/>
  <c r="Q106" i="3"/>
  <c r="P106" i="3" s="1"/>
  <c r="K106" i="3"/>
  <c r="O106" i="3" s="1"/>
  <c r="F106" i="3"/>
  <c r="N106" i="3"/>
  <c r="M106" i="3"/>
  <c r="Q107" i="3"/>
  <c r="P107" i="3" s="1"/>
  <c r="K107" i="3"/>
  <c r="O107" i="3" s="1"/>
  <c r="F107" i="3"/>
  <c r="N107" i="3"/>
  <c r="M107" i="3"/>
  <c r="Q108" i="3"/>
  <c r="P108" i="3" s="1"/>
  <c r="K108" i="3"/>
  <c r="O108" i="3" s="1"/>
  <c r="F108" i="3"/>
  <c r="N108" i="3"/>
  <c r="M108" i="3"/>
  <c r="Q109" i="3"/>
  <c r="P109" i="3" s="1"/>
  <c r="K109" i="3"/>
  <c r="O109" i="3" s="1"/>
  <c r="F109" i="3"/>
  <c r="N109" i="3"/>
  <c r="M109" i="3"/>
  <c r="Q110" i="3"/>
  <c r="P110" i="3" s="1"/>
  <c r="K110" i="3"/>
  <c r="O110" i="3" s="1"/>
  <c r="F110" i="3"/>
  <c r="N110" i="3"/>
  <c r="M110" i="3"/>
  <c r="Q111" i="3"/>
  <c r="P111" i="3" s="1"/>
  <c r="K111" i="3"/>
  <c r="O111" i="3" s="1"/>
  <c r="F111" i="3"/>
  <c r="N111" i="3"/>
  <c r="M111" i="3"/>
  <c r="Q112" i="3"/>
  <c r="P112" i="3" s="1"/>
  <c r="K112" i="3"/>
  <c r="O112" i="3" s="1"/>
  <c r="F112" i="3"/>
  <c r="N112" i="3"/>
  <c r="M112" i="3"/>
  <c r="Q113" i="3"/>
  <c r="P113" i="3" s="1"/>
  <c r="K113" i="3"/>
  <c r="O113" i="3" s="1"/>
  <c r="F113" i="3"/>
  <c r="N113" i="3"/>
  <c r="M113" i="3"/>
  <c r="Q114" i="3"/>
  <c r="P114" i="3" s="1"/>
  <c r="K114" i="3"/>
  <c r="O114" i="3" s="1"/>
  <c r="F114" i="3"/>
  <c r="N114" i="3"/>
  <c r="M114" i="3"/>
  <c r="Q115" i="3"/>
  <c r="P115" i="3" s="1"/>
  <c r="K115" i="3"/>
  <c r="O115" i="3" s="1"/>
  <c r="F115" i="3"/>
  <c r="N115" i="3"/>
  <c r="M115" i="3"/>
  <c r="Q116" i="3"/>
  <c r="P116" i="3" s="1"/>
  <c r="K116" i="3"/>
  <c r="O116" i="3" s="1"/>
  <c r="F116" i="3"/>
  <c r="N116" i="3"/>
  <c r="M116" i="3"/>
  <c r="Q117" i="3"/>
  <c r="P117" i="3" s="1"/>
  <c r="K117" i="3"/>
  <c r="O117" i="3" s="1"/>
  <c r="F117" i="3"/>
  <c r="N117" i="3"/>
  <c r="M117" i="3"/>
  <c r="Q118" i="3"/>
  <c r="P118" i="3" s="1"/>
  <c r="K118" i="3"/>
  <c r="O118" i="3" s="1"/>
  <c r="F118" i="3"/>
  <c r="N118" i="3"/>
  <c r="M118" i="3"/>
  <c r="Q119" i="3"/>
  <c r="P119" i="3" s="1"/>
  <c r="K119" i="3"/>
  <c r="O119" i="3" s="1"/>
  <c r="F119" i="3"/>
  <c r="N119" i="3"/>
  <c r="M119" i="3"/>
  <c r="Q120" i="3"/>
  <c r="P120" i="3" s="1"/>
  <c r="K120" i="3"/>
  <c r="O120" i="3" s="1"/>
  <c r="F120" i="3"/>
  <c r="N120" i="3"/>
  <c r="M120" i="3"/>
  <c r="Q121" i="3"/>
  <c r="P121" i="3" s="1"/>
  <c r="K121" i="3"/>
  <c r="O121" i="3" s="1"/>
  <c r="F121" i="3"/>
  <c r="N121" i="3"/>
  <c r="M121" i="3"/>
  <c r="Q122" i="3"/>
  <c r="P122" i="3" s="1"/>
  <c r="K122" i="3"/>
  <c r="O122" i="3" s="1"/>
  <c r="F122" i="3"/>
  <c r="N122" i="3"/>
  <c r="M122" i="3"/>
  <c r="Q123" i="3"/>
  <c r="P123" i="3" s="1"/>
  <c r="K123" i="3"/>
  <c r="O123" i="3" s="1"/>
  <c r="F123" i="3"/>
  <c r="N123" i="3"/>
  <c r="M123" i="3"/>
  <c r="Q124" i="3"/>
  <c r="P124" i="3" s="1"/>
  <c r="K124" i="3"/>
  <c r="O124" i="3" s="1"/>
  <c r="F124" i="3"/>
  <c r="N124" i="3"/>
  <c r="M124" i="3"/>
  <c r="Q125" i="3"/>
  <c r="P125" i="3" s="1"/>
  <c r="K125" i="3"/>
  <c r="O125" i="3" s="1"/>
  <c r="F125" i="3"/>
  <c r="N125" i="3"/>
  <c r="M125" i="3"/>
  <c r="Q126" i="3"/>
  <c r="P126" i="3" s="1"/>
  <c r="K126" i="3"/>
  <c r="O126" i="3" s="1"/>
  <c r="F126" i="3"/>
  <c r="N126" i="3"/>
  <c r="M126" i="3"/>
  <c r="Q127" i="3"/>
  <c r="P127" i="3" s="1"/>
  <c r="K127" i="3"/>
  <c r="O127" i="3" s="1"/>
  <c r="F127" i="3"/>
  <c r="N127" i="3"/>
  <c r="M127" i="3"/>
  <c r="Q128" i="3"/>
  <c r="P128" i="3" s="1"/>
  <c r="K128" i="3"/>
  <c r="O128" i="3" s="1"/>
  <c r="F128" i="3"/>
  <c r="N128" i="3"/>
  <c r="M128" i="3"/>
  <c r="Q129" i="3"/>
  <c r="P129" i="3" s="1"/>
  <c r="K129" i="3"/>
  <c r="O129" i="3" s="1"/>
  <c r="F129" i="3"/>
  <c r="N129" i="3"/>
  <c r="M129" i="3"/>
  <c r="Q130" i="3"/>
  <c r="P130" i="3" s="1"/>
  <c r="K130" i="3"/>
  <c r="O130" i="3" s="1"/>
  <c r="F130" i="3"/>
  <c r="N130" i="3"/>
  <c r="M130" i="3"/>
  <c r="Q131" i="3"/>
  <c r="P131" i="3" s="1"/>
  <c r="K131" i="3"/>
  <c r="O131" i="3" s="1"/>
  <c r="F131" i="3"/>
  <c r="N131" i="3"/>
  <c r="M131" i="3"/>
  <c r="Q132" i="3"/>
  <c r="P132" i="3" s="1"/>
  <c r="K132" i="3"/>
  <c r="O132" i="3" s="1"/>
  <c r="F132" i="3"/>
  <c r="N132" i="3"/>
  <c r="M132" i="3"/>
  <c r="Q133" i="3"/>
  <c r="P133" i="3" s="1"/>
  <c r="K133" i="3"/>
  <c r="O133" i="3" s="1"/>
  <c r="F133" i="3"/>
  <c r="N133" i="3"/>
  <c r="M133" i="3"/>
  <c r="Q134" i="3"/>
  <c r="P134" i="3" s="1"/>
  <c r="K134" i="3"/>
  <c r="O134" i="3" s="1"/>
  <c r="F134" i="3"/>
  <c r="N134" i="3"/>
  <c r="M134" i="3"/>
  <c r="Q135" i="3"/>
  <c r="P135" i="3" s="1"/>
  <c r="K135" i="3"/>
  <c r="O135" i="3" s="1"/>
  <c r="F135" i="3"/>
  <c r="N135" i="3"/>
  <c r="M135" i="3"/>
  <c r="Q136" i="3"/>
  <c r="P136" i="3" s="1"/>
  <c r="K136" i="3"/>
  <c r="O136" i="3" s="1"/>
  <c r="F136" i="3"/>
  <c r="N136" i="3"/>
  <c r="M136" i="3"/>
  <c r="Q137" i="3"/>
  <c r="P137" i="3" s="1"/>
  <c r="K137" i="3"/>
  <c r="O137" i="3" s="1"/>
  <c r="F137" i="3"/>
  <c r="N137" i="3"/>
  <c r="M137" i="3"/>
  <c r="Q138" i="3"/>
  <c r="P138" i="3" s="1"/>
  <c r="K138" i="3"/>
  <c r="O138" i="3" s="1"/>
  <c r="F138" i="3"/>
  <c r="N138" i="3"/>
  <c r="M138" i="3"/>
  <c r="Q139" i="3"/>
  <c r="P139" i="3" s="1"/>
  <c r="K139" i="3"/>
  <c r="O139" i="3" s="1"/>
  <c r="F139" i="3"/>
  <c r="N139" i="3"/>
  <c r="M139" i="3"/>
  <c r="Q140" i="3"/>
  <c r="P140" i="3" s="1"/>
  <c r="K140" i="3"/>
  <c r="O140" i="3" s="1"/>
  <c r="F140" i="3"/>
  <c r="N140" i="3"/>
  <c r="M140" i="3"/>
  <c r="Q141" i="3"/>
  <c r="P141" i="3" s="1"/>
  <c r="K141" i="3"/>
  <c r="O141" i="3" s="1"/>
  <c r="F141" i="3"/>
  <c r="N141" i="3"/>
  <c r="M141" i="3"/>
  <c r="Q142" i="3"/>
  <c r="P142" i="3" s="1"/>
  <c r="K142" i="3"/>
  <c r="O142" i="3" s="1"/>
  <c r="F142" i="3"/>
  <c r="N142" i="3"/>
  <c r="M142" i="3"/>
  <c r="Q143" i="3"/>
  <c r="P143" i="3" s="1"/>
  <c r="K143" i="3"/>
  <c r="O143" i="3" s="1"/>
  <c r="F143" i="3"/>
  <c r="N143" i="3"/>
  <c r="M143" i="3"/>
  <c r="Q144" i="3"/>
  <c r="P144" i="3" s="1"/>
  <c r="K144" i="3"/>
  <c r="O144" i="3" s="1"/>
  <c r="F144" i="3"/>
  <c r="N144" i="3"/>
  <c r="M144" i="3"/>
  <c r="Q145" i="3"/>
  <c r="P145" i="3" s="1"/>
  <c r="K145" i="3"/>
  <c r="O145" i="3" s="1"/>
  <c r="F145" i="3"/>
  <c r="N145" i="3"/>
  <c r="M145" i="3"/>
  <c r="Q146" i="3"/>
  <c r="P146" i="3" s="1"/>
  <c r="K146" i="3"/>
  <c r="O146" i="3" s="1"/>
  <c r="F146" i="3"/>
  <c r="N146" i="3"/>
  <c r="M146" i="3"/>
  <c r="Q147" i="3"/>
  <c r="P147" i="3" s="1"/>
  <c r="K147" i="3"/>
  <c r="O147" i="3" s="1"/>
  <c r="F147" i="3"/>
  <c r="N147" i="3"/>
  <c r="M147" i="3"/>
  <c r="Q148" i="3"/>
  <c r="P148" i="3" s="1"/>
  <c r="K148" i="3"/>
  <c r="O148" i="3" s="1"/>
  <c r="F148" i="3"/>
  <c r="N148" i="3"/>
  <c r="M148" i="3"/>
  <c r="Q149" i="3"/>
  <c r="P149" i="3" s="1"/>
  <c r="K149" i="3"/>
  <c r="O149" i="3" s="1"/>
  <c r="F149" i="3"/>
  <c r="N149" i="3"/>
  <c r="M149" i="3"/>
  <c r="Q150" i="3"/>
  <c r="P150" i="3" s="1"/>
  <c r="K150" i="3"/>
  <c r="O150" i="3" s="1"/>
  <c r="F150" i="3"/>
  <c r="N150" i="3"/>
  <c r="M150" i="3"/>
  <c r="Q151" i="3"/>
  <c r="P151" i="3" s="1"/>
  <c r="K151" i="3"/>
  <c r="O151" i="3" s="1"/>
  <c r="F151" i="3"/>
  <c r="N151" i="3"/>
  <c r="M151" i="3"/>
  <c r="Q152" i="3"/>
  <c r="P152" i="3" s="1"/>
  <c r="K152" i="3"/>
  <c r="O152" i="3" s="1"/>
  <c r="F152" i="3"/>
  <c r="N152" i="3"/>
  <c r="M152" i="3"/>
  <c r="Q153" i="3"/>
  <c r="P153" i="3" s="1"/>
  <c r="K153" i="3"/>
  <c r="O153" i="3" s="1"/>
  <c r="F153" i="3"/>
  <c r="N153" i="3"/>
  <c r="M153" i="3"/>
  <c r="Q154" i="3"/>
  <c r="P154" i="3" s="1"/>
  <c r="K154" i="3"/>
  <c r="O154" i="3" s="1"/>
  <c r="F154" i="3"/>
  <c r="N154" i="3"/>
  <c r="M154" i="3"/>
  <c r="Q155" i="3"/>
  <c r="P155" i="3" s="1"/>
  <c r="K155" i="3"/>
  <c r="O155" i="3" s="1"/>
  <c r="F155" i="3"/>
  <c r="N155" i="3"/>
  <c r="M155" i="3"/>
  <c r="Q156" i="3"/>
  <c r="P156" i="3" s="1"/>
  <c r="K156" i="3"/>
  <c r="O156" i="3" s="1"/>
  <c r="F156" i="3"/>
  <c r="N156" i="3"/>
  <c r="M156" i="3"/>
  <c r="Q157" i="3"/>
  <c r="P157" i="3" s="1"/>
  <c r="K157" i="3"/>
  <c r="O157" i="3" s="1"/>
  <c r="F157" i="3"/>
  <c r="N157" i="3"/>
  <c r="M157" i="3"/>
  <c r="Q158" i="3"/>
  <c r="P158" i="3" s="1"/>
  <c r="K158" i="3"/>
  <c r="O158" i="3" s="1"/>
  <c r="F158" i="3"/>
  <c r="N158" i="3"/>
  <c r="M158" i="3"/>
  <c r="Q159" i="3"/>
  <c r="P159" i="3" s="1"/>
  <c r="K159" i="3"/>
  <c r="O159" i="3" s="1"/>
  <c r="F159" i="3"/>
  <c r="N159" i="3"/>
  <c r="M159" i="3"/>
  <c r="Q160" i="3"/>
  <c r="P160" i="3" s="1"/>
  <c r="K160" i="3"/>
  <c r="O160" i="3" s="1"/>
  <c r="F160" i="3"/>
  <c r="N160" i="3"/>
  <c r="M160" i="3"/>
  <c r="Q161" i="3"/>
  <c r="P161" i="3" s="1"/>
  <c r="K161" i="3"/>
  <c r="O161" i="3" s="1"/>
  <c r="F161" i="3"/>
  <c r="N161" i="3"/>
  <c r="M161" i="3"/>
  <c r="Q162" i="3"/>
  <c r="P162" i="3" s="1"/>
  <c r="K162" i="3"/>
  <c r="O162" i="3" s="1"/>
  <c r="F162" i="3"/>
  <c r="N162" i="3"/>
  <c r="M162" i="3"/>
  <c r="Q163" i="3"/>
  <c r="P163" i="3" s="1"/>
  <c r="K163" i="3"/>
  <c r="O163" i="3" s="1"/>
  <c r="F163" i="3"/>
  <c r="N163" i="3"/>
  <c r="M163" i="3"/>
  <c r="Q164" i="3"/>
  <c r="P164" i="3" s="1"/>
  <c r="K164" i="3"/>
  <c r="O164" i="3" s="1"/>
  <c r="F164" i="3"/>
  <c r="N164" i="3"/>
  <c r="M164" i="3"/>
  <c r="Q165" i="3"/>
  <c r="P165" i="3" s="1"/>
  <c r="K165" i="3"/>
  <c r="O165" i="3" s="1"/>
  <c r="F165" i="3"/>
  <c r="N165" i="3"/>
  <c r="M165" i="3"/>
  <c r="Q166" i="3"/>
  <c r="P166" i="3" s="1"/>
  <c r="K166" i="3"/>
  <c r="O166" i="3" s="1"/>
  <c r="F166" i="3"/>
  <c r="N166" i="3"/>
  <c r="M166" i="3"/>
  <c r="Q167" i="3"/>
  <c r="P167" i="3" s="1"/>
  <c r="K167" i="3"/>
  <c r="O167" i="3" s="1"/>
  <c r="F167" i="3"/>
  <c r="N167" i="3"/>
  <c r="M167" i="3"/>
  <c r="Q168" i="3"/>
  <c r="P168" i="3" s="1"/>
  <c r="K168" i="3"/>
  <c r="O168" i="3" s="1"/>
  <c r="F168" i="3"/>
  <c r="N168" i="3"/>
  <c r="M168" i="3"/>
  <c r="Q169" i="3"/>
  <c r="P169" i="3" s="1"/>
  <c r="K169" i="3"/>
  <c r="O169" i="3" s="1"/>
  <c r="F169" i="3"/>
  <c r="N169" i="3"/>
  <c r="M169" i="3"/>
  <c r="Q170" i="3"/>
  <c r="P170" i="3" s="1"/>
  <c r="K170" i="3"/>
  <c r="O170" i="3" s="1"/>
  <c r="F170" i="3"/>
  <c r="N170" i="3"/>
  <c r="M170" i="3"/>
  <c r="Q171" i="3"/>
  <c r="P171" i="3" s="1"/>
  <c r="K171" i="3"/>
  <c r="O171" i="3" s="1"/>
  <c r="F171" i="3"/>
  <c r="N171" i="3"/>
  <c r="M171" i="3"/>
  <c r="Q172" i="3"/>
  <c r="P172" i="3" s="1"/>
  <c r="K172" i="3"/>
  <c r="O172" i="3" s="1"/>
  <c r="F172" i="3"/>
  <c r="N172" i="3"/>
  <c r="M172" i="3"/>
  <c r="Q173" i="3"/>
  <c r="P173" i="3" s="1"/>
  <c r="K173" i="3"/>
  <c r="O173" i="3" s="1"/>
  <c r="F173" i="3"/>
  <c r="N173" i="3"/>
  <c r="M173" i="3"/>
  <c r="Q174" i="3"/>
  <c r="P174" i="3" s="1"/>
  <c r="K174" i="3"/>
  <c r="O174" i="3" s="1"/>
  <c r="F174" i="3"/>
  <c r="N174" i="3"/>
  <c r="M174" i="3"/>
  <c r="Q175" i="3"/>
  <c r="P175" i="3" s="1"/>
  <c r="K175" i="3"/>
  <c r="O175" i="3" s="1"/>
  <c r="F175" i="3"/>
  <c r="N175" i="3"/>
  <c r="M175" i="3"/>
  <c r="Q176" i="3"/>
  <c r="P176" i="3" s="1"/>
  <c r="K176" i="3"/>
  <c r="O176" i="3" s="1"/>
  <c r="F176" i="3"/>
  <c r="N176" i="3"/>
  <c r="M176" i="3"/>
  <c r="Q177" i="3"/>
  <c r="P177" i="3" s="1"/>
  <c r="K177" i="3"/>
  <c r="O177" i="3" s="1"/>
  <c r="F177" i="3"/>
  <c r="N177" i="3"/>
  <c r="M177" i="3"/>
  <c r="Q178" i="3"/>
  <c r="P178" i="3" s="1"/>
  <c r="K178" i="3"/>
  <c r="O178" i="3" s="1"/>
  <c r="F178" i="3"/>
  <c r="N178" i="3"/>
  <c r="M178" i="3"/>
  <c r="Q179" i="3"/>
  <c r="P179" i="3" s="1"/>
  <c r="K179" i="3"/>
  <c r="O179" i="3" s="1"/>
  <c r="F179" i="3"/>
  <c r="N179" i="3"/>
  <c r="M179" i="3"/>
  <c r="Q180" i="3"/>
  <c r="P180" i="3" s="1"/>
  <c r="K180" i="3"/>
  <c r="O180" i="3" s="1"/>
  <c r="F180" i="3"/>
  <c r="N180" i="3"/>
  <c r="M180" i="3"/>
  <c r="Q181" i="3"/>
  <c r="P181" i="3" s="1"/>
  <c r="K181" i="3"/>
  <c r="O181" i="3" s="1"/>
  <c r="F181" i="3"/>
  <c r="N181" i="3"/>
  <c r="M181" i="3"/>
  <c r="Q182" i="3"/>
  <c r="P182" i="3" s="1"/>
  <c r="K182" i="3"/>
  <c r="O182" i="3" s="1"/>
  <c r="F182" i="3"/>
  <c r="N182" i="3"/>
  <c r="M182" i="3"/>
  <c r="Q183" i="3"/>
  <c r="P183" i="3" s="1"/>
  <c r="K183" i="3"/>
  <c r="O183" i="3" s="1"/>
  <c r="F183" i="3"/>
  <c r="N183" i="3"/>
  <c r="M183" i="3"/>
  <c r="Q184" i="3"/>
  <c r="P184" i="3" s="1"/>
  <c r="K184" i="3"/>
  <c r="O184" i="3" s="1"/>
  <c r="F184" i="3"/>
  <c r="N184" i="3"/>
  <c r="M184" i="3"/>
  <c r="Q185" i="3"/>
  <c r="P185" i="3" s="1"/>
  <c r="K185" i="3"/>
  <c r="O185" i="3" s="1"/>
  <c r="F185" i="3"/>
  <c r="N185" i="3"/>
  <c r="M185" i="3"/>
  <c r="Q186" i="3"/>
  <c r="P186" i="3" s="1"/>
  <c r="K186" i="3"/>
  <c r="O186" i="3" s="1"/>
  <c r="F186" i="3"/>
  <c r="N186" i="3"/>
  <c r="M186" i="3"/>
  <c r="Q187" i="3"/>
  <c r="P187" i="3" s="1"/>
  <c r="K187" i="3"/>
  <c r="O187" i="3" s="1"/>
  <c r="F187" i="3"/>
  <c r="N187" i="3"/>
  <c r="M187" i="3"/>
  <c r="Q188" i="3"/>
  <c r="P188" i="3" s="1"/>
  <c r="K188" i="3"/>
  <c r="O188" i="3" s="1"/>
  <c r="F188" i="3"/>
  <c r="N188" i="3"/>
  <c r="M188" i="3"/>
  <c r="Q189" i="3"/>
  <c r="P189" i="3" s="1"/>
  <c r="K189" i="3"/>
  <c r="O189" i="3" s="1"/>
  <c r="F189" i="3"/>
  <c r="N189" i="3"/>
  <c r="M189" i="3"/>
  <c r="Q190" i="3"/>
  <c r="P190" i="3" s="1"/>
  <c r="K190" i="3"/>
  <c r="O190" i="3" s="1"/>
  <c r="F190" i="3"/>
  <c r="N190" i="3"/>
  <c r="M190" i="3"/>
  <c r="Q191" i="3"/>
  <c r="P191" i="3" s="1"/>
  <c r="K191" i="3"/>
  <c r="O191" i="3" s="1"/>
  <c r="F191" i="3"/>
  <c r="N191" i="3"/>
  <c r="M191" i="3"/>
  <c r="Q192" i="3"/>
  <c r="P192" i="3" s="1"/>
  <c r="K192" i="3"/>
  <c r="O192" i="3" s="1"/>
  <c r="F192" i="3"/>
  <c r="N192" i="3"/>
  <c r="M192" i="3"/>
  <c r="Q193" i="3"/>
  <c r="P193" i="3" s="1"/>
  <c r="K193" i="3"/>
  <c r="O193" i="3" s="1"/>
  <c r="F193" i="3"/>
  <c r="N193" i="3"/>
  <c r="M193" i="3"/>
  <c r="Q194" i="3"/>
  <c r="P194" i="3" s="1"/>
  <c r="K194" i="3"/>
  <c r="O194" i="3" s="1"/>
  <c r="F194" i="3"/>
  <c r="N194" i="3"/>
  <c r="M194" i="3"/>
  <c r="Q195" i="3"/>
  <c r="P195" i="3" s="1"/>
  <c r="K195" i="3"/>
  <c r="O195" i="3" s="1"/>
  <c r="F195" i="3"/>
  <c r="N195" i="3"/>
  <c r="M195" i="3"/>
  <c r="Q196" i="3"/>
  <c r="P196" i="3" s="1"/>
  <c r="K196" i="3"/>
  <c r="O196" i="3" s="1"/>
  <c r="F196" i="3"/>
  <c r="N196" i="3"/>
  <c r="M196" i="3"/>
  <c r="Q197" i="3"/>
  <c r="P197" i="3" s="1"/>
  <c r="K197" i="3"/>
  <c r="O197" i="3" s="1"/>
  <c r="F197" i="3"/>
  <c r="N197" i="3"/>
  <c r="M197" i="3"/>
  <c r="Q198" i="3"/>
  <c r="P198" i="3" s="1"/>
  <c r="K198" i="3"/>
  <c r="O198" i="3" s="1"/>
  <c r="F198" i="3"/>
  <c r="N198" i="3"/>
  <c r="M198" i="3"/>
  <c r="Q199" i="3"/>
  <c r="P199" i="3" s="1"/>
  <c r="K199" i="3"/>
  <c r="O199" i="3" s="1"/>
  <c r="F199" i="3"/>
  <c r="N199" i="3"/>
  <c r="M199" i="3"/>
  <c r="Q200" i="3"/>
  <c r="P200" i="3" s="1"/>
  <c r="K200" i="3"/>
  <c r="O200" i="3" s="1"/>
  <c r="F200" i="3"/>
  <c r="N200" i="3"/>
  <c r="M200" i="3"/>
  <c r="Q201" i="3"/>
  <c r="P201" i="3" s="1"/>
  <c r="K201" i="3"/>
  <c r="O201" i="3" s="1"/>
  <c r="F201" i="3"/>
  <c r="N201" i="3"/>
  <c r="M201" i="3"/>
  <c r="Q202" i="3"/>
  <c r="P202" i="3" s="1"/>
  <c r="K202" i="3"/>
  <c r="O202" i="3" s="1"/>
  <c r="F202" i="3"/>
  <c r="N202" i="3"/>
  <c r="M202" i="3"/>
  <c r="Q203" i="3"/>
  <c r="P203" i="3" s="1"/>
  <c r="K203" i="3"/>
  <c r="O203" i="3" s="1"/>
  <c r="F203" i="3"/>
  <c r="N203" i="3"/>
  <c r="M203" i="3"/>
  <c r="Q204" i="3"/>
  <c r="P204" i="3" s="1"/>
  <c r="K204" i="3"/>
  <c r="O204" i="3" s="1"/>
  <c r="F204" i="3"/>
  <c r="N204" i="3"/>
  <c r="M204" i="3"/>
  <c r="Q205" i="3"/>
  <c r="P205" i="3" s="1"/>
  <c r="K205" i="3"/>
  <c r="O205" i="3" s="1"/>
  <c r="F205" i="3"/>
  <c r="N205" i="3"/>
  <c r="M205" i="3"/>
  <c r="Q206" i="3"/>
  <c r="P206" i="3" s="1"/>
  <c r="K206" i="3"/>
  <c r="O206" i="3" s="1"/>
  <c r="F206" i="3"/>
  <c r="N206" i="3"/>
  <c r="M206" i="3"/>
  <c r="Q207" i="3"/>
  <c r="P207" i="3" s="1"/>
  <c r="K207" i="3"/>
  <c r="O207" i="3" s="1"/>
  <c r="F207" i="3"/>
  <c r="N207" i="3"/>
  <c r="M207" i="3"/>
  <c r="Q208" i="3"/>
  <c r="P208" i="3" s="1"/>
  <c r="K208" i="3"/>
  <c r="O208" i="3" s="1"/>
  <c r="F208" i="3"/>
  <c r="N208" i="3"/>
  <c r="M208" i="3"/>
  <c r="Q209" i="3"/>
  <c r="P209" i="3" s="1"/>
  <c r="K209" i="3"/>
  <c r="O209" i="3" s="1"/>
  <c r="F209" i="3"/>
  <c r="N209" i="3"/>
  <c r="M209" i="3"/>
  <c r="Q210" i="3"/>
  <c r="P210" i="3" s="1"/>
  <c r="K210" i="3"/>
  <c r="O210" i="3" s="1"/>
  <c r="F210" i="3"/>
  <c r="N210" i="3"/>
  <c r="M210" i="3"/>
  <c r="Q211" i="3"/>
  <c r="P211" i="3" s="1"/>
  <c r="K211" i="3"/>
  <c r="O211" i="3" s="1"/>
  <c r="F211" i="3"/>
  <c r="N211" i="3"/>
  <c r="M211" i="3"/>
  <c r="Q212" i="3"/>
  <c r="P212" i="3" s="1"/>
  <c r="K212" i="3"/>
  <c r="O212" i="3" s="1"/>
  <c r="F212" i="3"/>
  <c r="N212" i="3"/>
  <c r="M212" i="3"/>
  <c r="Q213" i="3"/>
  <c r="P213" i="3" s="1"/>
  <c r="K213" i="3"/>
  <c r="O213" i="3" s="1"/>
  <c r="F213" i="3"/>
  <c r="N213" i="3"/>
  <c r="M213" i="3"/>
  <c r="Q214" i="3"/>
  <c r="P214" i="3" s="1"/>
  <c r="K214" i="3"/>
  <c r="O214" i="3" s="1"/>
  <c r="F214" i="3"/>
  <c r="N214" i="3"/>
  <c r="M214" i="3"/>
  <c r="Q215" i="3"/>
  <c r="P215" i="3" s="1"/>
  <c r="K215" i="3"/>
  <c r="O215" i="3" s="1"/>
  <c r="F215" i="3"/>
  <c r="N215" i="3"/>
  <c r="M215" i="3"/>
  <c r="Q216" i="3"/>
  <c r="P216" i="3" s="1"/>
  <c r="K216" i="3"/>
  <c r="O216" i="3" s="1"/>
  <c r="F216" i="3"/>
  <c r="N216" i="3"/>
  <c r="M216" i="3"/>
  <c r="Q217" i="3"/>
  <c r="P217" i="3" s="1"/>
  <c r="K217" i="3"/>
  <c r="O217" i="3" s="1"/>
  <c r="F217" i="3"/>
  <c r="N217" i="3"/>
  <c r="M217" i="3"/>
  <c r="Q218" i="3"/>
  <c r="P218" i="3" s="1"/>
  <c r="K218" i="3"/>
  <c r="O218" i="3" s="1"/>
  <c r="F218" i="3"/>
  <c r="N218" i="3"/>
  <c r="M218" i="3"/>
  <c r="Q219" i="3"/>
  <c r="P219" i="3" s="1"/>
  <c r="K219" i="3"/>
  <c r="O219" i="3" s="1"/>
  <c r="F219" i="3"/>
  <c r="N219" i="3"/>
  <c r="M219" i="3"/>
  <c r="Q220" i="3"/>
  <c r="P220" i="3" s="1"/>
  <c r="K220" i="3"/>
  <c r="O220" i="3" s="1"/>
  <c r="F220" i="3"/>
  <c r="N220" i="3"/>
  <c r="M220" i="3"/>
  <c r="Q221" i="3"/>
  <c r="P221" i="3" s="1"/>
  <c r="K221" i="3"/>
  <c r="O221" i="3" s="1"/>
  <c r="F221" i="3"/>
  <c r="N221" i="3"/>
  <c r="M221" i="3"/>
  <c r="Q222" i="3"/>
  <c r="P222" i="3" s="1"/>
  <c r="K222" i="3"/>
  <c r="O222" i="3" s="1"/>
  <c r="F222" i="3"/>
  <c r="N222" i="3"/>
  <c r="M222" i="3"/>
  <c r="Q223" i="3"/>
  <c r="P223" i="3" s="1"/>
  <c r="K223" i="3"/>
  <c r="O223" i="3" s="1"/>
  <c r="F223" i="3"/>
  <c r="N223" i="3"/>
  <c r="M223" i="3"/>
  <c r="Q224" i="3"/>
  <c r="P224" i="3" s="1"/>
  <c r="K224" i="3"/>
  <c r="O224" i="3" s="1"/>
  <c r="F224" i="3"/>
  <c r="N224" i="3"/>
  <c r="M224" i="3"/>
  <c r="Q225" i="3"/>
  <c r="P225" i="3" s="1"/>
  <c r="K225" i="3"/>
  <c r="O225" i="3" s="1"/>
  <c r="F225" i="3"/>
  <c r="N225" i="3"/>
  <c r="M225" i="3"/>
  <c r="Q226" i="3"/>
  <c r="P226" i="3" s="1"/>
  <c r="K226" i="3"/>
  <c r="O226" i="3" s="1"/>
  <c r="F226" i="3"/>
  <c r="N226" i="3"/>
  <c r="M226" i="3"/>
  <c r="Q227" i="3"/>
  <c r="P227" i="3" s="1"/>
  <c r="K227" i="3"/>
  <c r="O227" i="3" s="1"/>
  <c r="F227" i="3"/>
  <c r="N227" i="3"/>
  <c r="M227" i="3"/>
  <c r="Q228" i="3"/>
  <c r="P228" i="3" s="1"/>
  <c r="K228" i="3"/>
  <c r="O228" i="3" s="1"/>
  <c r="F228" i="3"/>
  <c r="N228" i="3"/>
  <c r="M228" i="3"/>
  <c r="Q229" i="3"/>
  <c r="P229" i="3" s="1"/>
  <c r="K229" i="3"/>
  <c r="O229" i="3" s="1"/>
  <c r="F229" i="3"/>
  <c r="N229" i="3"/>
  <c r="M229" i="3"/>
  <c r="Q230" i="3"/>
  <c r="P230" i="3" s="1"/>
  <c r="K230" i="3"/>
  <c r="O230" i="3" s="1"/>
  <c r="F230" i="3"/>
  <c r="N230" i="3"/>
  <c r="M230" i="3"/>
  <c r="Q231" i="3"/>
  <c r="P231" i="3" s="1"/>
  <c r="K231" i="3"/>
  <c r="O231" i="3" s="1"/>
  <c r="F231" i="3"/>
  <c r="N231" i="3"/>
  <c r="M231" i="3"/>
  <c r="Q232" i="3"/>
  <c r="P232" i="3" s="1"/>
  <c r="K232" i="3"/>
  <c r="O232" i="3" s="1"/>
  <c r="F232" i="3"/>
  <c r="N232" i="3"/>
  <c r="M232" i="3"/>
  <c r="Q233" i="3"/>
  <c r="P233" i="3" s="1"/>
  <c r="K233" i="3"/>
  <c r="O233" i="3" s="1"/>
  <c r="F233" i="3"/>
  <c r="N233" i="3"/>
  <c r="M233" i="3"/>
  <c r="Q234" i="3"/>
  <c r="P234" i="3" s="1"/>
  <c r="K234" i="3"/>
  <c r="O234" i="3" s="1"/>
  <c r="F234" i="3"/>
  <c r="N234" i="3"/>
  <c r="M234" i="3"/>
  <c r="Q235" i="3"/>
  <c r="P235" i="3" s="1"/>
  <c r="K235" i="3"/>
  <c r="O235" i="3" s="1"/>
  <c r="F235" i="3"/>
  <c r="N235" i="3"/>
  <c r="M235" i="3"/>
  <c r="Q236" i="3"/>
  <c r="P236" i="3" s="1"/>
  <c r="K236" i="3"/>
  <c r="O236" i="3" s="1"/>
  <c r="F236" i="3"/>
  <c r="N236" i="3"/>
  <c r="M236" i="3"/>
  <c r="Q237" i="3"/>
  <c r="P237" i="3" s="1"/>
  <c r="K237" i="3"/>
  <c r="O237" i="3" s="1"/>
  <c r="F237" i="3"/>
  <c r="N237" i="3"/>
  <c r="M237" i="3"/>
  <c r="Q238" i="3"/>
  <c r="P238" i="3" s="1"/>
  <c r="K238" i="3"/>
  <c r="O238" i="3" s="1"/>
  <c r="F238" i="3"/>
  <c r="N238" i="3"/>
  <c r="M238" i="3"/>
  <c r="Q239" i="3"/>
  <c r="P239" i="3" s="1"/>
  <c r="K239" i="3"/>
  <c r="O239" i="3" s="1"/>
  <c r="F239" i="3"/>
  <c r="N239" i="3"/>
  <c r="M239" i="3"/>
  <c r="Q240" i="3"/>
  <c r="P240" i="3" s="1"/>
  <c r="K240" i="3"/>
  <c r="O240" i="3" s="1"/>
  <c r="F240" i="3"/>
  <c r="N240" i="3"/>
  <c r="M240" i="3"/>
  <c r="Q241" i="3"/>
  <c r="P241" i="3" s="1"/>
  <c r="K241" i="3"/>
  <c r="O241" i="3" s="1"/>
  <c r="F241" i="3"/>
  <c r="N241" i="3"/>
  <c r="M241" i="3"/>
  <c r="Q242" i="3"/>
  <c r="P242" i="3" s="1"/>
  <c r="K242" i="3"/>
  <c r="O242" i="3" s="1"/>
  <c r="F242" i="3"/>
  <c r="N242" i="3"/>
  <c r="M242" i="3"/>
  <c r="Q243" i="3"/>
  <c r="P243" i="3" s="1"/>
  <c r="K243" i="3"/>
  <c r="O243" i="3" s="1"/>
  <c r="F243" i="3"/>
  <c r="N243" i="3"/>
  <c r="M243" i="3"/>
  <c r="Q244" i="3"/>
  <c r="P244" i="3" s="1"/>
  <c r="K244" i="3"/>
  <c r="O244" i="3" s="1"/>
  <c r="F244" i="3"/>
  <c r="N244" i="3"/>
  <c r="M244" i="3"/>
  <c r="Q245" i="3"/>
  <c r="P245" i="3" s="1"/>
  <c r="K245" i="3"/>
  <c r="O245" i="3" s="1"/>
  <c r="F245" i="3"/>
  <c r="N245" i="3"/>
  <c r="M245" i="3"/>
  <c r="Q246" i="3"/>
  <c r="P246" i="3" s="1"/>
  <c r="K246" i="3"/>
  <c r="O246" i="3" s="1"/>
  <c r="F246" i="3"/>
  <c r="N246" i="3"/>
  <c r="M246" i="3"/>
  <c r="Q247" i="3"/>
  <c r="P247" i="3" s="1"/>
  <c r="K247" i="3"/>
  <c r="O247" i="3" s="1"/>
  <c r="F247" i="3"/>
  <c r="N247" i="3"/>
  <c r="M247" i="3"/>
  <c r="Q248" i="3"/>
  <c r="P248" i="3" s="1"/>
  <c r="K248" i="3"/>
  <c r="O248" i="3" s="1"/>
  <c r="F248" i="3"/>
  <c r="N248" i="3"/>
  <c r="M248" i="3"/>
  <c r="Q249" i="3"/>
  <c r="P249" i="3" s="1"/>
  <c r="K249" i="3"/>
  <c r="O249" i="3" s="1"/>
  <c r="F249" i="3"/>
  <c r="N249" i="3"/>
  <c r="M249" i="3"/>
  <c r="Q250" i="3"/>
  <c r="P250" i="3" s="1"/>
  <c r="K250" i="3"/>
  <c r="O250" i="3" s="1"/>
  <c r="F250" i="3"/>
  <c r="N250" i="3"/>
  <c r="M250" i="3"/>
  <c r="Q251" i="3"/>
  <c r="P251" i="3" s="1"/>
  <c r="K251" i="3"/>
  <c r="O251" i="3" s="1"/>
  <c r="F251" i="3"/>
  <c r="N251" i="3"/>
  <c r="M251" i="3"/>
  <c r="Q252" i="3"/>
  <c r="P252" i="3" s="1"/>
  <c r="K252" i="3"/>
  <c r="O252" i="3" s="1"/>
  <c r="F252" i="3"/>
  <c r="N252" i="3"/>
  <c r="M252" i="3"/>
  <c r="Q253" i="3"/>
  <c r="P253" i="3" s="1"/>
  <c r="K253" i="3"/>
  <c r="O253" i="3" s="1"/>
  <c r="F253" i="3"/>
  <c r="N253" i="3"/>
  <c r="M253" i="3"/>
  <c r="Q254" i="3"/>
  <c r="P254" i="3" s="1"/>
  <c r="K254" i="3"/>
  <c r="O254" i="3" s="1"/>
  <c r="F254" i="3"/>
  <c r="N254" i="3"/>
  <c r="M254" i="3"/>
  <c r="Q255" i="3"/>
  <c r="P255" i="3" s="1"/>
  <c r="K255" i="3"/>
  <c r="O255" i="3" s="1"/>
  <c r="F255" i="3"/>
  <c r="N255" i="3"/>
  <c r="M255" i="3"/>
  <c r="Q256" i="3"/>
  <c r="P256" i="3" s="1"/>
  <c r="K256" i="3"/>
  <c r="O256" i="3" s="1"/>
  <c r="F256" i="3"/>
  <c r="N256" i="3"/>
  <c r="M256" i="3"/>
  <c r="Q257" i="3"/>
  <c r="P257" i="3" s="1"/>
  <c r="K257" i="3"/>
  <c r="O257" i="3" s="1"/>
  <c r="F257" i="3"/>
  <c r="N257" i="3"/>
  <c r="M257" i="3"/>
  <c r="Q258" i="3"/>
  <c r="P258" i="3" s="1"/>
  <c r="K258" i="3"/>
  <c r="O258" i="3" s="1"/>
  <c r="F258" i="3"/>
  <c r="N258" i="3"/>
  <c r="M258" i="3"/>
  <c r="Q259" i="3"/>
  <c r="P259" i="3" s="1"/>
  <c r="K259" i="3"/>
  <c r="O259" i="3" s="1"/>
  <c r="F259" i="3"/>
  <c r="N259" i="3"/>
  <c r="M259" i="3"/>
  <c r="Q260" i="3"/>
  <c r="P260" i="3" s="1"/>
  <c r="K260" i="3"/>
  <c r="O260" i="3" s="1"/>
  <c r="F260" i="3"/>
  <c r="N260" i="3"/>
  <c r="M260" i="3"/>
  <c r="Q261" i="3"/>
  <c r="P261" i="3" s="1"/>
  <c r="K261" i="3"/>
  <c r="O261" i="3" s="1"/>
  <c r="F261" i="3"/>
  <c r="N261" i="3"/>
  <c r="M261" i="3"/>
  <c r="Q262" i="3"/>
  <c r="P262" i="3" s="1"/>
  <c r="K262" i="3"/>
  <c r="O262" i="3" s="1"/>
  <c r="F262" i="3"/>
  <c r="N262" i="3"/>
  <c r="M262" i="3"/>
  <c r="Q263" i="3"/>
  <c r="P263" i="3" s="1"/>
  <c r="K263" i="3"/>
  <c r="O263" i="3" s="1"/>
  <c r="F263" i="3"/>
  <c r="N263" i="3"/>
  <c r="M263" i="3"/>
  <c r="Q264" i="3"/>
  <c r="P264" i="3" s="1"/>
  <c r="K264" i="3"/>
  <c r="O264" i="3" s="1"/>
  <c r="F264" i="3"/>
  <c r="N264" i="3"/>
  <c r="M264" i="3"/>
  <c r="Q265" i="3"/>
  <c r="P265" i="3" s="1"/>
  <c r="K265" i="3"/>
  <c r="O265" i="3" s="1"/>
  <c r="F265" i="3"/>
  <c r="N265" i="3"/>
  <c r="M265" i="3"/>
  <c r="Q266" i="3"/>
  <c r="P266" i="3" s="1"/>
  <c r="K266" i="3"/>
  <c r="O266" i="3" s="1"/>
  <c r="F266" i="3"/>
  <c r="N266" i="3"/>
  <c r="M266" i="3"/>
  <c r="Q267" i="3"/>
  <c r="P267" i="3" s="1"/>
  <c r="K267" i="3"/>
  <c r="O267" i="3" s="1"/>
  <c r="F267" i="3"/>
  <c r="N267" i="3"/>
  <c r="M267" i="3"/>
  <c r="Q268" i="3"/>
  <c r="P268" i="3" s="1"/>
  <c r="K268" i="3"/>
  <c r="O268" i="3" s="1"/>
  <c r="F268" i="3"/>
  <c r="N268" i="3"/>
  <c r="M268" i="3"/>
  <c r="Q269" i="3"/>
  <c r="P269" i="3" s="1"/>
  <c r="K269" i="3"/>
  <c r="O269" i="3" s="1"/>
  <c r="F269" i="3"/>
  <c r="N269" i="3"/>
  <c r="M269" i="3"/>
  <c r="Q270" i="3"/>
  <c r="P270" i="3" s="1"/>
  <c r="K270" i="3"/>
  <c r="O270" i="3" s="1"/>
  <c r="F270" i="3"/>
  <c r="N270" i="3"/>
  <c r="M270" i="3"/>
  <c r="Q271" i="3"/>
  <c r="P271" i="3" s="1"/>
  <c r="K271" i="3"/>
  <c r="O271" i="3" s="1"/>
  <c r="F271" i="3"/>
  <c r="N271" i="3"/>
  <c r="M271" i="3"/>
  <c r="Q272" i="3"/>
  <c r="P272" i="3" s="1"/>
  <c r="K272" i="3"/>
  <c r="O272" i="3" s="1"/>
  <c r="F272" i="3"/>
  <c r="N272" i="3"/>
  <c r="M272" i="3"/>
  <c r="Q273" i="3"/>
  <c r="P273" i="3" s="1"/>
  <c r="K273" i="3"/>
  <c r="O273" i="3" s="1"/>
  <c r="F273" i="3"/>
  <c r="N273" i="3"/>
  <c r="M273" i="3"/>
  <c r="Q274" i="3"/>
  <c r="P274" i="3" s="1"/>
  <c r="K274" i="3"/>
  <c r="O274" i="3" s="1"/>
  <c r="F274" i="3"/>
  <c r="N274" i="3"/>
  <c r="M274" i="3"/>
  <c r="Q275" i="3"/>
  <c r="P275" i="3" s="1"/>
  <c r="K275" i="3"/>
  <c r="O275" i="3" s="1"/>
  <c r="F275" i="3"/>
  <c r="N275" i="3"/>
  <c r="M275" i="3"/>
  <c r="Q276" i="3"/>
  <c r="P276" i="3" s="1"/>
  <c r="K276" i="3"/>
  <c r="O276" i="3" s="1"/>
  <c r="F276" i="3"/>
  <c r="N276" i="3"/>
  <c r="M276" i="3"/>
  <c r="Q277" i="3"/>
  <c r="P277" i="3" s="1"/>
  <c r="K277" i="3"/>
  <c r="O277" i="3" s="1"/>
  <c r="F277" i="3"/>
  <c r="N277" i="3"/>
  <c r="M277" i="3"/>
  <c r="Q278" i="3"/>
  <c r="P278" i="3" s="1"/>
  <c r="K278" i="3"/>
  <c r="O278" i="3" s="1"/>
  <c r="F278" i="3"/>
  <c r="N278" i="3"/>
  <c r="M278" i="3"/>
  <c r="Q279" i="3"/>
  <c r="P279" i="3" s="1"/>
  <c r="K279" i="3"/>
  <c r="O279" i="3" s="1"/>
  <c r="F279" i="3"/>
  <c r="N279" i="3"/>
  <c r="M279" i="3"/>
  <c r="Q280" i="3"/>
  <c r="P280" i="3" s="1"/>
  <c r="K280" i="3"/>
  <c r="O280" i="3" s="1"/>
  <c r="F280" i="3"/>
  <c r="N280" i="3"/>
  <c r="M280" i="3"/>
  <c r="Q281" i="3"/>
  <c r="P281" i="3" s="1"/>
  <c r="K281" i="3"/>
  <c r="O281" i="3" s="1"/>
  <c r="F281" i="3"/>
  <c r="N281" i="3"/>
  <c r="M281" i="3"/>
  <c r="Q282" i="3"/>
  <c r="P282" i="3" s="1"/>
  <c r="K282" i="3"/>
  <c r="O282" i="3" s="1"/>
  <c r="F282" i="3"/>
  <c r="N282" i="3"/>
  <c r="M282" i="3"/>
  <c r="Q283" i="3"/>
  <c r="P283" i="3" s="1"/>
  <c r="K283" i="3"/>
  <c r="O283" i="3" s="1"/>
  <c r="F283" i="3"/>
  <c r="N283" i="3"/>
  <c r="M283" i="3"/>
  <c r="Q284" i="3"/>
  <c r="P284" i="3" s="1"/>
  <c r="K284" i="3"/>
  <c r="O284" i="3" s="1"/>
  <c r="F284" i="3"/>
  <c r="N284" i="3"/>
  <c r="M284" i="3"/>
  <c r="Q285" i="3"/>
  <c r="P285" i="3" s="1"/>
  <c r="K285" i="3"/>
  <c r="O285" i="3" s="1"/>
  <c r="F285" i="3"/>
  <c r="N285" i="3"/>
  <c r="M285" i="3"/>
  <c r="Q286" i="3"/>
  <c r="P286" i="3" s="1"/>
  <c r="K286" i="3"/>
  <c r="O286" i="3" s="1"/>
  <c r="F286" i="3"/>
  <c r="N286" i="3"/>
  <c r="M286" i="3"/>
  <c r="Q287" i="3"/>
  <c r="P287" i="3" s="1"/>
  <c r="K287" i="3"/>
  <c r="O287" i="3" s="1"/>
  <c r="F287" i="3"/>
  <c r="N287" i="3"/>
  <c r="M287" i="3"/>
  <c r="Q288" i="3"/>
  <c r="P288" i="3" s="1"/>
  <c r="K288" i="3"/>
  <c r="O288" i="3" s="1"/>
  <c r="F288" i="3"/>
  <c r="N288" i="3"/>
  <c r="M288" i="3"/>
  <c r="Q289" i="3"/>
  <c r="P289" i="3" s="1"/>
  <c r="K289" i="3"/>
  <c r="O289" i="3" s="1"/>
  <c r="F289" i="3"/>
  <c r="N289" i="3"/>
  <c r="M289" i="3"/>
  <c r="Q290" i="3"/>
  <c r="P290" i="3" s="1"/>
  <c r="K290" i="3"/>
  <c r="O290" i="3" s="1"/>
  <c r="F290" i="3"/>
  <c r="N290" i="3"/>
  <c r="M290" i="3"/>
  <c r="Q291" i="3"/>
  <c r="P291" i="3" s="1"/>
  <c r="K291" i="3"/>
  <c r="O291" i="3" s="1"/>
  <c r="F291" i="3"/>
  <c r="N291" i="3"/>
  <c r="M291" i="3"/>
  <c r="Q292" i="3"/>
  <c r="P292" i="3" s="1"/>
  <c r="K292" i="3"/>
  <c r="O292" i="3" s="1"/>
  <c r="F292" i="3"/>
  <c r="N292" i="3"/>
  <c r="M292" i="3"/>
  <c r="Q293" i="3"/>
  <c r="P293" i="3" s="1"/>
  <c r="K293" i="3"/>
  <c r="O293" i="3" s="1"/>
  <c r="F293" i="3"/>
  <c r="N293" i="3"/>
  <c r="M293" i="3"/>
  <c r="Q294" i="3"/>
  <c r="P294" i="3" s="1"/>
  <c r="K294" i="3"/>
  <c r="O294" i="3" s="1"/>
  <c r="F294" i="3"/>
  <c r="N294" i="3"/>
  <c r="M294" i="3"/>
  <c r="Q295" i="3"/>
  <c r="P295" i="3" s="1"/>
  <c r="K295" i="3"/>
  <c r="O295" i="3" s="1"/>
  <c r="F295" i="3"/>
  <c r="N295" i="3"/>
  <c r="M295" i="3"/>
  <c r="Q296" i="3"/>
  <c r="P296" i="3" s="1"/>
  <c r="K296" i="3"/>
  <c r="O296" i="3" s="1"/>
  <c r="F296" i="3"/>
  <c r="N296" i="3"/>
  <c r="M296" i="3"/>
  <c r="Q297" i="3"/>
  <c r="P297" i="3" s="1"/>
  <c r="K297" i="3"/>
  <c r="O297" i="3" s="1"/>
  <c r="F297" i="3"/>
  <c r="N297" i="3"/>
  <c r="M297" i="3"/>
  <c r="Q298" i="3"/>
  <c r="P298" i="3" s="1"/>
  <c r="K298" i="3"/>
  <c r="O298" i="3" s="1"/>
  <c r="F298" i="3"/>
  <c r="N298" i="3"/>
  <c r="M298" i="3"/>
  <c r="Q299" i="3"/>
  <c r="P299" i="3" s="1"/>
  <c r="K299" i="3"/>
  <c r="O299" i="3" s="1"/>
  <c r="F299" i="3"/>
  <c r="N299" i="3"/>
  <c r="M299" i="3"/>
  <c r="Q300" i="3"/>
  <c r="P300" i="3" s="1"/>
  <c r="K300" i="3"/>
  <c r="O300" i="3" s="1"/>
  <c r="F300" i="3"/>
  <c r="N300" i="3"/>
  <c r="M300" i="3"/>
  <c r="Q301" i="3"/>
  <c r="P301" i="3" s="1"/>
  <c r="K301" i="3"/>
  <c r="O301" i="3" s="1"/>
  <c r="F301" i="3"/>
  <c r="N301" i="3"/>
  <c r="M301" i="3"/>
  <c r="Q302" i="3"/>
  <c r="P302" i="3" s="1"/>
  <c r="K302" i="3"/>
  <c r="O302" i="3" s="1"/>
  <c r="F302" i="3"/>
  <c r="N302" i="3"/>
  <c r="M302" i="3"/>
  <c r="Q303" i="3"/>
  <c r="P303" i="3" s="1"/>
  <c r="K303" i="3"/>
  <c r="O303" i="3" s="1"/>
  <c r="F303" i="3"/>
  <c r="N303" i="3"/>
  <c r="M303" i="3"/>
  <c r="Q304" i="3"/>
  <c r="P304" i="3" s="1"/>
  <c r="K304" i="3"/>
  <c r="O304" i="3" s="1"/>
  <c r="F304" i="3"/>
  <c r="N304" i="3"/>
  <c r="M304" i="3"/>
  <c r="Q305" i="3"/>
  <c r="P305" i="3" s="1"/>
  <c r="K305" i="3"/>
  <c r="O305" i="3" s="1"/>
  <c r="F305" i="3"/>
  <c r="N305" i="3"/>
  <c r="M305" i="3"/>
  <c r="Q306" i="3"/>
  <c r="P306" i="3" s="1"/>
  <c r="K306" i="3"/>
  <c r="O306" i="3" s="1"/>
  <c r="F306" i="3"/>
  <c r="N306" i="3"/>
  <c r="M306" i="3"/>
  <c r="Q307" i="3"/>
  <c r="P307" i="3" s="1"/>
  <c r="K307" i="3"/>
  <c r="O307" i="3" s="1"/>
  <c r="F307" i="3"/>
  <c r="N307" i="3"/>
  <c r="M307" i="3"/>
  <c r="Q308" i="3"/>
  <c r="P308" i="3" s="1"/>
  <c r="K308" i="3"/>
  <c r="O308" i="3" s="1"/>
  <c r="F308" i="3"/>
  <c r="N308" i="3"/>
  <c r="M308" i="3"/>
  <c r="Q309" i="3"/>
  <c r="P309" i="3" s="1"/>
  <c r="K309" i="3"/>
  <c r="O309" i="3" s="1"/>
  <c r="F309" i="3"/>
  <c r="N309" i="3"/>
  <c r="M309" i="3"/>
  <c r="Q310" i="3"/>
  <c r="P310" i="3" s="1"/>
  <c r="K310" i="3"/>
  <c r="O310" i="3" s="1"/>
  <c r="F310" i="3"/>
  <c r="N310" i="3"/>
  <c r="M310" i="3"/>
  <c r="Q311" i="3"/>
  <c r="P311" i="3" s="1"/>
  <c r="K311" i="3"/>
  <c r="O311" i="3" s="1"/>
  <c r="F311" i="3"/>
  <c r="N311" i="3"/>
  <c r="M311" i="3"/>
  <c r="Q312" i="3"/>
  <c r="P312" i="3" s="1"/>
  <c r="K312" i="3"/>
  <c r="O312" i="3" s="1"/>
  <c r="F312" i="3"/>
  <c r="N312" i="3"/>
  <c r="M312" i="3"/>
  <c r="Q313" i="3"/>
  <c r="P313" i="3" s="1"/>
  <c r="K313" i="3"/>
  <c r="O313" i="3" s="1"/>
  <c r="F313" i="3"/>
  <c r="N313" i="3"/>
  <c r="M313" i="3"/>
  <c r="Q314" i="3"/>
  <c r="P314" i="3" s="1"/>
  <c r="K314" i="3"/>
  <c r="O314" i="3" s="1"/>
  <c r="F314" i="3"/>
  <c r="N314" i="3"/>
  <c r="M314" i="3"/>
  <c r="Q315" i="3"/>
  <c r="P315" i="3" s="1"/>
  <c r="K315" i="3"/>
  <c r="O315" i="3" s="1"/>
  <c r="F315" i="3"/>
  <c r="N315" i="3"/>
  <c r="M315" i="3"/>
  <c r="Q316" i="3"/>
  <c r="P316" i="3" s="1"/>
  <c r="K316" i="3"/>
  <c r="O316" i="3" s="1"/>
  <c r="F316" i="3"/>
  <c r="N316" i="3"/>
  <c r="M316" i="3"/>
  <c r="Q317" i="3"/>
  <c r="P317" i="3" s="1"/>
  <c r="K317" i="3"/>
  <c r="O317" i="3" s="1"/>
  <c r="F317" i="3"/>
  <c r="N317" i="3"/>
  <c r="M317" i="3"/>
  <c r="Q318" i="3"/>
  <c r="P318" i="3" s="1"/>
  <c r="K318" i="3"/>
  <c r="O318" i="3" s="1"/>
  <c r="F318" i="3"/>
  <c r="N318" i="3"/>
  <c r="M318" i="3"/>
  <c r="Q319" i="3"/>
  <c r="P319" i="3" s="1"/>
  <c r="K319" i="3"/>
  <c r="O319" i="3" s="1"/>
  <c r="F319" i="3"/>
  <c r="N319" i="3"/>
  <c r="M319" i="3"/>
  <c r="Q320" i="3"/>
  <c r="P320" i="3" s="1"/>
  <c r="K320" i="3"/>
  <c r="O320" i="3" s="1"/>
  <c r="F320" i="3"/>
  <c r="N320" i="3"/>
  <c r="M320" i="3"/>
  <c r="Q321" i="3"/>
  <c r="P321" i="3" s="1"/>
  <c r="K321" i="3"/>
  <c r="O321" i="3" s="1"/>
  <c r="F321" i="3"/>
  <c r="N321" i="3"/>
  <c r="M321" i="3"/>
  <c r="Q322" i="3"/>
  <c r="P322" i="3" s="1"/>
  <c r="K322" i="3"/>
  <c r="O322" i="3" s="1"/>
  <c r="F322" i="3"/>
  <c r="N322" i="3"/>
  <c r="M322" i="3"/>
  <c r="Q323" i="3"/>
  <c r="P323" i="3" s="1"/>
  <c r="K323" i="3"/>
  <c r="O323" i="3" s="1"/>
  <c r="F323" i="3"/>
  <c r="N323" i="3"/>
  <c r="M323" i="3"/>
  <c r="Q324" i="3"/>
  <c r="P324" i="3" s="1"/>
  <c r="K324" i="3"/>
  <c r="O324" i="3" s="1"/>
  <c r="F324" i="3"/>
  <c r="N324" i="3"/>
  <c r="M324" i="3"/>
  <c r="Q325" i="3"/>
  <c r="P325" i="3" s="1"/>
  <c r="K325" i="3"/>
  <c r="O325" i="3" s="1"/>
  <c r="F325" i="3"/>
  <c r="N325" i="3"/>
  <c r="M325" i="3"/>
  <c r="Q326" i="3"/>
  <c r="P326" i="3" s="1"/>
  <c r="K326" i="3"/>
  <c r="O326" i="3" s="1"/>
  <c r="F326" i="3"/>
  <c r="N326" i="3"/>
  <c r="M326" i="3"/>
  <c r="Q327" i="3"/>
  <c r="P327" i="3" s="1"/>
  <c r="K327" i="3"/>
  <c r="O327" i="3" s="1"/>
  <c r="F327" i="3"/>
  <c r="N327" i="3"/>
  <c r="M327" i="3"/>
  <c r="Q328" i="3"/>
  <c r="P328" i="3" s="1"/>
  <c r="K328" i="3"/>
  <c r="O328" i="3" s="1"/>
  <c r="F328" i="3"/>
  <c r="N328" i="3"/>
  <c r="M328" i="3"/>
  <c r="Q329" i="3"/>
  <c r="P329" i="3" s="1"/>
  <c r="K329" i="3"/>
  <c r="O329" i="3" s="1"/>
  <c r="F329" i="3"/>
  <c r="N329" i="3"/>
  <c r="M329" i="3"/>
  <c r="Q330" i="3"/>
  <c r="P330" i="3" s="1"/>
  <c r="K330" i="3"/>
  <c r="O330" i="3" s="1"/>
  <c r="F330" i="3"/>
  <c r="N330" i="3"/>
  <c r="M330" i="3"/>
  <c r="Q331" i="3"/>
  <c r="P331" i="3" s="1"/>
  <c r="K331" i="3"/>
  <c r="O331" i="3" s="1"/>
  <c r="F331" i="3"/>
  <c r="N331" i="3"/>
  <c r="M331" i="3"/>
  <c r="Q332" i="3"/>
  <c r="P332" i="3" s="1"/>
  <c r="K332" i="3"/>
  <c r="O332" i="3" s="1"/>
  <c r="F332" i="3"/>
  <c r="N332" i="3"/>
  <c r="M332" i="3"/>
  <c r="Q333" i="3"/>
  <c r="P333" i="3" s="1"/>
  <c r="K333" i="3"/>
  <c r="O333" i="3" s="1"/>
  <c r="F333" i="3"/>
  <c r="N333" i="3"/>
  <c r="M333" i="3"/>
  <c r="Q334" i="3"/>
  <c r="P334" i="3" s="1"/>
  <c r="K334" i="3"/>
  <c r="O334" i="3" s="1"/>
  <c r="F334" i="3"/>
  <c r="N334" i="3"/>
  <c r="M334" i="3"/>
  <c r="Q335" i="3"/>
  <c r="P335" i="3" s="1"/>
  <c r="K335" i="3"/>
  <c r="O335" i="3" s="1"/>
  <c r="F335" i="3"/>
  <c r="N335" i="3"/>
  <c r="M335" i="3"/>
  <c r="Q336" i="3"/>
  <c r="P336" i="3" s="1"/>
  <c r="K336" i="3"/>
  <c r="O336" i="3" s="1"/>
  <c r="F336" i="3"/>
  <c r="N336" i="3"/>
  <c r="M336" i="3"/>
  <c r="Q337" i="3"/>
  <c r="P337" i="3" s="1"/>
  <c r="K337" i="3"/>
  <c r="O337" i="3" s="1"/>
  <c r="F337" i="3"/>
  <c r="N337" i="3"/>
  <c r="M337" i="3"/>
  <c r="Q338" i="3"/>
  <c r="P338" i="3" s="1"/>
  <c r="K338" i="3"/>
  <c r="O338" i="3" s="1"/>
  <c r="F338" i="3"/>
  <c r="N338" i="3"/>
  <c r="M338" i="3"/>
  <c r="Q339" i="3"/>
  <c r="P339" i="3" s="1"/>
  <c r="K339" i="3"/>
  <c r="O339" i="3" s="1"/>
  <c r="F339" i="3"/>
  <c r="N339" i="3"/>
  <c r="M339" i="3"/>
  <c r="Q340" i="3"/>
  <c r="P340" i="3" s="1"/>
  <c r="K340" i="3"/>
  <c r="O340" i="3" s="1"/>
  <c r="F340" i="3"/>
  <c r="N340" i="3"/>
  <c r="M340" i="3"/>
  <c r="Q341" i="3"/>
  <c r="P341" i="3" s="1"/>
  <c r="K341" i="3"/>
  <c r="O341" i="3" s="1"/>
  <c r="F341" i="3"/>
  <c r="N341" i="3"/>
  <c r="M341" i="3"/>
  <c r="Q342" i="3"/>
  <c r="P342" i="3" s="1"/>
  <c r="K342" i="3"/>
  <c r="O342" i="3" s="1"/>
  <c r="F342" i="3"/>
  <c r="N342" i="3"/>
  <c r="M342" i="3"/>
  <c r="Q343" i="3"/>
  <c r="P343" i="3" s="1"/>
  <c r="K343" i="3"/>
  <c r="O343" i="3" s="1"/>
  <c r="F343" i="3"/>
  <c r="N343" i="3"/>
  <c r="M343" i="3"/>
  <c r="Q344" i="3"/>
  <c r="P344" i="3" s="1"/>
  <c r="K344" i="3"/>
  <c r="O344" i="3" s="1"/>
  <c r="F344" i="3"/>
  <c r="N344" i="3"/>
  <c r="M344" i="3"/>
  <c r="Q345" i="3"/>
  <c r="P345" i="3" s="1"/>
  <c r="K345" i="3"/>
  <c r="O345" i="3" s="1"/>
  <c r="F345" i="3"/>
  <c r="N345" i="3"/>
  <c r="M345" i="3"/>
  <c r="Q346" i="3"/>
  <c r="P346" i="3" s="1"/>
  <c r="K346" i="3"/>
  <c r="O346" i="3" s="1"/>
  <c r="F346" i="3"/>
  <c r="N346" i="3"/>
  <c r="M346" i="3"/>
  <c r="Q347" i="3"/>
  <c r="P347" i="3" s="1"/>
  <c r="K347" i="3"/>
  <c r="O347" i="3" s="1"/>
  <c r="F347" i="3"/>
  <c r="N347" i="3"/>
  <c r="M347" i="3"/>
  <c r="Q348" i="3"/>
  <c r="P348" i="3" s="1"/>
  <c r="K348" i="3"/>
  <c r="O348" i="3" s="1"/>
  <c r="F348" i="3"/>
  <c r="N348" i="3"/>
  <c r="M348" i="3"/>
  <c r="Q349" i="3"/>
  <c r="P349" i="3" s="1"/>
  <c r="K349" i="3"/>
  <c r="O349" i="3" s="1"/>
  <c r="F349" i="3"/>
  <c r="N349" i="3"/>
  <c r="M349" i="3"/>
  <c r="Q350" i="3"/>
  <c r="P350" i="3" s="1"/>
  <c r="K350" i="3"/>
  <c r="O350" i="3" s="1"/>
  <c r="F350" i="3"/>
  <c r="N350" i="3"/>
  <c r="M350" i="3"/>
  <c r="Q351" i="3"/>
  <c r="P351" i="3" s="1"/>
  <c r="K351" i="3"/>
  <c r="O351" i="3" s="1"/>
  <c r="F351" i="3"/>
  <c r="N351" i="3"/>
  <c r="M351" i="3"/>
  <c r="Q352" i="3"/>
  <c r="P352" i="3" s="1"/>
  <c r="K352" i="3"/>
  <c r="O352" i="3" s="1"/>
  <c r="F352" i="3"/>
  <c r="N352" i="3"/>
  <c r="M352" i="3"/>
  <c r="Q353" i="3"/>
  <c r="P353" i="3" s="1"/>
  <c r="K353" i="3"/>
  <c r="O353" i="3" s="1"/>
  <c r="F353" i="3"/>
  <c r="N353" i="3"/>
  <c r="M353" i="3"/>
  <c r="Q354" i="3"/>
  <c r="P354" i="3" s="1"/>
  <c r="K354" i="3"/>
  <c r="O354" i="3" s="1"/>
  <c r="F354" i="3"/>
  <c r="N354" i="3"/>
  <c r="M354" i="3"/>
  <c r="Q355" i="3"/>
  <c r="P355" i="3" s="1"/>
  <c r="K355" i="3"/>
  <c r="O355" i="3" s="1"/>
  <c r="F355" i="3"/>
  <c r="N355" i="3"/>
  <c r="M355" i="3"/>
  <c r="Q356" i="3"/>
  <c r="P356" i="3" s="1"/>
  <c r="K356" i="3"/>
  <c r="O356" i="3" s="1"/>
  <c r="F356" i="3"/>
  <c r="N356" i="3"/>
  <c r="M356" i="3"/>
  <c r="Q357" i="3"/>
  <c r="P357" i="3" s="1"/>
  <c r="K357" i="3"/>
  <c r="O357" i="3" s="1"/>
  <c r="F357" i="3"/>
  <c r="N357" i="3"/>
  <c r="M357" i="3"/>
  <c r="Q358" i="3"/>
  <c r="P358" i="3" s="1"/>
  <c r="K358" i="3"/>
  <c r="O358" i="3" s="1"/>
  <c r="F358" i="3"/>
  <c r="N358" i="3"/>
  <c r="M358" i="3"/>
  <c r="Q359" i="3"/>
  <c r="P359" i="3" s="1"/>
  <c r="K359" i="3"/>
  <c r="O359" i="3" s="1"/>
  <c r="F359" i="3"/>
  <c r="N359" i="3"/>
  <c r="M359" i="3"/>
  <c r="Q360" i="3"/>
  <c r="P360" i="3" s="1"/>
  <c r="K360" i="3"/>
  <c r="O360" i="3" s="1"/>
  <c r="F360" i="3"/>
  <c r="N360" i="3"/>
  <c r="M360" i="3"/>
  <c r="Q361" i="3"/>
  <c r="P361" i="3" s="1"/>
  <c r="K361" i="3"/>
  <c r="O361" i="3" s="1"/>
  <c r="F361" i="3"/>
  <c r="N361" i="3"/>
  <c r="M361" i="3"/>
  <c r="Q362" i="3"/>
  <c r="P362" i="3" s="1"/>
  <c r="K362" i="3"/>
  <c r="O362" i="3" s="1"/>
  <c r="F362" i="3"/>
  <c r="N362" i="3"/>
  <c r="M362" i="3"/>
  <c r="Q363" i="3"/>
  <c r="P363" i="3" s="1"/>
  <c r="K363" i="3"/>
  <c r="O363" i="3" s="1"/>
  <c r="F363" i="3"/>
  <c r="N363" i="3"/>
  <c r="M363" i="3"/>
  <c r="Q364" i="3"/>
  <c r="P364" i="3" s="1"/>
  <c r="K364" i="3"/>
  <c r="O364" i="3" s="1"/>
  <c r="F364" i="3"/>
  <c r="N364" i="3"/>
  <c r="M364" i="3"/>
  <c r="Q365" i="3"/>
  <c r="P365" i="3" s="1"/>
  <c r="K365" i="3"/>
  <c r="O365" i="3" s="1"/>
  <c r="F365" i="3"/>
  <c r="N365" i="3"/>
  <c r="M365" i="3"/>
  <c r="Q366" i="3"/>
  <c r="P366" i="3" s="1"/>
  <c r="K366" i="3"/>
  <c r="O366" i="3" s="1"/>
  <c r="F366" i="3"/>
  <c r="N366" i="3"/>
  <c r="M366" i="3"/>
  <c r="Q367" i="3"/>
  <c r="P367" i="3" s="1"/>
  <c r="K367" i="3"/>
  <c r="O367" i="3" s="1"/>
  <c r="F367" i="3"/>
  <c r="N367" i="3"/>
  <c r="M367" i="3"/>
  <c r="Q368" i="3"/>
  <c r="P368" i="3" s="1"/>
  <c r="K368" i="3"/>
  <c r="O368" i="3" s="1"/>
  <c r="F368" i="3"/>
  <c r="N368" i="3"/>
  <c r="M368" i="3"/>
  <c r="Q369" i="3"/>
  <c r="P369" i="3" s="1"/>
  <c r="K369" i="3"/>
  <c r="O369" i="3" s="1"/>
  <c r="F369" i="3"/>
  <c r="N369" i="3"/>
  <c r="M369" i="3"/>
  <c r="Q370" i="3"/>
  <c r="P370" i="3" s="1"/>
  <c r="K370" i="3"/>
  <c r="O370" i="3" s="1"/>
  <c r="F370" i="3"/>
  <c r="N370" i="3"/>
  <c r="M370" i="3"/>
  <c r="Q371" i="3"/>
  <c r="P371" i="3" s="1"/>
  <c r="K371" i="3"/>
  <c r="O371" i="3" s="1"/>
  <c r="F371" i="3"/>
  <c r="N371" i="3"/>
  <c r="M371" i="3"/>
  <c r="Q372" i="3"/>
  <c r="P372" i="3" s="1"/>
  <c r="K372" i="3"/>
  <c r="O372" i="3" s="1"/>
  <c r="F372" i="3"/>
  <c r="N372" i="3"/>
  <c r="M372" i="3"/>
  <c r="Q373" i="3"/>
  <c r="P373" i="3" s="1"/>
  <c r="K373" i="3"/>
  <c r="O373" i="3" s="1"/>
  <c r="F373" i="3"/>
  <c r="N373" i="3"/>
  <c r="M373" i="3"/>
  <c r="Q374" i="3"/>
  <c r="P374" i="3" s="1"/>
  <c r="K374" i="3"/>
  <c r="O374" i="3" s="1"/>
  <c r="F374" i="3"/>
  <c r="N374" i="3"/>
  <c r="M374" i="3"/>
  <c r="Q375" i="3"/>
  <c r="P375" i="3" s="1"/>
  <c r="K375" i="3"/>
  <c r="O375" i="3" s="1"/>
  <c r="F375" i="3"/>
  <c r="N375" i="3"/>
  <c r="M375" i="3"/>
  <c r="Q376" i="3"/>
  <c r="P376" i="3" s="1"/>
  <c r="K376" i="3"/>
  <c r="O376" i="3" s="1"/>
  <c r="F376" i="3"/>
  <c r="N376" i="3"/>
  <c r="M376" i="3"/>
  <c r="Q377" i="3"/>
  <c r="P377" i="3" s="1"/>
  <c r="K377" i="3"/>
  <c r="O377" i="3" s="1"/>
  <c r="F377" i="3"/>
  <c r="N377" i="3"/>
  <c r="M377" i="3"/>
  <c r="Q378" i="3"/>
  <c r="P378" i="3" s="1"/>
  <c r="K378" i="3"/>
  <c r="O378" i="3" s="1"/>
  <c r="F378" i="3"/>
  <c r="N378" i="3"/>
  <c r="M378" i="3"/>
  <c r="Q379" i="3"/>
  <c r="P379" i="3" s="1"/>
  <c r="K379" i="3"/>
  <c r="O379" i="3" s="1"/>
  <c r="F379" i="3"/>
  <c r="N379" i="3"/>
  <c r="M379" i="3"/>
  <c r="Q380" i="3"/>
  <c r="P380" i="3" s="1"/>
  <c r="K380" i="3"/>
  <c r="O380" i="3" s="1"/>
  <c r="F380" i="3"/>
  <c r="N380" i="3"/>
  <c r="M380" i="3"/>
  <c r="Q381" i="3"/>
  <c r="P381" i="3" s="1"/>
  <c r="K381" i="3"/>
  <c r="O381" i="3" s="1"/>
  <c r="F381" i="3"/>
  <c r="N381" i="3"/>
  <c r="M381" i="3"/>
  <c r="Q382" i="3"/>
  <c r="P382" i="3" s="1"/>
  <c r="K382" i="3"/>
  <c r="O382" i="3" s="1"/>
  <c r="F382" i="3"/>
  <c r="N382" i="3"/>
  <c r="M382" i="3"/>
  <c r="Q383" i="3"/>
  <c r="P383" i="3" s="1"/>
  <c r="K383" i="3"/>
  <c r="O383" i="3" s="1"/>
  <c r="F383" i="3"/>
  <c r="N383" i="3"/>
  <c r="M383" i="3"/>
  <c r="Q384" i="3"/>
  <c r="P384" i="3" s="1"/>
  <c r="K384" i="3"/>
  <c r="O384" i="3" s="1"/>
  <c r="F384" i="3"/>
  <c r="N384" i="3"/>
  <c r="M384" i="3"/>
  <c r="Q385" i="3"/>
  <c r="P385" i="3" s="1"/>
  <c r="K385" i="3"/>
  <c r="O385" i="3" s="1"/>
  <c r="F385" i="3"/>
  <c r="N385" i="3"/>
  <c r="M385" i="3"/>
  <c r="Q386" i="3"/>
  <c r="P386" i="3" s="1"/>
  <c r="K386" i="3"/>
  <c r="O386" i="3" s="1"/>
  <c r="F386" i="3"/>
  <c r="N386" i="3"/>
  <c r="M386" i="3"/>
  <c r="Q387" i="3"/>
  <c r="P387" i="3" s="1"/>
  <c r="K387" i="3"/>
  <c r="O387" i="3" s="1"/>
  <c r="F387" i="3"/>
  <c r="N387" i="3"/>
  <c r="M387" i="3"/>
  <c r="Q388" i="3"/>
  <c r="P388" i="3" s="1"/>
  <c r="K388" i="3"/>
  <c r="O388" i="3" s="1"/>
  <c r="F388" i="3"/>
  <c r="N388" i="3"/>
  <c r="M388" i="3"/>
  <c r="Q389" i="3"/>
  <c r="P389" i="3" s="1"/>
  <c r="K389" i="3"/>
  <c r="O389" i="3" s="1"/>
  <c r="F389" i="3"/>
  <c r="N389" i="3"/>
  <c r="M389" i="3"/>
  <c r="Q390" i="3"/>
  <c r="P390" i="3" s="1"/>
  <c r="K390" i="3"/>
  <c r="O390" i="3" s="1"/>
  <c r="F390" i="3"/>
  <c r="N390" i="3"/>
  <c r="M390" i="3"/>
  <c r="Q391" i="3"/>
  <c r="P391" i="3" s="1"/>
  <c r="K391" i="3"/>
  <c r="O391" i="3" s="1"/>
  <c r="F391" i="3"/>
  <c r="N391" i="3"/>
  <c r="M391" i="3"/>
  <c r="Q392" i="3"/>
  <c r="P392" i="3" s="1"/>
  <c r="K392" i="3"/>
  <c r="O392" i="3" s="1"/>
  <c r="F392" i="3"/>
  <c r="N392" i="3"/>
  <c r="M392" i="3"/>
  <c r="Q393" i="3"/>
  <c r="P393" i="3" s="1"/>
  <c r="K393" i="3"/>
  <c r="O393" i="3" s="1"/>
  <c r="F393" i="3"/>
  <c r="N393" i="3"/>
  <c r="M393" i="3"/>
  <c r="Q394" i="3"/>
  <c r="P394" i="3" s="1"/>
  <c r="K394" i="3"/>
  <c r="O394" i="3" s="1"/>
  <c r="F394" i="3"/>
  <c r="N394" i="3"/>
  <c r="M394" i="3"/>
  <c r="Q395" i="3"/>
  <c r="P395" i="3" s="1"/>
  <c r="K395" i="3"/>
  <c r="O395" i="3" s="1"/>
  <c r="F395" i="3"/>
  <c r="N395" i="3"/>
  <c r="M395" i="3"/>
  <c r="Q396" i="3"/>
  <c r="P396" i="3" s="1"/>
  <c r="K396" i="3"/>
  <c r="O396" i="3" s="1"/>
  <c r="F396" i="3"/>
  <c r="N396" i="3"/>
  <c r="M396" i="3"/>
  <c r="Q397" i="3"/>
  <c r="P397" i="3" s="1"/>
  <c r="K397" i="3"/>
  <c r="O397" i="3" s="1"/>
  <c r="F397" i="3"/>
  <c r="N397" i="3"/>
  <c r="M397" i="3"/>
  <c r="Q398" i="3"/>
  <c r="P398" i="3" s="1"/>
  <c r="K398" i="3"/>
  <c r="O398" i="3" s="1"/>
  <c r="F398" i="3"/>
  <c r="N398" i="3"/>
  <c r="M398" i="3"/>
  <c r="Q399" i="3"/>
  <c r="P399" i="3" s="1"/>
  <c r="K399" i="3"/>
  <c r="O399" i="3" s="1"/>
  <c r="F399" i="3"/>
  <c r="N399" i="3"/>
  <c r="M399" i="3"/>
  <c r="Q400" i="3"/>
  <c r="P400" i="3" s="1"/>
  <c r="K400" i="3"/>
  <c r="O400" i="3" s="1"/>
  <c r="F400" i="3"/>
  <c r="N400" i="3"/>
  <c r="M400" i="3"/>
  <c r="Q401" i="3"/>
  <c r="P401" i="3" s="1"/>
  <c r="K401" i="3"/>
  <c r="O401" i="3" s="1"/>
  <c r="F401" i="3"/>
  <c r="N401" i="3"/>
  <c r="M401" i="3"/>
  <c r="Q402" i="3"/>
  <c r="P402" i="3" s="1"/>
  <c r="K402" i="3"/>
  <c r="O402" i="3" s="1"/>
  <c r="F402" i="3"/>
  <c r="N402" i="3"/>
  <c r="M402" i="3"/>
  <c r="Q403" i="3"/>
  <c r="P403" i="3" s="1"/>
  <c r="K403" i="3"/>
  <c r="O403" i="3" s="1"/>
  <c r="F403" i="3"/>
  <c r="N403" i="3"/>
  <c r="M403" i="3"/>
  <c r="Q404" i="3"/>
  <c r="P404" i="3" s="1"/>
  <c r="K404" i="3"/>
  <c r="O404" i="3" s="1"/>
  <c r="F404" i="3"/>
  <c r="N404" i="3"/>
  <c r="M404" i="3"/>
  <c r="Q405" i="3"/>
  <c r="P405" i="3" s="1"/>
  <c r="K405" i="3"/>
  <c r="O405" i="3" s="1"/>
  <c r="F405" i="3"/>
  <c r="N405" i="3"/>
  <c r="M405" i="3"/>
  <c r="Q406" i="3"/>
  <c r="P406" i="3" s="1"/>
  <c r="K406" i="3"/>
  <c r="O406" i="3" s="1"/>
  <c r="F406" i="3"/>
  <c r="N406" i="3"/>
  <c r="M406" i="3"/>
  <c r="Q407" i="3"/>
  <c r="P407" i="3" s="1"/>
  <c r="K407" i="3"/>
  <c r="O407" i="3" s="1"/>
  <c r="F407" i="3"/>
  <c r="N407" i="3"/>
  <c r="M407" i="3"/>
  <c r="Q408" i="3"/>
  <c r="P408" i="3" s="1"/>
  <c r="K408" i="3"/>
  <c r="O408" i="3" s="1"/>
  <c r="F408" i="3"/>
  <c r="N408" i="3"/>
  <c r="M408" i="3"/>
  <c r="Q409" i="3"/>
  <c r="P409" i="3" s="1"/>
  <c r="K409" i="3"/>
  <c r="O409" i="3" s="1"/>
  <c r="F409" i="3"/>
  <c r="N409" i="3"/>
  <c r="M409" i="3"/>
  <c r="Q410" i="3"/>
  <c r="P410" i="3" s="1"/>
  <c r="K410" i="3"/>
  <c r="O410" i="3" s="1"/>
  <c r="F410" i="3"/>
  <c r="N410" i="3"/>
  <c r="M410" i="3"/>
  <c r="Q411" i="3"/>
  <c r="P411" i="3" s="1"/>
  <c r="K411" i="3"/>
  <c r="O411" i="3" s="1"/>
  <c r="F411" i="3"/>
  <c r="N411" i="3"/>
  <c r="M411" i="3"/>
  <c r="Q412" i="3"/>
  <c r="P412" i="3" s="1"/>
  <c r="K412" i="3"/>
  <c r="O412" i="3" s="1"/>
  <c r="F412" i="3"/>
  <c r="N412" i="3"/>
  <c r="M412" i="3"/>
  <c r="Q413" i="3"/>
  <c r="P413" i="3" s="1"/>
  <c r="K413" i="3"/>
  <c r="O413" i="3" s="1"/>
  <c r="F413" i="3"/>
  <c r="N413" i="3"/>
  <c r="M413" i="3"/>
  <c r="Q414" i="3"/>
  <c r="P414" i="3" s="1"/>
  <c r="K414" i="3"/>
  <c r="O414" i="3" s="1"/>
  <c r="F414" i="3"/>
  <c r="N414" i="3"/>
  <c r="M414" i="3"/>
  <c r="Q415" i="3"/>
  <c r="P415" i="3" s="1"/>
  <c r="K415" i="3"/>
  <c r="O415" i="3" s="1"/>
  <c r="F415" i="3"/>
  <c r="N415" i="3"/>
  <c r="M415" i="3"/>
  <c r="Q416" i="3"/>
  <c r="P416" i="3" s="1"/>
  <c r="K416" i="3"/>
  <c r="O416" i="3" s="1"/>
  <c r="F416" i="3"/>
  <c r="N416" i="3"/>
  <c r="M416" i="3"/>
  <c r="Q417" i="3"/>
  <c r="P417" i="3" s="1"/>
  <c r="K417" i="3"/>
  <c r="O417" i="3" s="1"/>
  <c r="F417" i="3"/>
  <c r="N417" i="3"/>
  <c r="M417" i="3"/>
  <c r="Q418" i="3"/>
  <c r="P418" i="3" s="1"/>
  <c r="K418" i="3"/>
  <c r="O418" i="3" s="1"/>
  <c r="F418" i="3"/>
  <c r="N418" i="3"/>
  <c r="M418" i="3"/>
  <c r="Q419" i="3"/>
  <c r="P419" i="3" s="1"/>
  <c r="K419" i="3"/>
  <c r="O419" i="3" s="1"/>
  <c r="F419" i="3"/>
  <c r="N419" i="3"/>
  <c r="M419" i="3"/>
  <c r="Q420" i="3"/>
  <c r="P420" i="3" s="1"/>
  <c r="K420" i="3"/>
  <c r="O420" i="3" s="1"/>
  <c r="F420" i="3"/>
  <c r="N420" i="3"/>
  <c r="M420" i="3"/>
  <c r="Q421" i="3"/>
  <c r="P421" i="3" s="1"/>
  <c r="K421" i="3"/>
  <c r="O421" i="3" s="1"/>
  <c r="F421" i="3"/>
  <c r="N421" i="3"/>
  <c r="M421" i="3"/>
  <c r="Q422" i="3"/>
  <c r="P422" i="3" s="1"/>
  <c r="K422" i="3"/>
  <c r="O422" i="3" s="1"/>
  <c r="F422" i="3"/>
  <c r="N422" i="3"/>
  <c r="M422" i="3"/>
  <c r="Q423" i="3"/>
  <c r="P423" i="3" s="1"/>
  <c r="K423" i="3"/>
  <c r="O423" i="3" s="1"/>
  <c r="F423" i="3"/>
  <c r="N423" i="3"/>
  <c r="M423" i="3"/>
  <c r="Q424" i="3"/>
  <c r="P424" i="3" s="1"/>
  <c r="K424" i="3"/>
  <c r="O424" i="3" s="1"/>
  <c r="F424" i="3"/>
  <c r="N424" i="3"/>
  <c r="M424" i="3"/>
  <c r="Q425" i="3"/>
  <c r="P425" i="3" s="1"/>
  <c r="K425" i="3"/>
  <c r="O425" i="3" s="1"/>
  <c r="F425" i="3"/>
  <c r="N425" i="3"/>
  <c r="M425" i="3"/>
  <c r="Q426" i="3"/>
  <c r="P426" i="3" s="1"/>
  <c r="K426" i="3"/>
  <c r="O426" i="3" s="1"/>
  <c r="F426" i="3"/>
  <c r="N426" i="3"/>
  <c r="M426" i="3"/>
  <c r="Q427" i="3"/>
  <c r="P427" i="3" s="1"/>
  <c r="K427" i="3"/>
  <c r="O427" i="3" s="1"/>
  <c r="F427" i="3"/>
  <c r="N427" i="3"/>
  <c r="M427" i="3"/>
  <c r="Q428" i="3"/>
  <c r="P428" i="3" s="1"/>
  <c r="K428" i="3"/>
  <c r="O428" i="3" s="1"/>
  <c r="F428" i="3"/>
  <c r="N428" i="3"/>
  <c r="M428" i="3"/>
  <c r="Q429" i="3"/>
  <c r="P429" i="3" s="1"/>
  <c r="K429" i="3"/>
  <c r="O429" i="3" s="1"/>
  <c r="F429" i="3"/>
  <c r="N429" i="3"/>
  <c r="M429" i="3"/>
  <c r="Q430" i="3"/>
  <c r="P430" i="3" s="1"/>
  <c r="K430" i="3"/>
  <c r="O430" i="3" s="1"/>
  <c r="F430" i="3"/>
  <c r="N430" i="3"/>
  <c r="M430" i="3"/>
  <c r="Q431" i="3"/>
  <c r="P431" i="3" s="1"/>
  <c r="K431" i="3"/>
  <c r="O431" i="3" s="1"/>
  <c r="F431" i="3"/>
  <c r="N431" i="3"/>
  <c r="M431" i="3"/>
  <c r="Q432" i="3"/>
  <c r="P432" i="3" s="1"/>
  <c r="K432" i="3"/>
  <c r="O432" i="3" s="1"/>
  <c r="F432" i="3"/>
  <c r="N432" i="3"/>
  <c r="M432" i="3"/>
  <c r="Q433" i="3"/>
  <c r="P433" i="3" s="1"/>
  <c r="K433" i="3"/>
  <c r="O433" i="3" s="1"/>
  <c r="F433" i="3"/>
  <c r="N433" i="3"/>
  <c r="M433" i="3"/>
  <c r="Q434" i="3"/>
  <c r="P434" i="3" s="1"/>
  <c r="K434" i="3"/>
  <c r="O434" i="3" s="1"/>
  <c r="F434" i="3"/>
  <c r="N434" i="3"/>
  <c r="M434" i="3"/>
  <c r="Q435" i="3"/>
  <c r="P435" i="3" s="1"/>
  <c r="K435" i="3"/>
  <c r="O435" i="3" s="1"/>
  <c r="F435" i="3"/>
  <c r="N435" i="3"/>
  <c r="M435" i="3"/>
  <c r="Q436" i="3"/>
  <c r="P436" i="3" s="1"/>
  <c r="K436" i="3"/>
  <c r="O436" i="3" s="1"/>
  <c r="F436" i="3"/>
  <c r="N436" i="3"/>
  <c r="M436" i="3"/>
  <c r="Q437" i="3"/>
  <c r="P437" i="3" s="1"/>
  <c r="K437" i="3"/>
  <c r="O437" i="3" s="1"/>
  <c r="F437" i="3"/>
  <c r="N437" i="3"/>
  <c r="M437" i="3"/>
  <c r="Q438" i="3"/>
  <c r="P438" i="3" s="1"/>
  <c r="K438" i="3"/>
  <c r="O438" i="3" s="1"/>
  <c r="F438" i="3"/>
  <c r="N438" i="3"/>
  <c r="M438" i="3"/>
  <c r="Q439" i="3"/>
  <c r="P439" i="3" s="1"/>
  <c r="K439" i="3"/>
  <c r="O439" i="3" s="1"/>
  <c r="F439" i="3"/>
  <c r="N439" i="3"/>
  <c r="M439" i="3"/>
  <c r="Q440" i="3"/>
  <c r="P440" i="3" s="1"/>
  <c r="K440" i="3"/>
  <c r="O440" i="3" s="1"/>
  <c r="F440" i="3"/>
  <c r="N440" i="3"/>
  <c r="M440" i="3"/>
  <c r="Q441" i="3"/>
  <c r="P441" i="3" s="1"/>
  <c r="K441" i="3"/>
  <c r="O441" i="3" s="1"/>
  <c r="F441" i="3"/>
  <c r="N441" i="3"/>
  <c r="M441" i="3"/>
  <c r="Q442" i="3"/>
  <c r="P442" i="3" s="1"/>
  <c r="K442" i="3"/>
  <c r="O442" i="3" s="1"/>
  <c r="F442" i="3"/>
  <c r="N442" i="3"/>
  <c r="M442" i="3"/>
  <c r="Q443" i="3"/>
  <c r="P443" i="3" s="1"/>
  <c r="K443" i="3"/>
  <c r="O443" i="3" s="1"/>
  <c r="F443" i="3"/>
  <c r="N443" i="3"/>
  <c r="M443" i="3"/>
  <c r="Q444" i="3"/>
  <c r="P444" i="3" s="1"/>
  <c r="K444" i="3"/>
  <c r="O444" i="3" s="1"/>
  <c r="F444" i="3"/>
  <c r="N444" i="3"/>
  <c r="M444" i="3"/>
  <c r="Q445" i="3"/>
  <c r="P445" i="3" s="1"/>
  <c r="K445" i="3"/>
  <c r="O445" i="3" s="1"/>
  <c r="F445" i="3"/>
  <c r="N445" i="3"/>
  <c r="M445" i="3"/>
  <c r="Q446" i="3"/>
  <c r="P446" i="3" s="1"/>
  <c r="K446" i="3"/>
  <c r="O446" i="3" s="1"/>
  <c r="F446" i="3"/>
  <c r="N446" i="3"/>
  <c r="M446" i="3"/>
  <c r="Q447" i="3"/>
  <c r="P447" i="3" s="1"/>
  <c r="K447" i="3"/>
  <c r="O447" i="3" s="1"/>
  <c r="F447" i="3"/>
  <c r="N447" i="3"/>
  <c r="M447" i="3"/>
  <c r="Q448" i="3"/>
  <c r="P448" i="3" s="1"/>
  <c r="K448" i="3"/>
  <c r="O448" i="3" s="1"/>
  <c r="F448" i="3"/>
  <c r="N448" i="3"/>
  <c r="M448" i="3"/>
  <c r="Q449" i="3"/>
  <c r="P449" i="3" s="1"/>
  <c r="K449" i="3"/>
  <c r="O449" i="3" s="1"/>
  <c r="F449" i="3"/>
  <c r="N449" i="3"/>
  <c r="M449" i="3"/>
  <c r="Q450" i="3"/>
  <c r="P450" i="3" s="1"/>
  <c r="K450" i="3"/>
  <c r="O450" i="3" s="1"/>
  <c r="F450" i="3"/>
  <c r="N450" i="3"/>
  <c r="M450" i="3"/>
  <c r="Q451" i="3"/>
  <c r="P451" i="3" s="1"/>
  <c r="K451" i="3"/>
  <c r="O451" i="3" s="1"/>
  <c r="F451" i="3"/>
  <c r="N451" i="3"/>
  <c r="M451" i="3"/>
  <c r="Q452" i="3"/>
  <c r="P452" i="3" s="1"/>
  <c r="K452" i="3"/>
  <c r="O452" i="3" s="1"/>
  <c r="F452" i="3"/>
  <c r="N452" i="3"/>
  <c r="M452" i="3"/>
  <c r="Q453" i="3"/>
  <c r="P453" i="3" s="1"/>
  <c r="K453" i="3"/>
  <c r="O453" i="3" s="1"/>
  <c r="F453" i="3"/>
  <c r="N453" i="3"/>
  <c r="M453" i="3"/>
  <c r="Q454" i="3"/>
  <c r="P454" i="3" s="1"/>
  <c r="K454" i="3"/>
  <c r="O454" i="3" s="1"/>
  <c r="F454" i="3"/>
  <c r="N454" i="3"/>
  <c r="M454" i="3"/>
  <c r="Q455" i="3"/>
  <c r="P455" i="3" s="1"/>
  <c r="K455" i="3"/>
  <c r="O455" i="3" s="1"/>
  <c r="F455" i="3"/>
  <c r="N455" i="3"/>
  <c r="M455" i="3"/>
  <c r="Q456" i="3"/>
  <c r="P456" i="3" s="1"/>
  <c r="K456" i="3"/>
  <c r="O456" i="3" s="1"/>
  <c r="F456" i="3"/>
  <c r="N456" i="3"/>
  <c r="M456" i="3"/>
  <c r="Q457" i="3"/>
  <c r="P457" i="3" s="1"/>
  <c r="K457" i="3"/>
  <c r="O457" i="3" s="1"/>
  <c r="F457" i="3"/>
  <c r="N457" i="3"/>
  <c r="M457" i="3"/>
  <c r="Q458" i="3"/>
  <c r="P458" i="3" s="1"/>
  <c r="K458" i="3"/>
  <c r="O458" i="3" s="1"/>
  <c r="F458" i="3"/>
  <c r="N458" i="3"/>
  <c r="M458" i="3"/>
  <c r="Q459" i="3"/>
  <c r="P459" i="3" s="1"/>
  <c r="K459" i="3"/>
  <c r="O459" i="3" s="1"/>
  <c r="F459" i="3"/>
  <c r="N459" i="3"/>
  <c r="M459" i="3"/>
  <c r="Q460" i="3"/>
  <c r="P460" i="3" s="1"/>
  <c r="K460" i="3"/>
  <c r="O460" i="3" s="1"/>
  <c r="F460" i="3"/>
  <c r="N460" i="3"/>
  <c r="M460" i="3"/>
  <c r="Q461" i="3"/>
  <c r="P461" i="3" s="1"/>
  <c r="K461" i="3"/>
  <c r="O461" i="3" s="1"/>
  <c r="F461" i="3"/>
  <c r="N461" i="3"/>
  <c r="M461" i="3"/>
  <c r="Q462" i="3"/>
  <c r="P462" i="3" s="1"/>
  <c r="K462" i="3"/>
  <c r="O462" i="3" s="1"/>
  <c r="F462" i="3"/>
  <c r="N462" i="3"/>
  <c r="M462" i="3"/>
  <c r="Q463" i="3"/>
  <c r="P463" i="3" s="1"/>
  <c r="K463" i="3"/>
  <c r="O463" i="3" s="1"/>
  <c r="F463" i="3"/>
  <c r="N463" i="3"/>
  <c r="M463" i="3"/>
  <c r="Q464" i="3"/>
  <c r="P464" i="3" s="1"/>
  <c r="K464" i="3"/>
  <c r="O464" i="3" s="1"/>
  <c r="F464" i="3"/>
  <c r="N464" i="3"/>
  <c r="M464" i="3"/>
  <c r="Q465" i="3"/>
  <c r="P465" i="3" s="1"/>
  <c r="K465" i="3"/>
  <c r="O465" i="3" s="1"/>
  <c r="F465" i="3"/>
  <c r="N465" i="3"/>
  <c r="M465" i="3"/>
  <c r="Q466" i="3"/>
  <c r="P466" i="3" s="1"/>
  <c r="K466" i="3"/>
  <c r="O466" i="3" s="1"/>
  <c r="F466" i="3"/>
  <c r="N466" i="3"/>
  <c r="M466" i="3"/>
  <c r="Q467" i="3"/>
  <c r="P467" i="3" s="1"/>
  <c r="K467" i="3"/>
  <c r="O467" i="3" s="1"/>
  <c r="F467" i="3"/>
  <c r="N467" i="3"/>
  <c r="M467" i="3"/>
  <c r="Q468" i="3"/>
  <c r="P468" i="3" s="1"/>
  <c r="K468" i="3"/>
  <c r="O468" i="3" s="1"/>
  <c r="F468" i="3"/>
  <c r="N468" i="3"/>
  <c r="M468" i="3"/>
  <c r="Q469" i="3"/>
  <c r="P469" i="3" s="1"/>
  <c r="K469" i="3"/>
  <c r="O469" i="3" s="1"/>
  <c r="F469" i="3"/>
  <c r="N469" i="3"/>
  <c r="M469" i="3"/>
  <c r="Q470" i="3"/>
  <c r="P470" i="3" s="1"/>
  <c r="K470" i="3"/>
  <c r="O470" i="3" s="1"/>
  <c r="F470" i="3"/>
  <c r="N470" i="3"/>
  <c r="M470" i="3"/>
  <c r="Q471" i="3"/>
  <c r="P471" i="3" s="1"/>
  <c r="K471" i="3"/>
  <c r="O471" i="3" s="1"/>
  <c r="F471" i="3"/>
  <c r="N471" i="3"/>
  <c r="M471" i="3"/>
  <c r="Q472" i="3"/>
  <c r="P472" i="3" s="1"/>
  <c r="K472" i="3"/>
  <c r="O472" i="3" s="1"/>
  <c r="F472" i="3"/>
  <c r="N472" i="3"/>
  <c r="M472" i="3"/>
  <c r="Q473" i="3"/>
  <c r="P473" i="3" s="1"/>
  <c r="K473" i="3"/>
  <c r="O473" i="3" s="1"/>
  <c r="F473" i="3"/>
  <c r="N473" i="3"/>
  <c r="M473" i="3"/>
  <c r="Q474" i="3"/>
  <c r="P474" i="3" s="1"/>
  <c r="K474" i="3"/>
  <c r="O474" i="3" s="1"/>
  <c r="F474" i="3"/>
  <c r="N474" i="3"/>
  <c r="M474" i="3"/>
  <c r="Q475" i="3"/>
  <c r="P475" i="3" s="1"/>
  <c r="K475" i="3"/>
  <c r="O475" i="3" s="1"/>
  <c r="F475" i="3"/>
  <c r="N475" i="3"/>
  <c r="M475" i="3"/>
  <c r="Q476" i="3"/>
  <c r="P476" i="3" s="1"/>
  <c r="K476" i="3"/>
  <c r="O476" i="3" s="1"/>
  <c r="F476" i="3"/>
  <c r="N476" i="3"/>
  <c r="M476" i="3"/>
  <c r="Q477" i="3"/>
  <c r="P477" i="3" s="1"/>
  <c r="K477" i="3"/>
  <c r="O477" i="3" s="1"/>
  <c r="F477" i="3"/>
  <c r="N477" i="3"/>
  <c r="M477" i="3"/>
  <c r="Q478" i="3"/>
  <c r="P478" i="3" s="1"/>
  <c r="K478" i="3"/>
  <c r="O478" i="3" s="1"/>
  <c r="F478" i="3"/>
  <c r="N478" i="3"/>
  <c r="M478" i="3"/>
  <c r="Q479" i="3"/>
  <c r="P479" i="3" s="1"/>
  <c r="K479" i="3"/>
  <c r="O479" i="3" s="1"/>
  <c r="F479" i="3"/>
  <c r="N479" i="3"/>
  <c r="M479" i="3"/>
  <c r="Q480" i="3"/>
  <c r="P480" i="3" s="1"/>
  <c r="K480" i="3"/>
  <c r="O480" i="3" s="1"/>
  <c r="F480" i="3"/>
  <c r="N480" i="3"/>
  <c r="M480" i="3"/>
  <c r="Q481" i="3"/>
  <c r="P481" i="3" s="1"/>
  <c r="K481" i="3"/>
  <c r="O481" i="3" s="1"/>
  <c r="F481" i="3"/>
  <c r="N481" i="3"/>
  <c r="M481" i="3"/>
  <c r="Q482" i="3"/>
  <c r="P482" i="3" s="1"/>
  <c r="K482" i="3"/>
  <c r="O482" i="3" s="1"/>
  <c r="F482" i="3"/>
  <c r="N482" i="3"/>
  <c r="M482" i="3"/>
  <c r="Q483" i="3"/>
  <c r="P483" i="3" s="1"/>
  <c r="K483" i="3"/>
  <c r="O483" i="3" s="1"/>
  <c r="F483" i="3"/>
  <c r="N483" i="3"/>
  <c r="M483" i="3"/>
  <c r="Q484" i="3"/>
  <c r="P484" i="3" s="1"/>
  <c r="K484" i="3"/>
  <c r="O484" i="3" s="1"/>
  <c r="F484" i="3"/>
  <c r="N484" i="3"/>
  <c r="M484" i="3"/>
  <c r="Q485" i="3"/>
  <c r="P485" i="3" s="1"/>
  <c r="K485" i="3"/>
  <c r="O485" i="3" s="1"/>
  <c r="F485" i="3"/>
  <c r="N485" i="3"/>
  <c r="M485" i="3"/>
  <c r="Q486" i="3"/>
  <c r="P486" i="3" s="1"/>
  <c r="K486" i="3"/>
  <c r="O486" i="3" s="1"/>
  <c r="F486" i="3"/>
  <c r="N486" i="3"/>
  <c r="M486" i="3"/>
  <c r="Q487" i="3"/>
  <c r="P487" i="3" s="1"/>
  <c r="K487" i="3"/>
  <c r="O487" i="3" s="1"/>
  <c r="F487" i="3"/>
  <c r="N487" i="3"/>
  <c r="M487" i="3"/>
  <c r="Q488" i="3"/>
  <c r="P488" i="3" s="1"/>
  <c r="K488" i="3"/>
  <c r="O488" i="3" s="1"/>
  <c r="F488" i="3"/>
  <c r="N488" i="3"/>
  <c r="M488" i="3"/>
  <c r="Q489" i="3"/>
  <c r="P489" i="3" s="1"/>
  <c r="K489" i="3"/>
  <c r="O489" i="3" s="1"/>
  <c r="F489" i="3"/>
  <c r="N489" i="3"/>
  <c r="M489" i="3"/>
  <c r="Q490" i="3"/>
  <c r="P490" i="3" s="1"/>
  <c r="K490" i="3"/>
  <c r="O490" i="3" s="1"/>
  <c r="F490" i="3"/>
  <c r="N490" i="3"/>
  <c r="M490" i="3"/>
  <c r="Q491" i="3"/>
  <c r="P491" i="3" s="1"/>
  <c r="K491" i="3"/>
  <c r="O491" i="3" s="1"/>
  <c r="F491" i="3"/>
  <c r="N491" i="3"/>
  <c r="M491" i="3"/>
  <c r="Q492" i="3"/>
  <c r="P492" i="3" s="1"/>
  <c r="K492" i="3"/>
  <c r="O492" i="3" s="1"/>
  <c r="F492" i="3"/>
  <c r="N492" i="3"/>
  <c r="M492" i="3"/>
  <c r="Q493" i="3"/>
  <c r="P493" i="3" s="1"/>
  <c r="K493" i="3"/>
  <c r="O493" i="3" s="1"/>
  <c r="F493" i="3"/>
  <c r="N493" i="3"/>
  <c r="M493" i="3"/>
  <c r="Q494" i="3"/>
  <c r="P494" i="3" s="1"/>
  <c r="K494" i="3"/>
  <c r="O494" i="3" s="1"/>
  <c r="F494" i="3"/>
  <c r="N494" i="3"/>
  <c r="M494" i="3"/>
  <c r="Q495" i="3"/>
  <c r="P495" i="3" s="1"/>
  <c r="K495" i="3"/>
  <c r="O495" i="3" s="1"/>
  <c r="F495" i="3"/>
  <c r="N495" i="3"/>
  <c r="M495" i="3"/>
  <c r="Q496" i="3"/>
  <c r="P496" i="3" s="1"/>
  <c r="K496" i="3"/>
  <c r="O496" i="3" s="1"/>
  <c r="F496" i="3"/>
  <c r="N496" i="3"/>
  <c r="M496" i="3"/>
  <c r="Q497" i="3"/>
  <c r="P497" i="3" s="1"/>
  <c r="K497" i="3"/>
  <c r="O497" i="3" s="1"/>
  <c r="F497" i="3"/>
  <c r="N497" i="3"/>
  <c r="M497" i="3"/>
  <c r="Q498" i="3"/>
  <c r="P498" i="3" s="1"/>
  <c r="K498" i="3"/>
  <c r="O498" i="3" s="1"/>
  <c r="F498" i="3"/>
  <c r="N498" i="3"/>
  <c r="M498" i="3"/>
  <c r="Q499" i="3"/>
  <c r="P499" i="3" s="1"/>
  <c r="K499" i="3"/>
  <c r="O499" i="3" s="1"/>
  <c r="F499" i="3"/>
  <c r="N499" i="3"/>
  <c r="M499" i="3"/>
  <c r="Q500" i="3"/>
  <c r="P500" i="3" s="1"/>
  <c r="K500" i="3"/>
  <c r="O500" i="3" s="1"/>
  <c r="F500" i="3"/>
  <c r="N500" i="3"/>
  <c r="M500" i="3"/>
  <c r="Q501" i="3"/>
  <c r="P501" i="3" s="1"/>
  <c r="K501" i="3"/>
  <c r="O501" i="3" s="1"/>
  <c r="F501" i="3"/>
  <c r="N501" i="3"/>
  <c r="M501" i="3"/>
  <c r="Q502" i="3"/>
  <c r="P502" i="3" s="1"/>
  <c r="K502" i="3"/>
  <c r="O502" i="3" s="1"/>
  <c r="F502" i="3"/>
  <c r="N502" i="3"/>
  <c r="M502" i="3"/>
  <c r="Q503" i="3"/>
  <c r="P503" i="3" s="1"/>
  <c r="K503" i="3"/>
  <c r="O503" i="3" s="1"/>
  <c r="F503" i="3"/>
  <c r="N503" i="3"/>
  <c r="M503" i="3"/>
  <c r="Q504" i="3"/>
  <c r="P504" i="3" s="1"/>
  <c r="K504" i="3"/>
  <c r="O504" i="3" s="1"/>
  <c r="F504" i="3"/>
  <c r="N504" i="3"/>
  <c r="M504" i="3"/>
  <c r="Q505" i="3"/>
  <c r="P505" i="3" s="1"/>
  <c r="K505" i="3"/>
  <c r="O505" i="3" s="1"/>
  <c r="F505" i="3"/>
  <c r="N505" i="3"/>
  <c r="M505" i="3"/>
  <c r="Q506" i="3"/>
  <c r="P506" i="3" s="1"/>
  <c r="K506" i="3"/>
  <c r="O506" i="3" s="1"/>
  <c r="F506" i="3"/>
  <c r="N506" i="3"/>
  <c r="M506" i="3"/>
  <c r="Q507" i="3"/>
  <c r="P507" i="3" s="1"/>
  <c r="K507" i="3"/>
  <c r="O507" i="3" s="1"/>
  <c r="F507" i="3"/>
  <c r="N507" i="3"/>
  <c r="M507" i="3"/>
  <c r="Q508" i="3"/>
  <c r="P508" i="3" s="1"/>
  <c r="K508" i="3"/>
  <c r="O508" i="3" s="1"/>
  <c r="F508" i="3"/>
  <c r="N508" i="3"/>
  <c r="M508" i="3"/>
  <c r="Q509" i="3"/>
  <c r="P509" i="3" s="1"/>
  <c r="K509" i="3"/>
  <c r="O509" i="3" s="1"/>
  <c r="F509" i="3"/>
  <c r="N509" i="3"/>
  <c r="M509" i="3"/>
  <c r="Q510" i="3"/>
  <c r="P510" i="3" s="1"/>
  <c r="K510" i="3"/>
  <c r="O510" i="3" s="1"/>
  <c r="F510" i="3"/>
  <c r="N510" i="3"/>
  <c r="M510" i="3"/>
  <c r="Q511" i="3"/>
  <c r="P511" i="3" s="1"/>
  <c r="K511" i="3"/>
  <c r="O511" i="3" s="1"/>
  <c r="F511" i="3"/>
  <c r="N511" i="3"/>
  <c r="M511" i="3"/>
  <c r="Q512" i="3"/>
  <c r="P512" i="3" s="1"/>
  <c r="K512" i="3"/>
  <c r="O512" i="3" s="1"/>
  <c r="F512" i="3"/>
  <c r="N512" i="3"/>
  <c r="M512" i="3"/>
  <c r="Q513" i="3"/>
  <c r="P513" i="3" s="1"/>
  <c r="K513" i="3"/>
  <c r="O513" i="3" s="1"/>
  <c r="F513" i="3"/>
  <c r="N513" i="3"/>
  <c r="M513" i="3"/>
  <c r="Q514" i="3"/>
  <c r="P514" i="3" s="1"/>
  <c r="K514" i="3"/>
  <c r="O514" i="3" s="1"/>
  <c r="F514" i="3"/>
  <c r="N514" i="3"/>
  <c r="M514" i="3"/>
  <c r="Q515" i="3"/>
  <c r="P515" i="3" s="1"/>
  <c r="K515" i="3"/>
  <c r="O515" i="3" s="1"/>
  <c r="F515" i="3"/>
  <c r="N515" i="3"/>
  <c r="M515" i="3"/>
  <c r="Q516" i="3"/>
  <c r="P516" i="3" s="1"/>
  <c r="K516" i="3"/>
  <c r="O516" i="3" s="1"/>
  <c r="F516" i="3"/>
  <c r="N516" i="3"/>
  <c r="M516" i="3"/>
  <c r="Q517" i="3"/>
  <c r="K517" i="3"/>
  <c r="F517" i="3"/>
  <c r="N517" i="3"/>
  <c r="M517" i="3"/>
  <c r="Q518" i="3"/>
  <c r="K518" i="3"/>
  <c r="F518" i="3"/>
  <c r="N518" i="3"/>
  <c r="M518" i="3"/>
  <c r="Q519" i="3"/>
  <c r="K519" i="3"/>
  <c r="F519" i="3"/>
  <c r="N519" i="3"/>
  <c r="M519" i="3"/>
  <c r="Q520" i="3"/>
  <c r="K520" i="3"/>
  <c r="F520" i="3"/>
  <c r="N520" i="3"/>
  <c r="M520" i="3"/>
  <c r="Q521" i="3"/>
  <c r="K521" i="3"/>
  <c r="F521" i="3"/>
  <c r="N521" i="3"/>
  <c r="M521" i="3"/>
  <c r="Q522" i="3"/>
  <c r="K522" i="3"/>
  <c r="F522" i="3"/>
  <c r="N522" i="3"/>
  <c r="M522" i="3"/>
  <c r="Q523" i="3"/>
  <c r="K523" i="3"/>
  <c r="F523" i="3"/>
  <c r="N523" i="3"/>
  <c r="M523" i="3"/>
  <c r="Q524" i="3"/>
  <c r="K524" i="3"/>
  <c r="F524" i="3"/>
  <c r="N524" i="3"/>
  <c r="M524" i="3"/>
  <c r="Q525" i="3"/>
  <c r="K525" i="3"/>
  <c r="F525" i="3"/>
  <c r="N525" i="3"/>
  <c r="M525" i="3"/>
  <c r="Q526" i="3"/>
  <c r="K526" i="3"/>
  <c r="F526" i="3"/>
  <c r="N526" i="3"/>
  <c r="M526" i="3"/>
  <c r="Q527" i="3"/>
  <c r="K527" i="3"/>
  <c r="F527" i="3"/>
  <c r="N527" i="3"/>
  <c r="M527" i="3"/>
  <c r="Q528" i="3"/>
  <c r="K528" i="3"/>
  <c r="F528" i="3"/>
  <c r="N528" i="3"/>
  <c r="M528" i="3"/>
  <c r="Q529" i="3"/>
  <c r="K529" i="3"/>
  <c r="F529" i="3"/>
  <c r="N529" i="3"/>
  <c r="M529" i="3"/>
  <c r="Q530" i="3"/>
  <c r="K530" i="3"/>
  <c r="F530" i="3"/>
  <c r="N530" i="3"/>
  <c r="M530" i="3"/>
  <c r="Q531" i="3"/>
  <c r="K531" i="3"/>
  <c r="F531" i="3"/>
  <c r="N531" i="3"/>
  <c r="M531" i="3"/>
  <c r="Q532" i="3"/>
  <c r="K532" i="3"/>
  <c r="F532" i="3"/>
  <c r="N532" i="3"/>
  <c r="M532" i="3"/>
  <c r="Q533" i="3"/>
  <c r="K533" i="3"/>
  <c r="F533" i="3"/>
  <c r="N533" i="3"/>
  <c r="M533" i="3"/>
  <c r="Q534" i="3"/>
  <c r="K534" i="3"/>
  <c r="F534" i="3"/>
  <c r="N534" i="3"/>
  <c r="M534" i="3"/>
  <c r="Q535" i="3"/>
  <c r="K535" i="3"/>
  <c r="F535" i="3"/>
  <c r="N535" i="3"/>
  <c r="M535" i="3"/>
  <c r="Q536" i="3"/>
  <c r="K536" i="3"/>
  <c r="F536" i="3"/>
  <c r="N536" i="3"/>
  <c r="M536" i="3"/>
  <c r="Q537" i="3"/>
  <c r="K537" i="3"/>
  <c r="F537" i="3"/>
  <c r="N537" i="3"/>
  <c r="M537" i="3"/>
  <c r="Q538" i="3"/>
  <c r="K538" i="3"/>
  <c r="F538" i="3"/>
  <c r="N538" i="3"/>
  <c r="M538" i="3"/>
  <c r="Q539" i="3"/>
  <c r="K539" i="3"/>
  <c r="F539" i="3"/>
  <c r="N539" i="3"/>
  <c r="M539" i="3"/>
  <c r="Q540" i="3"/>
  <c r="K540" i="3"/>
  <c r="F540" i="3"/>
  <c r="N540" i="3"/>
  <c r="M540" i="3"/>
  <c r="Q541" i="3"/>
  <c r="K541" i="3"/>
  <c r="F541" i="3"/>
  <c r="N541" i="3"/>
  <c r="M541" i="3"/>
  <c r="Q542" i="3"/>
  <c r="K542" i="3"/>
  <c r="F542" i="3"/>
  <c r="N542" i="3"/>
  <c r="M542" i="3"/>
  <c r="Q543" i="3"/>
  <c r="K543" i="3"/>
  <c r="F543" i="3"/>
  <c r="N543" i="3"/>
  <c r="M543" i="3"/>
  <c r="Q544" i="3"/>
  <c r="K544" i="3"/>
  <c r="F544" i="3"/>
  <c r="N544" i="3"/>
  <c r="M544" i="3"/>
  <c r="Q545" i="3"/>
  <c r="K545" i="3"/>
  <c r="F545" i="3"/>
  <c r="N545" i="3"/>
  <c r="M545" i="3"/>
  <c r="Q546" i="3"/>
  <c r="K546" i="3"/>
  <c r="F546" i="3"/>
  <c r="N546" i="3"/>
  <c r="M546" i="3"/>
  <c r="Q547" i="3"/>
  <c r="K547" i="3"/>
  <c r="F547" i="3"/>
  <c r="N547" i="3"/>
  <c r="M547" i="3"/>
  <c r="Q548" i="3"/>
  <c r="K548" i="3"/>
  <c r="F548" i="3"/>
  <c r="N548" i="3"/>
  <c r="M548" i="3"/>
  <c r="Q549" i="3"/>
  <c r="K549" i="3"/>
  <c r="F549" i="3"/>
  <c r="N549" i="3"/>
  <c r="M549" i="3"/>
  <c r="Q550" i="3"/>
  <c r="K550" i="3"/>
  <c r="F550" i="3"/>
  <c r="N550" i="3"/>
  <c r="M550" i="3"/>
  <c r="Q551" i="3"/>
  <c r="K551" i="3"/>
  <c r="F551" i="3"/>
  <c r="N551" i="3"/>
  <c r="M551" i="3"/>
  <c r="Q552" i="3"/>
  <c r="K552" i="3"/>
  <c r="F552" i="3"/>
  <c r="N552" i="3"/>
  <c r="M552" i="3"/>
  <c r="Q553" i="3"/>
  <c r="K553" i="3"/>
  <c r="F553" i="3"/>
  <c r="N553" i="3"/>
  <c r="M553" i="3"/>
  <c r="Q554" i="3"/>
  <c r="K554" i="3"/>
  <c r="F554" i="3"/>
  <c r="N554" i="3"/>
  <c r="M554" i="3"/>
  <c r="Q555" i="3"/>
  <c r="K555" i="3"/>
  <c r="F555" i="3"/>
  <c r="N555" i="3"/>
  <c r="M555" i="3"/>
  <c r="Q556" i="3"/>
  <c r="K556" i="3"/>
  <c r="F556" i="3"/>
  <c r="N556" i="3"/>
  <c r="M556" i="3"/>
  <c r="Q557" i="3"/>
  <c r="K557" i="3"/>
  <c r="F557" i="3"/>
  <c r="N557" i="3"/>
  <c r="M557" i="3"/>
  <c r="Q558" i="3"/>
  <c r="K558" i="3"/>
  <c r="F558" i="3"/>
  <c r="N558" i="3"/>
  <c r="M558" i="3"/>
  <c r="Q559" i="3"/>
  <c r="K559" i="3"/>
  <c r="F559" i="3"/>
  <c r="N559" i="3"/>
  <c r="M559" i="3"/>
  <c r="Q560" i="3"/>
  <c r="K560" i="3"/>
  <c r="F560" i="3"/>
  <c r="N560" i="3"/>
  <c r="M560" i="3"/>
  <c r="Q561" i="3"/>
  <c r="K561" i="3"/>
  <c r="F561" i="3"/>
  <c r="N561" i="3"/>
  <c r="M561" i="3"/>
  <c r="Q562" i="3"/>
  <c r="K562" i="3"/>
  <c r="F562" i="3"/>
  <c r="N562" i="3"/>
  <c r="M562" i="3"/>
  <c r="Q563" i="3"/>
  <c r="K563" i="3"/>
  <c r="F563" i="3"/>
  <c r="N563" i="3"/>
  <c r="M563" i="3"/>
  <c r="Q564" i="3"/>
  <c r="K564" i="3"/>
  <c r="F564" i="3"/>
  <c r="N564" i="3"/>
  <c r="M564" i="3"/>
  <c r="Q565" i="3"/>
  <c r="K565" i="3"/>
  <c r="F565" i="3"/>
  <c r="N565" i="3"/>
  <c r="M565" i="3"/>
  <c r="Q566" i="3"/>
  <c r="K566" i="3"/>
  <c r="F566" i="3"/>
  <c r="N566" i="3"/>
  <c r="M566" i="3"/>
  <c r="Q567" i="3"/>
  <c r="K567" i="3"/>
  <c r="F567" i="3"/>
  <c r="N567" i="3"/>
  <c r="M567" i="3"/>
  <c r="Q568" i="3"/>
  <c r="K568" i="3"/>
  <c r="F568" i="3"/>
  <c r="N568" i="3"/>
  <c r="M568" i="3"/>
  <c r="Q569" i="3"/>
  <c r="K569" i="3"/>
  <c r="F569" i="3"/>
  <c r="N569" i="3"/>
  <c r="M569" i="3"/>
  <c r="Q570" i="3"/>
  <c r="K570" i="3"/>
  <c r="F570" i="3"/>
  <c r="N570" i="3"/>
  <c r="M570" i="3"/>
  <c r="Q571" i="3"/>
  <c r="K571" i="3"/>
  <c r="F571" i="3"/>
  <c r="N571" i="3"/>
  <c r="M571" i="3"/>
  <c r="Q572" i="3"/>
  <c r="K572" i="3"/>
  <c r="F572" i="3"/>
  <c r="N572" i="3"/>
  <c r="M572" i="3"/>
  <c r="Q573" i="3"/>
  <c r="K573" i="3"/>
  <c r="F573" i="3"/>
  <c r="N573" i="3"/>
  <c r="M573" i="3"/>
  <c r="Q574" i="3"/>
  <c r="K574" i="3"/>
  <c r="F574" i="3"/>
  <c r="N574" i="3"/>
  <c r="M574" i="3"/>
  <c r="Q575" i="3"/>
  <c r="K575" i="3"/>
  <c r="F575" i="3"/>
  <c r="N575" i="3"/>
  <c r="M575" i="3"/>
  <c r="Q576" i="3"/>
  <c r="K576" i="3"/>
  <c r="F576" i="3"/>
  <c r="N576" i="3"/>
  <c r="M576" i="3"/>
  <c r="Q577" i="3"/>
  <c r="K577" i="3"/>
  <c r="F577" i="3"/>
  <c r="N577" i="3"/>
  <c r="M577" i="3"/>
  <c r="Q578" i="3"/>
  <c r="K578" i="3"/>
  <c r="F578" i="3"/>
  <c r="N578" i="3"/>
  <c r="M578" i="3"/>
  <c r="Q579" i="3"/>
  <c r="K579" i="3"/>
  <c r="F579" i="3"/>
  <c r="N579" i="3"/>
  <c r="M579" i="3"/>
  <c r="Q580" i="3"/>
  <c r="K580" i="3"/>
  <c r="F580" i="3"/>
  <c r="N580" i="3"/>
  <c r="M580" i="3"/>
  <c r="Q581" i="3"/>
  <c r="K581" i="3"/>
  <c r="F581" i="3"/>
  <c r="N581" i="3"/>
  <c r="M581" i="3"/>
  <c r="Q582" i="3"/>
  <c r="K582" i="3"/>
  <c r="F582" i="3"/>
  <c r="N582" i="3"/>
  <c r="M582" i="3"/>
  <c r="Q583" i="3"/>
  <c r="K583" i="3"/>
  <c r="F583" i="3"/>
  <c r="N583" i="3"/>
  <c r="M583" i="3"/>
  <c r="Q584" i="3"/>
  <c r="K584" i="3"/>
  <c r="F584" i="3"/>
  <c r="N584" i="3"/>
  <c r="M584" i="3"/>
  <c r="Q585" i="3"/>
  <c r="K585" i="3"/>
  <c r="F585" i="3"/>
  <c r="N585" i="3"/>
  <c r="M585" i="3"/>
  <c r="Q586" i="3"/>
  <c r="K586" i="3"/>
  <c r="F586" i="3"/>
  <c r="N586" i="3"/>
  <c r="M586" i="3"/>
  <c r="Q587" i="3"/>
  <c r="K587" i="3"/>
  <c r="F587" i="3"/>
  <c r="N587" i="3"/>
  <c r="M587" i="3"/>
  <c r="Q588" i="3"/>
  <c r="K588" i="3"/>
  <c r="F588" i="3"/>
  <c r="N588" i="3"/>
  <c r="M588" i="3"/>
  <c r="Q589" i="3"/>
  <c r="K589" i="3"/>
  <c r="F589" i="3"/>
  <c r="N589" i="3"/>
  <c r="M589" i="3"/>
  <c r="Q590" i="3"/>
  <c r="K590" i="3"/>
  <c r="F590" i="3"/>
  <c r="N590" i="3"/>
  <c r="M590" i="3"/>
  <c r="Q591" i="3"/>
  <c r="K591" i="3"/>
  <c r="F591" i="3"/>
  <c r="N591" i="3"/>
  <c r="M591" i="3"/>
  <c r="Q592" i="3"/>
  <c r="K592" i="3"/>
  <c r="F592" i="3"/>
  <c r="N592" i="3"/>
  <c r="M592" i="3"/>
  <c r="Q593" i="3"/>
  <c r="K593" i="3"/>
  <c r="F593" i="3"/>
  <c r="N593" i="3"/>
  <c r="M593" i="3"/>
  <c r="Q594" i="3"/>
  <c r="K594" i="3"/>
  <c r="F594" i="3"/>
  <c r="N594" i="3"/>
  <c r="M594" i="3"/>
  <c r="Q595" i="3"/>
  <c r="K595" i="3"/>
  <c r="F595" i="3"/>
  <c r="N595" i="3"/>
  <c r="M595" i="3"/>
  <c r="Q596" i="3"/>
  <c r="K596" i="3"/>
  <c r="F596" i="3"/>
  <c r="N596" i="3"/>
  <c r="M596" i="3"/>
  <c r="Q597" i="3"/>
  <c r="K597" i="3"/>
  <c r="F597" i="3"/>
  <c r="N597" i="3"/>
  <c r="M597" i="3"/>
  <c r="Q598" i="3"/>
  <c r="K598" i="3"/>
  <c r="F598" i="3"/>
  <c r="N598" i="3"/>
  <c r="M598" i="3"/>
  <c r="Q599" i="3"/>
  <c r="K599" i="3"/>
  <c r="F599" i="3"/>
  <c r="N599" i="3"/>
  <c r="M599" i="3"/>
  <c r="Q600" i="3"/>
  <c r="K600" i="3"/>
  <c r="F600" i="3"/>
  <c r="N600" i="3"/>
  <c r="M600" i="3"/>
  <c r="Q601" i="3"/>
  <c r="K601" i="3"/>
  <c r="F601" i="3"/>
  <c r="N601" i="3"/>
  <c r="M601" i="3"/>
  <c r="Q602" i="3"/>
  <c r="K602" i="3"/>
  <c r="F602" i="3"/>
  <c r="N602" i="3"/>
  <c r="M602" i="3"/>
  <c r="Q603" i="3"/>
  <c r="K603" i="3"/>
  <c r="F603" i="3"/>
  <c r="N603" i="3"/>
  <c r="M603" i="3"/>
  <c r="Q604" i="3"/>
  <c r="K604" i="3"/>
  <c r="F604" i="3"/>
  <c r="N604" i="3"/>
  <c r="M604" i="3"/>
  <c r="Q605" i="3"/>
  <c r="K605" i="3"/>
  <c r="F605" i="3"/>
  <c r="N605" i="3"/>
  <c r="M605" i="3"/>
  <c r="Q606" i="3"/>
  <c r="K606" i="3"/>
  <c r="F606" i="3"/>
  <c r="N606" i="3"/>
  <c r="M606" i="3"/>
  <c r="Q607" i="3"/>
  <c r="K607" i="3"/>
  <c r="F607" i="3"/>
  <c r="N607" i="3"/>
  <c r="M607" i="3"/>
  <c r="Q608" i="3"/>
  <c r="K608" i="3"/>
  <c r="F608" i="3"/>
  <c r="N608" i="3"/>
  <c r="M608" i="3"/>
  <c r="Q609" i="3"/>
  <c r="K609" i="3"/>
  <c r="F609" i="3"/>
  <c r="N609" i="3"/>
  <c r="M609" i="3"/>
  <c r="Q610" i="3"/>
  <c r="K610" i="3"/>
  <c r="F610" i="3"/>
  <c r="N610" i="3"/>
  <c r="M610" i="3"/>
  <c r="Q611" i="3"/>
  <c r="K611" i="3"/>
  <c r="F611" i="3"/>
  <c r="N611" i="3"/>
  <c r="M611" i="3"/>
  <c r="Q612" i="3"/>
  <c r="K612" i="3"/>
  <c r="F612" i="3"/>
  <c r="N612" i="3"/>
  <c r="M612" i="3"/>
  <c r="Q613" i="3"/>
  <c r="K613" i="3"/>
  <c r="F613" i="3"/>
  <c r="N613" i="3"/>
  <c r="M613" i="3"/>
  <c r="Q614" i="3"/>
  <c r="K614" i="3"/>
  <c r="F614" i="3"/>
  <c r="N614" i="3"/>
  <c r="M614" i="3"/>
  <c r="Q615" i="3"/>
  <c r="K615" i="3"/>
  <c r="F615" i="3"/>
  <c r="N615" i="3"/>
  <c r="M615" i="3"/>
  <c r="Q616" i="3"/>
  <c r="K616" i="3"/>
  <c r="F616" i="3"/>
  <c r="N616" i="3"/>
  <c r="M616" i="3"/>
  <c r="Q617" i="3"/>
  <c r="K617" i="3"/>
  <c r="F617" i="3"/>
  <c r="N617" i="3"/>
  <c r="M617" i="3"/>
  <c r="Q618" i="3"/>
  <c r="K618" i="3"/>
  <c r="F618" i="3"/>
  <c r="N618" i="3"/>
  <c r="M618" i="3"/>
  <c r="Q619" i="3"/>
  <c r="K619" i="3"/>
  <c r="F619" i="3"/>
  <c r="N619" i="3"/>
  <c r="M619" i="3"/>
  <c r="Q620" i="3"/>
  <c r="K620" i="3"/>
  <c r="F620" i="3"/>
  <c r="N620" i="3"/>
  <c r="M620" i="3"/>
  <c r="Q621" i="3"/>
  <c r="K621" i="3"/>
  <c r="F621" i="3"/>
  <c r="N621" i="3"/>
  <c r="M621" i="3"/>
  <c r="Q622" i="3"/>
  <c r="K622" i="3"/>
  <c r="F622" i="3"/>
  <c r="N622" i="3"/>
  <c r="M622" i="3"/>
  <c r="Q623" i="3"/>
  <c r="K623" i="3"/>
  <c r="F623" i="3"/>
  <c r="N623" i="3"/>
  <c r="M623" i="3"/>
  <c r="Q624" i="3"/>
  <c r="K624" i="3"/>
  <c r="F624" i="3"/>
  <c r="N624" i="3"/>
  <c r="M624" i="3"/>
  <c r="Q625" i="3"/>
  <c r="K625" i="3"/>
  <c r="F625" i="3"/>
  <c r="N625" i="3"/>
  <c r="M625" i="3"/>
  <c r="Q626" i="3"/>
  <c r="K626" i="3"/>
  <c r="F626" i="3"/>
  <c r="N626" i="3"/>
  <c r="M626" i="3"/>
  <c r="Q627" i="3"/>
  <c r="K627" i="3"/>
  <c r="F627" i="3"/>
  <c r="N627" i="3"/>
  <c r="M627" i="3"/>
  <c r="Q628" i="3"/>
  <c r="K628" i="3"/>
  <c r="F628" i="3"/>
  <c r="N628" i="3"/>
  <c r="M628" i="3"/>
  <c r="Q629" i="3"/>
  <c r="K629" i="3"/>
  <c r="F629" i="3"/>
  <c r="N629" i="3"/>
  <c r="M629" i="3"/>
  <c r="Q630" i="3"/>
  <c r="K630" i="3"/>
  <c r="F630" i="3"/>
  <c r="N630" i="3"/>
  <c r="M630" i="3"/>
  <c r="Q631" i="3"/>
  <c r="K631" i="3"/>
  <c r="F631" i="3"/>
  <c r="N631" i="3"/>
  <c r="M631" i="3"/>
  <c r="Q632" i="3"/>
  <c r="K632" i="3"/>
  <c r="F632" i="3"/>
  <c r="N632" i="3"/>
  <c r="M632" i="3"/>
  <c r="Q633" i="3"/>
  <c r="K633" i="3"/>
  <c r="F633" i="3"/>
  <c r="N633" i="3"/>
  <c r="M633" i="3"/>
  <c r="Q634" i="3"/>
  <c r="K634" i="3"/>
  <c r="F634" i="3"/>
  <c r="N634" i="3"/>
  <c r="M634" i="3"/>
  <c r="Q635" i="3"/>
  <c r="K635" i="3"/>
  <c r="F635" i="3"/>
  <c r="N635" i="3"/>
  <c r="M635" i="3"/>
  <c r="Q636" i="3"/>
  <c r="K636" i="3"/>
  <c r="F636" i="3"/>
  <c r="N636" i="3"/>
  <c r="M636" i="3"/>
  <c r="Q637" i="3"/>
  <c r="K637" i="3"/>
  <c r="F637" i="3"/>
  <c r="N637" i="3"/>
  <c r="M637" i="3"/>
  <c r="Q638" i="3"/>
  <c r="K638" i="3"/>
  <c r="F638" i="3"/>
  <c r="N638" i="3"/>
  <c r="M638" i="3"/>
  <c r="Q639" i="3"/>
  <c r="K639" i="3"/>
  <c r="F639" i="3"/>
  <c r="N639" i="3"/>
  <c r="M639" i="3"/>
  <c r="Q640" i="3"/>
  <c r="K640" i="3"/>
  <c r="F640" i="3"/>
  <c r="N640" i="3"/>
  <c r="M640" i="3"/>
  <c r="Q641" i="3"/>
  <c r="K641" i="3"/>
  <c r="F641" i="3"/>
  <c r="N641" i="3"/>
  <c r="M641" i="3"/>
  <c r="Q642" i="3"/>
  <c r="K642" i="3"/>
  <c r="F642" i="3"/>
  <c r="N642" i="3"/>
  <c r="M642" i="3"/>
  <c r="Q643" i="3"/>
  <c r="K643" i="3"/>
  <c r="F643" i="3"/>
  <c r="N643" i="3"/>
  <c r="M643" i="3"/>
  <c r="Q644" i="3"/>
  <c r="K644" i="3"/>
  <c r="F644" i="3"/>
  <c r="N644" i="3"/>
  <c r="M644" i="3"/>
  <c r="Q645" i="3"/>
  <c r="K645" i="3"/>
  <c r="F645" i="3"/>
  <c r="N645" i="3"/>
  <c r="M645" i="3"/>
  <c r="Q646" i="3"/>
  <c r="K646" i="3"/>
  <c r="F646" i="3"/>
  <c r="N646" i="3"/>
  <c r="M646" i="3"/>
  <c r="Q647" i="3"/>
  <c r="K647" i="3"/>
  <c r="F647" i="3"/>
  <c r="N647" i="3"/>
  <c r="M647" i="3"/>
  <c r="Q648" i="3"/>
  <c r="K648" i="3"/>
  <c r="F648" i="3"/>
  <c r="N648" i="3"/>
  <c r="M648" i="3"/>
  <c r="Q649" i="3"/>
  <c r="K649" i="3"/>
  <c r="F649" i="3"/>
  <c r="N649" i="3"/>
  <c r="M649" i="3"/>
  <c r="Q650" i="3"/>
  <c r="K650" i="3"/>
  <c r="F650" i="3"/>
  <c r="N650" i="3"/>
  <c r="M650" i="3"/>
  <c r="Q651" i="3"/>
  <c r="K651" i="3"/>
  <c r="F651" i="3"/>
  <c r="N651" i="3"/>
  <c r="M651" i="3"/>
  <c r="Q652" i="3"/>
  <c r="K652" i="3"/>
  <c r="F652" i="3"/>
  <c r="N652" i="3"/>
  <c r="M652" i="3"/>
  <c r="Q653" i="3"/>
  <c r="K653" i="3"/>
  <c r="F653" i="3"/>
  <c r="N653" i="3"/>
  <c r="M653" i="3"/>
  <c r="Q654" i="3"/>
  <c r="K654" i="3"/>
  <c r="F654" i="3"/>
  <c r="N654" i="3"/>
  <c r="M654" i="3"/>
  <c r="Q655" i="3"/>
  <c r="K655" i="3"/>
  <c r="F655" i="3"/>
  <c r="N655" i="3"/>
  <c r="M655" i="3"/>
  <c r="Q656" i="3"/>
  <c r="K656" i="3"/>
  <c r="F656" i="3"/>
  <c r="N656" i="3"/>
  <c r="M656" i="3"/>
  <c r="Q657" i="3"/>
  <c r="K657" i="3"/>
  <c r="F657" i="3"/>
  <c r="N657" i="3"/>
  <c r="M657" i="3"/>
  <c r="Q658" i="3"/>
  <c r="K658" i="3"/>
  <c r="F658" i="3"/>
  <c r="N658" i="3"/>
  <c r="M658" i="3"/>
  <c r="Q659" i="3"/>
  <c r="K659" i="3"/>
  <c r="F659" i="3"/>
  <c r="N659" i="3"/>
  <c r="M659" i="3"/>
  <c r="Q660" i="3"/>
  <c r="K660" i="3"/>
  <c r="F660" i="3"/>
  <c r="N660" i="3"/>
  <c r="M660" i="3"/>
  <c r="Q661" i="3"/>
  <c r="K661" i="3"/>
  <c r="F661" i="3"/>
  <c r="N661" i="3"/>
  <c r="M661" i="3"/>
  <c r="Q662" i="3"/>
  <c r="K662" i="3"/>
  <c r="F662" i="3"/>
  <c r="N662" i="3"/>
  <c r="M662" i="3"/>
  <c r="Q663" i="3"/>
  <c r="K663" i="3"/>
  <c r="F663" i="3"/>
  <c r="N663" i="3"/>
  <c r="M663" i="3"/>
  <c r="Q664" i="3"/>
  <c r="K664" i="3"/>
  <c r="F664" i="3"/>
  <c r="N664" i="3"/>
  <c r="M664" i="3"/>
  <c r="Q665" i="3"/>
  <c r="K665" i="3"/>
  <c r="F665" i="3"/>
  <c r="N665" i="3"/>
  <c r="M665" i="3"/>
  <c r="Q666" i="3"/>
  <c r="K666" i="3"/>
  <c r="F666" i="3"/>
  <c r="N666" i="3"/>
  <c r="M666" i="3"/>
  <c r="Q667" i="3"/>
  <c r="K667" i="3"/>
  <c r="F667" i="3"/>
  <c r="N667" i="3"/>
  <c r="M667" i="3"/>
  <c r="Q668" i="3"/>
  <c r="K668" i="3"/>
  <c r="F668" i="3"/>
  <c r="N668" i="3"/>
  <c r="M668" i="3"/>
  <c r="Q669" i="3"/>
  <c r="K669" i="3"/>
  <c r="F669" i="3"/>
  <c r="N669" i="3"/>
  <c r="M669" i="3"/>
  <c r="Q670" i="3"/>
  <c r="K670" i="3"/>
  <c r="F670" i="3"/>
  <c r="N670" i="3"/>
  <c r="M670" i="3"/>
  <c r="Q671" i="3"/>
  <c r="K671" i="3"/>
  <c r="F671" i="3"/>
  <c r="N671" i="3"/>
  <c r="M671" i="3"/>
  <c r="Q672" i="3"/>
  <c r="K672" i="3"/>
  <c r="F672" i="3"/>
  <c r="N672" i="3"/>
  <c r="M672" i="3"/>
  <c r="Q673" i="3"/>
  <c r="K673" i="3"/>
  <c r="F673" i="3"/>
  <c r="N673" i="3"/>
  <c r="M673" i="3"/>
  <c r="Q674" i="3"/>
  <c r="K674" i="3"/>
  <c r="F674" i="3"/>
  <c r="N674" i="3"/>
  <c r="M674" i="3"/>
  <c r="Q675" i="3"/>
  <c r="K675" i="3"/>
  <c r="F675" i="3"/>
  <c r="N675" i="3"/>
  <c r="M675" i="3"/>
  <c r="Q676" i="3"/>
  <c r="K676" i="3"/>
  <c r="F676" i="3"/>
  <c r="N676" i="3"/>
  <c r="M676" i="3"/>
  <c r="Q677" i="3"/>
  <c r="K677" i="3"/>
  <c r="F677" i="3"/>
  <c r="N677" i="3"/>
  <c r="M677" i="3"/>
  <c r="Q678" i="3"/>
  <c r="K678" i="3"/>
  <c r="F678" i="3"/>
  <c r="N678" i="3"/>
  <c r="M678" i="3"/>
  <c r="Q679" i="3"/>
  <c r="K679" i="3"/>
  <c r="F679" i="3"/>
  <c r="N679" i="3"/>
  <c r="M679" i="3"/>
  <c r="Q680" i="3"/>
  <c r="K680" i="3"/>
  <c r="F680" i="3"/>
  <c r="N680" i="3"/>
  <c r="M680" i="3"/>
  <c r="Q681" i="3"/>
  <c r="K681" i="3"/>
  <c r="F681" i="3"/>
  <c r="N681" i="3"/>
  <c r="M681" i="3"/>
  <c r="Q682" i="3"/>
  <c r="K682" i="3"/>
  <c r="F682" i="3"/>
  <c r="N682" i="3"/>
  <c r="M682" i="3"/>
  <c r="Q683" i="3"/>
  <c r="K683" i="3"/>
  <c r="F683" i="3"/>
  <c r="N683" i="3"/>
  <c r="M683" i="3"/>
  <c r="Q684" i="3"/>
  <c r="K684" i="3"/>
  <c r="F684" i="3"/>
  <c r="N684" i="3"/>
  <c r="M684" i="3"/>
  <c r="Q685" i="3"/>
  <c r="K685" i="3"/>
  <c r="F685" i="3"/>
  <c r="N685" i="3"/>
  <c r="M685" i="3"/>
  <c r="Q686" i="3"/>
  <c r="K686" i="3"/>
  <c r="F686" i="3"/>
  <c r="N686" i="3"/>
  <c r="M686" i="3"/>
  <c r="Q687" i="3"/>
  <c r="K687" i="3"/>
  <c r="F687" i="3"/>
  <c r="N687" i="3"/>
  <c r="M687" i="3"/>
  <c r="Q688" i="3"/>
  <c r="K688" i="3"/>
  <c r="F688" i="3"/>
  <c r="N688" i="3"/>
  <c r="M688" i="3"/>
  <c r="Q689" i="3"/>
  <c r="K689" i="3"/>
  <c r="F689" i="3"/>
  <c r="N689" i="3"/>
  <c r="M689" i="3"/>
  <c r="Q690" i="3"/>
  <c r="K690" i="3"/>
  <c r="F690" i="3"/>
  <c r="N690" i="3"/>
  <c r="M690" i="3"/>
  <c r="Q691" i="3"/>
  <c r="K691" i="3"/>
  <c r="F691" i="3"/>
  <c r="N691" i="3"/>
  <c r="M691" i="3"/>
  <c r="Q692" i="3"/>
  <c r="K692" i="3"/>
  <c r="F692" i="3"/>
  <c r="N692" i="3"/>
  <c r="M692" i="3"/>
  <c r="Q693" i="3"/>
  <c r="K693" i="3"/>
  <c r="F693" i="3"/>
  <c r="N693" i="3"/>
  <c r="M693" i="3"/>
  <c r="Q694" i="3"/>
  <c r="K694" i="3"/>
  <c r="F694" i="3"/>
  <c r="N694" i="3"/>
  <c r="M694" i="3"/>
  <c r="Q695" i="3"/>
  <c r="K695" i="3"/>
  <c r="F695" i="3"/>
  <c r="N695" i="3"/>
  <c r="M695" i="3"/>
  <c r="Q696" i="3"/>
  <c r="K696" i="3"/>
  <c r="F696" i="3"/>
  <c r="N696" i="3"/>
  <c r="M696" i="3"/>
  <c r="Q697" i="3"/>
  <c r="K697" i="3"/>
  <c r="F697" i="3"/>
  <c r="N697" i="3"/>
  <c r="M697" i="3"/>
  <c r="Q698" i="3"/>
  <c r="K698" i="3"/>
  <c r="F698" i="3"/>
  <c r="N698" i="3"/>
  <c r="M698" i="3"/>
  <c r="Q699" i="3"/>
  <c r="K699" i="3"/>
  <c r="F699" i="3"/>
  <c r="N699" i="3"/>
  <c r="M699" i="3"/>
  <c r="Q700" i="3"/>
  <c r="K700" i="3"/>
  <c r="F700" i="3"/>
  <c r="N700" i="3"/>
  <c r="M700" i="3"/>
  <c r="Q701" i="3"/>
  <c r="K701" i="3"/>
  <c r="F701" i="3"/>
  <c r="N701" i="3"/>
  <c r="M701" i="3"/>
  <c r="Q702" i="3"/>
  <c r="K702" i="3"/>
  <c r="F702" i="3"/>
  <c r="N702" i="3"/>
  <c r="M702" i="3"/>
  <c r="Q703" i="3"/>
  <c r="K703" i="3"/>
  <c r="F703" i="3"/>
  <c r="N703" i="3"/>
  <c r="M703" i="3"/>
  <c r="Q704" i="3"/>
  <c r="K704" i="3"/>
  <c r="F704" i="3"/>
  <c r="N704" i="3"/>
  <c r="M704" i="3"/>
  <c r="Q705" i="3"/>
  <c r="K705" i="3"/>
  <c r="F705" i="3"/>
  <c r="N705" i="3"/>
  <c r="M705" i="3"/>
  <c r="Q706" i="3"/>
  <c r="K706" i="3"/>
  <c r="F706" i="3"/>
  <c r="N706" i="3"/>
  <c r="M706" i="3"/>
  <c r="Q707" i="3"/>
  <c r="K707" i="3"/>
  <c r="F707" i="3"/>
  <c r="N707" i="3"/>
  <c r="M707" i="3"/>
  <c r="Q708" i="3"/>
  <c r="K708" i="3"/>
  <c r="F708" i="3"/>
  <c r="N708" i="3"/>
  <c r="M708" i="3"/>
  <c r="Q709" i="3"/>
  <c r="K709" i="3"/>
  <c r="F709" i="3"/>
  <c r="N709" i="3"/>
  <c r="M709" i="3"/>
  <c r="Q710" i="3"/>
  <c r="K710" i="3"/>
  <c r="F710" i="3"/>
  <c r="N710" i="3"/>
  <c r="M710" i="3"/>
  <c r="Q711" i="3"/>
  <c r="K711" i="3"/>
  <c r="F711" i="3"/>
  <c r="N711" i="3"/>
  <c r="M711" i="3"/>
  <c r="Q712" i="3"/>
  <c r="K712" i="3"/>
  <c r="F712" i="3"/>
  <c r="N712" i="3"/>
  <c r="M712" i="3"/>
  <c r="Q713" i="3"/>
  <c r="K713" i="3"/>
  <c r="F713" i="3"/>
  <c r="N713" i="3"/>
  <c r="M713" i="3"/>
  <c r="Q714" i="3"/>
  <c r="K714" i="3"/>
  <c r="F714" i="3"/>
  <c r="N714" i="3"/>
  <c r="M714" i="3"/>
  <c r="Q715" i="3"/>
  <c r="K715" i="3"/>
  <c r="F715" i="3"/>
  <c r="N715" i="3"/>
  <c r="M715" i="3"/>
  <c r="Q716" i="3"/>
  <c r="K716" i="3"/>
  <c r="F716" i="3"/>
  <c r="N716" i="3"/>
  <c r="M716" i="3"/>
  <c r="Q717" i="3"/>
  <c r="K717" i="3"/>
  <c r="F717" i="3"/>
  <c r="N717" i="3"/>
  <c r="M717" i="3"/>
  <c r="Q718" i="3"/>
  <c r="K718" i="3"/>
  <c r="F718" i="3"/>
  <c r="N718" i="3"/>
  <c r="M718" i="3"/>
  <c r="Q719" i="3"/>
  <c r="K719" i="3"/>
  <c r="F719" i="3"/>
  <c r="N719" i="3"/>
  <c r="M719" i="3"/>
  <c r="Q720" i="3"/>
  <c r="K720" i="3"/>
  <c r="F720" i="3"/>
  <c r="N720" i="3"/>
  <c r="M720" i="3"/>
  <c r="Q721" i="3"/>
  <c r="K721" i="3"/>
  <c r="F721" i="3"/>
  <c r="N721" i="3"/>
  <c r="M721" i="3"/>
  <c r="Q722" i="3"/>
  <c r="K722" i="3"/>
  <c r="F722" i="3"/>
  <c r="N722" i="3"/>
  <c r="M722" i="3"/>
  <c r="Q723" i="3"/>
  <c r="K723" i="3"/>
  <c r="F723" i="3"/>
  <c r="N723" i="3"/>
  <c r="M723" i="3"/>
  <c r="Q724" i="3"/>
  <c r="K724" i="3"/>
  <c r="F724" i="3"/>
  <c r="N724" i="3"/>
  <c r="M724" i="3"/>
  <c r="Q725" i="3"/>
  <c r="K725" i="3"/>
  <c r="F725" i="3"/>
  <c r="N725" i="3"/>
  <c r="M725" i="3"/>
  <c r="Q726" i="3"/>
  <c r="K726" i="3"/>
  <c r="F726" i="3"/>
  <c r="N726" i="3"/>
  <c r="M726" i="3"/>
  <c r="Q727" i="3"/>
  <c r="K727" i="3"/>
  <c r="F727" i="3"/>
  <c r="N727" i="3"/>
  <c r="M727" i="3"/>
  <c r="Q728" i="3"/>
  <c r="K728" i="3"/>
  <c r="F728" i="3"/>
  <c r="N728" i="3"/>
  <c r="M728" i="3"/>
  <c r="Q729" i="3"/>
  <c r="K729" i="3"/>
  <c r="F729" i="3"/>
  <c r="N729" i="3"/>
  <c r="M729" i="3"/>
  <c r="Q730" i="3"/>
  <c r="K730" i="3"/>
  <c r="F730" i="3"/>
  <c r="N730" i="3"/>
  <c r="M730" i="3"/>
  <c r="Q731" i="3"/>
  <c r="K731" i="3"/>
  <c r="F731" i="3"/>
  <c r="N731" i="3"/>
  <c r="M731" i="3"/>
  <c r="Q732" i="3"/>
  <c r="K732" i="3"/>
  <c r="F732" i="3"/>
  <c r="N732" i="3"/>
  <c r="M732" i="3"/>
  <c r="Q733" i="3"/>
  <c r="K733" i="3"/>
  <c r="F733" i="3"/>
  <c r="N733" i="3"/>
  <c r="M733" i="3"/>
  <c r="Q734" i="3"/>
  <c r="K734" i="3"/>
  <c r="F734" i="3"/>
  <c r="N734" i="3"/>
  <c r="M734" i="3"/>
  <c r="Q735" i="3"/>
  <c r="K735" i="3"/>
  <c r="F735" i="3"/>
  <c r="N735" i="3"/>
  <c r="M735" i="3"/>
  <c r="Q736" i="3"/>
  <c r="K736" i="3"/>
  <c r="F736" i="3"/>
  <c r="N736" i="3"/>
  <c r="M736" i="3"/>
  <c r="Q737" i="3"/>
  <c r="K737" i="3"/>
  <c r="F737" i="3"/>
  <c r="N737" i="3"/>
  <c r="M737" i="3"/>
  <c r="Q738" i="3"/>
  <c r="K738" i="3"/>
  <c r="F738" i="3"/>
  <c r="N738" i="3"/>
  <c r="M738" i="3"/>
  <c r="Q739" i="3"/>
  <c r="K739" i="3"/>
  <c r="F739" i="3"/>
  <c r="N739" i="3"/>
  <c r="M739" i="3"/>
  <c r="Q740" i="3"/>
  <c r="K740" i="3"/>
  <c r="F740" i="3"/>
  <c r="N740" i="3"/>
  <c r="M740" i="3"/>
  <c r="Q741" i="3"/>
  <c r="K741" i="3"/>
  <c r="F741" i="3"/>
  <c r="N741" i="3"/>
  <c r="M741" i="3"/>
  <c r="Q742" i="3"/>
  <c r="K742" i="3"/>
  <c r="F742" i="3"/>
  <c r="N742" i="3"/>
  <c r="M742" i="3"/>
  <c r="Q743" i="3"/>
  <c r="K743" i="3"/>
  <c r="F743" i="3"/>
  <c r="N743" i="3"/>
  <c r="M743" i="3"/>
  <c r="Q744" i="3"/>
  <c r="K744" i="3"/>
  <c r="F744" i="3"/>
  <c r="N744" i="3"/>
  <c r="M744" i="3"/>
  <c r="Q745" i="3"/>
  <c r="K745" i="3"/>
  <c r="F745" i="3"/>
  <c r="N745" i="3"/>
  <c r="M745" i="3"/>
  <c r="Q746" i="3"/>
  <c r="K746" i="3"/>
  <c r="F746" i="3"/>
  <c r="N746" i="3"/>
  <c r="M746" i="3"/>
  <c r="Q747" i="3"/>
  <c r="K747" i="3"/>
  <c r="F747" i="3"/>
  <c r="N747" i="3"/>
  <c r="M747" i="3"/>
  <c r="Q748" i="3"/>
  <c r="K748" i="3"/>
  <c r="F748" i="3"/>
  <c r="N748" i="3"/>
  <c r="M748" i="3"/>
  <c r="Q749" i="3"/>
  <c r="K749" i="3"/>
  <c r="F749" i="3"/>
  <c r="N749" i="3"/>
  <c r="M749" i="3"/>
  <c r="Q750" i="3"/>
  <c r="K750" i="3"/>
  <c r="F750" i="3"/>
  <c r="N750" i="3"/>
  <c r="M750" i="3"/>
  <c r="Q751" i="3"/>
  <c r="K751" i="3"/>
  <c r="F751" i="3"/>
  <c r="N751" i="3"/>
  <c r="M751" i="3"/>
  <c r="Q752" i="3"/>
  <c r="K752" i="3"/>
  <c r="F752" i="3"/>
  <c r="N752" i="3"/>
  <c r="M752" i="3"/>
  <c r="Q753" i="3"/>
  <c r="K753" i="3"/>
  <c r="F753" i="3"/>
  <c r="N753" i="3"/>
  <c r="M753" i="3"/>
  <c r="Q754" i="3"/>
  <c r="K754" i="3"/>
  <c r="F754" i="3"/>
  <c r="N754" i="3"/>
  <c r="M754" i="3"/>
  <c r="Q755" i="3"/>
  <c r="K755" i="3"/>
  <c r="F755" i="3"/>
  <c r="N755" i="3"/>
  <c r="M755" i="3"/>
  <c r="Q756" i="3"/>
  <c r="K756" i="3"/>
  <c r="F756" i="3"/>
  <c r="N756" i="3"/>
  <c r="M756" i="3"/>
  <c r="Q757" i="3"/>
  <c r="K757" i="3"/>
  <c r="F757" i="3"/>
  <c r="N757" i="3"/>
  <c r="M757" i="3"/>
  <c r="Q758" i="3"/>
  <c r="K758" i="3"/>
  <c r="F758" i="3"/>
  <c r="N758" i="3"/>
  <c r="M758" i="3"/>
  <c r="Q759" i="3"/>
  <c r="K759" i="3"/>
  <c r="F759" i="3"/>
  <c r="N759" i="3"/>
  <c r="M759" i="3"/>
  <c r="Q760" i="3"/>
  <c r="K760" i="3"/>
  <c r="F760" i="3"/>
  <c r="N760" i="3"/>
  <c r="M760" i="3"/>
  <c r="Q761" i="3"/>
  <c r="K761" i="3"/>
  <c r="F761" i="3"/>
  <c r="N761" i="3"/>
  <c r="M761" i="3"/>
  <c r="Q762" i="3"/>
  <c r="K762" i="3"/>
  <c r="F762" i="3"/>
  <c r="N762" i="3"/>
  <c r="M762" i="3"/>
  <c r="Q763" i="3"/>
  <c r="K763" i="3"/>
  <c r="F763" i="3"/>
  <c r="N763" i="3"/>
  <c r="M763" i="3"/>
  <c r="Q764" i="3"/>
  <c r="K764" i="3"/>
  <c r="F764" i="3"/>
  <c r="N764" i="3"/>
  <c r="M764" i="3"/>
  <c r="Q765" i="3"/>
  <c r="K765" i="3"/>
  <c r="F765" i="3"/>
  <c r="N765" i="3"/>
  <c r="M765" i="3"/>
  <c r="Q766" i="3"/>
  <c r="K766" i="3"/>
  <c r="F766" i="3"/>
  <c r="N766" i="3"/>
  <c r="M766" i="3"/>
  <c r="Q767" i="3"/>
  <c r="K767" i="3"/>
  <c r="F767" i="3"/>
  <c r="N767" i="3"/>
  <c r="M767" i="3"/>
  <c r="Q768" i="3"/>
  <c r="K768" i="3"/>
  <c r="F768" i="3"/>
  <c r="N768" i="3"/>
  <c r="M768" i="3"/>
  <c r="Q769" i="3"/>
  <c r="K769" i="3"/>
  <c r="F769" i="3"/>
  <c r="N769" i="3"/>
  <c r="M769" i="3"/>
  <c r="Q770" i="3"/>
  <c r="K770" i="3"/>
  <c r="F770" i="3"/>
  <c r="N770" i="3"/>
  <c r="M770" i="3"/>
  <c r="Q771" i="3"/>
  <c r="K771" i="3"/>
  <c r="F771" i="3"/>
  <c r="N771" i="3"/>
  <c r="M771" i="3"/>
  <c r="Q772" i="3"/>
  <c r="K772" i="3"/>
  <c r="F772" i="3"/>
  <c r="N772" i="3"/>
  <c r="M772" i="3"/>
  <c r="Q773" i="3"/>
  <c r="K773" i="3"/>
  <c r="F773" i="3"/>
  <c r="N773" i="3"/>
  <c r="M773" i="3"/>
  <c r="Q774" i="3"/>
  <c r="K774" i="3"/>
  <c r="F774" i="3"/>
  <c r="N774" i="3"/>
  <c r="M774" i="3"/>
  <c r="Q775" i="3"/>
  <c r="K775" i="3"/>
  <c r="F775" i="3"/>
  <c r="N775" i="3"/>
  <c r="M775" i="3"/>
  <c r="Q776" i="3"/>
  <c r="K776" i="3"/>
  <c r="F776" i="3"/>
  <c r="N776" i="3"/>
  <c r="M776" i="3"/>
  <c r="Q777" i="3"/>
  <c r="K777" i="3"/>
  <c r="F777" i="3"/>
  <c r="N777" i="3"/>
  <c r="M777" i="3"/>
  <c r="Q778" i="3"/>
  <c r="K778" i="3"/>
  <c r="F778" i="3"/>
  <c r="N778" i="3"/>
  <c r="M778" i="3"/>
  <c r="Q779" i="3"/>
  <c r="K779" i="3"/>
  <c r="F779" i="3"/>
  <c r="N779" i="3"/>
  <c r="M779" i="3"/>
  <c r="Q780" i="3"/>
  <c r="K780" i="3"/>
  <c r="F780" i="3"/>
  <c r="N780" i="3"/>
  <c r="M780" i="3"/>
  <c r="Q781" i="3"/>
  <c r="K781" i="3"/>
  <c r="F781" i="3"/>
  <c r="N781" i="3"/>
  <c r="M781" i="3"/>
  <c r="Q782" i="3"/>
  <c r="K782" i="3"/>
  <c r="F782" i="3"/>
  <c r="N782" i="3"/>
  <c r="M782" i="3"/>
  <c r="Q783" i="3"/>
  <c r="K783" i="3"/>
  <c r="F783" i="3"/>
  <c r="N783" i="3"/>
  <c r="M783" i="3"/>
  <c r="Q784" i="3"/>
  <c r="K784" i="3"/>
  <c r="F784" i="3"/>
  <c r="N784" i="3"/>
  <c r="M784" i="3"/>
  <c r="Q785" i="3"/>
  <c r="K785" i="3"/>
  <c r="F785" i="3"/>
  <c r="N785" i="3"/>
  <c r="M785" i="3"/>
  <c r="Q786" i="3"/>
  <c r="K786" i="3"/>
  <c r="F786" i="3"/>
  <c r="N786" i="3"/>
  <c r="M786" i="3"/>
  <c r="Q787" i="3"/>
  <c r="K787" i="3"/>
  <c r="F787" i="3"/>
  <c r="N787" i="3"/>
  <c r="M787" i="3"/>
  <c r="Q788" i="3"/>
  <c r="K788" i="3"/>
  <c r="F788" i="3"/>
  <c r="N788" i="3"/>
  <c r="M788" i="3"/>
  <c r="Q789" i="3"/>
  <c r="K789" i="3"/>
  <c r="F789" i="3"/>
  <c r="N789" i="3"/>
  <c r="M789" i="3"/>
  <c r="Q790" i="3"/>
  <c r="K790" i="3"/>
  <c r="F790" i="3"/>
  <c r="N790" i="3"/>
  <c r="M790" i="3"/>
  <c r="Q791" i="3"/>
  <c r="K791" i="3"/>
  <c r="F791" i="3"/>
  <c r="N791" i="3"/>
  <c r="M791" i="3"/>
  <c r="Q792" i="3"/>
  <c r="K792" i="3"/>
  <c r="F792" i="3"/>
  <c r="N792" i="3"/>
  <c r="M792" i="3"/>
  <c r="Q793" i="3"/>
  <c r="K793" i="3"/>
  <c r="F793" i="3"/>
  <c r="N793" i="3"/>
  <c r="M793" i="3"/>
  <c r="Q794" i="3"/>
  <c r="K794" i="3"/>
  <c r="F794" i="3"/>
  <c r="N794" i="3"/>
  <c r="M794" i="3"/>
  <c r="Q795" i="3"/>
  <c r="K795" i="3"/>
  <c r="F795" i="3"/>
  <c r="N795" i="3"/>
  <c r="M795" i="3"/>
  <c r="Q796" i="3"/>
  <c r="K796" i="3"/>
  <c r="F796" i="3"/>
  <c r="N796" i="3"/>
  <c r="M796" i="3"/>
  <c r="Q797" i="3"/>
  <c r="K797" i="3"/>
  <c r="F797" i="3"/>
  <c r="N797" i="3"/>
  <c r="M797" i="3"/>
  <c r="Q798" i="3"/>
  <c r="K798" i="3"/>
  <c r="F798" i="3"/>
  <c r="N798" i="3"/>
  <c r="M798" i="3"/>
  <c r="Q799" i="3"/>
  <c r="K799" i="3"/>
  <c r="F799" i="3"/>
  <c r="N799" i="3"/>
  <c r="M799" i="3"/>
  <c r="Q800" i="3"/>
  <c r="K800" i="3"/>
  <c r="F800" i="3"/>
  <c r="N800" i="3"/>
  <c r="M800" i="3"/>
  <c r="Q801" i="3"/>
  <c r="K801" i="3"/>
  <c r="F801" i="3"/>
  <c r="N801" i="3"/>
  <c r="M801" i="3"/>
  <c r="Q802" i="3"/>
  <c r="K802" i="3"/>
  <c r="F802" i="3"/>
  <c r="N802" i="3"/>
  <c r="M802" i="3"/>
  <c r="Q803" i="3"/>
  <c r="K803" i="3"/>
  <c r="F803" i="3"/>
  <c r="N803" i="3"/>
  <c r="M803" i="3"/>
  <c r="Q804" i="3"/>
  <c r="K804" i="3"/>
  <c r="F804" i="3"/>
  <c r="N804" i="3"/>
  <c r="M804" i="3"/>
  <c r="Q805" i="3"/>
  <c r="K805" i="3"/>
  <c r="F805" i="3"/>
  <c r="N805" i="3"/>
  <c r="M805" i="3"/>
  <c r="Q806" i="3"/>
  <c r="K806" i="3"/>
  <c r="F806" i="3"/>
  <c r="N806" i="3"/>
  <c r="M806" i="3"/>
  <c r="Q807" i="3"/>
  <c r="K807" i="3"/>
  <c r="F807" i="3"/>
  <c r="N807" i="3"/>
  <c r="M807" i="3"/>
  <c r="Q808" i="3"/>
  <c r="K808" i="3"/>
  <c r="F808" i="3"/>
  <c r="N808" i="3"/>
  <c r="M808" i="3"/>
  <c r="Q809" i="3"/>
  <c r="K809" i="3"/>
  <c r="F809" i="3"/>
  <c r="N809" i="3"/>
  <c r="M809" i="3"/>
  <c r="Q810" i="3"/>
  <c r="K810" i="3"/>
  <c r="F810" i="3"/>
  <c r="N810" i="3"/>
  <c r="M810" i="3"/>
  <c r="Q811" i="3"/>
  <c r="K811" i="3"/>
  <c r="F811" i="3"/>
  <c r="N811" i="3"/>
  <c r="M811" i="3"/>
  <c r="Q812" i="3"/>
  <c r="K812" i="3"/>
  <c r="F812" i="3"/>
  <c r="N812" i="3"/>
  <c r="M812" i="3"/>
  <c r="Q813" i="3"/>
  <c r="K813" i="3"/>
  <c r="F813" i="3"/>
  <c r="N813" i="3"/>
  <c r="M813" i="3"/>
  <c r="Q814" i="3"/>
  <c r="K814" i="3"/>
  <c r="F814" i="3"/>
  <c r="N814" i="3"/>
  <c r="M814" i="3"/>
  <c r="Q815" i="3"/>
  <c r="K815" i="3"/>
  <c r="F815" i="3"/>
  <c r="N815" i="3"/>
  <c r="M815" i="3"/>
  <c r="Q816" i="3"/>
  <c r="K816" i="3"/>
  <c r="F816" i="3"/>
  <c r="N816" i="3"/>
  <c r="M816" i="3"/>
  <c r="Q817" i="3"/>
  <c r="K817" i="3"/>
  <c r="F817" i="3"/>
  <c r="N817" i="3"/>
  <c r="M817" i="3"/>
  <c r="Q818" i="3"/>
  <c r="K818" i="3"/>
  <c r="F818" i="3"/>
  <c r="N818" i="3"/>
  <c r="M818" i="3"/>
  <c r="Q819" i="3"/>
  <c r="K819" i="3"/>
  <c r="F819" i="3"/>
  <c r="N819" i="3"/>
  <c r="M819" i="3"/>
  <c r="Q820" i="3"/>
  <c r="K820" i="3"/>
  <c r="F820" i="3"/>
  <c r="N820" i="3"/>
  <c r="M820" i="3"/>
  <c r="Q821" i="3"/>
  <c r="K821" i="3"/>
  <c r="F821" i="3"/>
  <c r="N821" i="3"/>
  <c r="M821" i="3"/>
  <c r="Q822" i="3"/>
  <c r="K822" i="3"/>
  <c r="F822" i="3"/>
  <c r="N822" i="3"/>
  <c r="M822" i="3"/>
  <c r="Q823" i="3"/>
  <c r="K823" i="3"/>
  <c r="F823" i="3"/>
  <c r="N823" i="3"/>
  <c r="M823" i="3"/>
  <c r="Q824" i="3"/>
  <c r="K824" i="3"/>
  <c r="F824" i="3"/>
  <c r="N824" i="3"/>
  <c r="M824" i="3"/>
  <c r="Q825" i="3"/>
  <c r="K825" i="3"/>
  <c r="F825" i="3"/>
  <c r="N825" i="3"/>
  <c r="M825" i="3"/>
  <c r="Q826" i="3"/>
  <c r="K826" i="3"/>
  <c r="F826" i="3"/>
  <c r="N826" i="3"/>
  <c r="M826" i="3"/>
  <c r="Q827" i="3"/>
  <c r="K827" i="3"/>
  <c r="F827" i="3"/>
  <c r="N827" i="3"/>
  <c r="M827" i="3"/>
  <c r="Q828" i="3"/>
  <c r="K828" i="3"/>
  <c r="F828" i="3"/>
  <c r="N828" i="3"/>
  <c r="M828" i="3"/>
  <c r="Q829" i="3"/>
  <c r="K829" i="3"/>
  <c r="F829" i="3"/>
  <c r="N829" i="3"/>
  <c r="M829" i="3"/>
  <c r="Q830" i="3"/>
  <c r="K830" i="3"/>
  <c r="F830" i="3"/>
  <c r="N830" i="3"/>
  <c r="M830" i="3"/>
  <c r="Q831" i="3"/>
  <c r="K831" i="3"/>
  <c r="F831" i="3"/>
  <c r="N831" i="3"/>
  <c r="M831" i="3"/>
  <c r="Q832" i="3"/>
  <c r="K832" i="3"/>
  <c r="F832" i="3"/>
  <c r="N832" i="3"/>
  <c r="M832" i="3"/>
  <c r="Q833" i="3"/>
  <c r="K833" i="3"/>
  <c r="F833" i="3"/>
  <c r="N833" i="3"/>
  <c r="M833" i="3"/>
  <c r="Q834" i="3"/>
  <c r="K834" i="3"/>
  <c r="F834" i="3"/>
  <c r="N834" i="3"/>
  <c r="M834" i="3"/>
  <c r="Q835" i="3"/>
  <c r="K835" i="3"/>
  <c r="F835" i="3"/>
  <c r="N835" i="3"/>
  <c r="M835" i="3"/>
  <c r="Q836" i="3"/>
  <c r="K836" i="3"/>
  <c r="F836" i="3"/>
  <c r="N836" i="3"/>
  <c r="M836" i="3"/>
  <c r="Q837" i="3"/>
  <c r="K837" i="3"/>
  <c r="F837" i="3"/>
  <c r="N837" i="3"/>
  <c r="M837" i="3"/>
  <c r="Q838" i="3"/>
  <c r="K838" i="3"/>
  <c r="F838" i="3"/>
  <c r="N838" i="3"/>
  <c r="M838" i="3"/>
  <c r="Q839" i="3"/>
  <c r="K839" i="3"/>
  <c r="F839" i="3"/>
  <c r="N839" i="3"/>
  <c r="M839" i="3"/>
  <c r="Q840" i="3"/>
  <c r="K840" i="3"/>
  <c r="F840" i="3"/>
  <c r="N840" i="3"/>
  <c r="M840" i="3"/>
  <c r="Q841" i="3"/>
  <c r="K841" i="3"/>
  <c r="F841" i="3"/>
  <c r="N841" i="3"/>
  <c r="M841" i="3"/>
  <c r="Q842" i="3"/>
  <c r="K842" i="3"/>
  <c r="F842" i="3"/>
  <c r="N842" i="3"/>
  <c r="M842" i="3"/>
  <c r="Q843" i="3"/>
  <c r="K843" i="3"/>
  <c r="F843" i="3"/>
  <c r="N843" i="3"/>
  <c r="M843" i="3"/>
  <c r="Q844" i="3"/>
  <c r="K844" i="3"/>
  <c r="F844" i="3"/>
  <c r="N844" i="3"/>
  <c r="M844" i="3"/>
  <c r="Q845" i="3"/>
  <c r="K845" i="3"/>
  <c r="F845" i="3"/>
  <c r="N845" i="3"/>
  <c r="M845" i="3"/>
  <c r="Q846" i="3"/>
  <c r="K846" i="3"/>
  <c r="F846" i="3"/>
  <c r="N846" i="3"/>
  <c r="M846" i="3"/>
  <c r="Q847" i="3"/>
  <c r="K847" i="3"/>
  <c r="F847" i="3"/>
  <c r="N847" i="3"/>
  <c r="M847" i="3"/>
  <c r="Q848" i="3"/>
  <c r="K848" i="3"/>
  <c r="F848" i="3"/>
  <c r="N848" i="3"/>
  <c r="M848" i="3"/>
  <c r="Q849" i="3"/>
  <c r="K849" i="3"/>
  <c r="F849" i="3"/>
  <c r="N849" i="3"/>
  <c r="M849" i="3"/>
  <c r="Q850" i="3"/>
  <c r="K850" i="3"/>
  <c r="F850" i="3"/>
  <c r="N850" i="3"/>
  <c r="M850" i="3"/>
  <c r="Q851" i="3"/>
  <c r="K851" i="3"/>
  <c r="F851" i="3"/>
  <c r="N851" i="3"/>
  <c r="M851" i="3"/>
  <c r="Q852" i="3"/>
  <c r="K852" i="3"/>
  <c r="F852" i="3"/>
  <c r="N852" i="3"/>
  <c r="M852" i="3"/>
  <c r="Q853" i="3"/>
  <c r="K853" i="3"/>
  <c r="F853" i="3"/>
  <c r="N853" i="3"/>
  <c r="M853" i="3"/>
  <c r="Q854" i="3"/>
  <c r="K854" i="3"/>
  <c r="F854" i="3"/>
  <c r="N854" i="3"/>
  <c r="M854" i="3"/>
  <c r="Q855" i="3"/>
  <c r="K855" i="3"/>
  <c r="F855" i="3"/>
  <c r="N855" i="3"/>
  <c r="M855" i="3"/>
  <c r="Q856" i="3"/>
  <c r="K856" i="3"/>
  <c r="F856" i="3"/>
  <c r="N856" i="3"/>
  <c r="M856" i="3"/>
  <c r="Q857" i="3"/>
  <c r="K857" i="3"/>
  <c r="F857" i="3"/>
  <c r="N857" i="3"/>
  <c r="M857" i="3"/>
  <c r="Q858" i="3"/>
  <c r="K858" i="3"/>
  <c r="F858" i="3"/>
  <c r="N858" i="3"/>
  <c r="M858" i="3"/>
  <c r="Q859" i="3"/>
  <c r="K859" i="3"/>
  <c r="F859" i="3"/>
  <c r="N859" i="3"/>
  <c r="M859" i="3"/>
  <c r="Q860" i="3"/>
  <c r="K860" i="3"/>
  <c r="F860" i="3"/>
  <c r="N860" i="3"/>
  <c r="M860" i="3"/>
  <c r="Q861" i="3"/>
  <c r="K861" i="3"/>
  <c r="F861" i="3"/>
  <c r="N861" i="3"/>
  <c r="M861" i="3"/>
  <c r="Q862" i="3"/>
  <c r="K862" i="3"/>
  <c r="F862" i="3"/>
  <c r="N862" i="3"/>
  <c r="M862" i="3"/>
  <c r="Q863" i="3"/>
  <c r="K863" i="3"/>
  <c r="F863" i="3"/>
  <c r="N863" i="3"/>
  <c r="M863" i="3"/>
  <c r="Q864" i="3"/>
  <c r="K864" i="3"/>
  <c r="F864" i="3"/>
  <c r="N864" i="3"/>
  <c r="M864" i="3"/>
  <c r="Q865" i="3"/>
  <c r="K865" i="3"/>
  <c r="F865" i="3"/>
  <c r="N865" i="3"/>
  <c r="M865" i="3"/>
  <c r="Q866" i="3"/>
  <c r="K866" i="3"/>
  <c r="F866" i="3"/>
  <c r="N866" i="3"/>
  <c r="M866" i="3"/>
  <c r="Q867" i="3"/>
  <c r="K867" i="3"/>
  <c r="F867" i="3"/>
  <c r="N867" i="3"/>
  <c r="M867" i="3"/>
  <c r="Q868" i="3"/>
  <c r="K868" i="3"/>
  <c r="F868" i="3"/>
  <c r="N868" i="3"/>
  <c r="M868" i="3"/>
  <c r="Q869" i="3"/>
  <c r="K869" i="3"/>
  <c r="F869" i="3"/>
  <c r="N869" i="3"/>
  <c r="M869" i="3"/>
  <c r="Q870" i="3"/>
  <c r="K870" i="3"/>
  <c r="F870" i="3"/>
  <c r="N870" i="3"/>
  <c r="M870" i="3"/>
  <c r="Q871" i="3"/>
  <c r="K871" i="3"/>
  <c r="F871" i="3"/>
  <c r="N871" i="3"/>
  <c r="M871" i="3"/>
  <c r="Q872" i="3"/>
  <c r="K872" i="3"/>
  <c r="F872" i="3"/>
  <c r="N872" i="3"/>
  <c r="M872" i="3"/>
  <c r="Q873" i="3"/>
  <c r="K873" i="3"/>
  <c r="F873" i="3"/>
  <c r="N873" i="3"/>
  <c r="M873" i="3"/>
  <c r="Q874" i="3"/>
  <c r="K874" i="3"/>
  <c r="F874" i="3"/>
  <c r="N874" i="3"/>
  <c r="M874" i="3"/>
  <c r="Q875" i="3"/>
  <c r="K875" i="3"/>
  <c r="F875" i="3"/>
  <c r="N875" i="3"/>
  <c r="M875" i="3"/>
  <c r="Q876" i="3"/>
  <c r="K876" i="3"/>
  <c r="F876" i="3"/>
  <c r="N876" i="3"/>
  <c r="M876" i="3"/>
  <c r="Q877" i="3"/>
  <c r="K877" i="3"/>
  <c r="F877" i="3"/>
  <c r="N877" i="3"/>
  <c r="M877" i="3"/>
  <c r="Q878" i="3"/>
  <c r="K878" i="3"/>
  <c r="F878" i="3"/>
  <c r="N878" i="3"/>
  <c r="M878" i="3"/>
  <c r="Q879" i="3"/>
  <c r="K879" i="3"/>
  <c r="F879" i="3"/>
  <c r="N879" i="3"/>
  <c r="M879" i="3"/>
  <c r="Q880" i="3"/>
  <c r="K880" i="3"/>
  <c r="F880" i="3"/>
  <c r="N880" i="3"/>
  <c r="M880" i="3"/>
  <c r="Q881" i="3"/>
  <c r="K881" i="3"/>
  <c r="F881" i="3"/>
  <c r="N881" i="3"/>
  <c r="M881" i="3"/>
  <c r="Q882" i="3"/>
  <c r="K882" i="3"/>
  <c r="F882" i="3"/>
  <c r="N882" i="3"/>
  <c r="M882" i="3"/>
  <c r="Q883" i="3"/>
  <c r="K883" i="3"/>
  <c r="F883" i="3"/>
  <c r="N883" i="3"/>
  <c r="M883" i="3"/>
  <c r="Q884" i="3"/>
  <c r="K884" i="3"/>
  <c r="F884" i="3"/>
  <c r="N884" i="3"/>
  <c r="M884" i="3"/>
  <c r="Q885" i="3"/>
  <c r="K885" i="3"/>
  <c r="F885" i="3"/>
  <c r="N885" i="3"/>
  <c r="M885" i="3"/>
  <c r="Q886" i="3"/>
  <c r="K886" i="3"/>
  <c r="F886" i="3"/>
  <c r="N886" i="3"/>
  <c r="M886" i="3"/>
  <c r="Q887" i="3"/>
  <c r="K887" i="3"/>
  <c r="F887" i="3"/>
  <c r="N887" i="3"/>
  <c r="M887" i="3"/>
  <c r="Q888" i="3"/>
  <c r="K888" i="3"/>
  <c r="F888" i="3"/>
  <c r="N888" i="3"/>
  <c r="M888" i="3"/>
  <c r="Q889" i="3"/>
  <c r="K889" i="3"/>
  <c r="F889" i="3"/>
  <c r="N889" i="3"/>
  <c r="M889" i="3"/>
  <c r="Q890" i="3"/>
  <c r="K890" i="3"/>
  <c r="F890" i="3"/>
  <c r="N890" i="3"/>
  <c r="M890" i="3"/>
  <c r="Q891" i="3"/>
  <c r="K891" i="3"/>
  <c r="F891" i="3"/>
  <c r="N891" i="3"/>
  <c r="M891" i="3"/>
  <c r="Q892" i="3"/>
  <c r="K892" i="3"/>
  <c r="F892" i="3"/>
  <c r="N892" i="3"/>
  <c r="M892" i="3"/>
  <c r="Q893" i="3"/>
  <c r="K893" i="3"/>
  <c r="F893" i="3"/>
  <c r="N893" i="3"/>
  <c r="M893" i="3"/>
  <c r="Q894" i="3"/>
  <c r="K894" i="3"/>
  <c r="F894" i="3"/>
  <c r="N894" i="3"/>
  <c r="M894" i="3"/>
  <c r="Q895" i="3"/>
  <c r="K895" i="3"/>
  <c r="F895" i="3"/>
  <c r="N895" i="3"/>
  <c r="M895" i="3"/>
  <c r="Q896" i="3"/>
  <c r="K896" i="3"/>
  <c r="F896" i="3"/>
  <c r="N896" i="3"/>
  <c r="M896" i="3"/>
  <c r="Q897" i="3"/>
  <c r="K897" i="3"/>
  <c r="F897" i="3"/>
  <c r="N897" i="3"/>
  <c r="M897" i="3"/>
  <c r="Q898" i="3"/>
  <c r="K898" i="3"/>
  <c r="F898" i="3"/>
  <c r="N898" i="3"/>
  <c r="M898" i="3"/>
  <c r="Q899" i="3"/>
  <c r="K899" i="3"/>
  <c r="F899" i="3"/>
  <c r="N899" i="3"/>
  <c r="M899" i="3"/>
  <c r="Q900" i="3"/>
  <c r="K900" i="3"/>
  <c r="F900" i="3"/>
  <c r="N900" i="3"/>
  <c r="M900" i="3"/>
  <c r="Q901" i="3"/>
  <c r="K901" i="3"/>
  <c r="F901" i="3"/>
  <c r="N901" i="3"/>
  <c r="M901" i="3"/>
  <c r="Q902" i="3"/>
  <c r="K902" i="3"/>
  <c r="F902" i="3"/>
  <c r="N902" i="3"/>
  <c r="M902" i="3"/>
  <c r="Q903" i="3"/>
  <c r="K903" i="3"/>
  <c r="F903" i="3"/>
  <c r="N903" i="3"/>
  <c r="M903" i="3"/>
  <c r="Q904" i="3"/>
  <c r="K904" i="3"/>
  <c r="F904" i="3"/>
  <c r="N904" i="3"/>
  <c r="M904" i="3"/>
  <c r="Q905" i="3"/>
  <c r="K905" i="3"/>
  <c r="F905" i="3"/>
  <c r="N905" i="3"/>
  <c r="M905" i="3"/>
  <c r="Q906" i="3"/>
  <c r="K906" i="3"/>
  <c r="F906" i="3"/>
  <c r="N906" i="3"/>
  <c r="M906" i="3"/>
  <c r="Q907" i="3"/>
  <c r="K907" i="3"/>
  <c r="F907" i="3"/>
  <c r="N907" i="3"/>
  <c r="M907" i="3"/>
  <c r="Q908" i="3"/>
  <c r="K908" i="3"/>
  <c r="F908" i="3"/>
  <c r="N908" i="3"/>
  <c r="M908" i="3"/>
  <c r="Q909" i="3"/>
  <c r="K909" i="3"/>
  <c r="F909" i="3"/>
  <c r="N909" i="3"/>
  <c r="M909" i="3"/>
  <c r="Q910" i="3"/>
  <c r="K910" i="3"/>
  <c r="F910" i="3"/>
  <c r="N910" i="3"/>
  <c r="M910" i="3"/>
  <c r="Q911" i="3"/>
  <c r="K911" i="3"/>
  <c r="F911" i="3"/>
  <c r="N911" i="3"/>
  <c r="M911" i="3"/>
  <c r="Q912" i="3"/>
  <c r="K912" i="3"/>
  <c r="F912" i="3"/>
  <c r="N912" i="3"/>
  <c r="M912" i="3"/>
  <c r="Q913" i="3"/>
  <c r="K913" i="3"/>
  <c r="F913" i="3"/>
  <c r="N913" i="3"/>
  <c r="M913" i="3"/>
  <c r="Q914" i="3"/>
  <c r="K914" i="3"/>
  <c r="F914" i="3"/>
  <c r="N914" i="3"/>
  <c r="M914" i="3"/>
  <c r="Q915" i="3"/>
  <c r="K915" i="3"/>
  <c r="F915" i="3"/>
  <c r="N915" i="3"/>
  <c r="M915" i="3"/>
  <c r="Q916" i="3"/>
  <c r="K916" i="3"/>
  <c r="F916" i="3"/>
  <c r="N916" i="3"/>
  <c r="M916" i="3"/>
  <c r="Q917" i="3"/>
  <c r="K917" i="3"/>
  <c r="F917" i="3"/>
  <c r="N917" i="3"/>
  <c r="M917" i="3"/>
  <c r="Q918" i="3"/>
  <c r="K918" i="3"/>
  <c r="F918" i="3"/>
  <c r="N918" i="3"/>
  <c r="M918" i="3"/>
  <c r="Q919" i="3"/>
  <c r="K919" i="3"/>
  <c r="F919" i="3"/>
  <c r="N919" i="3"/>
  <c r="M919" i="3"/>
  <c r="Q920" i="3"/>
  <c r="K920" i="3"/>
  <c r="F920" i="3"/>
  <c r="N920" i="3"/>
  <c r="M920" i="3"/>
  <c r="Q921" i="3"/>
  <c r="K921" i="3"/>
  <c r="F921" i="3"/>
  <c r="N921" i="3"/>
  <c r="M921" i="3"/>
  <c r="Q922" i="3"/>
  <c r="K922" i="3"/>
  <c r="F922" i="3"/>
  <c r="N922" i="3"/>
  <c r="M922" i="3"/>
  <c r="Q923" i="3"/>
  <c r="K923" i="3"/>
  <c r="F923" i="3"/>
  <c r="N923" i="3"/>
  <c r="M923" i="3"/>
  <c r="Q924" i="3"/>
  <c r="K924" i="3"/>
  <c r="F924" i="3"/>
  <c r="N924" i="3"/>
  <c r="M924" i="3"/>
  <c r="Q925" i="3"/>
  <c r="K925" i="3"/>
  <c r="F925" i="3"/>
  <c r="N925" i="3"/>
  <c r="M925" i="3"/>
  <c r="Q926" i="3"/>
  <c r="K926" i="3"/>
  <c r="F926" i="3"/>
  <c r="N926" i="3"/>
  <c r="M926" i="3"/>
  <c r="Q927" i="3"/>
  <c r="K927" i="3"/>
  <c r="F927" i="3"/>
  <c r="N927" i="3"/>
  <c r="M927" i="3"/>
  <c r="Q928" i="3"/>
  <c r="K928" i="3"/>
  <c r="F928" i="3"/>
  <c r="N928" i="3"/>
  <c r="M928" i="3"/>
  <c r="Q929" i="3"/>
  <c r="K929" i="3"/>
  <c r="F929" i="3"/>
  <c r="N929" i="3"/>
  <c r="M929" i="3"/>
  <c r="Q930" i="3"/>
  <c r="K930" i="3"/>
  <c r="F930" i="3"/>
  <c r="N930" i="3"/>
  <c r="M930" i="3"/>
  <c r="Q931" i="3"/>
  <c r="K931" i="3"/>
  <c r="F931" i="3"/>
  <c r="N931" i="3"/>
  <c r="M931" i="3"/>
  <c r="Q932" i="3"/>
  <c r="K932" i="3"/>
  <c r="F932" i="3"/>
  <c r="N932" i="3"/>
  <c r="M932" i="3"/>
  <c r="Q933" i="3"/>
  <c r="K933" i="3"/>
  <c r="F933" i="3"/>
  <c r="N933" i="3"/>
  <c r="M933" i="3"/>
  <c r="Q934" i="3"/>
  <c r="K934" i="3"/>
  <c r="F934" i="3"/>
  <c r="N934" i="3"/>
  <c r="M934" i="3"/>
  <c r="Q935" i="3"/>
  <c r="K935" i="3"/>
  <c r="F935" i="3"/>
  <c r="N935" i="3"/>
  <c r="M935" i="3"/>
  <c r="Q936" i="3"/>
  <c r="K936" i="3"/>
  <c r="F936" i="3"/>
  <c r="N936" i="3"/>
  <c r="M936" i="3"/>
  <c r="Q937" i="3"/>
  <c r="K937" i="3"/>
  <c r="F937" i="3"/>
  <c r="N937" i="3"/>
  <c r="M937" i="3"/>
  <c r="Q938" i="3"/>
  <c r="K938" i="3"/>
  <c r="F938" i="3"/>
  <c r="N938" i="3"/>
  <c r="M938" i="3"/>
  <c r="Q939" i="3"/>
  <c r="K939" i="3"/>
  <c r="F939" i="3"/>
  <c r="N939" i="3"/>
  <c r="M939" i="3"/>
  <c r="Q940" i="3"/>
  <c r="K940" i="3"/>
  <c r="F940" i="3"/>
  <c r="N940" i="3"/>
  <c r="M940" i="3"/>
  <c r="Q941" i="3"/>
  <c r="K941" i="3"/>
  <c r="F941" i="3"/>
  <c r="N941" i="3"/>
  <c r="M941" i="3"/>
  <c r="Q942" i="3"/>
  <c r="K942" i="3"/>
  <c r="F942" i="3"/>
  <c r="N942" i="3"/>
  <c r="M942" i="3"/>
  <c r="Q943" i="3"/>
  <c r="K943" i="3"/>
  <c r="F943" i="3"/>
  <c r="N943" i="3"/>
  <c r="M943" i="3"/>
  <c r="Q944" i="3"/>
  <c r="K944" i="3"/>
  <c r="F944" i="3"/>
  <c r="N944" i="3"/>
  <c r="M944" i="3"/>
  <c r="Q945" i="3"/>
  <c r="K945" i="3"/>
  <c r="F945" i="3"/>
  <c r="N945" i="3"/>
  <c r="M945" i="3"/>
  <c r="Q946" i="3"/>
  <c r="K946" i="3"/>
  <c r="F946" i="3"/>
  <c r="N946" i="3"/>
  <c r="M946" i="3"/>
  <c r="Q947" i="3"/>
  <c r="K947" i="3"/>
  <c r="F947" i="3"/>
  <c r="N947" i="3"/>
  <c r="M947" i="3"/>
  <c r="Q948" i="3"/>
  <c r="K948" i="3"/>
  <c r="F948" i="3"/>
  <c r="N948" i="3"/>
  <c r="M948" i="3"/>
  <c r="Q949" i="3"/>
  <c r="K949" i="3"/>
  <c r="F949" i="3"/>
  <c r="N949" i="3"/>
  <c r="M949" i="3"/>
  <c r="Q950" i="3"/>
  <c r="K950" i="3"/>
  <c r="F950" i="3"/>
  <c r="N950" i="3"/>
  <c r="M950" i="3"/>
  <c r="Q951" i="3"/>
  <c r="K951" i="3"/>
  <c r="F951" i="3"/>
  <c r="N951" i="3"/>
  <c r="M951" i="3"/>
  <c r="Q952" i="3"/>
  <c r="K952" i="3"/>
  <c r="F952" i="3"/>
  <c r="N952" i="3"/>
  <c r="M952" i="3"/>
  <c r="Q953" i="3"/>
  <c r="K953" i="3"/>
  <c r="F953" i="3"/>
  <c r="N953" i="3"/>
  <c r="M953" i="3"/>
  <c r="Q954" i="3"/>
  <c r="K954" i="3"/>
  <c r="F954" i="3"/>
  <c r="N954" i="3"/>
  <c r="M954" i="3"/>
  <c r="Q955" i="3"/>
  <c r="K955" i="3"/>
  <c r="F955" i="3"/>
  <c r="N955" i="3"/>
  <c r="M955" i="3"/>
  <c r="Q956" i="3"/>
  <c r="K956" i="3"/>
  <c r="F956" i="3"/>
  <c r="N956" i="3"/>
  <c r="M956" i="3"/>
  <c r="Q957" i="3"/>
  <c r="K957" i="3"/>
  <c r="F957" i="3"/>
  <c r="N957" i="3"/>
  <c r="M957" i="3"/>
  <c r="Q958" i="3"/>
  <c r="K958" i="3"/>
  <c r="F958" i="3"/>
  <c r="N958" i="3"/>
  <c r="M958" i="3"/>
  <c r="Q959" i="3"/>
  <c r="K959" i="3"/>
  <c r="F959" i="3"/>
  <c r="N959" i="3"/>
  <c r="M959" i="3"/>
  <c r="Q960" i="3"/>
  <c r="K960" i="3"/>
  <c r="F960" i="3"/>
  <c r="N960" i="3"/>
  <c r="M960" i="3"/>
  <c r="Q961" i="3"/>
  <c r="K961" i="3"/>
  <c r="F961" i="3"/>
  <c r="N961" i="3"/>
  <c r="M961" i="3"/>
  <c r="Q962" i="3"/>
  <c r="K962" i="3"/>
  <c r="F962" i="3"/>
  <c r="N962" i="3"/>
  <c r="M962" i="3"/>
  <c r="Q963" i="3"/>
  <c r="K963" i="3"/>
  <c r="F963" i="3"/>
  <c r="N963" i="3"/>
  <c r="M963" i="3"/>
  <c r="Q964" i="3"/>
  <c r="K964" i="3"/>
  <c r="F964" i="3"/>
  <c r="N964" i="3"/>
  <c r="M964" i="3"/>
  <c r="Q965" i="3"/>
  <c r="K965" i="3"/>
  <c r="F965" i="3"/>
  <c r="N965" i="3"/>
  <c r="M965" i="3"/>
  <c r="Q966" i="3"/>
  <c r="K966" i="3"/>
  <c r="F966" i="3"/>
  <c r="N966" i="3"/>
  <c r="M966" i="3"/>
  <c r="Q967" i="3"/>
  <c r="K967" i="3"/>
  <c r="F967" i="3"/>
  <c r="N967" i="3"/>
  <c r="M967" i="3"/>
  <c r="Q968" i="3"/>
  <c r="K968" i="3"/>
  <c r="F968" i="3"/>
  <c r="N968" i="3"/>
  <c r="M968" i="3"/>
  <c r="Q969" i="3"/>
  <c r="K969" i="3"/>
  <c r="F969" i="3"/>
  <c r="N969" i="3"/>
  <c r="M969" i="3"/>
  <c r="Q970" i="3"/>
  <c r="K970" i="3"/>
  <c r="F970" i="3"/>
  <c r="N970" i="3"/>
  <c r="M970" i="3"/>
  <c r="Q971" i="3"/>
  <c r="K971" i="3"/>
  <c r="F971" i="3"/>
  <c r="N971" i="3"/>
  <c r="M971" i="3"/>
  <c r="Q972" i="3"/>
  <c r="K972" i="3"/>
  <c r="F972" i="3"/>
  <c r="N972" i="3"/>
  <c r="M972" i="3"/>
  <c r="Q973" i="3"/>
  <c r="K973" i="3"/>
  <c r="F973" i="3"/>
  <c r="N973" i="3"/>
  <c r="M973" i="3"/>
  <c r="Q974" i="3"/>
  <c r="K974" i="3"/>
  <c r="F974" i="3"/>
  <c r="N974" i="3"/>
  <c r="M974" i="3"/>
  <c r="Q975" i="3"/>
  <c r="K975" i="3"/>
  <c r="F975" i="3"/>
  <c r="N975" i="3"/>
  <c r="M975" i="3"/>
  <c r="Q976" i="3"/>
  <c r="K976" i="3"/>
  <c r="F976" i="3"/>
  <c r="N976" i="3"/>
  <c r="M976" i="3"/>
  <c r="Q977" i="3"/>
  <c r="K977" i="3"/>
  <c r="F977" i="3"/>
  <c r="N977" i="3"/>
  <c r="M977" i="3"/>
  <c r="Q978" i="3"/>
  <c r="K978" i="3"/>
  <c r="F978" i="3"/>
  <c r="N978" i="3"/>
  <c r="M978" i="3"/>
  <c r="Q979" i="3"/>
  <c r="K979" i="3"/>
  <c r="F979" i="3"/>
  <c r="N979" i="3"/>
  <c r="M979" i="3"/>
  <c r="Q980" i="3"/>
  <c r="K980" i="3"/>
  <c r="F980" i="3"/>
  <c r="N980" i="3"/>
  <c r="M980" i="3"/>
  <c r="Q981" i="3"/>
  <c r="K981" i="3"/>
  <c r="F981" i="3"/>
  <c r="N981" i="3"/>
  <c r="M981" i="3"/>
  <c r="Q982" i="3"/>
  <c r="K982" i="3"/>
  <c r="F982" i="3"/>
  <c r="N982" i="3"/>
  <c r="M982" i="3"/>
  <c r="Q983" i="3"/>
  <c r="K983" i="3"/>
  <c r="F983" i="3"/>
  <c r="N983" i="3"/>
  <c r="M983" i="3"/>
  <c r="Q984" i="3"/>
  <c r="K984" i="3"/>
  <c r="F984" i="3"/>
  <c r="N984" i="3"/>
  <c r="M984" i="3"/>
  <c r="Q985" i="3"/>
  <c r="K985" i="3"/>
  <c r="F985" i="3"/>
  <c r="N985" i="3"/>
  <c r="M985" i="3"/>
  <c r="Q986" i="3"/>
  <c r="K986" i="3"/>
  <c r="F986" i="3"/>
  <c r="N986" i="3"/>
  <c r="M986" i="3"/>
  <c r="Q987" i="3"/>
  <c r="K987" i="3"/>
  <c r="F987" i="3"/>
  <c r="N987" i="3"/>
  <c r="M987" i="3"/>
  <c r="Q988" i="3"/>
  <c r="K988" i="3"/>
  <c r="F988" i="3"/>
  <c r="N988" i="3"/>
  <c r="M988" i="3"/>
  <c r="Q989" i="3"/>
  <c r="K989" i="3"/>
  <c r="F989" i="3"/>
  <c r="N989" i="3"/>
  <c r="M989" i="3"/>
  <c r="Q990" i="3"/>
  <c r="K990" i="3"/>
  <c r="F990" i="3"/>
  <c r="N990" i="3"/>
  <c r="M990" i="3"/>
  <c r="Q991" i="3"/>
  <c r="K991" i="3"/>
  <c r="F991" i="3"/>
  <c r="N991" i="3"/>
  <c r="M991" i="3"/>
  <c r="Q992" i="3"/>
  <c r="K992" i="3"/>
  <c r="F992" i="3"/>
  <c r="N992" i="3"/>
  <c r="M992" i="3"/>
  <c r="Q993" i="3"/>
  <c r="K993" i="3"/>
  <c r="F993" i="3"/>
  <c r="N993" i="3"/>
  <c r="M993" i="3"/>
  <c r="Q994" i="3"/>
  <c r="K994" i="3"/>
  <c r="F994" i="3"/>
  <c r="N994" i="3"/>
  <c r="M994" i="3"/>
  <c r="Q995" i="3"/>
  <c r="K995" i="3"/>
  <c r="F995" i="3"/>
  <c r="N995" i="3"/>
  <c r="M995" i="3"/>
  <c r="Q996" i="3"/>
  <c r="K996" i="3"/>
  <c r="F996" i="3"/>
  <c r="N996" i="3"/>
  <c r="M996" i="3"/>
  <c r="Q997" i="3"/>
  <c r="K997" i="3"/>
  <c r="F997" i="3"/>
  <c r="N997" i="3"/>
  <c r="M997" i="3"/>
  <c r="Q998" i="3"/>
  <c r="K998" i="3"/>
  <c r="F998" i="3"/>
  <c r="N998" i="3"/>
  <c r="M998" i="3"/>
  <c r="Q999" i="3"/>
  <c r="K999" i="3"/>
  <c r="F999" i="3"/>
  <c r="N999" i="3"/>
  <c r="M999" i="3"/>
  <c r="Q1000" i="3"/>
  <c r="K1000" i="3"/>
  <c r="F1000" i="3"/>
  <c r="N1000" i="3"/>
  <c r="M1000" i="3"/>
  <c r="Q1001" i="3"/>
  <c r="K1001" i="3"/>
  <c r="F1001" i="3"/>
  <c r="N1001" i="3"/>
  <c r="M1001" i="3"/>
  <c r="Q1002" i="3"/>
  <c r="K1002" i="3"/>
  <c r="F1002" i="3"/>
  <c r="N1002" i="3"/>
  <c r="M1002" i="3"/>
  <c r="Q1003" i="3"/>
  <c r="K1003" i="3"/>
  <c r="F1003" i="3"/>
  <c r="N1003" i="3"/>
  <c r="M1003" i="3"/>
  <c r="Q1004" i="3"/>
  <c r="K1004" i="3"/>
  <c r="F1004" i="3"/>
  <c r="N1004" i="3"/>
  <c r="M1004" i="3"/>
  <c r="Q1005" i="3"/>
  <c r="K1005" i="3"/>
  <c r="F1005" i="3"/>
  <c r="N1005" i="3"/>
  <c r="M1005" i="3"/>
  <c r="Q1006" i="3"/>
  <c r="K1006" i="3"/>
  <c r="F1006" i="3"/>
  <c r="N1006" i="3"/>
  <c r="M1006" i="3"/>
  <c r="Q1007" i="3"/>
  <c r="K1007" i="3"/>
  <c r="F1007" i="3"/>
  <c r="N1007" i="3"/>
  <c r="M1007" i="3"/>
  <c r="Q1008" i="3"/>
  <c r="K1008" i="3"/>
  <c r="F1008" i="3"/>
  <c r="N1008" i="3"/>
  <c r="M1008" i="3"/>
  <c r="Q1009" i="3"/>
  <c r="K1009" i="3"/>
  <c r="F1009" i="3"/>
  <c r="N1009" i="3"/>
  <c r="M1009" i="3"/>
  <c r="Q1010" i="3"/>
  <c r="K1010" i="3"/>
  <c r="F1010" i="3"/>
  <c r="N1010" i="3"/>
  <c r="M1010" i="3"/>
  <c r="Q1011" i="3"/>
  <c r="K1011" i="3"/>
  <c r="F1011" i="3"/>
  <c r="N1011" i="3"/>
  <c r="M1011" i="3"/>
  <c r="Q1012" i="3"/>
  <c r="K1012" i="3"/>
  <c r="F1012" i="3"/>
  <c r="N1012" i="3"/>
  <c r="M1012" i="3"/>
  <c r="Q1013" i="3"/>
  <c r="K1013" i="3"/>
  <c r="F1013" i="3"/>
  <c r="N1013" i="3"/>
  <c r="M1013" i="3"/>
  <c r="Q1014" i="3"/>
  <c r="K1014" i="3"/>
  <c r="F1014" i="3"/>
  <c r="N1014" i="3"/>
  <c r="M1014" i="3"/>
  <c r="Q1015" i="3"/>
  <c r="K1015" i="3"/>
  <c r="F1015" i="3"/>
  <c r="N1015" i="3"/>
  <c r="M1015" i="3"/>
  <c r="Q1016" i="3"/>
  <c r="K1016" i="3"/>
  <c r="F1016" i="3"/>
  <c r="N1016" i="3"/>
  <c r="M1016" i="3"/>
  <c r="Q1017" i="3"/>
  <c r="K1017" i="3"/>
  <c r="F1017" i="3"/>
  <c r="N1017" i="3"/>
  <c r="M1017" i="3"/>
  <c r="Q1018" i="3"/>
  <c r="K1018" i="3"/>
  <c r="F1018" i="3"/>
  <c r="N1018" i="3"/>
  <c r="M1018" i="3"/>
  <c r="Q1019" i="3"/>
  <c r="K1019" i="3"/>
  <c r="F1019" i="3"/>
  <c r="N1019" i="3"/>
  <c r="M1019" i="3"/>
  <c r="Q1020" i="3"/>
  <c r="K1020" i="3"/>
  <c r="F1020" i="3"/>
  <c r="N1020" i="3"/>
  <c r="M1020" i="3"/>
  <c r="Q1021" i="3"/>
  <c r="K1021" i="3"/>
  <c r="F1021" i="3"/>
  <c r="N1021" i="3"/>
  <c r="M1021" i="3"/>
  <c r="Q1022" i="3"/>
  <c r="K1022" i="3"/>
  <c r="F1022" i="3"/>
  <c r="N1022" i="3"/>
  <c r="M1022" i="3"/>
  <c r="Q1023" i="3"/>
  <c r="K1023" i="3"/>
  <c r="F1023" i="3"/>
  <c r="N1023" i="3"/>
  <c r="M1023" i="3"/>
  <c r="Q1024" i="3"/>
  <c r="K1024" i="3"/>
  <c r="F1024" i="3"/>
  <c r="N1024" i="3"/>
  <c r="M1024" i="3"/>
  <c r="Q1025" i="3"/>
  <c r="K1025" i="3"/>
  <c r="F1025" i="3"/>
  <c r="N1025" i="3"/>
  <c r="M1025" i="3"/>
  <c r="Q1026" i="3"/>
  <c r="K1026" i="3"/>
  <c r="F1026" i="3"/>
  <c r="N1026" i="3"/>
  <c r="M1026" i="3"/>
  <c r="Q1027" i="3"/>
  <c r="K1027" i="3"/>
  <c r="F1027" i="3"/>
  <c r="N1027" i="3"/>
  <c r="M1027" i="3"/>
  <c r="Q1028" i="3"/>
  <c r="K1028" i="3"/>
  <c r="F1028" i="3"/>
  <c r="N1028" i="3"/>
  <c r="M1028" i="3"/>
  <c r="Q1029" i="3"/>
  <c r="K1029" i="3"/>
  <c r="F1029" i="3"/>
  <c r="N1029" i="3"/>
  <c r="M1029" i="3"/>
  <c r="Q1030" i="3"/>
  <c r="K1030" i="3"/>
  <c r="F1030" i="3"/>
  <c r="N1030" i="3"/>
  <c r="M1030" i="3"/>
  <c r="Q1031" i="3"/>
  <c r="K1031" i="3"/>
  <c r="F1031" i="3"/>
  <c r="N1031" i="3"/>
  <c r="M1031" i="3"/>
  <c r="Q1032" i="3"/>
  <c r="K1032" i="3"/>
  <c r="F1032" i="3"/>
  <c r="N1032" i="3"/>
  <c r="M1032" i="3"/>
  <c r="Q1033" i="3"/>
  <c r="K1033" i="3"/>
  <c r="F1033" i="3"/>
  <c r="N1033" i="3"/>
  <c r="M1033" i="3"/>
  <c r="Q1034" i="3"/>
  <c r="K1034" i="3"/>
  <c r="F1034" i="3"/>
  <c r="N1034" i="3"/>
  <c r="M1034" i="3"/>
  <c r="Q1035" i="3"/>
  <c r="K1035" i="3"/>
  <c r="F1035" i="3"/>
  <c r="N1035" i="3"/>
  <c r="M1035" i="3"/>
  <c r="Q1036" i="3"/>
  <c r="K1036" i="3"/>
  <c r="F1036" i="3"/>
  <c r="N1036" i="3"/>
  <c r="M1036" i="3"/>
  <c r="Q1037" i="3"/>
  <c r="K1037" i="3"/>
  <c r="F1037" i="3"/>
  <c r="N1037" i="3"/>
  <c r="M1037" i="3"/>
  <c r="Q1038" i="3"/>
  <c r="K1038" i="3"/>
  <c r="F1038" i="3"/>
  <c r="N1038" i="3"/>
  <c r="M1038" i="3"/>
  <c r="Q1039" i="3"/>
  <c r="K1039" i="3"/>
  <c r="F1039" i="3"/>
  <c r="N1039" i="3"/>
  <c r="M1039" i="3"/>
  <c r="Q1040" i="3"/>
  <c r="K1040" i="3"/>
  <c r="F1040" i="3"/>
  <c r="N1040" i="3"/>
  <c r="M1040" i="3"/>
  <c r="Q1041" i="3"/>
  <c r="K1041" i="3"/>
  <c r="F1041" i="3"/>
  <c r="N1041" i="3"/>
  <c r="M1041" i="3"/>
  <c r="Q1042" i="3"/>
  <c r="K1042" i="3"/>
  <c r="F1042" i="3"/>
  <c r="N1042" i="3"/>
  <c r="M1042" i="3"/>
  <c r="Q1043" i="3"/>
  <c r="K1043" i="3"/>
  <c r="F1043" i="3"/>
  <c r="N1043" i="3"/>
  <c r="M1043" i="3"/>
  <c r="Q1044" i="3"/>
  <c r="K1044" i="3"/>
  <c r="F1044" i="3"/>
  <c r="N1044" i="3"/>
  <c r="M1044" i="3"/>
  <c r="Q1045" i="3"/>
  <c r="K1045" i="3"/>
  <c r="F1045" i="3"/>
  <c r="N1045" i="3"/>
  <c r="M1045" i="3"/>
  <c r="Q1046" i="3"/>
  <c r="K1046" i="3"/>
  <c r="F1046" i="3"/>
  <c r="N1046" i="3"/>
  <c r="M1046" i="3"/>
  <c r="Q1047" i="3"/>
  <c r="K1047" i="3"/>
  <c r="F1047" i="3"/>
  <c r="N1047" i="3"/>
  <c r="M1047" i="3"/>
  <c r="Q1048" i="3"/>
  <c r="K1048" i="3"/>
  <c r="F1048" i="3"/>
  <c r="N1048" i="3"/>
  <c r="M1048" i="3"/>
  <c r="Q1049" i="3"/>
  <c r="K1049" i="3"/>
  <c r="F1049" i="3"/>
  <c r="N1049" i="3"/>
  <c r="M1049" i="3"/>
  <c r="Q1050" i="3"/>
  <c r="K1050" i="3"/>
  <c r="F1050" i="3"/>
  <c r="N1050" i="3"/>
  <c r="M1050" i="3"/>
  <c r="Q1051" i="3"/>
  <c r="K1051" i="3"/>
  <c r="F1051" i="3"/>
  <c r="N1051" i="3"/>
  <c r="M1051" i="3"/>
  <c r="Q1052" i="3"/>
  <c r="K1052" i="3"/>
  <c r="F1052" i="3"/>
  <c r="N1052" i="3"/>
  <c r="M1052" i="3"/>
  <c r="Q1053" i="3"/>
  <c r="K1053" i="3"/>
  <c r="F1053" i="3"/>
  <c r="N1053" i="3"/>
  <c r="M1053" i="3"/>
  <c r="Q1054" i="3"/>
  <c r="K1054" i="3"/>
  <c r="F1054" i="3"/>
  <c r="N1054" i="3"/>
  <c r="M1054" i="3"/>
  <c r="Q1055" i="3"/>
  <c r="K1055" i="3"/>
  <c r="F1055" i="3"/>
  <c r="N1055" i="3"/>
  <c r="M1055" i="3"/>
  <c r="Q1056" i="3"/>
  <c r="K1056" i="3"/>
  <c r="F1056" i="3"/>
  <c r="N1056" i="3"/>
  <c r="M1056" i="3"/>
  <c r="Q1057" i="3"/>
  <c r="K1057" i="3"/>
  <c r="F1057" i="3"/>
  <c r="N1057" i="3"/>
  <c r="M1057" i="3"/>
  <c r="Q1058" i="3"/>
  <c r="K1058" i="3"/>
  <c r="F1058" i="3"/>
  <c r="N1058" i="3"/>
  <c r="M1058" i="3"/>
  <c r="Q1059" i="3"/>
  <c r="K1059" i="3"/>
  <c r="F1059" i="3"/>
  <c r="N1059" i="3"/>
  <c r="M1059" i="3"/>
  <c r="Q1060" i="3"/>
  <c r="K1060" i="3"/>
  <c r="F1060" i="3"/>
  <c r="N1060" i="3"/>
  <c r="M1060" i="3"/>
  <c r="Q1061" i="3"/>
  <c r="K1061" i="3"/>
  <c r="F1061" i="3"/>
  <c r="N1061" i="3"/>
  <c r="M1061" i="3"/>
  <c r="Q1062" i="3"/>
  <c r="K1062" i="3"/>
  <c r="F1062" i="3"/>
  <c r="N1062" i="3"/>
  <c r="M1062" i="3"/>
  <c r="Q1063" i="3"/>
  <c r="K1063" i="3"/>
  <c r="F1063" i="3"/>
  <c r="N1063" i="3"/>
  <c r="M1063" i="3"/>
  <c r="Q1064" i="3"/>
  <c r="K1064" i="3"/>
  <c r="F1064" i="3"/>
  <c r="N1064" i="3"/>
  <c r="M1064" i="3"/>
  <c r="Q1065" i="3"/>
  <c r="K1065" i="3"/>
  <c r="F1065" i="3"/>
  <c r="N1065" i="3"/>
  <c r="M1065" i="3"/>
  <c r="Q1066" i="3"/>
  <c r="K1066" i="3"/>
  <c r="F1066" i="3"/>
  <c r="N1066" i="3"/>
  <c r="M1066" i="3"/>
  <c r="Q1067" i="3"/>
  <c r="K1067" i="3"/>
  <c r="F1067" i="3"/>
  <c r="N1067" i="3"/>
  <c r="M1067" i="3"/>
  <c r="Q1068" i="3"/>
  <c r="K1068" i="3"/>
  <c r="F1068" i="3"/>
  <c r="N1068" i="3"/>
  <c r="M1068" i="3"/>
  <c r="Q1069" i="3"/>
  <c r="K1069" i="3"/>
  <c r="F1069" i="3"/>
  <c r="N1069" i="3"/>
  <c r="M1069" i="3"/>
  <c r="Q1070" i="3"/>
  <c r="K1070" i="3"/>
  <c r="F1070" i="3"/>
  <c r="N1070" i="3"/>
  <c r="M1070" i="3"/>
  <c r="Q1071" i="3"/>
  <c r="K1071" i="3"/>
  <c r="F1071" i="3"/>
  <c r="N1071" i="3"/>
  <c r="M1071" i="3"/>
  <c r="Q1072" i="3"/>
  <c r="K1072" i="3"/>
  <c r="F1072" i="3"/>
  <c r="N1072" i="3"/>
  <c r="M1072" i="3"/>
  <c r="Q1073" i="3"/>
  <c r="K1073" i="3"/>
  <c r="F1073" i="3"/>
  <c r="N1073" i="3"/>
  <c r="M1073" i="3"/>
  <c r="Q1074" i="3"/>
  <c r="K1074" i="3"/>
  <c r="F1074" i="3"/>
  <c r="N1074" i="3"/>
  <c r="M1074" i="3"/>
  <c r="Q1075" i="3"/>
  <c r="K1075" i="3"/>
  <c r="F1075" i="3"/>
  <c r="N1075" i="3"/>
  <c r="M1075" i="3"/>
  <c r="Q1076" i="3"/>
  <c r="K1076" i="3"/>
  <c r="F1076" i="3"/>
  <c r="N1076" i="3"/>
  <c r="M1076" i="3"/>
  <c r="Q1077" i="3"/>
  <c r="K1077" i="3"/>
  <c r="F1077" i="3"/>
  <c r="N1077" i="3"/>
  <c r="M1077" i="3"/>
  <c r="Q1078" i="3"/>
  <c r="K1078" i="3"/>
  <c r="F1078" i="3"/>
  <c r="N1078" i="3"/>
  <c r="M1078" i="3"/>
  <c r="Q1079" i="3"/>
  <c r="K1079" i="3"/>
  <c r="F1079" i="3"/>
  <c r="N1079" i="3"/>
  <c r="M1079" i="3"/>
  <c r="Q1080" i="3"/>
  <c r="K1080" i="3"/>
  <c r="F1080" i="3"/>
  <c r="N1080" i="3"/>
  <c r="M1080" i="3"/>
  <c r="Q1081" i="3"/>
  <c r="K1081" i="3"/>
  <c r="F1081" i="3"/>
  <c r="N1081" i="3"/>
  <c r="M1081" i="3"/>
  <c r="Q1082" i="3"/>
  <c r="K1082" i="3"/>
  <c r="F1082" i="3"/>
  <c r="N1082" i="3"/>
  <c r="M1082" i="3"/>
  <c r="Q1083" i="3"/>
  <c r="K1083" i="3"/>
  <c r="F1083" i="3"/>
  <c r="N1083" i="3"/>
  <c r="M1083" i="3"/>
  <c r="Q1084" i="3"/>
  <c r="K1084" i="3"/>
  <c r="F1084" i="3"/>
  <c r="N1084" i="3"/>
  <c r="M1084" i="3"/>
  <c r="Q1085" i="3"/>
  <c r="K1085" i="3"/>
  <c r="F1085" i="3"/>
  <c r="N1085" i="3"/>
  <c r="M1085" i="3"/>
  <c r="Q1086" i="3"/>
  <c r="K1086" i="3"/>
  <c r="F1086" i="3"/>
  <c r="N1086" i="3"/>
  <c r="M1086" i="3"/>
  <c r="Q1087" i="3"/>
  <c r="K1087" i="3"/>
  <c r="F1087" i="3"/>
  <c r="N1087" i="3"/>
  <c r="M1087" i="3"/>
  <c r="Q1088" i="3"/>
  <c r="K1088" i="3"/>
  <c r="F1088" i="3"/>
  <c r="N1088" i="3"/>
  <c r="M1088" i="3"/>
  <c r="Q1089" i="3"/>
  <c r="K1089" i="3"/>
  <c r="F1089" i="3"/>
  <c r="N1089" i="3"/>
  <c r="M1089" i="3"/>
  <c r="Q1090" i="3"/>
  <c r="K1090" i="3"/>
  <c r="F1090" i="3"/>
  <c r="N1090" i="3"/>
  <c r="M1090" i="3"/>
  <c r="Q1091" i="3"/>
  <c r="K1091" i="3"/>
  <c r="F1091" i="3"/>
  <c r="N1091" i="3"/>
  <c r="M1091" i="3"/>
  <c r="Q1092" i="3"/>
  <c r="K1092" i="3"/>
  <c r="F1092" i="3"/>
  <c r="N1092" i="3"/>
  <c r="M1092" i="3"/>
  <c r="Q1093" i="3"/>
  <c r="K1093" i="3"/>
  <c r="F1093" i="3"/>
  <c r="N1093" i="3"/>
  <c r="M1093" i="3"/>
  <c r="Q1094" i="3"/>
  <c r="K1094" i="3"/>
  <c r="F1094" i="3"/>
  <c r="N1094" i="3"/>
  <c r="M1094" i="3"/>
  <c r="Q1095" i="3"/>
  <c r="K1095" i="3"/>
  <c r="F1095" i="3"/>
  <c r="N1095" i="3"/>
  <c r="M1095" i="3"/>
  <c r="Q1096" i="3"/>
  <c r="K1096" i="3"/>
  <c r="F1096" i="3"/>
  <c r="N1096" i="3"/>
  <c r="M1096" i="3"/>
  <c r="Q1097" i="3"/>
  <c r="K1097" i="3"/>
  <c r="F1097" i="3"/>
  <c r="N1097" i="3"/>
  <c r="M1097" i="3"/>
  <c r="Q1098" i="3"/>
  <c r="K1098" i="3"/>
  <c r="F1098" i="3"/>
  <c r="N1098" i="3"/>
  <c r="M1098" i="3"/>
  <c r="Q1099" i="3"/>
  <c r="K1099" i="3"/>
  <c r="F1099" i="3"/>
  <c r="N1099" i="3"/>
  <c r="M1099" i="3"/>
  <c r="Q1100" i="3"/>
  <c r="K1100" i="3"/>
  <c r="F1100" i="3"/>
  <c r="N1100" i="3"/>
  <c r="M1100" i="3"/>
  <c r="Q1101" i="3"/>
  <c r="K1101" i="3"/>
  <c r="F1101" i="3"/>
  <c r="N1101" i="3"/>
  <c r="M1101" i="3"/>
  <c r="Q1102" i="3"/>
  <c r="K1102" i="3"/>
  <c r="F1102" i="3"/>
  <c r="N1102" i="3"/>
  <c r="M1102" i="3"/>
  <c r="Q1103" i="3"/>
  <c r="K1103" i="3"/>
  <c r="F1103" i="3"/>
  <c r="N1103" i="3"/>
  <c r="M1103" i="3"/>
  <c r="Q1104" i="3"/>
  <c r="K1104" i="3"/>
  <c r="F1104" i="3"/>
  <c r="N1104" i="3"/>
  <c r="M1104" i="3"/>
  <c r="Q1105" i="3"/>
  <c r="K1105" i="3"/>
  <c r="F1105" i="3"/>
  <c r="N1105" i="3"/>
  <c r="M1105" i="3"/>
  <c r="Q1106" i="3"/>
  <c r="K1106" i="3"/>
  <c r="F1106" i="3"/>
  <c r="N1106" i="3"/>
  <c r="M1106" i="3"/>
  <c r="Q1107" i="3"/>
  <c r="K1107" i="3"/>
  <c r="F1107" i="3"/>
  <c r="N1107" i="3"/>
  <c r="M1107" i="3"/>
  <c r="Q1108" i="3"/>
  <c r="K1108" i="3"/>
  <c r="F1108" i="3"/>
  <c r="N1108" i="3"/>
  <c r="M1108" i="3"/>
  <c r="Q1109" i="3"/>
  <c r="K1109" i="3"/>
  <c r="F1109" i="3"/>
  <c r="N1109" i="3"/>
  <c r="M1109" i="3"/>
  <c r="Q1110" i="3"/>
  <c r="K1110" i="3"/>
  <c r="F1110" i="3"/>
  <c r="N1110" i="3"/>
  <c r="M1110" i="3"/>
  <c r="Q1111" i="3"/>
  <c r="K1111" i="3"/>
  <c r="F1111" i="3"/>
  <c r="N1111" i="3"/>
  <c r="M1111" i="3"/>
  <c r="Q1112" i="3"/>
  <c r="K1112" i="3"/>
  <c r="F1112" i="3"/>
  <c r="N1112" i="3"/>
  <c r="M1112" i="3"/>
  <c r="Q1113" i="3"/>
  <c r="K1113" i="3"/>
  <c r="F1113" i="3"/>
  <c r="N1113" i="3"/>
  <c r="M1113" i="3"/>
  <c r="Q1114" i="3"/>
  <c r="K1114" i="3"/>
  <c r="F1114" i="3"/>
  <c r="N1114" i="3"/>
  <c r="M1114" i="3"/>
  <c r="Q1115" i="3"/>
  <c r="K1115" i="3"/>
  <c r="F1115" i="3"/>
  <c r="N1115" i="3"/>
  <c r="M1115" i="3"/>
  <c r="Q1116" i="3"/>
  <c r="K1116" i="3"/>
  <c r="F1116" i="3"/>
  <c r="N1116" i="3"/>
  <c r="M1116" i="3"/>
  <c r="Q1117" i="3"/>
  <c r="K1117" i="3"/>
  <c r="F1117" i="3"/>
  <c r="N1117" i="3"/>
  <c r="M1117" i="3"/>
  <c r="Q1118" i="3"/>
  <c r="K1118" i="3"/>
  <c r="F1118" i="3"/>
  <c r="N1118" i="3"/>
  <c r="M1118" i="3"/>
  <c r="Q1119" i="3"/>
  <c r="K1119" i="3"/>
  <c r="F1119" i="3"/>
  <c r="N1119" i="3"/>
  <c r="M1119" i="3"/>
  <c r="Q1120" i="3"/>
  <c r="K1120" i="3"/>
  <c r="F1120" i="3"/>
  <c r="N1120" i="3"/>
  <c r="M1120" i="3"/>
  <c r="Q1121" i="3"/>
  <c r="K1121" i="3"/>
  <c r="F1121" i="3"/>
  <c r="N1121" i="3"/>
  <c r="M1121" i="3"/>
  <c r="Q1122" i="3"/>
  <c r="K1122" i="3"/>
  <c r="F1122" i="3"/>
  <c r="N1122" i="3"/>
  <c r="M1122" i="3"/>
  <c r="Q1123" i="3"/>
  <c r="K1123" i="3"/>
  <c r="F1123" i="3"/>
  <c r="N1123" i="3"/>
  <c r="M1123" i="3"/>
  <c r="Q1124" i="3"/>
  <c r="K1124" i="3"/>
  <c r="F1124" i="3"/>
  <c r="N1124" i="3"/>
  <c r="M1124" i="3"/>
  <c r="Q1125" i="3"/>
  <c r="K1125" i="3"/>
  <c r="F1125" i="3"/>
  <c r="N1125" i="3"/>
  <c r="M1125" i="3"/>
  <c r="Q1126" i="3"/>
  <c r="K1126" i="3"/>
  <c r="F1126" i="3"/>
  <c r="N1126" i="3"/>
  <c r="M1126" i="3"/>
  <c r="Q1127" i="3"/>
  <c r="K1127" i="3"/>
  <c r="F1127" i="3"/>
  <c r="N1127" i="3"/>
  <c r="M1127" i="3"/>
  <c r="Q1128" i="3"/>
  <c r="K1128" i="3"/>
  <c r="F1128" i="3"/>
  <c r="N1128" i="3"/>
  <c r="M1128" i="3"/>
  <c r="Q1129" i="3"/>
  <c r="K1129" i="3"/>
  <c r="F1129" i="3"/>
  <c r="N1129" i="3"/>
  <c r="M1129" i="3"/>
  <c r="Q1130" i="3"/>
  <c r="K1130" i="3"/>
  <c r="F1130" i="3"/>
  <c r="N1130" i="3"/>
  <c r="M1130" i="3"/>
  <c r="Q1131" i="3"/>
  <c r="K1131" i="3"/>
  <c r="F1131" i="3"/>
  <c r="N1131" i="3"/>
  <c r="M1131" i="3"/>
  <c r="Q1132" i="3"/>
  <c r="K1132" i="3"/>
  <c r="F1132" i="3"/>
  <c r="N1132" i="3"/>
  <c r="M1132" i="3"/>
  <c r="Q1133" i="3"/>
  <c r="K1133" i="3"/>
  <c r="F1133" i="3"/>
  <c r="N1133" i="3"/>
  <c r="M1133" i="3"/>
  <c r="Q1134" i="3"/>
  <c r="K1134" i="3"/>
  <c r="F1134" i="3"/>
  <c r="N1134" i="3"/>
  <c r="M1134" i="3"/>
  <c r="Q1135" i="3"/>
  <c r="K1135" i="3"/>
  <c r="F1135" i="3"/>
  <c r="N1135" i="3"/>
  <c r="M1135" i="3"/>
  <c r="Q1136" i="3"/>
  <c r="K1136" i="3"/>
  <c r="F1136" i="3"/>
  <c r="N1136" i="3"/>
  <c r="M1136" i="3"/>
  <c r="Q1137" i="3"/>
  <c r="K1137" i="3"/>
  <c r="F1137" i="3"/>
  <c r="N1137" i="3"/>
  <c r="M1137" i="3"/>
  <c r="Q1138" i="3"/>
  <c r="K1138" i="3"/>
  <c r="F1138" i="3"/>
  <c r="N1138" i="3"/>
  <c r="M1138" i="3"/>
  <c r="Q1139" i="3"/>
  <c r="K1139" i="3"/>
  <c r="F1139" i="3"/>
  <c r="N1139" i="3"/>
  <c r="M1139" i="3"/>
  <c r="Q1140" i="3"/>
  <c r="K1140" i="3"/>
  <c r="F1140" i="3"/>
  <c r="N1140" i="3"/>
  <c r="M1140" i="3"/>
  <c r="Q1141" i="3"/>
  <c r="K1141" i="3"/>
  <c r="F1141" i="3"/>
  <c r="N1141" i="3"/>
  <c r="M1141" i="3"/>
  <c r="Q1142" i="3"/>
  <c r="K1142" i="3"/>
  <c r="F1142" i="3"/>
  <c r="N1142" i="3"/>
  <c r="M1142" i="3"/>
  <c r="Q1143" i="3"/>
  <c r="K1143" i="3"/>
  <c r="F1143" i="3"/>
  <c r="N1143" i="3"/>
  <c r="M1143" i="3"/>
  <c r="Q1144" i="3"/>
  <c r="K1144" i="3"/>
  <c r="F1144" i="3"/>
  <c r="N1144" i="3"/>
  <c r="M1144" i="3"/>
  <c r="Q1145" i="3"/>
  <c r="K1145" i="3"/>
  <c r="F1145" i="3"/>
  <c r="N1145" i="3"/>
  <c r="M1145" i="3"/>
  <c r="Q1146" i="3"/>
  <c r="K1146" i="3"/>
  <c r="F1146" i="3"/>
  <c r="N1146" i="3"/>
  <c r="M1146" i="3"/>
  <c r="Q1147" i="3"/>
  <c r="K1147" i="3"/>
  <c r="F1147" i="3"/>
  <c r="N1147" i="3"/>
  <c r="M1147" i="3"/>
  <c r="Q1148" i="3"/>
  <c r="K1148" i="3"/>
  <c r="F1148" i="3"/>
  <c r="N1148" i="3"/>
  <c r="M1148" i="3"/>
  <c r="Q1149" i="3"/>
  <c r="K1149" i="3"/>
  <c r="F1149" i="3"/>
  <c r="N1149" i="3"/>
  <c r="M1149" i="3"/>
  <c r="Q1150" i="3"/>
  <c r="K1150" i="3"/>
  <c r="F1150" i="3"/>
  <c r="N1150" i="3"/>
  <c r="M1150" i="3"/>
  <c r="Q1151" i="3"/>
  <c r="K1151" i="3"/>
  <c r="F1151" i="3"/>
  <c r="N1151" i="3"/>
  <c r="M1151" i="3"/>
  <c r="Q1152" i="3"/>
  <c r="K1152" i="3"/>
  <c r="F1152" i="3"/>
  <c r="N1152" i="3"/>
  <c r="M1152" i="3"/>
  <c r="Q1153" i="3"/>
  <c r="K1153" i="3"/>
  <c r="F1153" i="3"/>
  <c r="N1153" i="3"/>
  <c r="M1153" i="3"/>
  <c r="Q1154" i="3"/>
  <c r="K1154" i="3"/>
  <c r="F1154" i="3"/>
  <c r="N1154" i="3"/>
  <c r="M1154" i="3"/>
  <c r="Q1155" i="3"/>
  <c r="K1155" i="3"/>
  <c r="F1155" i="3"/>
  <c r="N1155" i="3"/>
  <c r="M1155" i="3"/>
  <c r="Q1156" i="3"/>
  <c r="K1156" i="3"/>
  <c r="F1156" i="3"/>
  <c r="N1156" i="3"/>
  <c r="M1156" i="3"/>
  <c r="Q1157" i="3"/>
  <c r="K1157" i="3"/>
  <c r="F1157" i="3"/>
  <c r="N1157" i="3"/>
  <c r="M1157" i="3"/>
  <c r="Q1158" i="3"/>
  <c r="K1158" i="3"/>
  <c r="F1158" i="3"/>
  <c r="N1158" i="3"/>
  <c r="M1158" i="3"/>
  <c r="Q1159" i="3"/>
  <c r="K1159" i="3"/>
  <c r="F1159" i="3"/>
  <c r="N1159" i="3"/>
  <c r="M1159" i="3"/>
  <c r="Q1160" i="3"/>
  <c r="K1160" i="3"/>
  <c r="F1160" i="3"/>
  <c r="N1160" i="3"/>
  <c r="M1160" i="3"/>
  <c r="Q1161" i="3"/>
  <c r="K1161" i="3"/>
  <c r="F1161" i="3"/>
  <c r="N1161" i="3"/>
  <c r="M1161" i="3"/>
  <c r="Q1162" i="3"/>
  <c r="K1162" i="3"/>
  <c r="F1162" i="3"/>
  <c r="N1162" i="3"/>
  <c r="M1162" i="3"/>
  <c r="Q1163" i="3"/>
  <c r="K1163" i="3"/>
  <c r="F1163" i="3"/>
  <c r="N1163" i="3"/>
  <c r="M1163" i="3"/>
  <c r="Q1164" i="3"/>
  <c r="K1164" i="3"/>
  <c r="F1164" i="3"/>
  <c r="N1164" i="3"/>
  <c r="M1164" i="3"/>
  <c r="Q1165" i="3"/>
  <c r="K1165" i="3"/>
  <c r="F1165" i="3"/>
  <c r="N1165" i="3"/>
  <c r="M1165" i="3"/>
  <c r="Q1166" i="3"/>
  <c r="K1166" i="3"/>
  <c r="F1166" i="3"/>
  <c r="N1166" i="3"/>
  <c r="M1166" i="3"/>
  <c r="Q1167" i="3"/>
  <c r="K1167" i="3"/>
  <c r="F1167" i="3"/>
  <c r="N1167" i="3"/>
  <c r="M1167" i="3"/>
  <c r="Q1168" i="3"/>
  <c r="K1168" i="3"/>
  <c r="F1168" i="3"/>
  <c r="N1168" i="3"/>
  <c r="M1168" i="3"/>
  <c r="Q1169" i="3"/>
  <c r="K1169" i="3"/>
  <c r="F1169" i="3"/>
  <c r="N1169" i="3"/>
  <c r="M1169" i="3"/>
  <c r="Q1170" i="3"/>
  <c r="K1170" i="3"/>
  <c r="F1170" i="3"/>
  <c r="N1170" i="3"/>
  <c r="M1170" i="3"/>
  <c r="Q1171" i="3"/>
  <c r="K1171" i="3"/>
  <c r="F1171" i="3"/>
  <c r="N1171" i="3"/>
  <c r="M1171" i="3"/>
  <c r="Q1172" i="3"/>
  <c r="K1172" i="3"/>
  <c r="F1172" i="3"/>
  <c r="N1172" i="3"/>
  <c r="M1172" i="3"/>
  <c r="Q1173" i="3"/>
  <c r="K1173" i="3"/>
  <c r="F1173" i="3"/>
  <c r="N1173" i="3"/>
  <c r="M1173" i="3"/>
  <c r="Q1174" i="3"/>
  <c r="K1174" i="3"/>
  <c r="F1174" i="3"/>
  <c r="N1174" i="3"/>
  <c r="M1174" i="3"/>
  <c r="Q1175" i="3"/>
  <c r="K1175" i="3"/>
  <c r="F1175" i="3"/>
  <c r="N1175" i="3"/>
  <c r="M1175" i="3"/>
  <c r="Q1176" i="3"/>
  <c r="K1176" i="3"/>
  <c r="F1176" i="3"/>
  <c r="N1176" i="3"/>
  <c r="M1176" i="3"/>
  <c r="Q1177" i="3"/>
  <c r="K1177" i="3"/>
  <c r="F1177" i="3"/>
  <c r="N1177" i="3"/>
  <c r="M1177" i="3"/>
  <c r="Q1178" i="3"/>
  <c r="K1178" i="3"/>
  <c r="F1178" i="3"/>
  <c r="N1178" i="3"/>
  <c r="M1178" i="3"/>
  <c r="Q1179" i="3"/>
  <c r="K1179" i="3"/>
  <c r="F1179" i="3"/>
  <c r="N1179" i="3"/>
  <c r="M1179" i="3"/>
  <c r="Q1180" i="3"/>
  <c r="K1180" i="3"/>
  <c r="F1180" i="3"/>
  <c r="N1180" i="3"/>
  <c r="M1180" i="3"/>
  <c r="Q1181" i="3"/>
  <c r="K1181" i="3"/>
  <c r="F1181" i="3"/>
  <c r="N1181" i="3"/>
  <c r="M1181" i="3"/>
  <c r="Q1182" i="3"/>
  <c r="K1182" i="3"/>
  <c r="F1182" i="3"/>
  <c r="N1182" i="3"/>
  <c r="M1182" i="3"/>
  <c r="Q1183" i="3"/>
  <c r="K1183" i="3"/>
  <c r="F1183" i="3"/>
  <c r="N1183" i="3"/>
  <c r="M1183" i="3"/>
  <c r="Q1184" i="3"/>
  <c r="K1184" i="3"/>
  <c r="F1184" i="3"/>
  <c r="N1184" i="3"/>
  <c r="M1184" i="3"/>
  <c r="Q1185" i="3"/>
  <c r="K1185" i="3"/>
  <c r="F1185" i="3"/>
  <c r="N1185" i="3"/>
  <c r="M1185" i="3"/>
  <c r="Q1186" i="3"/>
  <c r="K1186" i="3"/>
  <c r="F1186" i="3"/>
  <c r="N1186" i="3"/>
  <c r="M1186" i="3"/>
  <c r="Q1187" i="3"/>
  <c r="K1187" i="3"/>
  <c r="F1187" i="3"/>
  <c r="N1187" i="3"/>
  <c r="M1187" i="3"/>
  <c r="Q1188" i="3"/>
  <c r="K1188" i="3"/>
  <c r="F1188" i="3"/>
  <c r="N1188" i="3"/>
  <c r="M1188" i="3"/>
  <c r="Q1189" i="3"/>
  <c r="K1189" i="3"/>
  <c r="F1189" i="3"/>
  <c r="N1189" i="3"/>
  <c r="M1189" i="3"/>
  <c r="Q1190" i="3"/>
  <c r="K1190" i="3"/>
  <c r="F1190" i="3"/>
  <c r="N1190" i="3"/>
  <c r="M1190" i="3"/>
  <c r="Q1191" i="3"/>
  <c r="K1191" i="3"/>
  <c r="F1191" i="3"/>
  <c r="N1191" i="3"/>
  <c r="M1191" i="3"/>
  <c r="Q1192" i="3"/>
  <c r="K1192" i="3"/>
  <c r="F1192" i="3"/>
  <c r="N1192" i="3"/>
  <c r="M1192" i="3"/>
  <c r="Q1193" i="3"/>
  <c r="K1193" i="3"/>
  <c r="F1193" i="3"/>
  <c r="N1193" i="3"/>
  <c r="M1193" i="3"/>
  <c r="Q1194" i="3"/>
  <c r="K1194" i="3"/>
  <c r="F1194" i="3"/>
  <c r="N1194" i="3"/>
  <c r="M1194" i="3"/>
  <c r="Q1195" i="3"/>
  <c r="K1195" i="3"/>
  <c r="F1195" i="3"/>
  <c r="N1195" i="3"/>
  <c r="M1195" i="3"/>
  <c r="Q1196" i="3"/>
  <c r="K1196" i="3"/>
  <c r="F1196" i="3"/>
  <c r="N1196" i="3"/>
  <c r="M1196" i="3"/>
  <c r="Q1197" i="3"/>
  <c r="K1197" i="3"/>
  <c r="F1197" i="3"/>
  <c r="N1197" i="3"/>
  <c r="M1197" i="3"/>
  <c r="Q1198" i="3"/>
  <c r="K1198" i="3"/>
  <c r="F1198" i="3"/>
  <c r="N1198" i="3"/>
  <c r="M1198" i="3"/>
  <c r="Q1199" i="3"/>
  <c r="K1199" i="3"/>
  <c r="F1199" i="3"/>
  <c r="N1199" i="3"/>
  <c r="M1199" i="3"/>
  <c r="Q1200" i="3"/>
  <c r="K1200" i="3"/>
  <c r="F1200" i="3"/>
  <c r="N1200" i="3"/>
  <c r="M1200" i="3"/>
  <c r="Q1201" i="3"/>
  <c r="K1201" i="3"/>
  <c r="F1201" i="3"/>
  <c r="N1201" i="3"/>
  <c r="M1201" i="3"/>
  <c r="Q1202" i="3"/>
  <c r="K1202" i="3"/>
  <c r="F1202" i="3"/>
  <c r="N1202" i="3"/>
  <c r="M1202" i="3"/>
  <c r="Q1203" i="3"/>
  <c r="K1203" i="3"/>
  <c r="F1203" i="3"/>
  <c r="N1203" i="3"/>
  <c r="M1203" i="3"/>
  <c r="Q1204" i="3"/>
  <c r="K1204" i="3"/>
  <c r="F1204" i="3"/>
  <c r="N1204" i="3"/>
  <c r="M1204" i="3"/>
  <c r="Q1205" i="3"/>
  <c r="K1205" i="3"/>
  <c r="F1205" i="3"/>
  <c r="N1205" i="3"/>
  <c r="M1205" i="3"/>
  <c r="Q1206" i="3"/>
  <c r="K1206" i="3"/>
  <c r="F1206" i="3"/>
  <c r="N1206" i="3"/>
  <c r="M1206" i="3"/>
  <c r="Q1207" i="3"/>
  <c r="K1207" i="3"/>
  <c r="F1207" i="3"/>
  <c r="N1207" i="3"/>
  <c r="M1207" i="3"/>
  <c r="Q1208" i="3"/>
  <c r="K1208" i="3"/>
  <c r="F1208" i="3"/>
  <c r="N1208" i="3"/>
  <c r="M1208" i="3"/>
  <c r="Q1209" i="3"/>
  <c r="K1209" i="3"/>
  <c r="F1209" i="3"/>
  <c r="N1209" i="3"/>
  <c r="M1209" i="3"/>
  <c r="Q1210" i="3"/>
  <c r="K1210" i="3"/>
  <c r="F1210" i="3"/>
  <c r="N1210" i="3"/>
  <c r="M1210" i="3"/>
  <c r="Q1211" i="3"/>
  <c r="K1211" i="3"/>
  <c r="F1211" i="3"/>
  <c r="N1211" i="3"/>
  <c r="M1211" i="3"/>
  <c r="Q1212" i="3"/>
  <c r="K1212" i="3"/>
  <c r="F1212" i="3"/>
  <c r="N1212" i="3"/>
  <c r="M1212" i="3"/>
  <c r="Q1213" i="3"/>
  <c r="K1213" i="3"/>
  <c r="F1213" i="3"/>
  <c r="N1213" i="3"/>
  <c r="M1213" i="3"/>
  <c r="Q1214" i="3"/>
  <c r="K1214" i="3"/>
  <c r="F1214" i="3"/>
  <c r="N1214" i="3"/>
  <c r="M1214" i="3"/>
  <c r="Q1215" i="3"/>
  <c r="K1215" i="3"/>
  <c r="F1215" i="3"/>
  <c r="N1215" i="3"/>
  <c r="M1215" i="3"/>
  <c r="Q1216" i="3"/>
  <c r="K1216" i="3"/>
  <c r="F1216" i="3"/>
  <c r="N1216" i="3"/>
  <c r="M1216" i="3"/>
  <c r="Q1217" i="3"/>
  <c r="K1217" i="3"/>
  <c r="F1217" i="3"/>
  <c r="N1217" i="3"/>
  <c r="M1217" i="3"/>
  <c r="Q1218" i="3"/>
  <c r="K1218" i="3"/>
  <c r="F1218" i="3"/>
  <c r="N1218" i="3"/>
  <c r="M1218" i="3"/>
  <c r="Q1219" i="3"/>
  <c r="K1219" i="3"/>
  <c r="F1219" i="3"/>
  <c r="N1219" i="3"/>
  <c r="M1219" i="3"/>
  <c r="Q1220" i="3"/>
  <c r="K1220" i="3"/>
  <c r="F1220" i="3"/>
  <c r="N1220" i="3"/>
  <c r="M1220" i="3"/>
  <c r="Q1221" i="3"/>
  <c r="K1221" i="3"/>
  <c r="F1221" i="3"/>
  <c r="N1221" i="3"/>
  <c r="M1221" i="3"/>
  <c r="Q1222" i="3"/>
  <c r="K1222" i="3"/>
  <c r="F1222" i="3"/>
  <c r="N1222" i="3"/>
  <c r="M1222" i="3"/>
  <c r="Q1223" i="3"/>
  <c r="K1223" i="3"/>
  <c r="F1223" i="3"/>
  <c r="N1223" i="3"/>
  <c r="M1223" i="3"/>
  <c r="Q1224" i="3"/>
  <c r="K1224" i="3"/>
  <c r="F1224" i="3"/>
  <c r="N1224" i="3"/>
  <c r="M1224" i="3"/>
  <c r="Q1225" i="3"/>
  <c r="K1225" i="3"/>
  <c r="F1225" i="3"/>
  <c r="N1225" i="3"/>
  <c r="M1225" i="3"/>
  <c r="Q1226" i="3"/>
  <c r="K1226" i="3"/>
  <c r="F1226" i="3"/>
  <c r="N1226" i="3"/>
  <c r="M1226" i="3"/>
  <c r="Q1227" i="3"/>
  <c r="K1227" i="3"/>
  <c r="F1227" i="3"/>
  <c r="N1227" i="3"/>
  <c r="M1227" i="3"/>
  <c r="Q1228" i="3"/>
  <c r="K1228" i="3"/>
  <c r="F1228" i="3"/>
  <c r="N1228" i="3"/>
  <c r="M1228" i="3"/>
  <c r="Q1229" i="3"/>
  <c r="K1229" i="3"/>
  <c r="F1229" i="3"/>
  <c r="N1229" i="3"/>
  <c r="M1229" i="3"/>
  <c r="Q1230" i="3"/>
  <c r="K1230" i="3"/>
  <c r="F1230" i="3"/>
  <c r="N1230" i="3"/>
  <c r="M1230" i="3"/>
  <c r="Q1231" i="3"/>
  <c r="K1231" i="3"/>
  <c r="F1231" i="3"/>
  <c r="N1231" i="3"/>
  <c r="M1231" i="3"/>
  <c r="Q1232" i="3"/>
  <c r="K1232" i="3"/>
  <c r="F1232" i="3"/>
  <c r="N1232" i="3"/>
  <c r="M1232" i="3"/>
  <c r="Q1233" i="3"/>
  <c r="K1233" i="3"/>
  <c r="F1233" i="3"/>
  <c r="N1233" i="3"/>
  <c r="M1233" i="3"/>
  <c r="Q1234" i="3"/>
  <c r="K1234" i="3"/>
  <c r="F1234" i="3"/>
  <c r="N1234" i="3"/>
  <c r="M1234" i="3"/>
  <c r="Q1235" i="3"/>
  <c r="K1235" i="3"/>
  <c r="F1235" i="3"/>
  <c r="N1235" i="3"/>
  <c r="M1235" i="3"/>
  <c r="Q1236" i="3"/>
  <c r="K1236" i="3"/>
  <c r="F1236" i="3"/>
  <c r="N1236" i="3"/>
  <c r="M1236" i="3"/>
  <c r="Q1237" i="3"/>
  <c r="K1237" i="3"/>
  <c r="F1237" i="3"/>
  <c r="N1237" i="3"/>
  <c r="M1237" i="3"/>
  <c r="Q1238" i="3"/>
  <c r="K1238" i="3"/>
  <c r="F1238" i="3"/>
  <c r="N1238" i="3"/>
  <c r="M1238" i="3"/>
  <c r="Q1239" i="3"/>
  <c r="K1239" i="3"/>
  <c r="F1239" i="3"/>
  <c r="N1239" i="3"/>
  <c r="M1239" i="3"/>
  <c r="Q1240" i="3"/>
  <c r="K1240" i="3"/>
  <c r="F1240" i="3"/>
  <c r="N1240" i="3"/>
  <c r="M1240" i="3"/>
  <c r="Q1241" i="3"/>
  <c r="K1241" i="3"/>
  <c r="F1241" i="3"/>
  <c r="N1241" i="3"/>
  <c r="M1241" i="3"/>
  <c r="Q1242" i="3"/>
  <c r="K1242" i="3"/>
  <c r="F1242" i="3"/>
  <c r="N1242" i="3"/>
  <c r="M1242" i="3"/>
  <c r="Q1243" i="3"/>
  <c r="K1243" i="3"/>
  <c r="F1243" i="3"/>
  <c r="N1243" i="3"/>
  <c r="M1243" i="3"/>
  <c r="Q1244" i="3"/>
  <c r="K1244" i="3"/>
  <c r="F1244" i="3"/>
  <c r="N1244" i="3"/>
  <c r="M1244" i="3"/>
  <c r="Q1245" i="3"/>
  <c r="K1245" i="3"/>
  <c r="F1245" i="3"/>
  <c r="N1245" i="3"/>
  <c r="M1245" i="3"/>
  <c r="Q1246" i="3"/>
  <c r="K1246" i="3"/>
  <c r="F1246" i="3"/>
  <c r="N1246" i="3"/>
  <c r="M1246" i="3"/>
  <c r="Q1247" i="3"/>
  <c r="K1247" i="3"/>
  <c r="F1247" i="3"/>
  <c r="N1247" i="3"/>
  <c r="M1247" i="3"/>
  <c r="Q1248" i="3"/>
  <c r="K1248" i="3"/>
  <c r="F1248" i="3"/>
  <c r="N1248" i="3"/>
  <c r="M1248" i="3"/>
  <c r="Q1249" i="3"/>
  <c r="K1249" i="3"/>
  <c r="F1249" i="3"/>
  <c r="N1249" i="3"/>
  <c r="M1249" i="3"/>
  <c r="Q1250" i="3"/>
  <c r="K1250" i="3"/>
  <c r="F1250" i="3"/>
  <c r="N1250" i="3"/>
  <c r="M1250" i="3"/>
  <c r="Q1251" i="3"/>
  <c r="K1251" i="3"/>
  <c r="F1251" i="3"/>
  <c r="N1251" i="3"/>
  <c r="M1251" i="3"/>
  <c r="Q1252" i="3"/>
  <c r="K1252" i="3"/>
  <c r="F1252" i="3"/>
  <c r="N1252" i="3"/>
  <c r="M1252" i="3"/>
  <c r="Q1253" i="3"/>
  <c r="K1253" i="3"/>
  <c r="F1253" i="3"/>
  <c r="N1253" i="3"/>
  <c r="M1253" i="3"/>
  <c r="Q1254" i="3"/>
  <c r="K1254" i="3"/>
  <c r="F1254" i="3"/>
  <c r="N1254" i="3"/>
  <c r="M1254" i="3"/>
  <c r="Q1255" i="3"/>
  <c r="K1255" i="3"/>
  <c r="F1255" i="3"/>
  <c r="N1255" i="3"/>
  <c r="M1255" i="3"/>
  <c r="Q1256" i="3"/>
  <c r="K1256" i="3"/>
  <c r="F1256" i="3"/>
  <c r="N1256" i="3"/>
  <c r="M1256" i="3"/>
  <c r="Q1257" i="3"/>
  <c r="K1257" i="3"/>
  <c r="F1257" i="3"/>
  <c r="N1257" i="3"/>
  <c r="M1257" i="3"/>
  <c r="Q1258" i="3"/>
  <c r="K1258" i="3"/>
  <c r="F1258" i="3"/>
  <c r="N1258" i="3"/>
  <c r="M1258" i="3"/>
  <c r="Q1259" i="3"/>
  <c r="K1259" i="3"/>
  <c r="F1259" i="3"/>
  <c r="N1259" i="3"/>
  <c r="M1259" i="3"/>
  <c r="Q1260" i="3"/>
  <c r="K1260" i="3"/>
  <c r="F1260" i="3"/>
  <c r="N1260" i="3"/>
  <c r="M1260" i="3"/>
  <c r="Q1261" i="3"/>
  <c r="K1261" i="3"/>
  <c r="F1261" i="3"/>
  <c r="N1261" i="3"/>
  <c r="M1261" i="3"/>
  <c r="Q1262" i="3"/>
  <c r="K1262" i="3"/>
  <c r="F1262" i="3"/>
  <c r="N1262" i="3"/>
  <c r="M1262" i="3"/>
  <c r="Q1263" i="3"/>
  <c r="K1263" i="3"/>
  <c r="F1263" i="3"/>
  <c r="N1263" i="3"/>
  <c r="M1263" i="3"/>
  <c r="Q1264" i="3"/>
  <c r="K1264" i="3"/>
  <c r="F1264" i="3"/>
  <c r="N1264" i="3"/>
  <c r="M1264" i="3"/>
  <c r="Q1265" i="3"/>
  <c r="K1265" i="3"/>
  <c r="F1265" i="3"/>
  <c r="N1265" i="3"/>
  <c r="M1265" i="3"/>
  <c r="Q1266" i="3"/>
  <c r="K1266" i="3"/>
  <c r="F1266" i="3"/>
  <c r="N1266" i="3"/>
  <c r="M1266" i="3"/>
  <c r="Q1267" i="3"/>
  <c r="K1267" i="3"/>
  <c r="F1267" i="3"/>
  <c r="N1267" i="3"/>
  <c r="M1267" i="3"/>
  <c r="Q1268" i="3"/>
  <c r="K1268" i="3"/>
  <c r="F1268" i="3"/>
  <c r="N1268" i="3"/>
  <c r="M1268" i="3"/>
  <c r="Q1269" i="3"/>
  <c r="K1269" i="3"/>
  <c r="F1269" i="3"/>
  <c r="N1269" i="3"/>
  <c r="M1269" i="3"/>
  <c r="Q1270" i="3"/>
  <c r="K1270" i="3"/>
  <c r="F1270" i="3"/>
  <c r="N1270" i="3"/>
  <c r="M1270" i="3"/>
  <c r="Q1271" i="3"/>
  <c r="K1271" i="3"/>
  <c r="F1271" i="3"/>
  <c r="N1271" i="3"/>
  <c r="M1271" i="3"/>
  <c r="Q1272" i="3"/>
  <c r="K1272" i="3"/>
  <c r="F1272" i="3"/>
  <c r="N1272" i="3"/>
  <c r="M1272" i="3"/>
  <c r="Q1273" i="3"/>
  <c r="K1273" i="3"/>
  <c r="F1273" i="3"/>
  <c r="N1273" i="3"/>
  <c r="M1273" i="3"/>
  <c r="Q1274" i="3"/>
  <c r="K1274" i="3"/>
  <c r="F1274" i="3"/>
  <c r="N1274" i="3"/>
  <c r="M1274" i="3"/>
  <c r="Q1275" i="3"/>
  <c r="K1275" i="3"/>
  <c r="F1275" i="3"/>
  <c r="N1275" i="3"/>
  <c r="M1275" i="3"/>
  <c r="Q1276" i="3"/>
  <c r="K1276" i="3"/>
  <c r="F1276" i="3"/>
  <c r="N1276" i="3"/>
  <c r="M1276" i="3"/>
  <c r="Q1277" i="3"/>
  <c r="K1277" i="3"/>
  <c r="F1277" i="3"/>
  <c r="N1277" i="3"/>
  <c r="M1277" i="3"/>
  <c r="Q1278" i="3"/>
  <c r="K1278" i="3"/>
  <c r="F1278" i="3"/>
  <c r="N1278" i="3"/>
  <c r="M1278" i="3"/>
  <c r="Q1279" i="3"/>
  <c r="K1279" i="3"/>
  <c r="F1279" i="3"/>
  <c r="N1279" i="3"/>
  <c r="M1279" i="3"/>
  <c r="Q1280" i="3"/>
  <c r="K1280" i="3"/>
  <c r="F1280" i="3"/>
  <c r="N1280" i="3"/>
  <c r="M1280" i="3"/>
  <c r="Q1281" i="3"/>
  <c r="K1281" i="3"/>
  <c r="F1281" i="3"/>
  <c r="N1281" i="3"/>
  <c r="M1281" i="3"/>
  <c r="Q1282" i="3"/>
  <c r="K1282" i="3"/>
  <c r="F1282" i="3"/>
  <c r="N1282" i="3"/>
  <c r="M1282" i="3"/>
  <c r="Q1283" i="3"/>
  <c r="K1283" i="3"/>
  <c r="F1283" i="3"/>
  <c r="N1283" i="3"/>
  <c r="M1283" i="3"/>
  <c r="Q1284" i="3"/>
  <c r="K1284" i="3"/>
  <c r="F1284" i="3"/>
  <c r="N1284" i="3"/>
  <c r="M1284" i="3"/>
  <c r="Q1285" i="3"/>
  <c r="K1285" i="3"/>
  <c r="F1285" i="3"/>
  <c r="N1285" i="3"/>
  <c r="M1285" i="3"/>
  <c r="Q1286" i="3"/>
  <c r="K1286" i="3"/>
  <c r="F1286" i="3"/>
  <c r="N1286" i="3"/>
  <c r="M1286" i="3"/>
  <c r="Q1287" i="3"/>
  <c r="K1287" i="3"/>
  <c r="F1287" i="3"/>
  <c r="N1287" i="3"/>
  <c r="M1287" i="3"/>
  <c r="Q1288" i="3"/>
  <c r="K1288" i="3"/>
  <c r="F1288" i="3"/>
  <c r="N1288" i="3"/>
  <c r="M1288" i="3"/>
  <c r="Q1289" i="3"/>
  <c r="K1289" i="3"/>
  <c r="F1289" i="3"/>
  <c r="N1289" i="3"/>
  <c r="M1289" i="3"/>
  <c r="Q1290" i="3"/>
  <c r="K1290" i="3"/>
  <c r="F1290" i="3"/>
  <c r="N1290" i="3"/>
  <c r="M1290" i="3"/>
  <c r="Q1291" i="3"/>
  <c r="K1291" i="3"/>
  <c r="F1291" i="3"/>
  <c r="N1291" i="3"/>
  <c r="M1291" i="3"/>
  <c r="Q1292" i="3"/>
  <c r="K1292" i="3"/>
  <c r="F1292" i="3"/>
  <c r="N1292" i="3"/>
  <c r="M1292" i="3"/>
  <c r="Q1293" i="3"/>
  <c r="K1293" i="3"/>
  <c r="F1293" i="3"/>
  <c r="N1293" i="3"/>
  <c r="M1293" i="3"/>
  <c r="Q1294" i="3"/>
  <c r="K1294" i="3"/>
  <c r="F1294" i="3"/>
  <c r="N1294" i="3"/>
  <c r="M1294" i="3"/>
  <c r="Q1295" i="3"/>
  <c r="K1295" i="3"/>
  <c r="F1295" i="3"/>
  <c r="N1295" i="3"/>
  <c r="M1295" i="3"/>
  <c r="Q1296" i="3"/>
  <c r="K1296" i="3"/>
  <c r="F1296" i="3"/>
  <c r="N1296" i="3"/>
  <c r="M1296" i="3"/>
  <c r="Q1297" i="3"/>
  <c r="K1297" i="3"/>
  <c r="F1297" i="3"/>
  <c r="N1297" i="3"/>
  <c r="M1297" i="3"/>
  <c r="Q1298" i="3"/>
  <c r="K1298" i="3"/>
  <c r="F1298" i="3"/>
  <c r="N1298" i="3"/>
  <c r="M1298" i="3"/>
  <c r="Q1299" i="3"/>
  <c r="K1299" i="3"/>
  <c r="F1299" i="3"/>
  <c r="N1299" i="3"/>
  <c r="M1299" i="3"/>
  <c r="Q1300" i="3"/>
  <c r="K1300" i="3"/>
  <c r="F1300" i="3"/>
  <c r="N1300" i="3"/>
  <c r="M1300" i="3"/>
  <c r="Q1301" i="3"/>
  <c r="K1301" i="3"/>
  <c r="F1301" i="3"/>
  <c r="N1301" i="3"/>
  <c r="M1301" i="3"/>
  <c r="Q1302" i="3"/>
  <c r="K1302" i="3"/>
  <c r="F1302" i="3"/>
  <c r="N1302" i="3"/>
  <c r="M1302" i="3"/>
  <c r="Q1303" i="3"/>
  <c r="K1303" i="3"/>
  <c r="F1303" i="3"/>
  <c r="N1303" i="3"/>
  <c r="M1303" i="3"/>
  <c r="Q1304" i="3"/>
  <c r="K1304" i="3"/>
  <c r="F1304" i="3"/>
  <c r="N1304" i="3"/>
  <c r="M1304" i="3"/>
  <c r="Q1305" i="3"/>
  <c r="K1305" i="3"/>
  <c r="F1305" i="3"/>
  <c r="N1305" i="3"/>
  <c r="M1305" i="3"/>
  <c r="Q1306" i="3"/>
  <c r="K1306" i="3"/>
  <c r="F1306" i="3"/>
  <c r="N1306" i="3"/>
  <c r="M1306" i="3"/>
  <c r="Q1307" i="3"/>
  <c r="K1307" i="3"/>
  <c r="F1307" i="3"/>
  <c r="N1307" i="3"/>
  <c r="M1307" i="3"/>
  <c r="Q1308" i="3"/>
  <c r="K1308" i="3"/>
  <c r="F1308" i="3"/>
  <c r="N1308" i="3"/>
  <c r="M1308" i="3"/>
  <c r="Q1309" i="3"/>
  <c r="K1309" i="3"/>
  <c r="F1309" i="3"/>
  <c r="N1309" i="3"/>
  <c r="M1309" i="3"/>
  <c r="Q1310" i="3"/>
  <c r="K1310" i="3"/>
  <c r="F1310" i="3"/>
  <c r="N1310" i="3"/>
  <c r="M1310" i="3"/>
  <c r="Q1311" i="3"/>
  <c r="K1311" i="3"/>
  <c r="F1311" i="3"/>
  <c r="N1311" i="3"/>
  <c r="M1311" i="3"/>
  <c r="Q1312" i="3"/>
  <c r="K1312" i="3"/>
  <c r="F1312" i="3"/>
  <c r="N1312" i="3"/>
  <c r="M1312" i="3"/>
  <c r="Q1313" i="3"/>
  <c r="K1313" i="3"/>
  <c r="F1313" i="3"/>
  <c r="N1313" i="3"/>
  <c r="M1313" i="3"/>
  <c r="Q1314" i="3"/>
  <c r="K1314" i="3"/>
  <c r="F1314" i="3"/>
  <c r="N1314" i="3"/>
  <c r="M1314" i="3"/>
  <c r="Q1315" i="3"/>
  <c r="K1315" i="3"/>
  <c r="F1315" i="3"/>
  <c r="N1315" i="3"/>
  <c r="M1315" i="3"/>
  <c r="Q1316" i="3"/>
  <c r="K1316" i="3"/>
  <c r="F1316" i="3"/>
  <c r="N1316" i="3"/>
  <c r="M1316" i="3"/>
  <c r="Q1317" i="3"/>
  <c r="K1317" i="3"/>
  <c r="F1317" i="3"/>
  <c r="N1317" i="3"/>
  <c r="M1317" i="3"/>
  <c r="Q1318" i="3"/>
  <c r="K1318" i="3"/>
  <c r="F1318" i="3"/>
  <c r="N1318" i="3"/>
  <c r="M1318" i="3"/>
  <c r="Q1319" i="3"/>
  <c r="K1319" i="3"/>
  <c r="F1319" i="3"/>
  <c r="N1319" i="3"/>
  <c r="M1319" i="3"/>
  <c r="Q1320" i="3"/>
  <c r="K1320" i="3"/>
  <c r="F1320" i="3"/>
  <c r="N1320" i="3"/>
  <c r="M1320" i="3"/>
  <c r="Q1321" i="3"/>
  <c r="K1321" i="3"/>
  <c r="F1321" i="3"/>
  <c r="N1321" i="3"/>
  <c r="M1321" i="3"/>
  <c r="Q1322" i="3"/>
  <c r="K1322" i="3"/>
  <c r="F1322" i="3"/>
  <c r="N1322" i="3"/>
  <c r="M1322" i="3"/>
  <c r="Q1323" i="3"/>
  <c r="K1323" i="3"/>
  <c r="F1323" i="3"/>
  <c r="N1323" i="3"/>
  <c r="M1323" i="3"/>
  <c r="Q1324" i="3"/>
  <c r="K1324" i="3"/>
  <c r="F1324" i="3"/>
  <c r="N1324" i="3"/>
  <c r="M1324" i="3"/>
  <c r="Q1325" i="3"/>
  <c r="K1325" i="3"/>
  <c r="F1325" i="3"/>
  <c r="N1325" i="3"/>
  <c r="M1325" i="3"/>
  <c r="Q1326" i="3"/>
  <c r="K1326" i="3"/>
  <c r="F1326" i="3"/>
  <c r="N1326" i="3"/>
  <c r="M1326" i="3"/>
  <c r="Q1327" i="3"/>
  <c r="K1327" i="3"/>
  <c r="F1327" i="3"/>
  <c r="N1327" i="3"/>
  <c r="M1327" i="3"/>
  <c r="Q1328" i="3"/>
  <c r="K1328" i="3"/>
  <c r="F1328" i="3"/>
  <c r="N1328" i="3"/>
  <c r="M1328" i="3"/>
  <c r="Q1329" i="3"/>
  <c r="K1329" i="3"/>
  <c r="F1329" i="3"/>
  <c r="N1329" i="3"/>
  <c r="M1329" i="3"/>
  <c r="Q1330" i="3"/>
  <c r="K1330" i="3"/>
  <c r="F1330" i="3"/>
  <c r="N1330" i="3"/>
  <c r="M1330" i="3"/>
  <c r="Q1331" i="3"/>
  <c r="K1331" i="3"/>
  <c r="F1331" i="3"/>
  <c r="N1331" i="3"/>
  <c r="M1331" i="3"/>
  <c r="Q1332" i="3"/>
  <c r="K1332" i="3"/>
  <c r="F1332" i="3"/>
  <c r="N1332" i="3"/>
  <c r="M1332" i="3"/>
  <c r="Q1333" i="3"/>
  <c r="K1333" i="3"/>
  <c r="F1333" i="3"/>
  <c r="N1333" i="3"/>
  <c r="M1333" i="3"/>
  <c r="Q1334" i="3"/>
  <c r="K1334" i="3"/>
  <c r="F1334" i="3"/>
  <c r="N1334" i="3"/>
  <c r="M1334" i="3"/>
  <c r="Q1335" i="3"/>
  <c r="K1335" i="3"/>
  <c r="F1335" i="3"/>
  <c r="N1335" i="3"/>
  <c r="M1335" i="3"/>
  <c r="Q1336" i="3"/>
  <c r="K1336" i="3"/>
  <c r="F1336" i="3"/>
  <c r="N1336" i="3"/>
  <c r="M1336" i="3"/>
  <c r="Q1337" i="3"/>
  <c r="K1337" i="3"/>
  <c r="F1337" i="3"/>
  <c r="N1337" i="3"/>
  <c r="M1337" i="3"/>
  <c r="Q1338" i="3"/>
  <c r="K1338" i="3"/>
  <c r="F1338" i="3"/>
  <c r="N1338" i="3"/>
  <c r="M1338" i="3"/>
  <c r="Q1339" i="3"/>
  <c r="K1339" i="3"/>
  <c r="F1339" i="3"/>
  <c r="N1339" i="3"/>
  <c r="M1339" i="3"/>
  <c r="Q1340" i="3"/>
  <c r="K1340" i="3"/>
  <c r="F1340" i="3"/>
  <c r="N1340" i="3"/>
  <c r="M1340" i="3"/>
  <c r="Q1341" i="3"/>
  <c r="K1341" i="3"/>
  <c r="F1341" i="3"/>
  <c r="N1341" i="3"/>
  <c r="M1341" i="3"/>
  <c r="Q1342" i="3"/>
  <c r="K1342" i="3"/>
  <c r="F1342" i="3"/>
  <c r="N1342" i="3"/>
  <c r="M1342" i="3"/>
  <c r="Q1343" i="3"/>
  <c r="K1343" i="3"/>
  <c r="F1343" i="3"/>
  <c r="N1343" i="3"/>
  <c r="M1343" i="3"/>
  <c r="Q1344" i="3"/>
  <c r="K1344" i="3"/>
  <c r="F1344" i="3"/>
  <c r="N1344" i="3"/>
  <c r="M1344" i="3"/>
  <c r="Q1345" i="3"/>
  <c r="K1345" i="3"/>
  <c r="F1345" i="3"/>
  <c r="N1345" i="3"/>
  <c r="M1345" i="3"/>
  <c r="Q1346" i="3"/>
  <c r="K1346" i="3"/>
  <c r="F1346" i="3"/>
  <c r="N1346" i="3"/>
  <c r="M1346" i="3"/>
  <c r="Q1347" i="3"/>
  <c r="K1347" i="3"/>
  <c r="F1347" i="3"/>
  <c r="N1347" i="3"/>
  <c r="M1347" i="3"/>
  <c r="Q1348" i="3"/>
  <c r="K1348" i="3"/>
  <c r="F1348" i="3"/>
  <c r="N1348" i="3"/>
  <c r="M1348" i="3"/>
  <c r="Q1349" i="3"/>
  <c r="K1349" i="3"/>
  <c r="F1349" i="3"/>
  <c r="N1349" i="3"/>
  <c r="M1349" i="3"/>
  <c r="Q1350" i="3"/>
  <c r="K1350" i="3"/>
  <c r="F1350" i="3"/>
  <c r="N1350" i="3"/>
  <c r="M1350" i="3"/>
  <c r="Q1351" i="3"/>
  <c r="K1351" i="3"/>
  <c r="F1351" i="3"/>
  <c r="N1351" i="3"/>
  <c r="M1351" i="3"/>
  <c r="Q1352" i="3"/>
  <c r="K1352" i="3"/>
  <c r="F1352" i="3"/>
  <c r="N1352" i="3"/>
  <c r="M1352" i="3"/>
  <c r="Q1353" i="3"/>
  <c r="K1353" i="3"/>
  <c r="F1353" i="3"/>
  <c r="N1353" i="3"/>
  <c r="M1353" i="3"/>
  <c r="Q1354" i="3"/>
  <c r="K1354" i="3"/>
  <c r="F1354" i="3"/>
  <c r="N1354" i="3"/>
  <c r="M1354" i="3"/>
  <c r="Q1355" i="3"/>
  <c r="K1355" i="3"/>
  <c r="F1355" i="3"/>
  <c r="N1355" i="3"/>
  <c r="M1355" i="3"/>
  <c r="Q1356" i="3"/>
  <c r="K1356" i="3"/>
  <c r="F1356" i="3"/>
  <c r="N1356" i="3"/>
  <c r="M1356" i="3"/>
  <c r="Q1357" i="3"/>
  <c r="K1357" i="3"/>
  <c r="F1357" i="3"/>
  <c r="N1357" i="3"/>
  <c r="M1357" i="3"/>
  <c r="Q1358" i="3"/>
  <c r="K1358" i="3"/>
  <c r="F1358" i="3"/>
  <c r="N1358" i="3"/>
  <c r="M1358" i="3"/>
  <c r="Q1359" i="3"/>
  <c r="K1359" i="3"/>
  <c r="F1359" i="3"/>
  <c r="N1359" i="3"/>
  <c r="M1359" i="3"/>
  <c r="Q1360" i="3"/>
  <c r="K1360" i="3"/>
  <c r="F1360" i="3"/>
  <c r="N1360" i="3"/>
  <c r="M1360" i="3"/>
  <c r="Q1361" i="3"/>
  <c r="K1361" i="3"/>
  <c r="F1361" i="3"/>
  <c r="N1361" i="3"/>
  <c r="M1361" i="3"/>
  <c r="Q1362" i="3"/>
  <c r="K1362" i="3"/>
  <c r="F1362" i="3"/>
  <c r="N1362" i="3"/>
  <c r="M1362" i="3"/>
  <c r="Q1363" i="3"/>
  <c r="K1363" i="3"/>
  <c r="F1363" i="3"/>
  <c r="N1363" i="3"/>
  <c r="M1363" i="3"/>
  <c r="Q1364" i="3"/>
  <c r="K1364" i="3"/>
  <c r="F1364" i="3"/>
  <c r="N1364" i="3"/>
  <c r="M1364" i="3"/>
  <c r="Q1365" i="3"/>
  <c r="K1365" i="3"/>
  <c r="F1365" i="3"/>
  <c r="N1365" i="3"/>
  <c r="M1365" i="3"/>
  <c r="Q1366" i="3"/>
  <c r="K1366" i="3"/>
  <c r="F1366" i="3"/>
  <c r="N1366" i="3"/>
  <c r="M1366" i="3"/>
  <c r="Q1367" i="3"/>
  <c r="K1367" i="3"/>
  <c r="F1367" i="3"/>
  <c r="N1367" i="3"/>
  <c r="M1367" i="3"/>
  <c r="Q1368" i="3"/>
  <c r="K1368" i="3"/>
  <c r="F1368" i="3"/>
  <c r="N1368" i="3"/>
  <c r="M1368" i="3"/>
  <c r="Q1369" i="3"/>
  <c r="K1369" i="3"/>
  <c r="F1369" i="3"/>
  <c r="N1369" i="3"/>
  <c r="M1369" i="3"/>
  <c r="Q1370" i="3"/>
  <c r="K1370" i="3"/>
  <c r="F1370" i="3"/>
  <c r="N1370" i="3"/>
  <c r="M1370" i="3"/>
  <c r="Q1371" i="3"/>
  <c r="K1371" i="3"/>
  <c r="F1371" i="3"/>
  <c r="N1371" i="3"/>
  <c r="M1371" i="3"/>
  <c r="Q1372" i="3"/>
  <c r="K1372" i="3"/>
  <c r="F1372" i="3"/>
  <c r="N1372" i="3"/>
  <c r="M1372" i="3"/>
  <c r="Q1373" i="3"/>
  <c r="K1373" i="3"/>
  <c r="F1373" i="3"/>
  <c r="N1373" i="3"/>
  <c r="M1373" i="3"/>
  <c r="Q1374" i="3"/>
  <c r="K1374" i="3"/>
  <c r="F1374" i="3"/>
  <c r="N1374" i="3"/>
  <c r="M1374" i="3"/>
  <c r="Q1375" i="3"/>
  <c r="K1375" i="3"/>
  <c r="F1375" i="3"/>
  <c r="N1375" i="3"/>
  <c r="M1375" i="3"/>
  <c r="Q1376" i="3"/>
  <c r="K1376" i="3"/>
  <c r="F1376" i="3"/>
  <c r="N1376" i="3"/>
  <c r="M1376" i="3"/>
  <c r="Q1377" i="3"/>
  <c r="K1377" i="3"/>
  <c r="F1377" i="3"/>
  <c r="N1377" i="3"/>
  <c r="M1377" i="3"/>
  <c r="Q1378" i="3"/>
  <c r="K1378" i="3"/>
  <c r="F1378" i="3"/>
  <c r="N1378" i="3"/>
  <c r="M1378" i="3"/>
  <c r="Q1379" i="3"/>
  <c r="K1379" i="3"/>
  <c r="F1379" i="3"/>
  <c r="N1379" i="3"/>
  <c r="M1379" i="3"/>
  <c r="Q1380" i="3"/>
  <c r="K1380" i="3"/>
  <c r="F1380" i="3"/>
  <c r="N1380" i="3"/>
  <c r="M1380" i="3"/>
  <c r="Q1381" i="3"/>
  <c r="K1381" i="3"/>
  <c r="F1381" i="3"/>
  <c r="N1381" i="3"/>
  <c r="M1381" i="3"/>
  <c r="Q1382" i="3"/>
  <c r="K1382" i="3"/>
  <c r="F1382" i="3"/>
  <c r="N1382" i="3"/>
  <c r="M1382" i="3"/>
  <c r="Q1383" i="3"/>
  <c r="K1383" i="3"/>
  <c r="F1383" i="3"/>
  <c r="N1383" i="3"/>
  <c r="M1383" i="3"/>
  <c r="Q1384" i="3"/>
  <c r="K1384" i="3"/>
  <c r="F1384" i="3"/>
  <c r="N1384" i="3"/>
  <c r="M1384" i="3"/>
  <c r="Q1385" i="3"/>
  <c r="K1385" i="3"/>
  <c r="F1385" i="3"/>
  <c r="N1385" i="3"/>
  <c r="M1385" i="3"/>
  <c r="Q1386" i="3"/>
  <c r="K1386" i="3"/>
  <c r="F1386" i="3"/>
  <c r="N1386" i="3"/>
  <c r="M1386" i="3"/>
  <c r="Q1387" i="3"/>
  <c r="K1387" i="3"/>
  <c r="F1387" i="3"/>
  <c r="N1387" i="3"/>
  <c r="M1387" i="3"/>
  <c r="Q1388" i="3"/>
  <c r="K1388" i="3"/>
  <c r="F1388" i="3"/>
  <c r="N1388" i="3"/>
  <c r="M1388" i="3"/>
  <c r="Q1389" i="3"/>
  <c r="K1389" i="3"/>
  <c r="F1389" i="3"/>
  <c r="N1389" i="3"/>
  <c r="M1389" i="3"/>
  <c r="Q1390" i="3"/>
  <c r="K1390" i="3"/>
  <c r="F1390" i="3"/>
  <c r="N1390" i="3"/>
  <c r="M1390" i="3"/>
  <c r="Q1391" i="3"/>
  <c r="K1391" i="3"/>
  <c r="F1391" i="3"/>
  <c r="N1391" i="3"/>
  <c r="M1391" i="3"/>
  <c r="Q1392" i="3"/>
  <c r="K1392" i="3"/>
  <c r="F1392" i="3"/>
  <c r="N1392" i="3"/>
  <c r="M1392" i="3"/>
  <c r="Q1393" i="3"/>
  <c r="K1393" i="3"/>
  <c r="F1393" i="3"/>
  <c r="N1393" i="3"/>
  <c r="M1393" i="3"/>
  <c r="Q1394" i="3"/>
  <c r="K1394" i="3"/>
  <c r="F1394" i="3"/>
  <c r="N1394" i="3"/>
  <c r="M1394" i="3"/>
  <c r="Q1395" i="3"/>
  <c r="K1395" i="3"/>
  <c r="F1395" i="3"/>
  <c r="N1395" i="3"/>
  <c r="M1395" i="3"/>
  <c r="Q1396" i="3"/>
  <c r="K1396" i="3"/>
  <c r="F1396" i="3"/>
  <c r="N1396" i="3"/>
  <c r="M1396" i="3"/>
  <c r="Q1397" i="3"/>
  <c r="K1397" i="3"/>
  <c r="F1397" i="3"/>
  <c r="N1397" i="3"/>
  <c r="M1397" i="3"/>
  <c r="Q1398" i="3"/>
  <c r="K1398" i="3"/>
  <c r="F1398" i="3"/>
  <c r="N1398" i="3"/>
  <c r="M1398" i="3"/>
  <c r="Q1399" i="3"/>
  <c r="K1399" i="3"/>
  <c r="F1399" i="3"/>
  <c r="N1399" i="3"/>
  <c r="M1399" i="3"/>
  <c r="Q1400" i="3"/>
  <c r="K1400" i="3"/>
  <c r="F1400" i="3"/>
  <c r="N1400" i="3"/>
  <c r="M1400" i="3"/>
  <c r="Q1401" i="3"/>
  <c r="K1401" i="3"/>
  <c r="F1401" i="3"/>
  <c r="N1401" i="3"/>
  <c r="M1401" i="3"/>
  <c r="Q1402" i="3"/>
  <c r="K1402" i="3"/>
  <c r="F1402" i="3"/>
  <c r="N1402" i="3"/>
  <c r="M1402" i="3"/>
  <c r="Q1403" i="3"/>
  <c r="K1403" i="3"/>
  <c r="F1403" i="3"/>
  <c r="N1403" i="3"/>
  <c r="M1403" i="3"/>
  <c r="Q1404" i="3"/>
  <c r="K1404" i="3"/>
  <c r="F1404" i="3"/>
  <c r="N1404" i="3"/>
  <c r="M1404" i="3"/>
  <c r="Q1405" i="3"/>
  <c r="K1405" i="3"/>
  <c r="F1405" i="3"/>
  <c r="N1405" i="3"/>
  <c r="M1405" i="3"/>
  <c r="Q1406" i="3"/>
  <c r="K1406" i="3"/>
  <c r="F1406" i="3"/>
  <c r="N1406" i="3"/>
  <c r="M1406" i="3"/>
  <c r="Q1407" i="3"/>
  <c r="K1407" i="3"/>
  <c r="F1407" i="3"/>
  <c r="N1407" i="3"/>
  <c r="M1407" i="3"/>
  <c r="Q1408" i="3"/>
  <c r="K1408" i="3"/>
  <c r="F1408" i="3"/>
  <c r="N1408" i="3"/>
  <c r="M1408" i="3"/>
  <c r="Q1409" i="3"/>
  <c r="K1409" i="3"/>
  <c r="F1409" i="3"/>
  <c r="N1409" i="3"/>
  <c r="M1409" i="3"/>
  <c r="Q1410" i="3"/>
  <c r="K1410" i="3"/>
  <c r="F1410" i="3"/>
  <c r="N1410" i="3"/>
  <c r="M1410" i="3"/>
  <c r="Q1411" i="3"/>
  <c r="K1411" i="3"/>
  <c r="F1411" i="3"/>
  <c r="N1411" i="3"/>
  <c r="M1411" i="3"/>
  <c r="Q1412" i="3"/>
  <c r="K1412" i="3"/>
  <c r="F1412" i="3"/>
  <c r="N1412" i="3"/>
  <c r="M1412" i="3"/>
  <c r="Q1413" i="3"/>
  <c r="K1413" i="3"/>
  <c r="F1413" i="3"/>
  <c r="N1413" i="3"/>
  <c r="M1413" i="3"/>
  <c r="Q1414" i="3"/>
  <c r="K1414" i="3"/>
  <c r="F1414" i="3"/>
  <c r="N1414" i="3"/>
  <c r="M1414" i="3"/>
  <c r="Q1415" i="3"/>
  <c r="K1415" i="3"/>
  <c r="F1415" i="3"/>
  <c r="N1415" i="3"/>
  <c r="M1415" i="3"/>
  <c r="Q1416" i="3"/>
  <c r="K1416" i="3"/>
  <c r="F1416" i="3"/>
  <c r="N1416" i="3"/>
  <c r="M1416" i="3"/>
  <c r="Q1417" i="3"/>
  <c r="K1417" i="3"/>
  <c r="F1417" i="3"/>
  <c r="N1417" i="3"/>
  <c r="M1417" i="3"/>
  <c r="Q1418" i="3"/>
  <c r="K1418" i="3"/>
  <c r="F1418" i="3"/>
  <c r="N1418" i="3"/>
  <c r="M1418" i="3"/>
  <c r="Q1419" i="3"/>
  <c r="K1419" i="3"/>
  <c r="F1419" i="3"/>
  <c r="N1419" i="3"/>
  <c r="M1419" i="3"/>
  <c r="Q1420" i="3"/>
  <c r="K1420" i="3"/>
  <c r="F1420" i="3"/>
  <c r="N1420" i="3"/>
  <c r="M1420" i="3"/>
  <c r="Q1421" i="3"/>
  <c r="K1421" i="3"/>
  <c r="F1421" i="3"/>
  <c r="N1421" i="3"/>
  <c r="M1421" i="3"/>
  <c r="Q1422" i="3"/>
  <c r="K1422" i="3"/>
  <c r="F1422" i="3"/>
  <c r="N1422" i="3"/>
  <c r="M1422" i="3"/>
  <c r="Q1423" i="3"/>
  <c r="K1423" i="3"/>
  <c r="F1423" i="3"/>
  <c r="N1423" i="3"/>
  <c r="M1423" i="3"/>
  <c r="Q1424" i="3"/>
  <c r="K1424" i="3"/>
  <c r="F1424" i="3"/>
  <c r="N1424" i="3"/>
  <c r="M1424" i="3"/>
  <c r="Q1425" i="3"/>
  <c r="K1425" i="3"/>
  <c r="F1425" i="3"/>
  <c r="N1425" i="3"/>
  <c r="M1425" i="3"/>
  <c r="Q1426" i="3"/>
  <c r="K1426" i="3"/>
  <c r="F1426" i="3"/>
  <c r="N1426" i="3"/>
  <c r="M1426" i="3"/>
  <c r="Q1427" i="3"/>
  <c r="K1427" i="3"/>
  <c r="F1427" i="3"/>
  <c r="N1427" i="3"/>
  <c r="M1427" i="3"/>
  <c r="Q1428" i="3"/>
  <c r="K1428" i="3"/>
  <c r="F1428" i="3"/>
  <c r="N1428" i="3"/>
  <c r="M1428" i="3"/>
  <c r="Q1429" i="3"/>
  <c r="K1429" i="3"/>
  <c r="F1429" i="3"/>
  <c r="N1429" i="3"/>
  <c r="M1429" i="3"/>
  <c r="Q1430" i="3"/>
  <c r="K1430" i="3"/>
  <c r="F1430" i="3"/>
  <c r="N1430" i="3"/>
  <c r="M1430" i="3"/>
  <c r="Q1431" i="3"/>
  <c r="K1431" i="3"/>
  <c r="F1431" i="3"/>
  <c r="N1431" i="3"/>
  <c r="M1431" i="3"/>
  <c r="Q1432" i="3"/>
  <c r="K1432" i="3"/>
  <c r="F1432" i="3"/>
  <c r="N1432" i="3"/>
  <c r="M1432" i="3"/>
  <c r="Q1433" i="3"/>
  <c r="K1433" i="3"/>
  <c r="F1433" i="3"/>
  <c r="N1433" i="3"/>
  <c r="M1433" i="3"/>
  <c r="Q1434" i="3"/>
  <c r="K1434" i="3"/>
  <c r="F1434" i="3"/>
  <c r="N1434" i="3"/>
  <c r="M1434" i="3"/>
  <c r="Q1435" i="3"/>
  <c r="K1435" i="3"/>
  <c r="F1435" i="3"/>
  <c r="N1435" i="3"/>
  <c r="M1435" i="3"/>
  <c r="Q1436" i="3"/>
  <c r="K1436" i="3"/>
  <c r="F1436" i="3"/>
  <c r="N1436" i="3"/>
  <c r="M1436" i="3"/>
  <c r="Q1437" i="3"/>
  <c r="K1437" i="3"/>
  <c r="F1437" i="3"/>
  <c r="N1437" i="3"/>
  <c r="M1437" i="3"/>
  <c r="Q1438" i="3"/>
  <c r="K1438" i="3"/>
  <c r="F1438" i="3"/>
  <c r="N1438" i="3"/>
  <c r="M1438" i="3"/>
  <c r="Q1439" i="3"/>
  <c r="K1439" i="3"/>
  <c r="F1439" i="3"/>
  <c r="N1439" i="3"/>
  <c r="M1439" i="3"/>
  <c r="Q1440" i="3"/>
  <c r="K1440" i="3"/>
  <c r="F1440" i="3"/>
  <c r="N1440" i="3"/>
  <c r="M1440" i="3"/>
  <c r="Q1441" i="3"/>
  <c r="K1441" i="3"/>
  <c r="F1441" i="3"/>
  <c r="N1441" i="3"/>
  <c r="M1441" i="3"/>
  <c r="Q1442" i="3"/>
  <c r="K1442" i="3"/>
  <c r="F1442" i="3"/>
  <c r="N1442" i="3"/>
  <c r="M1442" i="3"/>
  <c r="Q1443" i="3"/>
  <c r="K1443" i="3"/>
  <c r="F1443" i="3"/>
  <c r="N1443" i="3"/>
  <c r="M1443" i="3"/>
  <c r="Q1444" i="3"/>
  <c r="K1444" i="3"/>
  <c r="F1444" i="3"/>
  <c r="N1444" i="3"/>
  <c r="M1444" i="3"/>
  <c r="Q1445" i="3"/>
  <c r="K1445" i="3"/>
  <c r="F1445" i="3"/>
  <c r="N1445" i="3"/>
  <c r="M1445" i="3"/>
  <c r="Q1446" i="3"/>
  <c r="K1446" i="3"/>
  <c r="F1446" i="3"/>
  <c r="N1446" i="3"/>
  <c r="M1446" i="3"/>
  <c r="Q1447" i="3"/>
  <c r="K1447" i="3"/>
  <c r="F1447" i="3"/>
  <c r="N1447" i="3"/>
  <c r="M1447" i="3"/>
  <c r="Q1448" i="3"/>
  <c r="K1448" i="3"/>
  <c r="F1448" i="3"/>
  <c r="N1448" i="3"/>
  <c r="M1448" i="3"/>
  <c r="Q1449" i="3"/>
  <c r="K1449" i="3"/>
  <c r="F1449" i="3"/>
  <c r="N1449" i="3"/>
  <c r="M1449" i="3"/>
  <c r="Q1450" i="3"/>
  <c r="K1450" i="3"/>
  <c r="F1450" i="3"/>
  <c r="N1450" i="3"/>
  <c r="M1450" i="3"/>
  <c r="Q1451" i="3"/>
  <c r="K1451" i="3"/>
  <c r="F1451" i="3"/>
  <c r="N1451" i="3"/>
  <c r="M1451" i="3"/>
  <c r="Q1452" i="3"/>
  <c r="K1452" i="3"/>
  <c r="F1452" i="3"/>
  <c r="N1452" i="3"/>
  <c r="M1452" i="3"/>
  <c r="Q1453" i="3"/>
  <c r="K1453" i="3"/>
  <c r="F1453" i="3"/>
  <c r="N1453" i="3"/>
  <c r="M1453" i="3"/>
  <c r="Q1454" i="3"/>
  <c r="K1454" i="3"/>
  <c r="F1454" i="3"/>
  <c r="N1454" i="3"/>
  <c r="M1454" i="3"/>
  <c r="Q1455" i="3"/>
  <c r="K1455" i="3"/>
  <c r="F1455" i="3"/>
  <c r="N1455" i="3"/>
  <c r="M1455" i="3"/>
  <c r="Q1456" i="3"/>
  <c r="K1456" i="3"/>
  <c r="F1456" i="3"/>
  <c r="N1456" i="3"/>
  <c r="M1456" i="3"/>
  <c r="Q1457" i="3"/>
  <c r="K1457" i="3"/>
  <c r="F1457" i="3"/>
  <c r="N1457" i="3"/>
  <c r="M1457" i="3"/>
  <c r="Q1458" i="3"/>
  <c r="K1458" i="3"/>
  <c r="F1458" i="3"/>
  <c r="N1458" i="3"/>
  <c r="M1458" i="3"/>
  <c r="Q1459" i="3"/>
  <c r="K1459" i="3"/>
  <c r="F1459" i="3"/>
  <c r="N1459" i="3"/>
  <c r="M1459" i="3"/>
  <c r="Q1460" i="3"/>
  <c r="K1460" i="3"/>
  <c r="F1460" i="3"/>
  <c r="N1460" i="3"/>
  <c r="M1460" i="3"/>
  <c r="Q1461" i="3"/>
  <c r="K1461" i="3"/>
  <c r="F1461" i="3"/>
  <c r="N1461" i="3"/>
  <c r="M1461" i="3"/>
  <c r="Q1462" i="3"/>
  <c r="K1462" i="3"/>
  <c r="F1462" i="3"/>
  <c r="N1462" i="3"/>
  <c r="M1462" i="3"/>
  <c r="Q1463" i="3"/>
  <c r="K1463" i="3"/>
  <c r="F1463" i="3"/>
  <c r="N1463" i="3"/>
  <c r="M1463" i="3"/>
  <c r="Q1464" i="3"/>
  <c r="K1464" i="3"/>
  <c r="F1464" i="3"/>
  <c r="N1464" i="3"/>
  <c r="M1464" i="3"/>
  <c r="Q1465" i="3"/>
  <c r="K1465" i="3"/>
  <c r="F1465" i="3"/>
  <c r="N1465" i="3"/>
  <c r="M1465" i="3"/>
  <c r="Q1466" i="3"/>
  <c r="K1466" i="3"/>
  <c r="F1466" i="3"/>
  <c r="N1466" i="3"/>
  <c r="M1466" i="3"/>
  <c r="Q1467" i="3"/>
  <c r="K1467" i="3"/>
  <c r="F1467" i="3"/>
  <c r="N1467" i="3"/>
  <c r="M1467" i="3"/>
  <c r="Q1468" i="3"/>
  <c r="K1468" i="3"/>
  <c r="F1468" i="3"/>
  <c r="N1468" i="3"/>
  <c r="M1468" i="3"/>
  <c r="Q1469" i="3"/>
  <c r="K1469" i="3"/>
  <c r="F1469" i="3"/>
  <c r="N1469" i="3"/>
  <c r="M1469" i="3"/>
  <c r="Q1470" i="3"/>
  <c r="K1470" i="3"/>
  <c r="F1470" i="3"/>
  <c r="N1470" i="3"/>
  <c r="M1470" i="3"/>
  <c r="Q1471" i="3"/>
  <c r="K1471" i="3"/>
  <c r="F1471" i="3"/>
  <c r="N1471" i="3"/>
  <c r="M1471" i="3"/>
  <c r="Q1472" i="3"/>
  <c r="K1472" i="3"/>
  <c r="F1472" i="3"/>
  <c r="N1472" i="3"/>
  <c r="M1472" i="3"/>
  <c r="Q1473" i="3"/>
  <c r="K1473" i="3"/>
  <c r="F1473" i="3"/>
  <c r="N1473" i="3"/>
  <c r="M1473" i="3"/>
  <c r="Q1474" i="3"/>
  <c r="K1474" i="3"/>
  <c r="F1474" i="3"/>
  <c r="N1474" i="3"/>
  <c r="M1474" i="3"/>
  <c r="Q1475" i="3"/>
  <c r="K1475" i="3"/>
  <c r="F1475" i="3"/>
  <c r="N1475" i="3"/>
  <c r="M1475" i="3"/>
  <c r="Q1476" i="3"/>
  <c r="K1476" i="3"/>
  <c r="F1476" i="3"/>
  <c r="N1476" i="3"/>
  <c r="M1476" i="3"/>
  <c r="Q1477" i="3"/>
  <c r="K1477" i="3"/>
  <c r="F1477" i="3"/>
  <c r="N1477" i="3"/>
  <c r="M1477" i="3"/>
  <c r="Q1478" i="3"/>
  <c r="K1478" i="3"/>
  <c r="F1478" i="3"/>
  <c r="N1478" i="3"/>
  <c r="M1478" i="3"/>
  <c r="Q1479" i="3"/>
  <c r="K1479" i="3"/>
  <c r="F1479" i="3"/>
  <c r="N1479" i="3"/>
  <c r="M1479" i="3"/>
  <c r="Q1480" i="3"/>
  <c r="K1480" i="3"/>
  <c r="F1480" i="3"/>
  <c r="N1480" i="3"/>
  <c r="M1480" i="3"/>
  <c r="Q1481" i="3"/>
  <c r="K1481" i="3"/>
  <c r="F1481" i="3"/>
  <c r="N1481" i="3"/>
  <c r="M1481" i="3"/>
  <c r="Q1482" i="3"/>
  <c r="K1482" i="3"/>
  <c r="F1482" i="3"/>
  <c r="N1482" i="3"/>
  <c r="M1482" i="3"/>
  <c r="Q1483" i="3"/>
  <c r="K1483" i="3"/>
  <c r="F1483" i="3"/>
  <c r="N1483" i="3"/>
  <c r="M1483" i="3"/>
  <c r="Q1484" i="3"/>
  <c r="K1484" i="3"/>
  <c r="F1484" i="3"/>
  <c r="N1484" i="3"/>
  <c r="M1484" i="3"/>
  <c r="Q1485" i="3"/>
  <c r="K1485" i="3"/>
  <c r="F1485" i="3"/>
  <c r="N1485" i="3"/>
  <c r="M1485" i="3"/>
  <c r="Q1486" i="3"/>
  <c r="K1486" i="3"/>
  <c r="F1486" i="3"/>
  <c r="N1486" i="3"/>
  <c r="M1486" i="3"/>
  <c r="Q1487" i="3"/>
  <c r="K1487" i="3"/>
  <c r="F1487" i="3"/>
  <c r="N1487" i="3"/>
  <c r="M1487" i="3"/>
  <c r="Q1488" i="3"/>
  <c r="K1488" i="3"/>
  <c r="F1488" i="3"/>
  <c r="N1488" i="3"/>
  <c r="M1488" i="3"/>
  <c r="Q1489" i="3"/>
  <c r="K1489" i="3"/>
  <c r="F1489" i="3"/>
  <c r="N1489" i="3"/>
  <c r="M1489" i="3"/>
  <c r="Q1490" i="3"/>
  <c r="K1490" i="3"/>
  <c r="F1490" i="3"/>
  <c r="N1490" i="3"/>
  <c r="M1490" i="3"/>
  <c r="Q1491" i="3"/>
  <c r="K1491" i="3"/>
  <c r="F1491" i="3"/>
  <c r="N1491" i="3"/>
  <c r="M1491" i="3"/>
  <c r="Q1492" i="3"/>
  <c r="K1492" i="3"/>
  <c r="F1492" i="3"/>
  <c r="N1492" i="3"/>
  <c r="M1492" i="3"/>
  <c r="Q1493" i="3"/>
  <c r="K1493" i="3"/>
  <c r="F1493" i="3"/>
  <c r="N1493" i="3"/>
  <c r="M1493" i="3"/>
  <c r="Q1494" i="3"/>
  <c r="K1494" i="3"/>
  <c r="F1494" i="3"/>
  <c r="N1494" i="3"/>
  <c r="M1494" i="3"/>
  <c r="Q1495" i="3"/>
  <c r="K1495" i="3"/>
  <c r="F1495" i="3"/>
  <c r="N1495" i="3"/>
  <c r="M1495" i="3"/>
  <c r="Q1496" i="3"/>
  <c r="K1496" i="3"/>
  <c r="F1496" i="3"/>
  <c r="N1496" i="3"/>
  <c r="M1496" i="3"/>
  <c r="Q1497" i="3"/>
  <c r="K1497" i="3"/>
  <c r="F1497" i="3"/>
  <c r="N1497" i="3"/>
  <c r="M1497" i="3"/>
  <c r="Q1498" i="3"/>
  <c r="K1498" i="3"/>
  <c r="F1498" i="3"/>
  <c r="N1498" i="3"/>
  <c r="M1498" i="3"/>
  <c r="Q1499" i="3"/>
  <c r="K1499" i="3"/>
  <c r="F1499" i="3"/>
  <c r="N1499" i="3"/>
  <c r="M1499" i="3"/>
  <c r="Q1500" i="3"/>
  <c r="K1500" i="3"/>
  <c r="F1500" i="3"/>
  <c r="N1500" i="3"/>
  <c r="M1500" i="3"/>
  <c r="Q1501" i="3"/>
  <c r="K1501" i="3"/>
  <c r="F1501" i="3"/>
  <c r="N1501" i="3"/>
  <c r="M1501" i="3"/>
  <c r="Q1502" i="3"/>
  <c r="K1502" i="3"/>
  <c r="F1502" i="3"/>
  <c r="N1502" i="3"/>
  <c r="M1502" i="3"/>
  <c r="Q1503" i="3"/>
  <c r="K1503" i="3"/>
  <c r="F1503" i="3"/>
  <c r="N1503" i="3"/>
  <c r="M1503" i="3"/>
  <c r="Q1504" i="3"/>
  <c r="K1504" i="3"/>
  <c r="F1504" i="3"/>
  <c r="N1504" i="3"/>
  <c r="M1504" i="3"/>
  <c r="Q1505" i="3"/>
  <c r="K1505" i="3"/>
  <c r="F1505" i="3"/>
  <c r="N1505" i="3"/>
  <c r="M1505" i="3"/>
  <c r="Q1506" i="3"/>
  <c r="K1506" i="3"/>
  <c r="F1506" i="3"/>
  <c r="N1506" i="3"/>
  <c r="M1506" i="3"/>
  <c r="Q1507" i="3"/>
  <c r="K1507" i="3"/>
  <c r="F1507" i="3"/>
  <c r="N1507" i="3"/>
  <c r="M1507" i="3"/>
  <c r="Q1508" i="3"/>
  <c r="K1508" i="3"/>
  <c r="F1508" i="3"/>
  <c r="N1508" i="3"/>
  <c r="M1508" i="3"/>
  <c r="Q1509" i="3"/>
  <c r="K1509" i="3"/>
  <c r="F1509" i="3"/>
  <c r="N1509" i="3"/>
  <c r="M1509" i="3"/>
  <c r="Q1510" i="3"/>
  <c r="K1510" i="3"/>
  <c r="F1510" i="3"/>
  <c r="N1510" i="3"/>
  <c r="M1510" i="3"/>
  <c r="Q1511" i="3"/>
  <c r="K1511" i="3"/>
  <c r="F1511" i="3"/>
  <c r="N1511" i="3"/>
  <c r="M1511" i="3"/>
  <c r="Q1512" i="3"/>
  <c r="K1512" i="3"/>
  <c r="F1512" i="3"/>
  <c r="N1512" i="3"/>
  <c r="M1512" i="3"/>
  <c r="Q1513" i="3"/>
  <c r="K1513" i="3"/>
  <c r="F1513" i="3"/>
  <c r="N1513" i="3"/>
  <c r="M1513" i="3"/>
  <c r="Q1514" i="3"/>
  <c r="K1514" i="3"/>
  <c r="F1514" i="3"/>
  <c r="N1514" i="3"/>
  <c r="M1514" i="3"/>
  <c r="Q1515" i="3"/>
  <c r="K1515" i="3"/>
  <c r="F1515" i="3"/>
  <c r="N1515" i="3"/>
  <c r="M1515" i="3"/>
  <c r="Q1516" i="3"/>
  <c r="K1516" i="3"/>
  <c r="F1516" i="3"/>
  <c r="N1516" i="3"/>
  <c r="M1516" i="3"/>
  <c r="Q1517" i="3"/>
  <c r="K1517" i="3"/>
  <c r="F1517" i="3"/>
  <c r="N1517" i="3"/>
  <c r="M1517" i="3"/>
  <c r="Q1518" i="3"/>
  <c r="K1518" i="3"/>
  <c r="F1518" i="3"/>
  <c r="N1518" i="3"/>
  <c r="M1518" i="3"/>
  <c r="Q1519" i="3"/>
  <c r="K1519" i="3"/>
  <c r="F1519" i="3"/>
  <c r="N1519" i="3"/>
  <c r="M1519" i="3"/>
  <c r="Q1520" i="3"/>
  <c r="K1520" i="3"/>
  <c r="F1520" i="3"/>
  <c r="N1520" i="3"/>
  <c r="M1520" i="3"/>
  <c r="Q1521" i="3"/>
  <c r="K1521" i="3"/>
  <c r="F1521" i="3"/>
  <c r="N1521" i="3"/>
  <c r="M1521" i="3"/>
  <c r="Q1522" i="3"/>
  <c r="K1522" i="3"/>
  <c r="F1522" i="3"/>
  <c r="N1522" i="3"/>
  <c r="M1522" i="3"/>
  <c r="Q1523" i="3"/>
  <c r="K1523" i="3"/>
  <c r="F1523" i="3"/>
  <c r="N1523" i="3"/>
  <c r="M1523" i="3"/>
  <c r="Q1524" i="3"/>
  <c r="K1524" i="3"/>
  <c r="F1524" i="3"/>
  <c r="N1524" i="3"/>
  <c r="M1524" i="3"/>
  <c r="Q1525" i="3"/>
  <c r="K1525" i="3"/>
  <c r="F1525" i="3"/>
  <c r="N1525" i="3"/>
  <c r="M1525" i="3"/>
  <c r="Q1526" i="3"/>
  <c r="K1526" i="3"/>
  <c r="F1526" i="3"/>
  <c r="N1526" i="3"/>
  <c r="M1526" i="3"/>
  <c r="Q1527" i="3"/>
  <c r="K1527" i="3"/>
  <c r="F1527" i="3"/>
  <c r="N1527" i="3"/>
  <c r="M1527" i="3"/>
  <c r="Q1528" i="3"/>
  <c r="K1528" i="3"/>
  <c r="F1528" i="3"/>
  <c r="N1528" i="3"/>
  <c r="M1528" i="3"/>
  <c r="Q1529" i="3"/>
  <c r="K1529" i="3"/>
  <c r="F1529" i="3"/>
  <c r="N1529" i="3"/>
  <c r="M1529" i="3"/>
  <c r="Q1530" i="3"/>
  <c r="K1530" i="3"/>
  <c r="F1530" i="3"/>
  <c r="N1530" i="3"/>
  <c r="M1530" i="3"/>
  <c r="Q1531" i="3"/>
  <c r="K1531" i="3"/>
  <c r="F1531" i="3"/>
  <c r="N1531" i="3"/>
  <c r="M1531" i="3"/>
  <c r="Q1532" i="3"/>
  <c r="K1532" i="3"/>
  <c r="F1532" i="3"/>
  <c r="N1532" i="3"/>
  <c r="M1532" i="3"/>
  <c r="Q1533" i="3"/>
  <c r="K1533" i="3"/>
  <c r="F1533" i="3"/>
  <c r="N1533" i="3"/>
  <c r="M1533" i="3"/>
  <c r="Q1534" i="3"/>
  <c r="K1534" i="3"/>
  <c r="F1534" i="3"/>
  <c r="N1534" i="3"/>
  <c r="M1534" i="3"/>
  <c r="Q1535" i="3"/>
  <c r="K1535" i="3"/>
  <c r="F1535" i="3"/>
  <c r="N1535" i="3"/>
  <c r="M1535" i="3"/>
  <c r="Q1536" i="3"/>
  <c r="K1536" i="3"/>
  <c r="F1536" i="3"/>
  <c r="N1536" i="3"/>
  <c r="M1536" i="3"/>
  <c r="Q1537" i="3"/>
  <c r="K1537" i="3"/>
  <c r="F1537" i="3"/>
  <c r="N1537" i="3"/>
  <c r="M1537" i="3"/>
  <c r="Q1538" i="3"/>
  <c r="K1538" i="3"/>
  <c r="F1538" i="3"/>
  <c r="N1538" i="3"/>
  <c r="M1538" i="3"/>
  <c r="Q1539" i="3"/>
  <c r="K1539" i="3"/>
  <c r="F1539" i="3"/>
  <c r="N1539" i="3"/>
  <c r="M1539" i="3"/>
  <c r="Q1540" i="3"/>
  <c r="K1540" i="3"/>
  <c r="F1540" i="3"/>
  <c r="N1540" i="3"/>
  <c r="M1540" i="3"/>
  <c r="Q1541" i="3"/>
  <c r="K1541" i="3"/>
  <c r="F1541" i="3"/>
  <c r="N1541" i="3"/>
  <c r="M1541" i="3"/>
  <c r="Q1542" i="3"/>
  <c r="K1542" i="3"/>
  <c r="F1542" i="3"/>
  <c r="N1542" i="3"/>
  <c r="M1542" i="3"/>
  <c r="Q1543" i="3"/>
  <c r="K1543" i="3"/>
  <c r="F1543" i="3"/>
  <c r="N1543" i="3"/>
  <c r="M1543" i="3"/>
  <c r="Q1544" i="3"/>
  <c r="K1544" i="3"/>
  <c r="F1544" i="3"/>
  <c r="N1544" i="3"/>
  <c r="M1544" i="3"/>
  <c r="Q1545" i="3"/>
  <c r="K1545" i="3"/>
  <c r="F1545" i="3"/>
  <c r="N1545" i="3"/>
  <c r="M1545" i="3"/>
  <c r="Q1546" i="3"/>
  <c r="K1546" i="3"/>
  <c r="F1546" i="3"/>
  <c r="N1546" i="3"/>
  <c r="M1546" i="3"/>
  <c r="Q1547" i="3"/>
  <c r="K1547" i="3"/>
  <c r="F1547" i="3"/>
  <c r="N1547" i="3"/>
  <c r="M1547" i="3"/>
  <c r="Q1548" i="3"/>
  <c r="K1548" i="3"/>
  <c r="F1548" i="3"/>
  <c r="N1548" i="3"/>
  <c r="M1548" i="3"/>
  <c r="Q1549" i="3"/>
  <c r="K1549" i="3"/>
  <c r="F1549" i="3"/>
  <c r="N1549" i="3"/>
  <c r="M1549" i="3"/>
  <c r="Q1550" i="3"/>
  <c r="K1550" i="3"/>
  <c r="F1550" i="3"/>
  <c r="N1550" i="3"/>
  <c r="M1550" i="3"/>
  <c r="Q1551" i="3"/>
  <c r="K1551" i="3"/>
  <c r="F1551" i="3"/>
  <c r="N1551" i="3"/>
  <c r="M1551" i="3"/>
  <c r="Q1552" i="3"/>
  <c r="K1552" i="3"/>
  <c r="F1552" i="3"/>
  <c r="N1552" i="3"/>
  <c r="M1552" i="3"/>
  <c r="Q1553" i="3"/>
  <c r="K1553" i="3"/>
  <c r="F1553" i="3"/>
  <c r="N1553" i="3"/>
  <c r="M1553" i="3"/>
  <c r="Q1554" i="3"/>
  <c r="K1554" i="3"/>
  <c r="F1554" i="3"/>
  <c r="N1554" i="3"/>
  <c r="M1554" i="3"/>
  <c r="Q1555" i="3"/>
  <c r="K1555" i="3"/>
  <c r="F1555" i="3"/>
  <c r="N1555" i="3"/>
  <c r="M1555" i="3"/>
  <c r="Q1556" i="3"/>
  <c r="K1556" i="3"/>
  <c r="F1556" i="3"/>
  <c r="N1556" i="3"/>
  <c r="M1556" i="3"/>
  <c r="Q1557" i="3"/>
  <c r="K1557" i="3"/>
  <c r="F1557" i="3"/>
  <c r="N1557" i="3"/>
  <c r="M1557" i="3"/>
  <c r="Q1558" i="3"/>
  <c r="K1558" i="3"/>
  <c r="F1558" i="3"/>
  <c r="N1558" i="3"/>
  <c r="M1558" i="3"/>
  <c r="Q1559" i="3"/>
  <c r="K1559" i="3"/>
  <c r="F1559" i="3"/>
  <c r="N1559" i="3"/>
  <c r="M1559" i="3"/>
  <c r="Q1560" i="3"/>
  <c r="K1560" i="3"/>
  <c r="F1560" i="3"/>
  <c r="N1560" i="3"/>
  <c r="M1560" i="3"/>
  <c r="Q1561" i="3"/>
  <c r="K1561" i="3"/>
  <c r="F1561" i="3"/>
  <c r="N1561" i="3"/>
  <c r="M1561" i="3"/>
  <c r="Q1562" i="3"/>
  <c r="K1562" i="3"/>
  <c r="F1562" i="3"/>
  <c r="N1562" i="3"/>
  <c r="M1562" i="3"/>
  <c r="Q1563" i="3"/>
  <c r="K1563" i="3"/>
  <c r="F1563" i="3"/>
  <c r="N1563" i="3"/>
  <c r="M1563" i="3"/>
  <c r="Q1564" i="3"/>
  <c r="K1564" i="3"/>
  <c r="F1564" i="3"/>
  <c r="N1564" i="3"/>
  <c r="M1564" i="3"/>
  <c r="Q1565" i="3"/>
  <c r="K1565" i="3"/>
  <c r="F1565" i="3"/>
  <c r="N1565" i="3"/>
  <c r="M1565" i="3"/>
  <c r="Q1566" i="3"/>
  <c r="K1566" i="3"/>
  <c r="F1566" i="3"/>
  <c r="N1566" i="3"/>
  <c r="M1566" i="3"/>
  <c r="Q1567" i="3"/>
  <c r="K1567" i="3"/>
  <c r="F1567" i="3"/>
  <c r="N1567" i="3"/>
  <c r="M1567" i="3"/>
  <c r="Q1568" i="3"/>
  <c r="K1568" i="3"/>
  <c r="F1568" i="3"/>
  <c r="N1568" i="3"/>
  <c r="M1568" i="3"/>
  <c r="Q1569" i="3"/>
  <c r="K1569" i="3"/>
  <c r="F1569" i="3"/>
  <c r="N1569" i="3"/>
  <c r="M1569" i="3"/>
  <c r="Q1570" i="3"/>
  <c r="K1570" i="3"/>
  <c r="F1570" i="3"/>
  <c r="N1570" i="3"/>
  <c r="M1570" i="3"/>
  <c r="Q1571" i="3"/>
  <c r="K1571" i="3"/>
  <c r="F1571" i="3"/>
  <c r="N1571" i="3"/>
  <c r="M1571" i="3"/>
  <c r="Q1572" i="3"/>
  <c r="K1572" i="3"/>
  <c r="F1572" i="3"/>
  <c r="N1572" i="3"/>
  <c r="M1572" i="3"/>
  <c r="Q1573" i="3"/>
  <c r="K1573" i="3"/>
  <c r="F1573" i="3"/>
  <c r="N1573" i="3"/>
  <c r="M1573" i="3"/>
  <c r="Q1574" i="3"/>
  <c r="K1574" i="3"/>
  <c r="F1574" i="3"/>
  <c r="N1574" i="3"/>
  <c r="M1574" i="3"/>
  <c r="Q1575" i="3"/>
  <c r="K1575" i="3"/>
  <c r="F1575" i="3"/>
  <c r="N1575" i="3"/>
  <c r="M1575" i="3"/>
  <c r="Q1576" i="3"/>
  <c r="K1576" i="3"/>
  <c r="F1576" i="3"/>
  <c r="N1576" i="3"/>
  <c r="M1576" i="3"/>
  <c r="Q1577" i="3"/>
  <c r="K1577" i="3"/>
  <c r="F1577" i="3"/>
  <c r="N1577" i="3"/>
  <c r="M1577" i="3"/>
  <c r="Q1578" i="3"/>
  <c r="K1578" i="3"/>
  <c r="F1578" i="3"/>
  <c r="N1578" i="3"/>
  <c r="M1578" i="3"/>
  <c r="Q1579" i="3"/>
  <c r="K1579" i="3"/>
  <c r="F1579" i="3"/>
  <c r="N1579" i="3"/>
  <c r="M1579" i="3"/>
  <c r="Q1580" i="3"/>
  <c r="K1580" i="3"/>
  <c r="F1580" i="3"/>
  <c r="N1580" i="3"/>
  <c r="M1580" i="3"/>
  <c r="Q1581" i="3"/>
  <c r="K1581" i="3"/>
  <c r="F1581" i="3"/>
  <c r="N1581" i="3"/>
  <c r="M1581" i="3"/>
  <c r="Q1582" i="3"/>
  <c r="K1582" i="3"/>
  <c r="F1582" i="3"/>
  <c r="N1582" i="3"/>
  <c r="M1582" i="3"/>
  <c r="Q1583" i="3"/>
  <c r="K1583" i="3"/>
  <c r="F1583" i="3"/>
  <c r="N1583" i="3"/>
  <c r="M1583" i="3"/>
  <c r="Q1584" i="3"/>
  <c r="K1584" i="3"/>
  <c r="F1584" i="3"/>
  <c r="N1584" i="3"/>
  <c r="M1584" i="3"/>
  <c r="Q1585" i="3"/>
  <c r="K1585" i="3"/>
  <c r="F1585" i="3"/>
  <c r="N1585" i="3"/>
  <c r="M1585" i="3"/>
  <c r="Q1586" i="3"/>
  <c r="K1586" i="3"/>
  <c r="F1586" i="3"/>
  <c r="N1586" i="3"/>
  <c r="M1586" i="3"/>
  <c r="Q1587" i="3"/>
  <c r="K1587" i="3"/>
  <c r="F1587" i="3"/>
  <c r="N1587" i="3"/>
  <c r="M1587" i="3"/>
  <c r="Q1588" i="3"/>
  <c r="K1588" i="3"/>
  <c r="F1588" i="3"/>
  <c r="N1588" i="3"/>
  <c r="M1588" i="3"/>
  <c r="Q1589" i="3"/>
  <c r="K1589" i="3"/>
  <c r="F1589" i="3"/>
  <c r="N1589" i="3"/>
  <c r="M1589" i="3"/>
  <c r="Q1590" i="3"/>
  <c r="K1590" i="3"/>
  <c r="F1590" i="3"/>
  <c r="N1590" i="3"/>
  <c r="M1590" i="3"/>
  <c r="Q1591" i="3"/>
  <c r="K1591" i="3"/>
  <c r="F1591" i="3"/>
  <c r="N1591" i="3"/>
  <c r="M1591" i="3"/>
  <c r="Q1592" i="3"/>
  <c r="K1592" i="3"/>
  <c r="F1592" i="3"/>
  <c r="N1592" i="3"/>
  <c r="M1592" i="3"/>
  <c r="Q1593" i="3"/>
  <c r="K1593" i="3"/>
  <c r="F1593" i="3"/>
  <c r="N1593" i="3"/>
  <c r="M1593" i="3"/>
  <c r="Q1594" i="3"/>
  <c r="K1594" i="3"/>
  <c r="F1594" i="3"/>
  <c r="N1594" i="3"/>
  <c r="M1594" i="3"/>
  <c r="Q1595" i="3"/>
  <c r="K1595" i="3"/>
  <c r="F1595" i="3"/>
  <c r="N1595" i="3"/>
  <c r="M1595" i="3"/>
  <c r="Q1596" i="3"/>
  <c r="K1596" i="3"/>
  <c r="F1596" i="3"/>
  <c r="N1596" i="3"/>
  <c r="M1596" i="3"/>
  <c r="Q1597" i="3"/>
  <c r="K1597" i="3"/>
  <c r="F1597" i="3"/>
  <c r="N1597" i="3"/>
  <c r="M1597" i="3"/>
  <c r="Q1598" i="3"/>
  <c r="K1598" i="3"/>
  <c r="F1598" i="3"/>
  <c r="N1598" i="3"/>
  <c r="M1598" i="3"/>
  <c r="Q1599" i="3"/>
  <c r="K1599" i="3"/>
  <c r="F1599" i="3"/>
  <c r="N1599" i="3"/>
  <c r="M1599" i="3"/>
  <c r="Q1600" i="3"/>
  <c r="K1600" i="3"/>
  <c r="F1600" i="3"/>
  <c r="N1600" i="3"/>
  <c r="M1600" i="3"/>
  <c r="Q1601" i="3"/>
  <c r="K1601" i="3"/>
  <c r="F1601" i="3"/>
  <c r="N1601" i="3"/>
  <c r="M1601" i="3"/>
  <c r="Q1602" i="3"/>
  <c r="K1602" i="3"/>
  <c r="F1602" i="3"/>
  <c r="N1602" i="3"/>
  <c r="M1602" i="3"/>
  <c r="Q1603" i="3"/>
  <c r="K1603" i="3"/>
  <c r="F1603" i="3"/>
  <c r="N1603" i="3"/>
  <c r="M1603" i="3"/>
  <c r="Q1604" i="3"/>
  <c r="K1604" i="3"/>
  <c r="F1604" i="3"/>
  <c r="N1604" i="3"/>
  <c r="M1604" i="3"/>
  <c r="Q1605" i="3"/>
  <c r="K1605" i="3"/>
  <c r="F1605" i="3"/>
  <c r="N1605" i="3"/>
  <c r="M1605" i="3"/>
  <c r="Q1606" i="3"/>
  <c r="K1606" i="3"/>
  <c r="F1606" i="3"/>
  <c r="N1606" i="3"/>
  <c r="M1606" i="3"/>
  <c r="Q1607" i="3"/>
  <c r="K1607" i="3"/>
  <c r="F1607" i="3"/>
  <c r="N1607" i="3"/>
  <c r="M1607" i="3"/>
  <c r="Q1608" i="3"/>
  <c r="K1608" i="3"/>
  <c r="F1608" i="3"/>
  <c r="N1608" i="3"/>
  <c r="M1608" i="3"/>
  <c r="Q1609" i="3"/>
  <c r="K1609" i="3"/>
  <c r="F1609" i="3"/>
  <c r="N1609" i="3"/>
  <c r="M1609" i="3"/>
  <c r="Q1610" i="3"/>
  <c r="K1610" i="3"/>
  <c r="F1610" i="3"/>
  <c r="N1610" i="3"/>
  <c r="M1610" i="3"/>
  <c r="Q1611" i="3"/>
  <c r="K1611" i="3"/>
  <c r="F1611" i="3"/>
  <c r="N1611" i="3"/>
  <c r="M1611" i="3"/>
  <c r="Q1612" i="3"/>
  <c r="K1612" i="3"/>
  <c r="F1612" i="3"/>
  <c r="N1612" i="3"/>
  <c r="M1612" i="3"/>
  <c r="Q1613" i="3"/>
  <c r="K1613" i="3"/>
  <c r="F1613" i="3"/>
  <c r="N1613" i="3"/>
  <c r="M1613" i="3"/>
  <c r="Q1614" i="3"/>
  <c r="K1614" i="3"/>
  <c r="F1614" i="3"/>
  <c r="N1614" i="3"/>
  <c r="M1614" i="3"/>
  <c r="Q1615" i="3"/>
  <c r="K1615" i="3"/>
  <c r="F1615" i="3"/>
  <c r="N1615" i="3"/>
  <c r="M1615" i="3"/>
  <c r="Q1616" i="3"/>
  <c r="K1616" i="3"/>
  <c r="F1616" i="3"/>
  <c r="N1616" i="3"/>
  <c r="M1616" i="3"/>
  <c r="Q1617" i="3"/>
  <c r="K1617" i="3"/>
  <c r="F1617" i="3"/>
  <c r="N1617" i="3"/>
  <c r="M1617" i="3"/>
  <c r="Q1618" i="3"/>
  <c r="K1618" i="3"/>
  <c r="F1618" i="3"/>
  <c r="N1618" i="3"/>
  <c r="M1618" i="3"/>
  <c r="Q1619" i="3"/>
  <c r="K1619" i="3"/>
  <c r="F1619" i="3"/>
  <c r="N1619" i="3"/>
  <c r="M1619" i="3"/>
  <c r="Q1620" i="3"/>
  <c r="K1620" i="3"/>
  <c r="F1620" i="3"/>
  <c r="N1620" i="3"/>
  <c r="M1620" i="3"/>
  <c r="Q1621" i="3"/>
  <c r="K1621" i="3"/>
  <c r="F1621" i="3"/>
  <c r="N1621" i="3"/>
  <c r="M1621" i="3"/>
  <c r="Q1622" i="3"/>
  <c r="K1622" i="3"/>
  <c r="F1622" i="3"/>
  <c r="N1622" i="3"/>
  <c r="M1622" i="3"/>
  <c r="Q1623" i="3"/>
  <c r="K1623" i="3"/>
  <c r="F1623" i="3"/>
  <c r="N1623" i="3"/>
  <c r="M1623" i="3"/>
  <c r="Q1624" i="3"/>
  <c r="K1624" i="3"/>
  <c r="F1624" i="3"/>
  <c r="N1624" i="3"/>
  <c r="M1624" i="3"/>
  <c r="Q1625" i="3"/>
  <c r="K1625" i="3"/>
  <c r="F1625" i="3"/>
  <c r="N1625" i="3"/>
  <c r="M1625" i="3"/>
  <c r="Q1626" i="3"/>
  <c r="K1626" i="3"/>
  <c r="F1626" i="3"/>
  <c r="N1626" i="3"/>
  <c r="M1626" i="3"/>
  <c r="Q1627" i="3"/>
  <c r="K1627" i="3"/>
  <c r="F1627" i="3"/>
  <c r="N1627" i="3"/>
  <c r="M1627" i="3"/>
  <c r="Q1628" i="3"/>
  <c r="K1628" i="3"/>
  <c r="F1628" i="3"/>
  <c r="N1628" i="3"/>
  <c r="M1628" i="3"/>
  <c r="Q1629" i="3"/>
  <c r="K1629" i="3"/>
  <c r="F1629" i="3"/>
  <c r="N1629" i="3"/>
  <c r="M1629" i="3"/>
  <c r="Q1630" i="3"/>
  <c r="K1630" i="3"/>
  <c r="F1630" i="3"/>
  <c r="N1630" i="3"/>
  <c r="M1630" i="3"/>
  <c r="Q1631" i="3"/>
  <c r="K1631" i="3"/>
  <c r="F1631" i="3"/>
  <c r="N1631" i="3"/>
  <c r="M1631" i="3"/>
  <c r="Q1632" i="3"/>
  <c r="K1632" i="3"/>
  <c r="F1632" i="3"/>
  <c r="N1632" i="3"/>
  <c r="M1632" i="3"/>
  <c r="Q1633" i="3"/>
  <c r="K1633" i="3"/>
  <c r="F1633" i="3"/>
  <c r="N1633" i="3"/>
  <c r="M1633" i="3"/>
  <c r="Q1634" i="3"/>
  <c r="K1634" i="3"/>
  <c r="F1634" i="3"/>
  <c r="N1634" i="3"/>
  <c r="M1634" i="3"/>
  <c r="Q1635" i="3"/>
  <c r="K1635" i="3"/>
  <c r="F1635" i="3"/>
  <c r="N1635" i="3"/>
  <c r="M1635" i="3"/>
  <c r="Q1636" i="3"/>
  <c r="K1636" i="3"/>
  <c r="F1636" i="3"/>
  <c r="N1636" i="3"/>
  <c r="M1636" i="3"/>
  <c r="Q1637" i="3"/>
  <c r="K1637" i="3"/>
  <c r="F1637" i="3"/>
  <c r="N1637" i="3"/>
  <c r="M1637" i="3"/>
  <c r="Q1638" i="3"/>
  <c r="K1638" i="3"/>
  <c r="F1638" i="3"/>
  <c r="N1638" i="3"/>
  <c r="M1638" i="3"/>
  <c r="Q1639" i="3"/>
  <c r="K1639" i="3"/>
  <c r="F1639" i="3"/>
  <c r="N1639" i="3"/>
  <c r="M1639" i="3"/>
  <c r="Q1640" i="3"/>
  <c r="K1640" i="3"/>
  <c r="F1640" i="3"/>
  <c r="N1640" i="3"/>
  <c r="M1640" i="3"/>
  <c r="Q1641" i="3"/>
  <c r="K1641" i="3"/>
  <c r="F1641" i="3"/>
  <c r="N1641" i="3"/>
  <c r="M1641" i="3"/>
  <c r="Q1642" i="3"/>
  <c r="K1642" i="3"/>
  <c r="F1642" i="3"/>
  <c r="N1642" i="3"/>
  <c r="M1642" i="3"/>
  <c r="Q1643" i="3"/>
  <c r="K1643" i="3"/>
  <c r="F1643" i="3"/>
  <c r="N1643" i="3"/>
  <c r="M1643" i="3"/>
  <c r="Q1644" i="3"/>
  <c r="K1644" i="3"/>
  <c r="F1644" i="3"/>
  <c r="N1644" i="3"/>
  <c r="M1644" i="3"/>
  <c r="Q1645" i="3"/>
  <c r="K1645" i="3"/>
  <c r="F1645" i="3"/>
  <c r="N1645" i="3"/>
  <c r="M1645" i="3"/>
  <c r="Q1646" i="3"/>
  <c r="K1646" i="3"/>
  <c r="F1646" i="3"/>
  <c r="N1646" i="3"/>
  <c r="M1646" i="3"/>
  <c r="Q1647" i="3"/>
  <c r="K1647" i="3"/>
  <c r="F1647" i="3"/>
  <c r="N1647" i="3"/>
  <c r="M1647" i="3"/>
  <c r="Q1648" i="3"/>
  <c r="K1648" i="3"/>
  <c r="F1648" i="3"/>
  <c r="N1648" i="3"/>
  <c r="M1648" i="3"/>
  <c r="Q1649" i="3"/>
  <c r="K1649" i="3"/>
  <c r="F1649" i="3"/>
  <c r="N1649" i="3"/>
  <c r="M1649" i="3"/>
  <c r="Q1650" i="3"/>
  <c r="K1650" i="3"/>
  <c r="F1650" i="3"/>
  <c r="N1650" i="3"/>
  <c r="M1650" i="3"/>
  <c r="Q1651" i="3"/>
  <c r="K1651" i="3"/>
  <c r="F1651" i="3"/>
  <c r="N1651" i="3"/>
  <c r="M1651" i="3"/>
  <c r="Q1652" i="3"/>
  <c r="K1652" i="3"/>
  <c r="F1652" i="3"/>
  <c r="N1652" i="3"/>
  <c r="M1652" i="3"/>
  <c r="Q1653" i="3"/>
  <c r="K1653" i="3"/>
  <c r="F1653" i="3"/>
  <c r="N1653" i="3"/>
  <c r="M1653" i="3"/>
  <c r="Q1654" i="3"/>
  <c r="K1654" i="3"/>
  <c r="F1654" i="3"/>
  <c r="N1654" i="3"/>
  <c r="M1654" i="3"/>
  <c r="Q1655" i="3"/>
  <c r="K1655" i="3"/>
  <c r="F1655" i="3"/>
  <c r="N1655" i="3"/>
  <c r="M1655" i="3"/>
  <c r="Q1656" i="3"/>
  <c r="K1656" i="3"/>
  <c r="F1656" i="3"/>
  <c r="N1656" i="3"/>
  <c r="M1656" i="3"/>
  <c r="Q1657" i="3"/>
  <c r="K1657" i="3"/>
  <c r="F1657" i="3"/>
  <c r="N1657" i="3"/>
  <c r="M1657" i="3"/>
  <c r="Q1658" i="3"/>
  <c r="K1658" i="3"/>
  <c r="F1658" i="3"/>
  <c r="N1658" i="3"/>
  <c r="M1658" i="3"/>
  <c r="Q1659" i="3"/>
  <c r="K1659" i="3"/>
  <c r="F1659" i="3"/>
  <c r="N1659" i="3"/>
  <c r="M1659" i="3"/>
  <c r="Q1660" i="3"/>
  <c r="K1660" i="3"/>
  <c r="F1660" i="3"/>
  <c r="N1660" i="3"/>
  <c r="M1660" i="3"/>
  <c r="Q1661" i="3"/>
  <c r="K1661" i="3"/>
  <c r="F1661" i="3"/>
  <c r="N1661" i="3"/>
  <c r="M1661" i="3"/>
  <c r="Q1662" i="3"/>
  <c r="K1662" i="3"/>
  <c r="F1662" i="3"/>
  <c r="N1662" i="3"/>
  <c r="M1662" i="3"/>
  <c r="Q1663" i="3"/>
  <c r="K1663" i="3"/>
  <c r="F1663" i="3"/>
  <c r="N1663" i="3"/>
  <c r="M1663" i="3"/>
  <c r="Q1664" i="3"/>
  <c r="K1664" i="3"/>
  <c r="F1664" i="3"/>
  <c r="N1664" i="3"/>
  <c r="M1664" i="3"/>
  <c r="Q1665" i="3"/>
  <c r="K1665" i="3"/>
  <c r="F1665" i="3"/>
  <c r="N1665" i="3"/>
  <c r="M1665" i="3"/>
  <c r="Q1666" i="3"/>
  <c r="K1666" i="3"/>
  <c r="F1666" i="3"/>
  <c r="N1666" i="3"/>
  <c r="M1666" i="3"/>
  <c r="Q1667" i="3"/>
  <c r="K1667" i="3"/>
  <c r="F1667" i="3"/>
  <c r="N1667" i="3"/>
  <c r="M1667" i="3"/>
  <c r="Q1668" i="3"/>
  <c r="K1668" i="3"/>
  <c r="F1668" i="3"/>
  <c r="N1668" i="3"/>
  <c r="M1668" i="3"/>
  <c r="Q1669" i="3"/>
  <c r="K1669" i="3"/>
  <c r="F1669" i="3"/>
  <c r="N1669" i="3"/>
  <c r="M1669" i="3"/>
  <c r="Q1670" i="3"/>
  <c r="K1670" i="3"/>
  <c r="F1670" i="3"/>
  <c r="N1670" i="3"/>
  <c r="M1670" i="3"/>
  <c r="Q1671" i="3"/>
  <c r="K1671" i="3"/>
  <c r="F1671" i="3"/>
  <c r="N1671" i="3"/>
  <c r="M1671" i="3"/>
  <c r="Q1672" i="3"/>
  <c r="K1672" i="3"/>
  <c r="F1672" i="3"/>
  <c r="N1672" i="3"/>
  <c r="M1672" i="3"/>
  <c r="Q1673" i="3"/>
  <c r="K1673" i="3"/>
  <c r="F1673" i="3"/>
  <c r="N1673" i="3"/>
  <c r="M1673" i="3"/>
  <c r="Q1674" i="3"/>
  <c r="K1674" i="3"/>
  <c r="F1674" i="3"/>
  <c r="N1674" i="3"/>
  <c r="M1674" i="3"/>
  <c r="Q1675" i="3"/>
  <c r="K1675" i="3"/>
  <c r="F1675" i="3"/>
  <c r="N1675" i="3"/>
  <c r="M1675" i="3"/>
  <c r="Q1676" i="3"/>
  <c r="K1676" i="3"/>
  <c r="F1676" i="3"/>
  <c r="N1676" i="3"/>
  <c r="M1676" i="3"/>
  <c r="Q1677" i="3"/>
  <c r="K1677" i="3"/>
  <c r="F1677" i="3"/>
  <c r="N1677" i="3"/>
  <c r="M1677" i="3"/>
  <c r="Q1678" i="3"/>
  <c r="K1678" i="3"/>
  <c r="F1678" i="3"/>
  <c r="N1678" i="3"/>
  <c r="M1678" i="3"/>
  <c r="Q1679" i="3"/>
  <c r="K1679" i="3"/>
  <c r="F1679" i="3"/>
  <c r="N1679" i="3"/>
  <c r="M1679" i="3"/>
  <c r="Q1680" i="3"/>
  <c r="K1680" i="3"/>
  <c r="F1680" i="3"/>
  <c r="N1680" i="3"/>
  <c r="M1680" i="3"/>
  <c r="Q1681" i="3"/>
  <c r="K1681" i="3"/>
  <c r="F1681" i="3"/>
  <c r="N1681" i="3"/>
  <c r="M1681" i="3"/>
  <c r="Q1682" i="3"/>
  <c r="K1682" i="3"/>
  <c r="F1682" i="3"/>
  <c r="N1682" i="3"/>
  <c r="M1682" i="3"/>
  <c r="Q1683" i="3"/>
  <c r="K1683" i="3"/>
  <c r="F1683" i="3"/>
  <c r="N1683" i="3"/>
  <c r="M1683" i="3"/>
  <c r="Q1684" i="3"/>
  <c r="K1684" i="3"/>
  <c r="F1684" i="3"/>
  <c r="N1684" i="3"/>
  <c r="M1684" i="3"/>
  <c r="Q1685" i="3"/>
  <c r="K1685" i="3"/>
  <c r="F1685" i="3"/>
  <c r="N1685" i="3"/>
  <c r="M1685" i="3"/>
  <c r="Q1686" i="3"/>
  <c r="K1686" i="3"/>
  <c r="F1686" i="3"/>
  <c r="N1686" i="3"/>
  <c r="M1686" i="3"/>
  <c r="Q1687" i="3"/>
  <c r="K1687" i="3"/>
  <c r="F1687" i="3"/>
  <c r="N1687" i="3"/>
  <c r="M1687" i="3"/>
  <c r="Q1688" i="3"/>
  <c r="K1688" i="3"/>
  <c r="F1688" i="3"/>
  <c r="N1688" i="3"/>
  <c r="M1688" i="3"/>
  <c r="Q1689" i="3"/>
  <c r="K1689" i="3"/>
  <c r="F1689" i="3"/>
  <c r="N1689" i="3"/>
  <c r="M1689" i="3"/>
  <c r="Q1690" i="3"/>
  <c r="K1690" i="3"/>
  <c r="F1690" i="3"/>
  <c r="N1690" i="3"/>
  <c r="M1690" i="3"/>
  <c r="Q1691" i="3"/>
  <c r="K1691" i="3"/>
  <c r="F1691" i="3"/>
  <c r="N1691" i="3"/>
  <c r="M1691" i="3"/>
  <c r="Q1692" i="3"/>
  <c r="K1692" i="3"/>
  <c r="F1692" i="3"/>
  <c r="N1692" i="3"/>
  <c r="M1692" i="3"/>
  <c r="Q1693" i="3"/>
  <c r="K1693" i="3"/>
  <c r="F1693" i="3"/>
  <c r="N1693" i="3"/>
  <c r="M1693" i="3"/>
  <c r="Q1694" i="3"/>
  <c r="K1694" i="3"/>
  <c r="F1694" i="3"/>
  <c r="N1694" i="3"/>
  <c r="M1694" i="3"/>
  <c r="Q1695" i="3"/>
  <c r="K1695" i="3"/>
  <c r="F1695" i="3"/>
  <c r="N1695" i="3"/>
  <c r="M1695" i="3"/>
  <c r="Q1696" i="3"/>
  <c r="K1696" i="3"/>
  <c r="F1696" i="3"/>
  <c r="N1696" i="3"/>
  <c r="M1696" i="3"/>
  <c r="Q1697" i="3"/>
  <c r="K1697" i="3"/>
  <c r="F1697" i="3"/>
  <c r="N1697" i="3"/>
  <c r="M1697" i="3"/>
  <c r="Q1698" i="3"/>
  <c r="K1698" i="3"/>
  <c r="F1698" i="3"/>
  <c r="N1698" i="3"/>
  <c r="M1698" i="3"/>
  <c r="Q1699" i="3"/>
  <c r="K1699" i="3"/>
  <c r="F1699" i="3"/>
  <c r="N1699" i="3"/>
  <c r="M1699" i="3"/>
  <c r="Q1700" i="3"/>
  <c r="K1700" i="3"/>
  <c r="F1700" i="3"/>
  <c r="N1700" i="3"/>
  <c r="M1700" i="3"/>
  <c r="Q1701" i="3"/>
  <c r="K1701" i="3"/>
  <c r="F1701" i="3"/>
  <c r="N1701" i="3"/>
  <c r="M1701" i="3"/>
  <c r="Q1702" i="3"/>
  <c r="K1702" i="3"/>
  <c r="F1702" i="3"/>
  <c r="N1702" i="3"/>
  <c r="M1702" i="3"/>
  <c r="Q1703" i="3"/>
  <c r="K1703" i="3"/>
  <c r="F1703" i="3"/>
  <c r="N1703" i="3"/>
  <c r="M1703" i="3"/>
  <c r="Q1704" i="3"/>
  <c r="K1704" i="3"/>
  <c r="F1704" i="3"/>
  <c r="N1704" i="3"/>
  <c r="M1704" i="3"/>
  <c r="Q1705" i="3"/>
  <c r="K1705" i="3"/>
  <c r="F1705" i="3"/>
  <c r="N1705" i="3"/>
  <c r="M1705" i="3"/>
  <c r="Q1706" i="3"/>
  <c r="K1706" i="3"/>
  <c r="F1706" i="3"/>
  <c r="N1706" i="3"/>
  <c r="M1706" i="3"/>
  <c r="Q1707" i="3"/>
  <c r="K1707" i="3"/>
  <c r="F1707" i="3"/>
  <c r="N1707" i="3"/>
  <c r="M1707" i="3"/>
  <c r="Q1708" i="3"/>
  <c r="K1708" i="3"/>
  <c r="F1708" i="3"/>
  <c r="N1708" i="3"/>
  <c r="M1708" i="3"/>
  <c r="Q1709" i="3"/>
  <c r="K1709" i="3"/>
  <c r="F1709" i="3"/>
  <c r="N1709" i="3"/>
  <c r="M1709" i="3"/>
  <c r="Q1710" i="3"/>
  <c r="K1710" i="3"/>
  <c r="F1710" i="3"/>
  <c r="N1710" i="3"/>
  <c r="M1710" i="3"/>
  <c r="Q1711" i="3"/>
  <c r="K1711" i="3"/>
  <c r="F1711" i="3"/>
  <c r="N1711" i="3"/>
  <c r="M1711" i="3"/>
  <c r="Q1712" i="3"/>
  <c r="K1712" i="3"/>
  <c r="F1712" i="3"/>
  <c r="N1712" i="3"/>
  <c r="M1712" i="3"/>
  <c r="Q1713" i="3"/>
  <c r="K1713" i="3"/>
  <c r="F1713" i="3"/>
  <c r="N1713" i="3"/>
  <c r="M1713" i="3"/>
  <c r="Q1714" i="3"/>
  <c r="K1714" i="3"/>
  <c r="F1714" i="3"/>
  <c r="N1714" i="3"/>
  <c r="M1714" i="3"/>
  <c r="Q1715" i="3"/>
  <c r="K1715" i="3"/>
  <c r="F1715" i="3"/>
  <c r="N1715" i="3"/>
  <c r="M1715" i="3"/>
  <c r="Q1716" i="3"/>
  <c r="K1716" i="3"/>
  <c r="F1716" i="3"/>
  <c r="N1716" i="3"/>
  <c r="M1716" i="3"/>
  <c r="Q1717" i="3"/>
  <c r="K1717" i="3"/>
  <c r="F1717" i="3"/>
  <c r="N1717" i="3"/>
  <c r="M1717" i="3"/>
  <c r="Q1718" i="3"/>
  <c r="K1718" i="3"/>
  <c r="F1718" i="3"/>
  <c r="N1718" i="3"/>
  <c r="M1718" i="3"/>
  <c r="Q1719" i="3"/>
  <c r="K1719" i="3"/>
  <c r="F1719" i="3"/>
  <c r="N1719" i="3"/>
  <c r="M1719" i="3"/>
  <c r="Q1720" i="3"/>
  <c r="K1720" i="3"/>
  <c r="F1720" i="3"/>
  <c r="N1720" i="3"/>
  <c r="M1720" i="3"/>
  <c r="Q1721" i="3"/>
  <c r="K1721" i="3"/>
  <c r="F1721" i="3"/>
  <c r="N1721" i="3"/>
  <c r="M1721" i="3"/>
  <c r="Q1722" i="3"/>
  <c r="K1722" i="3"/>
  <c r="F1722" i="3"/>
  <c r="N1722" i="3"/>
  <c r="M1722" i="3"/>
  <c r="Q1723" i="3"/>
  <c r="K1723" i="3"/>
  <c r="F1723" i="3"/>
  <c r="N1723" i="3"/>
  <c r="M1723" i="3"/>
  <c r="Q1724" i="3"/>
  <c r="K1724" i="3"/>
  <c r="F1724" i="3"/>
  <c r="N1724" i="3"/>
  <c r="M1724" i="3"/>
  <c r="Q1725" i="3"/>
  <c r="K1725" i="3"/>
  <c r="F1725" i="3"/>
  <c r="N1725" i="3"/>
  <c r="M1725" i="3"/>
  <c r="Q1726" i="3"/>
  <c r="K1726" i="3"/>
  <c r="F1726" i="3"/>
  <c r="N1726" i="3"/>
  <c r="M1726" i="3"/>
  <c r="Q1727" i="3"/>
  <c r="K1727" i="3"/>
  <c r="F1727" i="3"/>
  <c r="N1727" i="3"/>
  <c r="M1727" i="3"/>
  <c r="Q1728" i="3"/>
  <c r="K1728" i="3"/>
  <c r="F1728" i="3"/>
  <c r="N1728" i="3"/>
  <c r="M1728" i="3"/>
  <c r="Q1729" i="3"/>
  <c r="K1729" i="3"/>
  <c r="F1729" i="3"/>
  <c r="N1729" i="3"/>
  <c r="M1729" i="3"/>
  <c r="Q1730" i="3"/>
  <c r="K1730" i="3"/>
  <c r="F1730" i="3"/>
  <c r="N1730" i="3"/>
  <c r="M1730" i="3"/>
  <c r="Q1731" i="3"/>
  <c r="K1731" i="3"/>
  <c r="F1731" i="3"/>
  <c r="N1731" i="3"/>
  <c r="M1731" i="3"/>
  <c r="Q1732" i="3"/>
  <c r="K1732" i="3"/>
  <c r="F1732" i="3"/>
  <c r="N1732" i="3"/>
  <c r="M1732" i="3"/>
  <c r="Q1733" i="3"/>
  <c r="K1733" i="3"/>
  <c r="F1733" i="3"/>
  <c r="N1733" i="3"/>
  <c r="M1733" i="3"/>
  <c r="Q1734" i="3"/>
  <c r="K1734" i="3"/>
  <c r="F1734" i="3"/>
  <c r="N1734" i="3"/>
  <c r="M1734" i="3"/>
  <c r="Q1735" i="3"/>
  <c r="K1735" i="3"/>
  <c r="F1735" i="3"/>
  <c r="N1735" i="3"/>
  <c r="M1735" i="3"/>
  <c r="Q1736" i="3"/>
  <c r="K1736" i="3"/>
  <c r="F1736" i="3"/>
  <c r="N1736" i="3"/>
  <c r="M1736" i="3"/>
  <c r="Q1737" i="3"/>
  <c r="K1737" i="3"/>
  <c r="F1737" i="3"/>
  <c r="N1737" i="3"/>
  <c r="M1737" i="3"/>
</calcChain>
</file>

<file path=xl/sharedStrings.xml><?xml version="1.0" encoding="utf-8"?>
<sst xmlns="http://schemas.openxmlformats.org/spreadsheetml/2006/main" count="1185" uniqueCount="380">
  <si>
    <t>CST_IBS_CBS</t>
  </si>
  <si>
    <t>Descrição CST</t>
  </si>
  <si>
    <t>Redução de BC?</t>
  </si>
  <si>
    <t>Redução de Alíquota?</t>
  </si>
  <si>
    <t>Exclusão de BC?</t>
  </si>
  <si>
    <t>Tratamento (resumo)</t>
  </si>
  <si>
    <t>Fonte</t>
  </si>
  <si>
    <t>000</t>
  </si>
  <si>
    <t>Tributação integral</t>
  </si>
  <si>
    <t>NÃO</t>
  </si>
  <si>
    <t>https://dfe-portal.svrs.rs.gov.br/CFF/ClassificacaoTributaria</t>
  </si>
  <si>
    <t>010</t>
  </si>
  <si>
    <t>Tributação com alíquotas uniformes</t>
  </si>
  <si>
    <t>Tributação (alíquota uniforme)</t>
  </si>
  <si>
    <t>011</t>
  </si>
  <si>
    <t>Tributação com alíquotas uniformes reduzidas</t>
  </si>
  <si>
    <t>SIM</t>
  </si>
  <si>
    <t>Tributação com alíquota reduzida</t>
  </si>
  <si>
    <t>200</t>
  </si>
  <si>
    <t>Alíquota reduzida</t>
  </si>
  <si>
    <t>220</t>
  </si>
  <si>
    <t>Alíquota fixa</t>
  </si>
  <si>
    <t>Tributação com alíquota fixa</t>
  </si>
  <si>
    <t>221</t>
  </si>
  <si>
    <t>Alíquota fixa proporcional</t>
  </si>
  <si>
    <t>222</t>
  </si>
  <si>
    <t>Redução de Base de Cálculo</t>
  </si>
  <si>
    <t>Tributação com redução de base (informar % redução)</t>
  </si>
  <si>
    <t>400</t>
  </si>
  <si>
    <t>Isenção</t>
  </si>
  <si>
    <t>Sem débito (isenção/imunidade/suspensão)</t>
  </si>
  <si>
    <t>410</t>
  </si>
  <si>
    <t>Imunidade e não incidência</t>
  </si>
  <si>
    <t>510</t>
  </si>
  <si>
    <t>Diferimento</t>
  </si>
  <si>
    <t>515</t>
  </si>
  <si>
    <t>Diferimento com redução de alíquota</t>
  </si>
  <si>
    <t>Diferimento + alíquota reduzida</t>
  </si>
  <si>
    <t>550</t>
  </si>
  <si>
    <t>Suspensão</t>
  </si>
  <si>
    <t>620</t>
  </si>
  <si>
    <t>Tributação Monofásica</t>
  </si>
  <si>
    <t>Monofásica</t>
  </si>
  <si>
    <t>800</t>
  </si>
  <si>
    <t>Transferência de crédito</t>
  </si>
  <si>
    <t>Ajuste/declaração/regra específica</t>
  </si>
  <si>
    <t>810</t>
  </si>
  <si>
    <t>Ajuste de IBS na ZFM</t>
  </si>
  <si>
    <t>811</t>
  </si>
  <si>
    <t>Ajustes</t>
  </si>
  <si>
    <t>820</t>
  </si>
  <si>
    <t>Tributação em declaração de regime específico</t>
  </si>
  <si>
    <t>830</t>
  </si>
  <si>
    <t>Exclusão da Base de Cálculo</t>
  </si>
  <si>
    <t>Exclusão de base (base = 0 para a parcela excluída)</t>
  </si>
  <si>
    <t>cClassTrib</t>
  </si>
  <si>
    <t>Descrição</t>
  </si>
  <si>
    <t>CST (derivado)</t>
  </si>
  <si>
    <t>000001</t>
  </si>
  <si>
    <t>Situações tributadas integralmente pelo IBS e CBS</t>
  </si>
  <si>
    <t>000002</t>
  </si>
  <si>
    <t>Exploração de via</t>
  </si>
  <si>
    <t>000003</t>
  </si>
  <si>
    <t>Regime automotivo - projetos incentivados (art. 311)</t>
  </si>
  <si>
    <t>000004</t>
  </si>
  <si>
    <t>Regime automotivo - projetos incentivados (art. 312)</t>
  </si>
  <si>
    <t>010001</t>
  </si>
  <si>
    <t>Operações do FGTS não realizadas pela Caixa Econômica Federal</t>
  </si>
  <si>
    <t>010002</t>
  </si>
  <si>
    <t>Operações do serviço financeiro</t>
  </si>
  <si>
    <t>011001</t>
  </si>
  <si>
    <t>Planos de assistência funerária</t>
  </si>
  <si>
    <t>011002</t>
  </si>
  <si>
    <t>Planos de assistência à saúde</t>
  </si>
  <si>
    <t>011003</t>
  </si>
  <si>
    <t>Intermediação de planos de assistência à saúde</t>
  </si>
  <si>
    <t>011004</t>
  </si>
  <si>
    <t>Concursos e prognósticos</t>
  </si>
  <si>
    <t>011005</t>
  </si>
  <si>
    <t>Planos de assistência à saúde de animais domésticos</t>
  </si>
  <si>
    <t>200001</t>
  </si>
  <si>
    <t>Aquisições realizadas entre empresas autorizadas a operar em zonas de processamento de exportação</t>
  </si>
  <si>
    <t>200002</t>
  </si>
  <si>
    <t>Fornecimento ou importação para produtor rural não contribuinte ou TAC</t>
  </si>
  <si>
    <t>200003</t>
  </si>
  <si>
    <t>Vendas de produtos destinados à alimentação humana (Anexo I)</t>
  </si>
  <si>
    <t>200004</t>
  </si>
  <si>
    <t>Venda de dispositivos médicos (Anexo XII)</t>
  </si>
  <si>
    <t>200005</t>
  </si>
  <si>
    <t>Venda de dispositivos médicos adquiridos por órgãos da administração pública (Anexo IV)</t>
  </si>
  <si>
    <t>200006</t>
  </si>
  <si>
    <t>Situação de emergência de saúde pública reconhecida pelo Poder público (Anexo XII)</t>
  </si>
  <si>
    <t>200007</t>
  </si>
  <si>
    <t>Fornecimento dos dispositivos de acessibilidade próprios para pessoas com deficiência (Anexo XIII)</t>
  </si>
  <si>
    <t>200008</t>
  </si>
  <si>
    <t>Fornecimento dos dispositivos de acessibilidade próprios para pessoas com deficiência adquiridos por órgãos da administração pública (Anexo V)</t>
  </si>
  <si>
    <t>200009</t>
  </si>
  <si>
    <t>Fornecimento de medicamentos (Anexo XIV)</t>
  </si>
  <si>
    <t>200010</t>
  </si>
  <si>
    <t>Fornecimento dos medicamentos registrados na Anvisa, adquiridos por órgãos da administração pública</t>
  </si>
  <si>
    <t>200011</t>
  </si>
  <si>
    <t>Fornecimento das composições para nutrição enteral e parenteral quando adquiridas por órgãos da administração pública (Anexo VI)</t>
  </si>
  <si>
    <t>200012</t>
  </si>
  <si>
    <t>Situação de emergência de saúde pública reconhecida pelo Poder público (Anexo XIV)</t>
  </si>
  <si>
    <t>200013</t>
  </si>
  <si>
    <t>Fornecimento de tampões higiênicos, absorventes higiênicos internos ou externos</t>
  </si>
  <si>
    <t>200014</t>
  </si>
  <si>
    <t>Fornecimento dos produtos hortícolas, frutas e ovos (Anexo XV)</t>
  </si>
  <si>
    <t>200015</t>
  </si>
  <si>
    <t>Venda de automóveis de passageiros de fabricação nacional adquiridos por motoristas profissionais ou pessoas com deficiência</t>
  </si>
  <si>
    <t>200016</t>
  </si>
  <si>
    <t>Prestação de serviços de pesquisa e desenvolvimento por Instituição Científica, Tecnológica e de Inovação (ICT)</t>
  </si>
  <si>
    <t>200017</t>
  </si>
  <si>
    <t>Operações relacionadas ao FGTS</t>
  </si>
  <si>
    <t>200018</t>
  </si>
  <si>
    <t>Operações de resseguro e retrocessão</t>
  </si>
  <si>
    <t>200019</t>
  </si>
  <si>
    <t>Importador dos serviços financeiros contribuinte</t>
  </si>
  <si>
    <t>200020</t>
  </si>
  <si>
    <t>Operação praticada por sociedades cooperativas optantes por regime específico do IBS e CBS</t>
  </si>
  <si>
    <t>200021</t>
  </si>
  <si>
    <t>Serviços de transporte público coletivo de passageiros ferroviário e hidroviário</t>
  </si>
  <si>
    <t>200022</t>
  </si>
  <si>
    <t>Operação originada fora da ZFM que destine bem material industrializado a contribuinte estabelecido na ZFM</t>
  </si>
  <si>
    <t>200023</t>
  </si>
  <si>
    <t>Operação realizada por indústria incentivada que destine bem material intermediário para outra indústria incentivada na ZFM</t>
  </si>
  <si>
    <t>200024</t>
  </si>
  <si>
    <t>Operação originada fora das Áreas de Livre Comércio destinadas a contribuinte estabelecido nas Áreas de Livre Comércio</t>
  </si>
  <si>
    <t>200025</t>
  </si>
  <si>
    <t>Fornecimento dos serviços de educação relacionados ao Programa Universidade para Todos (Prouni)</t>
  </si>
  <si>
    <t>200026</t>
  </si>
  <si>
    <t>Locação de imóveis localizados nas zonas reabilitadas</t>
  </si>
  <si>
    <t>200027</t>
  </si>
  <si>
    <t>Operações de locação, cessão onerosa e arrendamento de bens imóveis</t>
  </si>
  <si>
    <t>200028</t>
  </si>
  <si>
    <t>Fornecimento dos serviços de educação (Anexo II)</t>
  </si>
  <si>
    <t>200029</t>
  </si>
  <si>
    <t>Fornecimento dos serviços de saúde humana (Anexo III)</t>
  </si>
  <si>
    <t>200030</t>
  </si>
  <si>
    <t>Venda dos dispositivos médicos (Anexo IV)</t>
  </si>
  <si>
    <t>200031</t>
  </si>
  <si>
    <t>Fornecimento dos dispositivos de acessibilidade próprios para pessoas com deficiência (Anexo V)</t>
  </si>
  <si>
    <t>200032</t>
  </si>
  <si>
    <t>Fornecimento dos medicamentos registrados na Anvisa ou produzidos por farmácias de manipulação, ressalvados os medicamentos sujeitos à alíquota zero</t>
  </si>
  <si>
    <t>200033</t>
  </si>
  <si>
    <t>Fornecimento das composições para nutrição enteral e parenteral (Anexo VI)</t>
  </si>
  <si>
    <t>200034</t>
  </si>
  <si>
    <t>Fornecimento dos alimentos destinados ao consumo humano (Anexo VII)</t>
  </si>
  <si>
    <t>200035</t>
  </si>
  <si>
    <t>Fornecimento dos produtos de higiene pessoal e limpeza (Anexo VIII)</t>
  </si>
  <si>
    <t>200036</t>
  </si>
  <si>
    <t>Fornecimento de produtos agropecuários, aquícolas, pesqueiros, florestais e extrativistas vegetais in natura</t>
  </si>
  <si>
    <t>200037</t>
  </si>
  <si>
    <t>Fornecimento de serviços ambientais de conservação ou recuperação da vegetação nativa</t>
  </si>
  <si>
    <t>200038</t>
  </si>
  <si>
    <t>Fornecimento dos insumos agropecuários e aquícolas (Anexo IX)</t>
  </si>
  <si>
    <t>200039</t>
  </si>
  <si>
    <t>Fornecimento dos serviços e o licenciamento ou cessão dos direitos destinados às produções nacionais artísticas (Anexo X)</t>
  </si>
  <si>
    <t>200040</t>
  </si>
  <si>
    <t>Fornecimento de serviços de comunicação institucional à administração pública</t>
  </si>
  <si>
    <t>200041</t>
  </si>
  <si>
    <t>Fornecimento de serviço de educação desportiva (art. 141. I)</t>
  </si>
  <si>
    <t>200042</t>
  </si>
  <si>
    <t>Fornecimento de serviço de educação desportiva (art. 141. II)</t>
  </si>
  <si>
    <t>200043</t>
  </si>
  <si>
    <t>Fornecimento à administração pública dos serviços e dos bens relativos à soberania (Anexo XI)</t>
  </si>
  <si>
    <t>200044</t>
  </si>
  <si>
    <t>Operações e prestações de serviços de segurança da informação e segurança cibernética desenv por sociedade que tenha sócio brasileiro (Anexo XI)</t>
  </si>
  <si>
    <t>200045</t>
  </si>
  <si>
    <t>Operações relacionadas a projetos de reabilitação urbana de zonas históricas e de áreas críticas de recuperação e reconversão urbanística</t>
  </si>
  <si>
    <t>200046</t>
  </si>
  <si>
    <t>Operações com bens imóveis</t>
  </si>
  <si>
    <t>200047</t>
  </si>
  <si>
    <t>Bares e Restaurantes</t>
  </si>
  <si>
    <t>200048</t>
  </si>
  <si>
    <t>Hotelaria, Parques de Diversão e Parques Temáticos</t>
  </si>
  <si>
    <t>200049</t>
  </si>
  <si>
    <t>Transporte coletivo de passageiros rodoviário, ferroviário e hidroviário</t>
  </si>
  <si>
    <t>200050</t>
  </si>
  <si>
    <t>Serviços de transporte aéreo regional coletivo de passageiros ou de carga</t>
  </si>
  <si>
    <t>200051</t>
  </si>
  <si>
    <t>Agências de Turismo</t>
  </si>
  <si>
    <t>200052</t>
  </si>
  <si>
    <t>Prestação de serviços de profissões intelectuais</t>
  </si>
  <si>
    <t>220001</t>
  </si>
  <si>
    <t>Incorporação imobiliária submetida ao regime especial de tributação</t>
  </si>
  <si>
    <t>220002</t>
  </si>
  <si>
    <t>220003</t>
  </si>
  <si>
    <t>Alienação de imóvel decorrente de parcelamento do solo</t>
  </si>
  <si>
    <t>221001</t>
  </si>
  <si>
    <t>Locação, cessão onerosa ou arrendamento de bem imóvel com alíquota sobre a receita bruta</t>
  </si>
  <si>
    <t>222001</t>
  </si>
  <si>
    <t>Transporte internacional de passageiros, caso os trechos de ida e volta sejam vendidos em conjunto</t>
  </si>
  <si>
    <t>400001</t>
  </si>
  <si>
    <t>Fornecimento de serviços de transporte público coletivo de passageiros rodoviário e metroviário</t>
  </si>
  <si>
    <t>410001</t>
  </si>
  <si>
    <t>Fornecimento de bonificações quando constem no documento fiscal e que não dependam de evento posterior</t>
  </si>
  <si>
    <t>410002</t>
  </si>
  <si>
    <t>Transferências entre estabelecimentos pertencentes ao mesmo contribuinte</t>
  </si>
  <si>
    <t>410003</t>
  </si>
  <si>
    <t>Doações sem contraprestação em benefício do doador</t>
  </si>
  <si>
    <t>410004</t>
  </si>
  <si>
    <t>Exportações de bens e serviços</t>
  </si>
  <si>
    <t>410005</t>
  </si>
  <si>
    <t>Fornecimentos realizados pela União, pelos Estados, pelo Distrito Federal e pelos Municípios</t>
  </si>
  <si>
    <t>410006</t>
  </si>
  <si>
    <t>Fornecimentos realizados por entidades religiosas e templos de qualquer culto</t>
  </si>
  <si>
    <t>410007</t>
  </si>
  <si>
    <t>Fornecimentos realizados por partidos políticos</t>
  </si>
  <si>
    <t>410008</t>
  </si>
  <si>
    <t>Fornecimentos de livros, jornais, periódicos e do papel destinado a sua impressão</t>
  </si>
  <si>
    <t>410009</t>
  </si>
  <si>
    <t>Fornecimentos de fonogramas e videofonogramas musicais produzidos no Brasil</t>
  </si>
  <si>
    <t>410010</t>
  </si>
  <si>
    <t>Fornecimentos de serviço de comunicação nas modalidades de radiodifusão sonora e de sons e imagens de recepção livre e gratuita</t>
  </si>
  <si>
    <t>410011</t>
  </si>
  <si>
    <t>Fornecimentos de ouro, quando definido em lei como ativo financeiro ou instrumento cambial</t>
  </si>
  <si>
    <t>410012</t>
  </si>
  <si>
    <t>Fornecimento de condomínio edilício não optante pelo regime regular</t>
  </si>
  <si>
    <t>410013</t>
  </si>
  <si>
    <t>Exportações de combustíveis</t>
  </si>
  <si>
    <t>410014</t>
  </si>
  <si>
    <t>Fornecimento de produtor rural não contribuinte</t>
  </si>
  <si>
    <t>410015</t>
  </si>
  <si>
    <t>Fornecimento por transportador autônomo não contribuinte</t>
  </si>
  <si>
    <t>410016</t>
  </si>
  <si>
    <t>Fornecimento ou aquisição de resíduos sólidos</t>
  </si>
  <si>
    <t>410017</t>
  </si>
  <si>
    <t>Aquisição de bem móvel com crédito presumido sob condição de revenda realizada</t>
  </si>
  <si>
    <t>410018</t>
  </si>
  <si>
    <t>Operações relacionadas aos fundos garantidores e executores de políticas públicas</t>
  </si>
  <si>
    <t>410019</t>
  </si>
  <si>
    <t>Exclusão da gorjeta na base de cálculo no fornecimento de alimentação</t>
  </si>
  <si>
    <t>410020</t>
  </si>
  <si>
    <t>Exclusão do valor de intermediação na base de cálculo no fornecimento de alimentação</t>
  </si>
  <si>
    <t>410021</t>
  </si>
  <si>
    <t>Contribuição de que trata o art. 149-A da Constituição Federal</t>
  </si>
  <si>
    <t>410022</t>
  </si>
  <si>
    <t>Consolidação da propriedade do bem pelo credor</t>
  </si>
  <si>
    <t>410023</t>
  </si>
  <si>
    <t>Alienação de bens móveis ou imóveis que tenham sido objeto de garantia em que o prestador da garantia não seja contribuinte</t>
  </si>
  <si>
    <t>410024</t>
  </si>
  <si>
    <t>Consolidação da propriedade do bem pelo grupo de consórcio</t>
  </si>
  <si>
    <t>410025</t>
  </si>
  <si>
    <t>Alienação de bem que tenha sido objeto de garantia em que o prestador da garantia não seja contribuinte</t>
  </si>
  <si>
    <t>410026</t>
  </si>
  <si>
    <t>Doação com anulação de crédito</t>
  </si>
  <si>
    <t>410027</t>
  </si>
  <si>
    <t>Exportação de serviço ou de bem imaterial</t>
  </si>
  <si>
    <t>410028</t>
  </si>
  <si>
    <t>Operações com bens imóveis realizadas por pessoas físicas não consideradas contribuintes</t>
  </si>
  <si>
    <t>410029</t>
  </si>
  <si>
    <t>Operações acobertadas somente pelo ICMS</t>
  </si>
  <si>
    <t>410030</t>
  </si>
  <si>
    <t>Estorno de crédito por perecimento, deteriorização, roubo, furto ou extravio</t>
  </si>
  <si>
    <t>410031</t>
  </si>
  <si>
    <t>Fornecimento em período anterior ao início de vigência de incidências de CBS e IBS</t>
  </si>
  <si>
    <t>410999</t>
  </si>
  <si>
    <t>Operações não onerosas sem previsão de tributação, não especificadas anteriormente</t>
  </si>
  <si>
    <t>510001</t>
  </si>
  <si>
    <t>Operações, sujeitas a diferimento, com energia elétrica, relativas à geração, comercialização, distribuição e transmissão</t>
  </si>
  <si>
    <t>515001</t>
  </si>
  <si>
    <t>Operações, sujeitas a diferimento, com insumos agropecuários e aquícolas (Anexo IX)</t>
  </si>
  <si>
    <t>550001</t>
  </si>
  <si>
    <t>Exportações de bens materiais</t>
  </si>
  <si>
    <t>550002</t>
  </si>
  <si>
    <t>Regime de Trânsito</t>
  </si>
  <si>
    <t>550003</t>
  </si>
  <si>
    <t>Regimes de Depósito (art. 85)</t>
  </si>
  <si>
    <t>550004</t>
  </si>
  <si>
    <t>Regimes de Depósito (art. 87)</t>
  </si>
  <si>
    <t>550005</t>
  </si>
  <si>
    <t>Regimes de Depósito (art. 87, Parágrafo único)</t>
  </si>
  <si>
    <t>550006</t>
  </si>
  <si>
    <t>Regimes de Permanência Temporária</t>
  </si>
  <si>
    <t>550007</t>
  </si>
  <si>
    <t>Regimes de Aperfeiçoamento</t>
  </si>
  <si>
    <t>550008</t>
  </si>
  <si>
    <t>Importação de bens para o Regime de Repetro-Temporário</t>
  </si>
  <si>
    <t>550009</t>
  </si>
  <si>
    <t>GNL-Temporário</t>
  </si>
  <si>
    <t>550010</t>
  </si>
  <si>
    <t>Repetro-Permanente</t>
  </si>
  <si>
    <t>550011</t>
  </si>
  <si>
    <t>Repetro-Industrialização</t>
  </si>
  <si>
    <t>550012</t>
  </si>
  <si>
    <t>Repetro-Nacional</t>
  </si>
  <si>
    <t>550013</t>
  </si>
  <si>
    <t>Repetro-Entreposto</t>
  </si>
  <si>
    <t>550014</t>
  </si>
  <si>
    <t>Zona de Processamento de Exportação</t>
  </si>
  <si>
    <t>550015</t>
  </si>
  <si>
    <t>Regime Tributário para Incentivo à Modernização e à Ampliação da Estrutura Portuária</t>
  </si>
  <si>
    <t>550016</t>
  </si>
  <si>
    <t>Regime Especial de Incentivos para o Desenvolvimento da Infraestrutura</t>
  </si>
  <si>
    <t>550017</t>
  </si>
  <si>
    <t>Regime Tributário para Incentivo à Atividade Econômica Naval</t>
  </si>
  <si>
    <t>550018</t>
  </si>
  <si>
    <t>Desoneração da aquisição de bens de capital</t>
  </si>
  <si>
    <t>550019</t>
  </si>
  <si>
    <t>Importação de bem material por indústria incentivada para utilização na ZFM</t>
  </si>
  <si>
    <t>550020</t>
  </si>
  <si>
    <t>Áreas de livre comércio</t>
  </si>
  <si>
    <t>550021</t>
  </si>
  <si>
    <t>Industrialização destinada a exportações</t>
  </si>
  <si>
    <t>620001</t>
  </si>
  <si>
    <t>Tributação monofásica sobre combustíveis</t>
  </si>
  <si>
    <t>620002</t>
  </si>
  <si>
    <t>Tributação monofásica com responsabilidade pela retenção sobre combustíveis</t>
  </si>
  <si>
    <t>620003</t>
  </si>
  <si>
    <t>Tributação monofásica com tributos retidos por responsabilidade sobre combustíveis</t>
  </si>
  <si>
    <t>620004</t>
  </si>
  <si>
    <t>Tributação monofásica sobre mistura de EAC com gasolina A em percentual superior ao obrigatório</t>
  </si>
  <si>
    <t>620005</t>
  </si>
  <si>
    <t>Tributação monofásica sobre mistura de EAC com gasolina A em percentual inferior ao obrigatório</t>
  </si>
  <si>
    <t>620006</t>
  </si>
  <si>
    <t>Tributação monofásica sobre combustíveis cobrada anteriormente</t>
  </si>
  <si>
    <t>800001</t>
  </si>
  <si>
    <t>Fusão, cisão ou incorporação</t>
  </si>
  <si>
    <t>800002</t>
  </si>
  <si>
    <t>Transferência de crédito do associado, inclusive as cooperativas singulares</t>
  </si>
  <si>
    <t>810001</t>
  </si>
  <si>
    <t>Crédito presumido sobre o valor apurado nos fornecimentos a partir da ZFM</t>
  </si>
  <si>
    <t>811001</t>
  </si>
  <si>
    <t>Anulação de Crédito por Saídas Imunes/Isentas</t>
  </si>
  <si>
    <t>811002</t>
  </si>
  <si>
    <t>Débitos de notas fiscais não processadas na apuração</t>
  </si>
  <si>
    <t>811003</t>
  </si>
  <si>
    <t>Desenquadramento do Simples Nacional</t>
  </si>
  <si>
    <t>820001</t>
  </si>
  <si>
    <t>Documento com informações de fornecimento de serviços de planos de assinstência à saúde</t>
  </si>
  <si>
    <t>820002</t>
  </si>
  <si>
    <t>Documento com informações de fornecimento de serviços de planos de assinstência funerária</t>
  </si>
  <si>
    <t>820003</t>
  </si>
  <si>
    <t>Documento com informações de fornecimento de serviços de planos de assinstência à saúde de animais domésticos</t>
  </si>
  <si>
    <t>820004</t>
  </si>
  <si>
    <t>Documento com informações de prestação de serviços de consursos de prognósticos</t>
  </si>
  <si>
    <t>820005</t>
  </si>
  <si>
    <t>Documento com informações de alienação de bens imóveis</t>
  </si>
  <si>
    <t>820006</t>
  </si>
  <si>
    <t>Documento com informações de fornecimento de serviços de exploração de via</t>
  </si>
  <si>
    <t>820007</t>
  </si>
  <si>
    <t>Documento com informações de fornecimento de serviços financeiros</t>
  </si>
  <si>
    <t>820008</t>
  </si>
  <si>
    <t>Documento com informações de fornecimento, mas com tributação realizada em fatura anterior</t>
  </si>
  <si>
    <t>830001</t>
  </si>
  <si>
    <t>Documento com exclusão da BC da CBS e do IBS de energia elétrica fornecida pela distribuidora à UC</t>
  </si>
  <si>
    <t>Data</t>
  </si>
  <si>
    <t>Numero</t>
  </si>
  <si>
    <t>Item/Serviço</t>
  </si>
  <si>
    <t>CST (auto)</t>
  </si>
  <si>
    <t>Valor da operação</t>
  </si>
  <si>
    <t>Alíquota CBS (0,90%)</t>
  </si>
  <si>
    <t>Alíquota IBS (0,10%)</t>
  </si>
  <si>
    <t>% Redução BC (manual)</t>
  </si>
  <si>
    <t>Redução de BC permitida?</t>
  </si>
  <si>
    <t>Base CBS &amp; IBS</t>
  </si>
  <si>
    <t>Valor CBS</t>
  </si>
  <si>
    <t>Valor IBS</t>
  </si>
  <si>
    <t>Validação BC</t>
  </si>
  <si>
    <t xml:space="preserve">Validação da Aliquota </t>
  </si>
  <si>
    <t>Redução de Alíquota permitida?</t>
  </si>
  <si>
    <t>% Redução Alíquota (quando não estiver no dados da classtrib)</t>
  </si>
  <si>
    <t>Alíquota Efetiva CBS</t>
  </si>
  <si>
    <t>Alíquota Efetiva IBS</t>
  </si>
  <si>
    <t>% Redução Alíquota (auto)</t>
  </si>
  <si>
    <t>% Redução BC (auto)</t>
  </si>
  <si>
    <t>CST</t>
  </si>
  <si>
    <t>Tipo de Alíquota</t>
  </si>
  <si>
    <t>%Redução Alíquota IBS</t>
  </si>
  <si>
    <t>%Redução BC IBS</t>
  </si>
  <si>
    <t>pRedCBS (orig)</t>
  </si>
  <si>
    <t>Situações tributadas integralmente pelo IBS e CBS.</t>
  </si>
  <si>
    <t>2 - Padrão</t>
  </si>
  <si>
    <t>5 - Uniforme Setorial</t>
  </si>
  <si>
    <t>Planos de assistência funerária.</t>
  </si>
  <si>
    <t>4 - Uniforme Nacional</t>
  </si>
  <si>
    <t>1 - Fixa</t>
  </si>
  <si>
    <t>3 - Sem aliquota</t>
  </si>
  <si>
    <t>Estorno de crédito por perecimento, deteriorização, roubo, furto ou extravio.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</si>
</sst>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%"/>
    <numFmt numFmtId="165" formatCode="&quot;R$&quot;\ #,##0.00"/>
    <numFmt numFmtId="166" formatCode="_-&quot;R$&quot;\ * #,##0.00000_-;\-&quot;R$&quot;\ * #,##0.00000_-;_-&quot;R$&quot;\ * &quot;-&quot;??_-;_-@_-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vertical="top" wrapText="1"/>
    </xf>
    <xf numFmtId="2" fontId="0" fillId="0" borderId="0" xfId="0" applyNumberFormat="1"/>
    <xf numFmtId="0" fontId="0" fillId="0" borderId="0" xfId="0" applyAlignment="1">
      <alignment wrapText="1"/>
    </xf>
    <xf numFmtId="164" fontId="2" fillId="0" borderId="3" xfId="0" applyNumberFormat="1" applyFont="1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165" fontId="0" fillId="5" borderId="5" xfId="0" applyNumberFormat="1" applyFill="1" applyBorder="1" applyAlignment="1">
      <alignment horizontal="center" vertical="center" wrapText="1"/>
    </xf>
    <xf numFmtId="166" fontId="0" fillId="5" borderId="7" xfId="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10" fontId="2" fillId="5" borderId="8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5" fontId="1" fillId="3" borderId="13" xfId="0" applyNumberFormat="1" applyFont="1" applyFill="1" applyBorder="1" applyAlignment="1">
      <alignment horizontal="center" vertical="center" wrapText="1"/>
    </xf>
    <xf numFmtId="165" fontId="0" fillId="0" borderId="2" xfId="0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/>
    </xf>
    <xf numFmtId="14" fontId="9" fillId="3" borderId="17" xfId="0" applyNumberFormat="1" applyFont="1" applyFill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workbookViewId="0">
      <selection activeCell="D2" sqref="D2:D19"/>
    </sheetView>
  </sheetViews>
  <sheetFormatPr defaultRowHeight="15"/>
  <cols>
    <col min="1" max="1" width="12" customWidth="1"/>
    <col min="2" max="2" width="45" customWidth="1"/>
    <col min="3" max="3" width="14" customWidth="1"/>
    <col min="4" max="4" width="18" customWidth="1"/>
    <col min="5" max="5" width="16" customWidth="1"/>
    <col min="6" max="6" width="42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8</v>
      </c>
      <c r="G2" s="2" t="s">
        <v>10</v>
      </c>
    </row>
    <row r="3" spans="1:7" ht="30" customHeight="1">
      <c r="A3" s="2" t="s">
        <v>11</v>
      </c>
      <c r="B3" s="2" t="s">
        <v>12</v>
      </c>
      <c r="C3" s="2" t="s">
        <v>9</v>
      </c>
      <c r="D3" s="2" t="s">
        <v>9</v>
      </c>
      <c r="E3" s="2" t="s">
        <v>9</v>
      </c>
      <c r="F3" s="2" t="s">
        <v>13</v>
      </c>
      <c r="G3" s="2" t="s">
        <v>10</v>
      </c>
    </row>
    <row r="4" spans="1:7" ht="30" customHeight="1">
      <c r="A4" s="2" t="s">
        <v>14</v>
      </c>
      <c r="B4" s="2" t="s">
        <v>15</v>
      </c>
      <c r="C4" s="2" t="s">
        <v>9</v>
      </c>
      <c r="D4" s="2" t="s">
        <v>16</v>
      </c>
      <c r="E4" s="2" t="s">
        <v>9</v>
      </c>
      <c r="F4" s="2" t="s">
        <v>17</v>
      </c>
      <c r="G4" s="2" t="s">
        <v>10</v>
      </c>
    </row>
    <row r="5" spans="1:7" ht="30" customHeight="1">
      <c r="A5" s="2" t="s">
        <v>18</v>
      </c>
      <c r="B5" s="2" t="s">
        <v>19</v>
      </c>
      <c r="C5" s="2" t="s">
        <v>9</v>
      </c>
      <c r="D5" s="2" t="s">
        <v>16</v>
      </c>
      <c r="E5" s="2" t="s">
        <v>9</v>
      </c>
      <c r="F5" s="2" t="s">
        <v>17</v>
      </c>
      <c r="G5" s="2" t="s">
        <v>10</v>
      </c>
    </row>
    <row r="6" spans="1:7" ht="30" customHeight="1">
      <c r="A6" s="2" t="s">
        <v>20</v>
      </c>
      <c r="B6" s="2" t="s">
        <v>21</v>
      </c>
      <c r="C6" s="2" t="s">
        <v>9</v>
      </c>
      <c r="D6" s="2" t="s">
        <v>9</v>
      </c>
      <c r="E6" s="2" t="s">
        <v>9</v>
      </c>
      <c r="F6" s="2" t="s">
        <v>22</v>
      </c>
      <c r="G6" s="2" t="s">
        <v>10</v>
      </c>
    </row>
    <row r="7" spans="1:7" ht="30" customHeight="1">
      <c r="A7" s="2" t="s">
        <v>23</v>
      </c>
      <c r="B7" s="2" t="s">
        <v>24</v>
      </c>
      <c r="C7" s="2" t="s">
        <v>9</v>
      </c>
      <c r="D7" s="2" t="s">
        <v>9</v>
      </c>
      <c r="E7" s="2" t="s">
        <v>9</v>
      </c>
      <c r="F7" s="2" t="s">
        <v>22</v>
      </c>
      <c r="G7" s="2" t="s">
        <v>10</v>
      </c>
    </row>
    <row r="8" spans="1:7" ht="30" customHeight="1">
      <c r="A8" s="2" t="s">
        <v>25</v>
      </c>
      <c r="B8" s="2" t="s">
        <v>26</v>
      </c>
      <c r="C8" s="2" t="s">
        <v>16</v>
      </c>
      <c r="D8" s="2" t="s">
        <v>9</v>
      </c>
      <c r="E8" s="2" t="s">
        <v>9</v>
      </c>
      <c r="F8" s="2" t="s">
        <v>27</v>
      </c>
      <c r="G8" s="2" t="s">
        <v>10</v>
      </c>
    </row>
    <row r="9" spans="1:7" ht="30" customHeight="1">
      <c r="A9" s="2" t="s">
        <v>28</v>
      </c>
      <c r="B9" s="2" t="s">
        <v>29</v>
      </c>
      <c r="C9" s="2" t="s">
        <v>9</v>
      </c>
      <c r="D9" s="2" t="s">
        <v>9</v>
      </c>
      <c r="E9" s="2" t="s">
        <v>9</v>
      </c>
      <c r="F9" s="2" t="s">
        <v>30</v>
      </c>
      <c r="G9" s="2" t="s">
        <v>10</v>
      </c>
    </row>
    <row r="10" spans="1:7" ht="30" customHeight="1">
      <c r="A10" s="2" t="s">
        <v>31</v>
      </c>
      <c r="B10" s="2" t="s">
        <v>32</v>
      </c>
      <c r="C10" s="2" t="s">
        <v>9</v>
      </c>
      <c r="D10" s="2" t="s">
        <v>9</v>
      </c>
      <c r="E10" s="2" t="s">
        <v>9</v>
      </c>
      <c r="F10" s="2" t="s">
        <v>30</v>
      </c>
      <c r="G10" s="2" t="s">
        <v>10</v>
      </c>
    </row>
    <row r="11" spans="1:7" ht="30" customHeight="1">
      <c r="A11" s="2" t="s">
        <v>33</v>
      </c>
      <c r="B11" s="2" t="s">
        <v>34</v>
      </c>
      <c r="C11" s="2" t="s">
        <v>9</v>
      </c>
      <c r="D11" s="2" t="s">
        <v>9</v>
      </c>
      <c r="E11" s="2" t="s">
        <v>9</v>
      </c>
      <c r="F11" s="2" t="s">
        <v>34</v>
      </c>
      <c r="G11" s="2" t="s">
        <v>10</v>
      </c>
    </row>
    <row r="12" spans="1:7" ht="30" customHeight="1">
      <c r="A12" s="2" t="s">
        <v>35</v>
      </c>
      <c r="B12" s="2" t="s">
        <v>36</v>
      </c>
      <c r="C12" s="2" t="s">
        <v>9</v>
      </c>
      <c r="D12" s="2" t="s">
        <v>16</v>
      </c>
      <c r="E12" s="2" t="s">
        <v>9</v>
      </c>
      <c r="F12" s="2" t="s">
        <v>37</v>
      </c>
      <c r="G12" s="2" t="s">
        <v>10</v>
      </c>
    </row>
    <row r="13" spans="1:7" ht="30" customHeight="1">
      <c r="A13" s="2" t="s">
        <v>38</v>
      </c>
      <c r="B13" s="2" t="s">
        <v>39</v>
      </c>
      <c r="C13" s="2" t="s">
        <v>9</v>
      </c>
      <c r="D13" s="2" t="s">
        <v>9</v>
      </c>
      <c r="E13" s="2" t="s">
        <v>9</v>
      </c>
      <c r="F13" s="2" t="s">
        <v>30</v>
      </c>
      <c r="G13" s="2" t="s">
        <v>10</v>
      </c>
    </row>
    <row r="14" spans="1:7" ht="30" customHeight="1">
      <c r="A14" s="2" t="s">
        <v>40</v>
      </c>
      <c r="B14" s="2" t="s">
        <v>41</v>
      </c>
      <c r="C14" s="2" t="s">
        <v>9</v>
      </c>
      <c r="D14" s="2" t="s">
        <v>9</v>
      </c>
      <c r="E14" s="2" t="s">
        <v>9</v>
      </c>
      <c r="F14" s="2" t="s">
        <v>42</v>
      </c>
      <c r="G14" s="2" t="s">
        <v>10</v>
      </c>
    </row>
    <row r="15" spans="1:7" ht="30" customHeight="1">
      <c r="A15" s="2" t="s">
        <v>43</v>
      </c>
      <c r="B15" s="2" t="s">
        <v>44</v>
      </c>
      <c r="C15" s="2" t="s">
        <v>9</v>
      </c>
      <c r="D15" s="2" t="s">
        <v>9</v>
      </c>
      <c r="E15" s="2" t="s">
        <v>9</v>
      </c>
      <c r="F15" s="2" t="s">
        <v>45</v>
      </c>
      <c r="G15" s="2" t="s">
        <v>10</v>
      </c>
    </row>
    <row r="16" spans="1:7" ht="30" customHeight="1">
      <c r="A16" s="2" t="s">
        <v>46</v>
      </c>
      <c r="B16" s="2" t="s">
        <v>47</v>
      </c>
      <c r="C16" s="2" t="s">
        <v>9</v>
      </c>
      <c r="D16" s="2" t="s">
        <v>9</v>
      </c>
      <c r="E16" s="2" t="s">
        <v>9</v>
      </c>
      <c r="F16" s="2" t="s">
        <v>45</v>
      </c>
      <c r="G16" s="2" t="s">
        <v>10</v>
      </c>
    </row>
    <row r="17" spans="1:7" ht="30" customHeight="1">
      <c r="A17" s="2" t="s">
        <v>48</v>
      </c>
      <c r="B17" s="2" t="s">
        <v>49</v>
      </c>
      <c r="C17" s="2" t="s">
        <v>9</v>
      </c>
      <c r="D17" s="2" t="s">
        <v>9</v>
      </c>
      <c r="E17" s="2" t="s">
        <v>9</v>
      </c>
      <c r="F17" s="2" t="s">
        <v>45</v>
      </c>
      <c r="G17" s="2" t="s">
        <v>10</v>
      </c>
    </row>
    <row r="18" spans="1:7" ht="30" customHeight="1">
      <c r="A18" s="2" t="s">
        <v>50</v>
      </c>
      <c r="B18" s="2" t="s">
        <v>51</v>
      </c>
      <c r="C18" s="2" t="s">
        <v>9</v>
      </c>
      <c r="D18" s="2" t="s">
        <v>9</v>
      </c>
      <c r="E18" s="2" t="s">
        <v>9</v>
      </c>
      <c r="F18" s="2" t="s">
        <v>45</v>
      </c>
      <c r="G18" s="2" t="s">
        <v>10</v>
      </c>
    </row>
    <row r="19" spans="1:7" ht="30" customHeight="1">
      <c r="A19" s="2" t="s">
        <v>52</v>
      </c>
      <c r="B19" s="2" t="s">
        <v>53</v>
      </c>
      <c r="C19" s="2" t="s">
        <v>9</v>
      </c>
      <c r="D19" s="2" t="s">
        <v>9</v>
      </c>
      <c r="E19" s="2" t="s">
        <v>16</v>
      </c>
      <c r="F19" s="2" t="s">
        <v>54</v>
      </c>
      <c r="G19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6"/>
  <sheetViews>
    <sheetView showGridLines="0" workbookViewId="0">
      <selection activeCell="E13" sqref="E13"/>
    </sheetView>
  </sheetViews>
  <sheetFormatPr defaultRowHeight="15"/>
  <cols>
    <col min="1" max="1" width="12" customWidth="1"/>
    <col min="2" max="2" width="70" customWidth="1"/>
    <col min="3" max="3" width="14" customWidth="1"/>
    <col min="4" max="4" width="40" customWidth="1"/>
    <col min="5" max="5" width="14" customWidth="1"/>
    <col min="6" max="6" width="18" customWidth="1"/>
    <col min="7" max="7" width="16" customWidth="1"/>
    <col min="8" max="8" width="52" customWidth="1"/>
  </cols>
  <sheetData>
    <row r="1" spans="1:8">
      <c r="A1" s="1" t="s">
        <v>55</v>
      </c>
      <c r="B1" s="1" t="s">
        <v>56</v>
      </c>
      <c r="C1" s="1" t="s">
        <v>57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>
      <c r="A2" s="3" t="s">
        <v>58</v>
      </c>
      <c r="B2" s="2" t="s">
        <v>59</v>
      </c>
      <c r="C2" s="3" t="str">
        <f>LEFT(A2,3)</f>
        <v>000</v>
      </c>
      <c r="D2" s="2" t="str">
        <f>IFERROR(VLOOKUP(C2,REGRAS_CST!$A$2:$B$200,2,FALSE),"")</f>
        <v>Tributação integral</v>
      </c>
      <c r="E2" s="2" t="str">
        <f>IFERROR(VLOOKUP(C2,REGRAS_CST!$A$2:$C$200,3,FALSE),"")</f>
        <v>NÃO</v>
      </c>
      <c r="F2" s="2" t="str">
        <f>IFERROR(VLOOKUP(C2,REGRAS_CST!$A$2:$D$200,4,FALSE),"")</f>
        <v>NÃO</v>
      </c>
      <c r="G2" s="2" t="str">
        <f>IFERROR(VLOOKUP(C2,REGRAS_CST!$A$2:$E$200,5,FALSE),"")</f>
        <v>NÃO</v>
      </c>
      <c r="H2" s="2" t="s">
        <v>10</v>
      </c>
    </row>
    <row r="3" spans="1:8">
      <c r="A3" s="3" t="s">
        <v>60</v>
      </c>
      <c r="B3" s="2" t="s">
        <v>61</v>
      </c>
      <c r="C3" s="3" t="str">
        <f>LEFT(A3,3)</f>
        <v>000</v>
      </c>
      <c r="D3" s="2" t="str">
        <f>IFERROR(VLOOKUP(C3,REGRAS_CST!$A$2:$B$200,2,FALSE),"")</f>
        <v>Tributação integral</v>
      </c>
      <c r="E3" s="2" t="str">
        <f>IFERROR(VLOOKUP(C3,REGRAS_CST!$A$2:$C$200,3,FALSE),"")</f>
        <v>NÃO</v>
      </c>
      <c r="F3" s="2" t="str">
        <f>IFERROR(VLOOKUP(C3,REGRAS_CST!$A$2:$D$200,4,FALSE),"")</f>
        <v>NÃO</v>
      </c>
      <c r="G3" s="2" t="str">
        <f>IFERROR(VLOOKUP(C3,REGRAS_CST!$A$2:$E$200,5,FALSE),"")</f>
        <v>NÃO</v>
      </c>
      <c r="H3" s="2" t="s">
        <v>10</v>
      </c>
    </row>
    <row r="4" spans="1:8">
      <c r="A4" s="3" t="s">
        <v>62</v>
      </c>
      <c r="B4" s="2" t="s">
        <v>63</v>
      </c>
      <c r="C4" s="3" t="str">
        <f>LEFT(A4,3)</f>
        <v>000</v>
      </c>
      <c r="D4" s="2" t="str">
        <f>IFERROR(VLOOKUP(C4,REGRAS_CST!$A$2:$B$200,2,FALSE),"")</f>
        <v>Tributação integral</v>
      </c>
      <c r="E4" s="2" t="str">
        <f>IFERROR(VLOOKUP(C4,REGRAS_CST!$A$2:$C$200,3,FALSE),"")</f>
        <v>NÃO</v>
      </c>
      <c r="F4" s="2" t="str">
        <f>IFERROR(VLOOKUP(C4,REGRAS_CST!$A$2:$D$200,4,FALSE),"")</f>
        <v>NÃO</v>
      </c>
      <c r="G4" s="2" t="str">
        <f>IFERROR(VLOOKUP(C4,REGRAS_CST!$A$2:$E$200,5,FALSE),"")</f>
        <v>NÃO</v>
      </c>
      <c r="H4" s="2" t="s">
        <v>10</v>
      </c>
    </row>
    <row r="5" spans="1:8">
      <c r="A5" s="3" t="s">
        <v>64</v>
      </c>
      <c r="B5" s="2" t="s">
        <v>65</v>
      </c>
      <c r="C5" s="3" t="str">
        <f>LEFT(A5,3)</f>
        <v>000</v>
      </c>
      <c r="D5" s="2" t="str">
        <f>IFERROR(VLOOKUP(C5,REGRAS_CST!$A$2:$B$200,2,FALSE),"")</f>
        <v>Tributação integral</v>
      </c>
      <c r="E5" s="2" t="str">
        <f>IFERROR(VLOOKUP(C5,REGRAS_CST!$A$2:$C$200,3,FALSE),"")</f>
        <v>NÃO</v>
      </c>
      <c r="F5" s="2" t="str">
        <f>IFERROR(VLOOKUP(C5,REGRAS_CST!$A$2:$D$200,4,FALSE),"")</f>
        <v>NÃO</v>
      </c>
      <c r="G5" s="2" t="str">
        <f>IFERROR(VLOOKUP(C5,REGRAS_CST!$A$2:$E$200,5,FALSE),"")</f>
        <v>NÃO</v>
      </c>
      <c r="H5" s="2" t="s">
        <v>10</v>
      </c>
    </row>
    <row r="6" spans="1:8">
      <c r="A6" s="3" t="s">
        <v>66</v>
      </c>
      <c r="B6" s="2" t="s">
        <v>67</v>
      </c>
      <c r="C6" s="3" t="str">
        <f>LEFT(A6,3)</f>
        <v>010</v>
      </c>
      <c r="D6" s="2" t="str">
        <f>IFERROR(VLOOKUP(C6,REGRAS_CST!$A$2:$B$200,2,FALSE),"")</f>
        <v>Tributação com alíquotas uniformes</v>
      </c>
      <c r="E6" s="2" t="str">
        <f>IFERROR(VLOOKUP(C6,REGRAS_CST!$A$2:$C$200,3,FALSE),"")</f>
        <v>NÃO</v>
      </c>
      <c r="F6" s="2" t="str">
        <f>IFERROR(VLOOKUP(C6,REGRAS_CST!$A$2:$D$200,4,FALSE),"")</f>
        <v>NÃO</v>
      </c>
      <c r="G6" s="2" t="str">
        <f>IFERROR(VLOOKUP(C6,REGRAS_CST!$A$2:$E$200,5,FALSE),"")</f>
        <v>NÃO</v>
      </c>
      <c r="H6" s="2" t="s">
        <v>10</v>
      </c>
    </row>
    <row r="7" spans="1:8">
      <c r="A7" s="3" t="s">
        <v>68</v>
      </c>
      <c r="B7" s="2" t="s">
        <v>69</v>
      </c>
      <c r="C7" s="3" t="str">
        <f>LEFT(A7,3)</f>
        <v>010</v>
      </c>
      <c r="D7" s="2" t="str">
        <f>IFERROR(VLOOKUP(C7,REGRAS_CST!$A$2:$B$200,2,FALSE),"")</f>
        <v>Tributação com alíquotas uniformes</v>
      </c>
      <c r="E7" s="2" t="str">
        <f>IFERROR(VLOOKUP(C7,REGRAS_CST!$A$2:$C$200,3,FALSE),"")</f>
        <v>NÃO</v>
      </c>
      <c r="F7" s="2" t="str">
        <f>IFERROR(VLOOKUP(C7,REGRAS_CST!$A$2:$D$200,4,FALSE),"")</f>
        <v>NÃO</v>
      </c>
      <c r="G7" s="2" t="str">
        <f>IFERROR(VLOOKUP(C7,REGRAS_CST!$A$2:$E$200,5,FALSE),"")</f>
        <v>NÃO</v>
      </c>
      <c r="H7" s="2" t="s">
        <v>10</v>
      </c>
    </row>
    <row r="8" spans="1:8" ht="30.75" customHeight="1">
      <c r="A8" s="3" t="s">
        <v>70</v>
      </c>
      <c r="B8" s="2" t="s">
        <v>71</v>
      </c>
      <c r="C8" s="3" t="str">
        <f>LEFT(A8,3)</f>
        <v>011</v>
      </c>
      <c r="D8" s="2" t="str">
        <f>IFERROR(VLOOKUP(C8,REGRAS_CST!$A$2:$B$200,2,FALSE),"")</f>
        <v>Tributação com alíquotas uniformes reduzidas</v>
      </c>
      <c r="E8" s="2" t="str">
        <f>IFERROR(VLOOKUP(C8,REGRAS_CST!$A$2:$C$200,3,FALSE),"")</f>
        <v>NÃO</v>
      </c>
      <c r="F8" s="2" t="str">
        <f>IFERROR(VLOOKUP(C8,REGRAS_CST!$A$2:$D$200,4,FALSE),"")</f>
        <v>SIM</v>
      </c>
      <c r="G8" s="2" t="str">
        <f>IFERROR(VLOOKUP(C8,REGRAS_CST!$A$2:$E$200,5,FALSE),"")</f>
        <v>NÃO</v>
      </c>
      <c r="H8" s="2" t="s">
        <v>10</v>
      </c>
    </row>
    <row r="9" spans="1:8" ht="30.75" customHeight="1">
      <c r="A9" s="3" t="s">
        <v>72</v>
      </c>
      <c r="B9" s="2" t="s">
        <v>73</v>
      </c>
      <c r="C9" s="3" t="str">
        <f>LEFT(A9,3)</f>
        <v>011</v>
      </c>
      <c r="D9" s="2" t="str">
        <f>IFERROR(VLOOKUP(C9,REGRAS_CST!$A$2:$B$200,2,FALSE),"")</f>
        <v>Tributação com alíquotas uniformes reduzidas</v>
      </c>
      <c r="E9" s="2" t="str">
        <f>IFERROR(VLOOKUP(C9,REGRAS_CST!$A$2:$C$200,3,FALSE),"")</f>
        <v>NÃO</v>
      </c>
      <c r="F9" s="2" t="str">
        <f>IFERROR(VLOOKUP(C9,REGRAS_CST!$A$2:$D$200,4,FALSE),"")</f>
        <v>SIM</v>
      </c>
      <c r="G9" s="2" t="str">
        <f>IFERROR(VLOOKUP(C9,REGRAS_CST!$A$2:$E$200,5,FALSE),"")</f>
        <v>NÃO</v>
      </c>
      <c r="H9" s="2" t="s">
        <v>10</v>
      </c>
    </row>
    <row r="10" spans="1:8" ht="30.75" customHeight="1">
      <c r="A10" s="3" t="s">
        <v>74</v>
      </c>
      <c r="B10" s="2" t="s">
        <v>75</v>
      </c>
      <c r="C10" s="3" t="str">
        <f>LEFT(A10,3)</f>
        <v>011</v>
      </c>
      <c r="D10" s="2" t="str">
        <f>IFERROR(VLOOKUP(C10,REGRAS_CST!$A$2:$B$200,2,FALSE),"")</f>
        <v>Tributação com alíquotas uniformes reduzidas</v>
      </c>
      <c r="E10" s="2" t="str">
        <f>IFERROR(VLOOKUP(C10,REGRAS_CST!$A$2:$C$200,3,FALSE),"")</f>
        <v>NÃO</v>
      </c>
      <c r="F10" s="2" t="str">
        <f>IFERROR(VLOOKUP(C10,REGRAS_CST!$A$2:$D$200,4,FALSE),"")</f>
        <v>SIM</v>
      </c>
      <c r="G10" s="2" t="str">
        <f>IFERROR(VLOOKUP(C10,REGRAS_CST!$A$2:$E$200,5,FALSE),"")</f>
        <v>NÃO</v>
      </c>
      <c r="H10" s="2" t="s">
        <v>10</v>
      </c>
    </row>
    <row r="11" spans="1:8" ht="30.75" customHeight="1">
      <c r="A11" s="3" t="s">
        <v>76</v>
      </c>
      <c r="B11" s="2" t="s">
        <v>77</v>
      </c>
      <c r="C11" s="3" t="str">
        <f>LEFT(A11,3)</f>
        <v>011</v>
      </c>
      <c r="D11" s="2" t="str">
        <f>IFERROR(VLOOKUP(C11,REGRAS_CST!$A$2:$B$200,2,FALSE),"")</f>
        <v>Tributação com alíquotas uniformes reduzidas</v>
      </c>
      <c r="E11" s="2" t="str">
        <f>IFERROR(VLOOKUP(C11,REGRAS_CST!$A$2:$C$200,3,FALSE),"")</f>
        <v>NÃO</v>
      </c>
      <c r="F11" s="2" t="str">
        <f>IFERROR(VLOOKUP(C11,REGRAS_CST!$A$2:$D$200,4,FALSE),"")</f>
        <v>SIM</v>
      </c>
      <c r="G11" s="2" t="str">
        <f>IFERROR(VLOOKUP(C11,REGRAS_CST!$A$2:$E$200,5,FALSE),"")</f>
        <v>NÃO</v>
      </c>
      <c r="H11" s="2" t="s">
        <v>10</v>
      </c>
    </row>
    <row r="12" spans="1:8" ht="30.75" customHeight="1">
      <c r="A12" s="3" t="s">
        <v>78</v>
      </c>
      <c r="B12" s="2" t="s">
        <v>79</v>
      </c>
      <c r="C12" s="3" t="str">
        <f>LEFT(A12,3)</f>
        <v>011</v>
      </c>
      <c r="D12" s="2" t="str">
        <f>IFERROR(VLOOKUP(C12,REGRAS_CST!$A$2:$B$200,2,FALSE),"")</f>
        <v>Tributação com alíquotas uniformes reduzidas</v>
      </c>
      <c r="E12" s="2" t="str">
        <f>IFERROR(VLOOKUP(C12,REGRAS_CST!$A$2:$C$200,3,FALSE),"")</f>
        <v>NÃO</v>
      </c>
      <c r="F12" s="2" t="str">
        <f>IFERROR(VLOOKUP(C12,REGRAS_CST!$A$2:$D$200,4,FALSE),"")</f>
        <v>SIM</v>
      </c>
      <c r="G12" s="2" t="str">
        <f>IFERROR(VLOOKUP(C12,REGRAS_CST!$A$2:$E$200,5,FALSE),"")</f>
        <v>NÃO</v>
      </c>
      <c r="H12" s="2" t="s">
        <v>10</v>
      </c>
    </row>
    <row r="13" spans="1:8" ht="30.75" customHeight="1">
      <c r="A13" s="3" t="s">
        <v>80</v>
      </c>
      <c r="B13" s="2" t="s">
        <v>81</v>
      </c>
      <c r="C13" s="3" t="str">
        <f>LEFT(A13,3)</f>
        <v>200</v>
      </c>
      <c r="D13" s="2" t="str">
        <f>IFERROR(VLOOKUP(C13,REGRAS_CST!$A$2:$B$200,2,FALSE),"")</f>
        <v>Alíquota reduzida</v>
      </c>
      <c r="E13" s="2" t="str">
        <f>IFERROR(VLOOKUP(C13,REGRAS_CST!$A$2:$C$200,3,FALSE),"")</f>
        <v>NÃO</v>
      </c>
      <c r="F13" s="2" t="str">
        <f>IFERROR(VLOOKUP(C13,REGRAS_CST!$A$2:$D$200,4,FALSE),"")</f>
        <v>SIM</v>
      </c>
      <c r="G13" s="2" t="str">
        <f>IFERROR(VLOOKUP(C13,REGRAS_CST!$A$2:$E$200,5,FALSE),"")</f>
        <v>NÃO</v>
      </c>
      <c r="H13" s="2" t="s">
        <v>10</v>
      </c>
    </row>
    <row r="14" spans="1:8">
      <c r="A14" s="3" t="s">
        <v>82</v>
      </c>
      <c r="B14" s="2" t="s">
        <v>83</v>
      </c>
      <c r="C14" s="3" t="str">
        <f>LEFT(A14,3)</f>
        <v>200</v>
      </c>
      <c r="D14" s="2" t="str">
        <f>IFERROR(VLOOKUP(C14,REGRAS_CST!$A$2:$B$200,2,FALSE),"")</f>
        <v>Alíquota reduzida</v>
      </c>
      <c r="E14" s="2" t="str">
        <f>IFERROR(VLOOKUP(C14,REGRAS_CST!$A$2:$C$200,3,FALSE),"")</f>
        <v>NÃO</v>
      </c>
      <c r="F14" s="2" t="str">
        <f>IFERROR(VLOOKUP(C14,REGRAS_CST!$A$2:$D$200,4,FALSE),"")</f>
        <v>SIM</v>
      </c>
      <c r="G14" s="2" t="str">
        <f>IFERROR(VLOOKUP(C14,REGRAS_CST!$A$2:$E$200,5,FALSE),"")</f>
        <v>NÃO</v>
      </c>
      <c r="H14" s="2" t="s">
        <v>10</v>
      </c>
    </row>
    <row r="15" spans="1:8">
      <c r="A15" s="3" t="s">
        <v>84</v>
      </c>
      <c r="B15" s="2" t="s">
        <v>85</v>
      </c>
      <c r="C15" s="3" t="str">
        <f>LEFT(A15,3)</f>
        <v>200</v>
      </c>
      <c r="D15" s="2" t="str">
        <f>IFERROR(VLOOKUP(C15,REGRAS_CST!$A$2:$B$200,2,FALSE),"")</f>
        <v>Alíquota reduzida</v>
      </c>
      <c r="E15" s="2" t="str">
        <f>IFERROR(VLOOKUP(C15,REGRAS_CST!$A$2:$C$200,3,FALSE),"")</f>
        <v>NÃO</v>
      </c>
      <c r="F15" s="2" t="str">
        <f>IFERROR(VLOOKUP(C15,REGRAS_CST!$A$2:$D$200,4,FALSE),"")</f>
        <v>SIM</v>
      </c>
      <c r="G15" s="2" t="str">
        <f>IFERROR(VLOOKUP(C15,REGRAS_CST!$A$2:$E$200,5,FALSE),"")</f>
        <v>NÃO</v>
      </c>
      <c r="H15" s="2" t="s">
        <v>10</v>
      </c>
    </row>
    <row r="16" spans="1:8">
      <c r="A16" s="3" t="s">
        <v>86</v>
      </c>
      <c r="B16" s="2" t="s">
        <v>87</v>
      </c>
      <c r="C16" s="3" t="str">
        <f>LEFT(A16,3)</f>
        <v>200</v>
      </c>
      <c r="D16" s="2" t="str">
        <f>IFERROR(VLOOKUP(C16,REGRAS_CST!$A$2:$B$200,2,FALSE),"")</f>
        <v>Alíquota reduzida</v>
      </c>
      <c r="E16" s="2" t="str">
        <f>IFERROR(VLOOKUP(C16,REGRAS_CST!$A$2:$C$200,3,FALSE),"")</f>
        <v>NÃO</v>
      </c>
      <c r="F16" s="2" t="str">
        <f>IFERROR(VLOOKUP(C16,REGRAS_CST!$A$2:$D$200,4,FALSE),"")</f>
        <v>SIM</v>
      </c>
      <c r="G16" s="2" t="str">
        <f>IFERROR(VLOOKUP(C16,REGRAS_CST!$A$2:$E$200,5,FALSE),"")</f>
        <v>NÃO</v>
      </c>
      <c r="H16" s="2" t="s">
        <v>10</v>
      </c>
    </row>
    <row r="17" spans="1:8" ht="30.75" customHeight="1">
      <c r="A17" s="3" t="s">
        <v>88</v>
      </c>
      <c r="B17" s="2" t="s">
        <v>89</v>
      </c>
      <c r="C17" s="3" t="str">
        <f>LEFT(A17,3)</f>
        <v>200</v>
      </c>
      <c r="D17" s="2" t="str">
        <f>IFERROR(VLOOKUP(C17,REGRAS_CST!$A$2:$B$200,2,FALSE),"")</f>
        <v>Alíquota reduzida</v>
      </c>
      <c r="E17" s="2" t="str">
        <f>IFERROR(VLOOKUP(C17,REGRAS_CST!$A$2:$C$200,3,FALSE),"")</f>
        <v>NÃO</v>
      </c>
      <c r="F17" s="2" t="str">
        <f>IFERROR(VLOOKUP(C17,REGRAS_CST!$A$2:$D$200,4,FALSE),"")</f>
        <v>SIM</v>
      </c>
      <c r="G17" s="2" t="str">
        <f>IFERROR(VLOOKUP(C17,REGRAS_CST!$A$2:$E$200,5,FALSE),"")</f>
        <v>NÃO</v>
      </c>
      <c r="H17" s="2" t="s">
        <v>10</v>
      </c>
    </row>
    <row r="18" spans="1:8" ht="30.75" customHeight="1">
      <c r="A18" s="3" t="s">
        <v>90</v>
      </c>
      <c r="B18" s="2" t="s">
        <v>91</v>
      </c>
      <c r="C18" s="3" t="str">
        <f>LEFT(A18,3)</f>
        <v>200</v>
      </c>
      <c r="D18" s="2" t="str">
        <f>IFERROR(VLOOKUP(C18,REGRAS_CST!$A$2:$B$200,2,FALSE),"")</f>
        <v>Alíquota reduzida</v>
      </c>
      <c r="E18" s="2" t="str">
        <f>IFERROR(VLOOKUP(C18,REGRAS_CST!$A$2:$C$200,3,FALSE),"")</f>
        <v>NÃO</v>
      </c>
      <c r="F18" s="2" t="str">
        <f>IFERROR(VLOOKUP(C18,REGRAS_CST!$A$2:$D$200,4,FALSE),"")</f>
        <v>SIM</v>
      </c>
      <c r="G18" s="2" t="str">
        <f>IFERROR(VLOOKUP(C18,REGRAS_CST!$A$2:$E$200,5,FALSE),"")</f>
        <v>NÃO</v>
      </c>
      <c r="H18" s="2" t="s">
        <v>10</v>
      </c>
    </row>
    <row r="19" spans="1:8" ht="30.75" customHeight="1">
      <c r="A19" s="3" t="s">
        <v>92</v>
      </c>
      <c r="B19" s="2" t="s">
        <v>93</v>
      </c>
      <c r="C19" s="3" t="str">
        <f>LEFT(A19,3)</f>
        <v>200</v>
      </c>
      <c r="D19" s="2" t="str">
        <f>IFERROR(VLOOKUP(C19,REGRAS_CST!$A$2:$B$200,2,FALSE),"")</f>
        <v>Alíquota reduzida</v>
      </c>
      <c r="E19" s="2" t="str">
        <f>IFERROR(VLOOKUP(C19,REGRAS_CST!$A$2:$C$200,3,FALSE),"")</f>
        <v>NÃO</v>
      </c>
      <c r="F19" s="2" t="str">
        <f>IFERROR(VLOOKUP(C19,REGRAS_CST!$A$2:$D$200,4,FALSE),"")</f>
        <v>SIM</v>
      </c>
      <c r="G19" s="2" t="str">
        <f>IFERROR(VLOOKUP(C19,REGRAS_CST!$A$2:$E$200,5,FALSE),"")</f>
        <v>NÃO</v>
      </c>
      <c r="H19" s="2" t="s">
        <v>10</v>
      </c>
    </row>
    <row r="20" spans="1:8" ht="30.75" customHeight="1">
      <c r="A20" s="3" t="s">
        <v>94</v>
      </c>
      <c r="B20" s="2" t="s">
        <v>95</v>
      </c>
      <c r="C20" s="3" t="str">
        <f>LEFT(A20,3)</f>
        <v>200</v>
      </c>
      <c r="D20" s="2" t="str">
        <f>IFERROR(VLOOKUP(C20,REGRAS_CST!$A$2:$B$200,2,FALSE),"")</f>
        <v>Alíquota reduzida</v>
      </c>
      <c r="E20" s="2" t="str">
        <f>IFERROR(VLOOKUP(C20,REGRAS_CST!$A$2:$C$200,3,FALSE),"")</f>
        <v>NÃO</v>
      </c>
      <c r="F20" s="2" t="str">
        <f>IFERROR(VLOOKUP(C20,REGRAS_CST!$A$2:$D$200,4,FALSE),"")</f>
        <v>SIM</v>
      </c>
      <c r="G20" s="2" t="str">
        <f>IFERROR(VLOOKUP(C20,REGRAS_CST!$A$2:$E$200,5,FALSE),"")</f>
        <v>NÃO</v>
      </c>
      <c r="H20" s="2" t="s">
        <v>10</v>
      </c>
    </row>
    <row r="21" spans="1:8">
      <c r="A21" s="3" t="s">
        <v>96</v>
      </c>
      <c r="B21" s="2" t="s">
        <v>97</v>
      </c>
      <c r="C21" s="3" t="str">
        <f>LEFT(A21,3)</f>
        <v>200</v>
      </c>
      <c r="D21" s="2" t="str">
        <f>IFERROR(VLOOKUP(C21,REGRAS_CST!$A$2:$B$200,2,FALSE),"")</f>
        <v>Alíquota reduzida</v>
      </c>
      <c r="E21" s="2" t="str">
        <f>IFERROR(VLOOKUP(C21,REGRAS_CST!$A$2:$C$200,3,FALSE),"")</f>
        <v>NÃO</v>
      </c>
      <c r="F21" s="2" t="str">
        <f>IFERROR(VLOOKUP(C21,REGRAS_CST!$A$2:$D$200,4,FALSE),"")</f>
        <v>SIM</v>
      </c>
      <c r="G21" s="2" t="str">
        <f>IFERROR(VLOOKUP(C21,REGRAS_CST!$A$2:$E$200,5,FALSE),"")</f>
        <v>NÃO</v>
      </c>
      <c r="H21" s="2" t="s">
        <v>10</v>
      </c>
    </row>
    <row r="22" spans="1:8" ht="30.75" customHeight="1">
      <c r="A22" s="3" t="s">
        <v>98</v>
      </c>
      <c r="B22" s="2" t="s">
        <v>99</v>
      </c>
      <c r="C22" s="3" t="str">
        <f>LEFT(A22,3)</f>
        <v>200</v>
      </c>
      <c r="D22" s="2" t="str">
        <f>IFERROR(VLOOKUP(C22,REGRAS_CST!$A$2:$B$200,2,FALSE),"")</f>
        <v>Alíquota reduzida</v>
      </c>
      <c r="E22" s="2" t="str">
        <f>IFERROR(VLOOKUP(C22,REGRAS_CST!$A$2:$C$200,3,FALSE),"")</f>
        <v>NÃO</v>
      </c>
      <c r="F22" s="2" t="str">
        <f>IFERROR(VLOOKUP(C22,REGRAS_CST!$A$2:$D$200,4,FALSE),"")</f>
        <v>SIM</v>
      </c>
      <c r="G22" s="2" t="str">
        <f>IFERROR(VLOOKUP(C22,REGRAS_CST!$A$2:$E$200,5,FALSE),"")</f>
        <v>NÃO</v>
      </c>
      <c r="H22" s="2" t="s">
        <v>10</v>
      </c>
    </row>
    <row r="23" spans="1:8" ht="30.75" customHeight="1">
      <c r="A23" s="3" t="s">
        <v>100</v>
      </c>
      <c r="B23" s="2" t="s">
        <v>101</v>
      </c>
      <c r="C23" s="3" t="str">
        <f>LEFT(A23,3)</f>
        <v>200</v>
      </c>
      <c r="D23" s="2" t="str">
        <f>IFERROR(VLOOKUP(C23,REGRAS_CST!$A$2:$B$200,2,FALSE),"")</f>
        <v>Alíquota reduzida</v>
      </c>
      <c r="E23" s="2" t="str">
        <f>IFERROR(VLOOKUP(C23,REGRAS_CST!$A$2:$C$200,3,FALSE),"")</f>
        <v>NÃO</v>
      </c>
      <c r="F23" s="2" t="str">
        <f>IFERROR(VLOOKUP(C23,REGRAS_CST!$A$2:$D$200,4,FALSE),"")</f>
        <v>SIM</v>
      </c>
      <c r="G23" s="2" t="str">
        <f>IFERROR(VLOOKUP(C23,REGRAS_CST!$A$2:$E$200,5,FALSE),"")</f>
        <v>NÃO</v>
      </c>
      <c r="H23" s="2" t="s">
        <v>10</v>
      </c>
    </row>
    <row r="24" spans="1:8" ht="30.75" customHeight="1">
      <c r="A24" s="3" t="s">
        <v>102</v>
      </c>
      <c r="B24" s="2" t="s">
        <v>103</v>
      </c>
      <c r="C24" s="3" t="str">
        <f>LEFT(A24,3)</f>
        <v>200</v>
      </c>
      <c r="D24" s="2" t="str">
        <f>IFERROR(VLOOKUP(C24,REGRAS_CST!$A$2:$B$200,2,FALSE),"")</f>
        <v>Alíquota reduzida</v>
      </c>
      <c r="E24" s="2" t="str">
        <f>IFERROR(VLOOKUP(C24,REGRAS_CST!$A$2:$C$200,3,FALSE),"")</f>
        <v>NÃO</v>
      </c>
      <c r="F24" s="2" t="str">
        <f>IFERROR(VLOOKUP(C24,REGRAS_CST!$A$2:$D$200,4,FALSE),"")</f>
        <v>SIM</v>
      </c>
      <c r="G24" s="2" t="str">
        <f>IFERROR(VLOOKUP(C24,REGRAS_CST!$A$2:$E$200,5,FALSE),"")</f>
        <v>NÃO</v>
      </c>
      <c r="H24" s="2" t="s">
        <v>10</v>
      </c>
    </row>
    <row r="25" spans="1:8" ht="30.75" customHeight="1">
      <c r="A25" s="3" t="s">
        <v>104</v>
      </c>
      <c r="B25" s="2" t="s">
        <v>105</v>
      </c>
      <c r="C25" s="3" t="str">
        <f>LEFT(A25,3)</f>
        <v>200</v>
      </c>
      <c r="D25" s="2" t="str">
        <f>IFERROR(VLOOKUP(C25,REGRAS_CST!$A$2:$B$200,2,FALSE),"")</f>
        <v>Alíquota reduzida</v>
      </c>
      <c r="E25" s="2" t="str">
        <f>IFERROR(VLOOKUP(C25,REGRAS_CST!$A$2:$C$200,3,FALSE),"")</f>
        <v>NÃO</v>
      </c>
      <c r="F25" s="2" t="str">
        <f>IFERROR(VLOOKUP(C25,REGRAS_CST!$A$2:$D$200,4,FALSE),"")</f>
        <v>SIM</v>
      </c>
      <c r="G25" s="2" t="str">
        <f>IFERROR(VLOOKUP(C25,REGRAS_CST!$A$2:$E$200,5,FALSE),"")</f>
        <v>NÃO</v>
      </c>
      <c r="H25" s="2" t="s">
        <v>10</v>
      </c>
    </row>
    <row r="26" spans="1:8">
      <c r="A26" s="3" t="s">
        <v>106</v>
      </c>
      <c r="B26" s="2" t="s">
        <v>107</v>
      </c>
      <c r="C26" s="3" t="str">
        <f>LEFT(A26,3)</f>
        <v>200</v>
      </c>
      <c r="D26" s="2" t="str">
        <f>IFERROR(VLOOKUP(C26,REGRAS_CST!$A$2:$B$200,2,FALSE),"")</f>
        <v>Alíquota reduzida</v>
      </c>
      <c r="E26" s="2" t="str">
        <f>IFERROR(VLOOKUP(C26,REGRAS_CST!$A$2:$C$200,3,FALSE),"")</f>
        <v>NÃO</v>
      </c>
      <c r="F26" s="2" t="str">
        <f>IFERROR(VLOOKUP(C26,REGRAS_CST!$A$2:$D$200,4,FALSE),"")</f>
        <v>SIM</v>
      </c>
      <c r="G26" s="2" t="str">
        <f>IFERROR(VLOOKUP(C26,REGRAS_CST!$A$2:$E$200,5,FALSE),"")</f>
        <v>NÃO</v>
      </c>
      <c r="H26" s="2" t="s">
        <v>10</v>
      </c>
    </row>
    <row r="27" spans="1:8" ht="30.75" customHeight="1">
      <c r="A27" s="3" t="s">
        <v>108</v>
      </c>
      <c r="B27" s="2" t="s">
        <v>109</v>
      </c>
      <c r="C27" s="3" t="str">
        <f>LEFT(A27,3)</f>
        <v>200</v>
      </c>
      <c r="D27" s="2" t="str">
        <f>IFERROR(VLOOKUP(C27,REGRAS_CST!$A$2:$B$200,2,FALSE),"")</f>
        <v>Alíquota reduzida</v>
      </c>
      <c r="E27" s="2" t="str">
        <f>IFERROR(VLOOKUP(C27,REGRAS_CST!$A$2:$C$200,3,FALSE),"")</f>
        <v>NÃO</v>
      </c>
      <c r="F27" s="2" t="str">
        <f>IFERROR(VLOOKUP(C27,REGRAS_CST!$A$2:$D$200,4,FALSE),"")</f>
        <v>SIM</v>
      </c>
      <c r="G27" s="2" t="str">
        <f>IFERROR(VLOOKUP(C27,REGRAS_CST!$A$2:$E$200,5,FALSE),"")</f>
        <v>NÃO</v>
      </c>
      <c r="H27" s="2" t="s">
        <v>10</v>
      </c>
    </row>
    <row r="28" spans="1:8" ht="30.75" customHeight="1">
      <c r="A28" s="3" t="s">
        <v>110</v>
      </c>
      <c r="B28" s="2" t="s">
        <v>111</v>
      </c>
      <c r="C28" s="3" t="str">
        <f>LEFT(A28,3)</f>
        <v>200</v>
      </c>
      <c r="D28" s="2" t="str">
        <f>IFERROR(VLOOKUP(C28,REGRAS_CST!$A$2:$B$200,2,FALSE),"")</f>
        <v>Alíquota reduzida</v>
      </c>
      <c r="E28" s="2" t="str">
        <f>IFERROR(VLOOKUP(C28,REGRAS_CST!$A$2:$C$200,3,FALSE),"")</f>
        <v>NÃO</v>
      </c>
      <c r="F28" s="2" t="str">
        <f>IFERROR(VLOOKUP(C28,REGRAS_CST!$A$2:$D$200,4,FALSE),"")</f>
        <v>SIM</v>
      </c>
      <c r="G28" s="2" t="str">
        <f>IFERROR(VLOOKUP(C28,REGRAS_CST!$A$2:$E$200,5,FALSE),"")</f>
        <v>NÃO</v>
      </c>
      <c r="H28" s="2" t="s">
        <v>10</v>
      </c>
    </row>
    <row r="29" spans="1:8">
      <c r="A29" s="3" t="s">
        <v>112</v>
      </c>
      <c r="B29" s="2" t="s">
        <v>113</v>
      </c>
      <c r="C29" s="3" t="str">
        <f>LEFT(A29,3)</f>
        <v>200</v>
      </c>
      <c r="D29" s="2" t="str">
        <f>IFERROR(VLOOKUP(C29,REGRAS_CST!$A$2:$B$200,2,FALSE),"")</f>
        <v>Alíquota reduzida</v>
      </c>
      <c r="E29" s="2" t="str">
        <f>IFERROR(VLOOKUP(C29,REGRAS_CST!$A$2:$C$200,3,FALSE),"")</f>
        <v>NÃO</v>
      </c>
      <c r="F29" s="2" t="str">
        <f>IFERROR(VLOOKUP(C29,REGRAS_CST!$A$2:$D$200,4,FALSE),"")</f>
        <v>SIM</v>
      </c>
      <c r="G29" s="2" t="str">
        <f>IFERROR(VLOOKUP(C29,REGRAS_CST!$A$2:$E$200,5,FALSE),"")</f>
        <v>NÃO</v>
      </c>
      <c r="H29" s="2" t="s">
        <v>10</v>
      </c>
    </row>
    <row r="30" spans="1:8">
      <c r="A30" s="3" t="s">
        <v>114</v>
      </c>
      <c r="B30" s="2" t="s">
        <v>115</v>
      </c>
      <c r="C30" s="3" t="str">
        <f>LEFT(A30,3)</f>
        <v>200</v>
      </c>
      <c r="D30" s="2" t="str">
        <f>IFERROR(VLOOKUP(C30,REGRAS_CST!$A$2:$B$200,2,FALSE),"")</f>
        <v>Alíquota reduzida</v>
      </c>
      <c r="E30" s="2" t="str">
        <f>IFERROR(VLOOKUP(C30,REGRAS_CST!$A$2:$C$200,3,FALSE),"")</f>
        <v>NÃO</v>
      </c>
      <c r="F30" s="2" t="str">
        <f>IFERROR(VLOOKUP(C30,REGRAS_CST!$A$2:$D$200,4,FALSE),"")</f>
        <v>SIM</v>
      </c>
      <c r="G30" s="2" t="str">
        <f>IFERROR(VLOOKUP(C30,REGRAS_CST!$A$2:$E$200,5,FALSE),"")</f>
        <v>NÃO</v>
      </c>
      <c r="H30" s="2" t="s">
        <v>10</v>
      </c>
    </row>
    <row r="31" spans="1:8">
      <c r="A31" s="3" t="s">
        <v>116</v>
      </c>
      <c r="B31" s="2" t="s">
        <v>117</v>
      </c>
      <c r="C31" s="3" t="str">
        <f>LEFT(A31,3)</f>
        <v>200</v>
      </c>
      <c r="D31" s="2" t="str">
        <f>IFERROR(VLOOKUP(C31,REGRAS_CST!$A$2:$B$200,2,FALSE),"")</f>
        <v>Alíquota reduzida</v>
      </c>
      <c r="E31" s="2" t="str">
        <f>IFERROR(VLOOKUP(C31,REGRAS_CST!$A$2:$C$200,3,FALSE),"")</f>
        <v>NÃO</v>
      </c>
      <c r="F31" s="2" t="str">
        <f>IFERROR(VLOOKUP(C31,REGRAS_CST!$A$2:$D$200,4,FALSE),"")</f>
        <v>SIM</v>
      </c>
      <c r="G31" s="2" t="str">
        <f>IFERROR(VLOOKUP(C31,REGRAS_CST!$A$2:$E$200,5,FALSE),"")</f>
        <v>NÃO</v>
      </c>
      <c r="H31" s="2" t="s">
        <v>10</v>
      </c>
    </row>
    <row r="32" spans="1:8" ht="30.75" customHeight="1">
      <c r="A32" s="3" t="s">
        <v>118</v>
      </c>
      <c r="B32" s="2" t="s">
        <v>119</v>
      </c>
      <c r="C32" s="3" t="str">
        <f>LEFT(A32,3)</f>
        <v>200</v>
      </c>
      <c r="D32" s="2" t="str">
        <f>IFERROR(VLOOKUP(C32,REGRAS_CST!$A$2:$B$200,2,FALSE),"")</f>
        <v>Alíquota reduzida</v>
      </c>
      <c r="E32" s="2" t="str">
        <f>IFERROR(VLOOKUP(C32,REGRAS_CST!$A$2:$C$200,3,FALSE),"")</f>
        <v>NÃO</v>
      </c>
      <c r="F32" s="2" t="str">
        <f>IFERROR(VLOOKUP(C32,REGRAS_CST!$A$2:$D$200,4,FALSE),"")</f>
        <v>SIM</v>
      </c>
      <c r="G32" s="2" t="str">
        <f>IFERROR(VLOOKUP(C32,REGRAS_CST!$A$2:$E$200,5,FALSE),"")</f>
        <v>NÃO</v>
      </c>
      <c r="H32" s="2" t="s">
        <v>10</v>
      </c>
    </row>
    <row r="33" spans="1:8">
      <c r="A33" s="3" t="s">
        <v>120</v>
      </c>
      <c r="B33" s="2" t="s">
        <v>121</v>
      </c>
      <c r="C33" s="3" t="str">
        <f>LEFT(A33,3)</f>
        <v>200</v>
      </c>
      <c r="D33" s="2" t="str">
        <f>IFERROR(VLOOKUP(C33,REGRAS_CST!$A$2:$B$200,2,FALSE),"")</f>
        <v>Alíquota reduzida</v>
      </c>
      <c r="E33" s="2" t="str">
        <f>IFERROR(VLOOKUP(C33,REGRAS_CST!$A$2:$C$200,3,FALSE),"")</f>
        <v>NÃO</v>
      </c>
      <c r="F33" s="2" t="str">
        <f>IFERROR(VLOOKUP(C33,REGRAS_CST!$A$2:$D$200,4,FALSE),"")</f>
        <v>SIM</v>
      </c>
      <c r="G33" s="2" t="str">
        <f>IFERROR(VLOOKUP(C33,REGRAS_CST!$A$2:$E$200,5,FALSE),"")</f>
        <v>NÃO</v>
      </c>
      <c r="H33" s="2" t="s">
        <v>10</v>
      </c>
    </row>
    <row r="34" spans="1:8" ht="30.75" customHeight="1">
      <c r="A34" s="3" t="s">
        <v>122</v>
      </c>
      <c r="B34" s="2" t="s">
        <v>123</v>
      </c>
      <c r="C34" s="3" t="str">
        <f>LEFT(A34,3)</f>
        <v>200</v>
      </c>
      <c r="D34" s="2" t="str">
        <f>IFERROR(VLOOKUP(C34,REGRAS_CST!$A$2:$B$200,2,FALSE),"")</f>
        <v>Alíquota reduzida</v>
      </c>
      <c r="E34" s="2" t="str">
        <f>IFERROR(VLOOKUP(C34,REGRAS_CST!$A$2:$C$200,3,FALSE),"")</f>
        <v>NÃO</v>
      </c>
      <c r="F34" s="2" t="str">
        <f>IFERROR(VLOOKUP(C34,REGRAS_CST!$A$2:$D$200,4,FALSE),"")</f>
        <v>SIM</v>
      </c>
      <c r="G34" s="2" t="str">
        <f>IFERROR(VLOOKUP(C34,REGRAS_CST!$A$2:$E$200,5,FALSE),"")</f>
        <v>NÃO</v>
      </c>
      <c r="H34" s="2" t="s">
        <v>10</v>
      </c>
    </row>
    <row r="35" spans="1:8" ht="30.75" customHeight="1">
      <c r="A35" s="3" t="s">
        <v>124</v>
      </c>
      <c r="B35" s="2" t="s">
        <v>125</v>
      </c>
      <c r="C35" s="3" t="str">
        <f>LEFT(A35,3)</f>
        <v>200</v>
      </c>
      <c r="D35" s="2" t="str">
        <f>IFERROR(VLOOKUP(C35,REGRAS_CST!$A$2:$B$200,2,FALSE),"")</f>
        <v>Alíquota reduzida</v>
      </c>
      <c r="E35" s="2" t="str">
        <f>IFERROR(VLOOKUP(C35,REGRAS_CST!$A$2:$C$200,3,FALSE),"")</f>
        <v>NÃO</v>
      </c>
      <c r="F35" s="2" t="str">
        <f>IFERROR(VLOOKUP(C35,REGRAS_CST!$A$2:$D$200,4,FALSE),"")</f>
        <v>SIM</v>
      </c>
      <c r="G35" s="2" t="str">
        <f>IFERROR(VLOOKUP(C35,REGRAS_CST!$A$2:$E$200,5,FALSE),"")</f>
        <v>NÃO</v>
      </c>
      <c r="H35" s="2" t="s">
        <v>10</v>
      </c>
    </row>
    <row r="36" spans="1:8" ht="30.75" customHeight="1">
      <c r="A36" s="3" t="s">
        <v>126</v>
      </c>
      <c r="B36" s="2" t="s">
        <v>127</v>
      </c>
      <c r="C36" s="3" t="str">
        <f>LEFT(A36,3)</f>
        <v>200</v>
      </c>
      <c r="D36" s="2" t="str">
        <f>IFERROR(VLOOKUP(C36,REGRAS_CST!$A$2:$B$200,2,FALSE),"")</f>
        <v>Alíquota reduzida</v>
      </c>
      <c r="E36" s="2" t="str">
        <f>IFERROR(VLOOKUP(C36,REGRAS_CST!$A$2:$C$200,3,FALSE),"")</f>
        <v>NÃO</v>
      </c>
      <c r="F36" s="2" t="str">
        <f>IFERROR(VLOOKUP(C36,REGRAS_CST!$A$2:$D$200,4,FALSE),"")</f>
        <v>SIM</v>
      </c>
      <c r="G36" s="2" t="str">
        <f>IFERROR(VLOOKUP(C36,REGRAS_CST!$A$2:$E$200,5,FALSE),"")</f>
        <v>NÃO</v>
      </c>
      <c r="H36" s="2" t="s">
        <v>10</v>
      </c>
    </row>
    <row r="37" spans="1:8" ht="30.75" customHeight="1">
      <c r="A37" s="3" t="s">
        <v>128</v>
      </c>
      <c r="B37" s="2" t="s">
        <v>129</v>
      </c>
      <c r="C37" s="3" t="str">
        <f>LEFT(A37,3)</f>
        <v>200</v>
      </c>
      <c r="D37" s="2" t="str">
        <f>IFERROR(VLOOKUP(C37,REGRAS_CST!$A$2:$B$200,2,FALSE),"")</f>
        <v>Alíquota reduzida</v>
      </c>
      <c r="E37" s="2" t="str">
        <f>IFERROR(VLOOKUP(C37,REGRAS_CST!$A$2:$C$200,3,FALSE),"")</f>
        <v>NÃO</v>
      </c>
      <c r="F37" s="2" t="str">
        <f>IFERROR(VLOOKUP(C37,REGRAS_CST!$A$2:$D$200,4,FALSE),"")</f>
        <v>SIM</v>
      </c>
      <c r="G37" s="2" t="str">
        <f>IFERROR(VLOOKUP(C37,REGRAS_CST!$A$2:$E$200,5,FALSE),"")</f>
        <v>NÃO</v>
      </c>
      <c r="H37" s="2" t="s">
        <v>10</v>
      </c>
    </row>
    <row r="38" spans="1:8">
      <c r="A38" s="3" t="s">
        <v>130</v>
      </c>
      <c r="B38" s="2" t="s">
        <v>131</v>
      </c>
      <c r="C38" s="3" t="str">
        <f>LEFT(A38,3)</f>
        <v>200</v>
      </c>
      <c r="D38" s="2" t="str">
        <f>IFERROR(VLOOKUP(C38,REGRAS_CST!$A$2:$B$200,2,FALSE),"")</f>
        <v>Alíquota reduzida</v>
      </c>
      <c r="E38" s="2" t="str">
        <f>IFERROR(VLOOKUP(C38,REGRAS_CST!$A$2:$C$200,3,FALSE),"")</f>
        <v>NÃO</v>
      </c>
      <c r="F38" s="2" t="str">
        <f>IFERROR(VLOOKUP(C38,REGRAS_CST!$A$2:$D$200,4,FALSE),"")</f>
        <v>SIM</v>
      </c>
      <c r="G38" s="2" t="str">
        <f>IFERROR(VLOOKUP(C38,REGRAS_CST!$A$2:$E$200,5,FALSE),"")</f>
        <v>NÃO</v>
      </c>
      <c r="H38" s="2" t="s">
        <v>10</v>
      </c>
    </row>
    <row r="39" spans="1:8">
      <c r="A39" s="3" t="s">
        <v>132</v>
      </c>
      <c r="B39" s="2" t="s">
        <v>133</v>
      </c>
      <c r="C39" s="3" t="str">
        <f>LEFT(A39,3)</f>
        <v>200</v>
      </c>
      <c r="D39" s="2" t="str">
        <f>IFERROR(VLOOKUP(C39,REGRAS_CST!$A$2:$B$200,2,FALSE),"")</f>
        <v>Alíquota reduzida</v>
      </c>
      <c r="E39" s="2" t="str">
        <f>IFERROR(VLOOKUP(C39,REGRAS_CST!$A$2:$C$200,3,FALSE),"")</f>
        <v>NÃO</v>
      </c>
      <c r="F39" s="2" t="str">
        <f>IFERROR(VLOOKUP(C39,REGRAS_CST!$A$2:$D$200,4,FALSE),"")</f>
        <v>SIM</v>
      </c>
      <c r="G39" s="2" t="str">
        <f>IFERROR(VLOOKUP(C39,REGRAS_CST!$A$2:$E$200,5,FALSE),"")</f>
        <v>NÃO</v>
      </c>
      <c r="H39" s="2" t="s">
        <v>10</v>
      </c>
    </row>
    <row r="40" spans="1:8">
      <c r="A40" s="3" t="s">
        <v>134</v>
      </c>
      <c r="B40" s="2" t="s">
        <v>135</v>
      </c>
      <c r="C40" s="3" t="str">
        <f>LEFT(A40,3)</f>
        <v>200</v>
      </c>
      <c r="D40" s="2" t="str">
        <f>IFERROR(VLOOKUP(C40,REGRAS_CST!$A$2:$B$200,2,FALSE),"")</f>
        <v>Alíquota reduzida</v>
      </c>
      <c r="E40" s="2" t="str">
        <f>IFERROR(VLOOKUP(C40,REGRAS_CST!$A$2:$C$200,3,FALSE),"")</f>
        <v>NÃO</v>
      </c>
      <c r="F40" s="2" t="str">
        <f>IFERROR(VLOOKUP(C40,REGRAS_CST!$A$2:$D$200,4,FALSE),"")</f>
        <v>SIM</v>
      </c>
      <c r="G40" s="2" t="str">
        <f>IFERROR(VLOOKUP(C40,REGRAS_CST!$A$2:$E$200,5,FALSE),"")</f>
        <v>NÃO</v>
      </c>
      <c r="H40" s="2" t="s">
        <v>10</v>
      </c>
    </row>
    <row r="41" spans="1:8">
      <c r="A41" s="3" t="s">
        <v>136</v>
      </c>
      <c r="B41" s="2" t="s">
        <v>137</v>
      </c>
      <c r="C41" s="3" t="str">
        <f>LEFT(A41,3)</f>
        <v>200</v>
      </c>
      <c r="D41" s="2" t="str">
        <f>IFERROR(VLOOKUP(C41,REGRAS_CST!$A$2:$B$200,2,FALSE),"")</f>
        <v>Alíquota reduzida</v>
      </c>
      <c r="E41" s="2" t="str">
        <f>IFERROR(VLOOKUP(C41,REGRAS_CST!$A$2:$C$200,3,FALSE),"")</f>
        <v>NÃO</v>
      </c>
      <c r="F41" s="2" t="str">
        <f>IFERROR(VLOOKUP(C41,REGRAS_CST!$A$2:$D$200,4,FALSE),"")</f>
        <v>SIM</v>
      </c>
      <c r="G41" s="2" t="str">
        <f>IFERROR(VLOOKUP(C41,REGRAS_CST!$A$2:$E$200,5,FALSE),"")</f>
        <v>NÃO</v>
      </c>
      <c r="H41" s="2" t="s">
        <v>10</v>
      </c>
    </row>
    <row r="42" spans="1:8">
      <c r="A42" s="3" t="s">
        <v>138</v>
      </c>
      <c r="B42" s="2" t="s">
        <v>139</v>
      </c>
      <c r="C42" s="3" t="str">
        <f>LEFT(A42,3)</f>
        <v>200</v>
      </c>
      <c r="D42" s="2" t="str">
        <f>IFERROR(VLOOKUP(C42,REGRAS_CST!$A$2:$B$200,2,FALSE),"")</f>
        <v>Alíquota reduzida</v>
      </c>
      <c r="E42" s="2" t="str">
        <f>IFERROR(VLOOKUP(C42,REGRAS_CST!$A$2:$C$200,3,FALSE),"")</f>
        <v>NÃO</v>
      </c>
      <c r="F42" s="2" t="str">
        <f>IFERROR(VLOOKUP(C42,REGRAS_CST!$A$2:$D$200,4,FALSE),"")</f>
        <v>SIM</v>
      </c>
      <c r="G42" s="2" t="str">
        <f>IFERROR(VLOOKUP(C42,REGRAS_CST!$A$2:$E$200,5,FALSE),"")</f>
        <v>NÃO</v>
      </c>
      <c r="H42" s="2" t="s">
        <v>10</v>
      </c>
    </row>
    <row r="43" spans="1:8" ht="30.75" customHeight="1">
      <c r="A43" s="3" t="s">
        <v>140</v>
      </c>
      <c r="B43" s="2" t="s">
        <v>141</v>
      </c>
      <c r="C43" s="3" t="str">
        <f>LEFT(A43,3)</f>
        <v>200</v>
      </c>
      <c r="D43" s="2" t="str">
        <f>IFERROR(VLOOKUP(C43,REGRAS_CST!$A$2:$B$200,2,FALSE),"")</f>
        <v>Alíquota reduzida</v>
      </c>
      <c r="E43" s="2" t="str">
        <f>IFERROR(VLOOKUP(C43,REGRAS_CST!$A$2:$C$200,3,FALSE),"")</f>
        <v>NÃO</v>
      </c>
      <c r="F43" s="2" t="str">
        <f>IFERROR(VLOOKUP(C43,REGRAS_CST!$A$2:$D$200,4,FALSE),"")</f>
        <v>SIM</v>
      </c>
      <c r="G43" s="2" t="str">
        <f>IFERROR(VLOOKUP(C43,REGRAS_CST!$A$2:$E$200,5,FALSE),"")</f>
        <v>NÃO</v>
      </c>
      <c r="H43" s="2" t="s">
        <v>10</v>
      </c>
    </row>
    <row r="44" spans="1:8" ht="45.75" customHeight="1">
      <c r="A44" s="3" t="s">
        <v>142</v>
      </c>
      <c r="B44" s="2" t="s">
        <v>143</v>
      </c>
      <c r="C44" s="3" t="str">
        <f>LEFT(A44,3)</f>
        <v>200</v>
      </c>
      <c r="D44" s="2" t="str">
        <f>IFERROR(VLOOKUP(C44,REGRAS_CST!$A$2:$B$200,2,FALSE),"")</f>
        <v>Alíquota reduzida</v>
      </c>
      <c r="E44" s="2" t="str">
        <f>IFERROR(VLOOKUP(C44,REGRAS_CST!$A$2:$C$200,3,FALSE),"")</f>
        <v>NÃO</v>
      </c>
      <c r="F44" s="2" t="str">
        <f>IFERROR(VLOOKUP(C44,REGRAS_CST!$A$2:$D$200,4,FALSE),"")</f>
        <v>SIM</v>
      </c>
      <c r="G44" s="2" t="str">
        <f>IFERROR(VLOOKUP(C44,REGRAS_CST!$A$2:$E$200,5,FALSE),"")</f>
        <v>NÃO</v>
      </c>
      <c r="H44" s="2" t="s">
        <v>10</v>
      </c>
    </row>
    <row r="45" spans="1:8">
      <c r="A45" s="3" t="s">
        <v>144</v>
      </c>
      <c r="B45" s="2" t="s">
        <v>145</v>
      </c>
      <c r="C45" s="3" t="str">
        <f>LEFT(A45,3)</f>
        <v>200</v>
      </c>
      <c r="D45" s="2" t="str">
        <f>IFERROR(VLOOKUP(C45,REGRAS_CST!$A$2:$B$200,2,FALSE),"")</f>
        <v>Alíquota reduzida</v>
      </c>
      <c r="E45" s="2" t="str">
        <f>IFERROR(VLOOKUP(C45,REGRAS_CST!$A$2:$C$200,3,FALSE),"")</f>
        <v>NÃO</v>
      </c>
      <c r="F45" s="2" t="str">
        <f>IFERROR(VLOOKUP(C45,REGRAS_CST!$A$2:$D$200,4,FALSE),"")</f>
        <v>SIM</v>
      </c>
      <c r="G45" s="2" t="str">
        <f>IFERROR(VLOOKUP(C45,REGRAS_CST!$A$2:$E$200,5,FALSE),"")</f>
        <v>NÃO</v>
      </c>
      <c r="H45" s="2" t="s">
        <v>10</v>
      </c>
    </row>
    <row r="46" spans="1:8">
      <c r="A46" s="3" t="s">
        <v>146</v>
      </c>
      <c r="B46" s="2" t="s">
        <v>147</v>
      </c>
      <c r="C46" s="3" t="str">
        <f>LEFT(A46,3)</f>
        <v>200</v>
      </c>
      <c r="D46" s="2" t="str">
        <f>IFERROR(VLOOKUP(C46,REGRAS_CST!$A$2:$B$200,2,FALSE),"")</f>
        <v>Alíquota reduzida</v>
      </c>
      <c r="E46" s="2" t="str">
        <f>IFERROR(VLOOKUP(C46,REGRAS_CST!$A$2:$C$200,3,FALSE),"")</f>
        <v>NÃO</v>
      </c>
      <c r="F46" s="2" t="str">
        <f>IFERROR(VLOOKUP(C46,REGRAS_CST!$A$2:$D$200,4,FALSE),"")</f>
        <v>SIM</v>
      </c>
      <c r="G46" s="2" t="str">
        <f>IFERROR(VLOOKUP(C46,REGRAS_CST!$A$2:$E$200,5,FALSE),"")</f>
        <v>NÃO</v>
      </c>
      <c r="H46" s="2" t="s">
        <v>10</v>
      </c>
    </row>
    <row r="47" spans="1:8">
      <c r="A47" s="3" t="s">
        <v>148</v>
      </c>
      <c r="B47" s="2" t="s">
        <v>149</v>
      </c>
      <c r="C47" s="3" t="str">
        <f>LEFT(A47,3)</f>
        <v>200</v>
      </c>
      <c r="D47" s="2" t="str">
        <f>IFERROR(VLOOKUP(C47,REGRAS_CST!$A$2:$B$200,2,FALSE),"")</f>
        <v>Alíquota reduzida</v>
      </c>
      <c r="E47" s="2" t="str">
        <f>IFERROR(VLOOKUP(C47,REGRAS_CST!$A$2:$C$200,3,FALSE),"")</f>
        <v>NÃO</v>
      </c>
      <c r="F47" s="2" t="str">
        <f>IFERROR(VLOOKUP(C47,REGRAS_CST!$A$2:$D$200,4,FALSE),"")</f>
        <v>SIM</v>
      </c>
      <c r="G47" s="2" t="str">
        <f>IFERROR(VLOOKUP(C47,REGRAS_CST!$A$2:$E$200,5,FALSE),"")</f>
        <v>NÃO</v>
      </c>
      <c r="H47" s="2" t="s">
        <v>10</v>
      </c>
    </row>
    <row r="48" spans="1:8" ht="30.75" customHeight="1">
      <c r="A48" s="3" t="s">
        <v>150</v>
      </c>
      <c r="B48" s="2" t="s">
        <v>151</v>
      </c>
      <c r="C48" s="3" t="str">
        <f>LEFT(A48,3)</f>
        <v>200</v>
      </c>
      <c r="D48" s="2" t="str">
        <f>IFERROR(VLOOKUP(C48,REGRAS_CST!$A$2:$B$200,2,FALSE),"")</f>
        <v>Alíquota reduzida</v>
      </c>
      <c r="E48" s="2" t="str">
        <f>IFERROR(VLOOKUP(C48,REGRAS_CST!$A$2:$C$200,3,FALSE),"")</f>
        <v>NÃO</v>
      </c>
      <c r="F48" s="2" t="str">
        <f>IFERROR(VLOOKUP(C48,REGRAS_CST!$A$2:$D$200,4,FALSE),"")</f>
        <v>SIM</v>
      </c>
      <c r="G48" s="2" t="str">
        <f>IFERROR(VLOOKUP(C48,REGRAS_CST!$A$2:$E$200,5,FALSE),"")</f>
        <v>NÃO</v>
      </c>
      <c r="H48" s="2" t="s">
        <v>10</v>
      </c>
    </row>
    <row r="49" spans="1:8" ht="30.75" customHeight="1">
      <c r="A49" s="3" t="s">
        <v>152</v>
      </c>
      <c r="B49" s="2" t="s">
        <v>153</v>
      </c>
      <c r="C49" s="3" t="str">
        <f>LEFT(A49,3)</f>
        <v>200</v>
      </c>
      <c r="D49" s="2" t="str">
        <f>IFERROR(VLOOKUP(C49,REGRAS_CST!$A$2:$B$200,2,FALSE),"")</f>
        <v>Alíquota reduzida</v>
      </c>
      <c r="E49" s="2" t="str">
        <f>IFERROR(VLOOKUP(C49,REGRAS_CST!$A$2:$C$200,3,FALSE),"")</f>
        <v>NÃO</v>
      </c>
      <c r="F49" s="2" t="str">
        <f>IFERROR(VLOOKUP(C49,REGRAS_CST!$A$2:$D$200,4,FALSE),"")</f>
        <v>SIM</v>
      </c>
      <c r="G49" s="2" t="str">
        <f>IFERROR(VLOOKUP(C49,REGRAS_CST!$A$2:$E$200,5,FALSE),"")</f>
        <v>NÃO</v>
      </c>
      <c r="H49" s="2" t="s">
        <v>10</v>
      </c>
    </row>
    <row r="50" spans="1:8">
      <c r="A50" s="3" t="s">
        <v>154</v>
      </c>
      <c r="B50" s="2" t="s">
        <v>155</v>
      </c>
      <c r="C50" s="3" t="str">
        <f>LEFT(A50,3)</f>
        <v>200</v>
      </c>
      <c r="D50" s="2" t="str">
        <f>IFERROR(VLOOKUP(C50,REGRAS_CST!$A$2:$B$200,2,FALSE),"")</f>
        <v>Alíquota reduzida</v>
      </c>
      <c r="E50" s="2" t="str">
        <f>IFERROR(VLOOKUP(C50,REGRAS_CST!$A$2:$C$200,3,FALSE),"")</f>
        <v>NÃO</v>
      </c>
      <c r="F50" s="2" t="str">
        <f>IFERROR(VLOOKUP(C50,REGRAS_CST!$A$2:$D$200,4,FALSE),"")</f>
        <v>SIM</v>
      </c>
      <c r="G50" s="2" t="str">
        <f>IFERROR(VLOOKUP(C50,REGRAS_CST!$A$2:$E$200,5,FALSE),"")</f>
        <v>NÃO</v>
      </c>
      <c r="H50" s="2" t="s">
        <v>10</v>
      </c>
    </row>
    <row r="51" spans="1:8" ht="30.75" customHeight="1">
      <c r="A51" s="3" t="s">
        <v>156</v>
      </c>
      <c r="B51" s="2" t="s">
        <v>157</v>
      </c>
      <c r="C51" s="3" t="str">
        <f>LEFT(A51,3)</f>
        <v>200</v>
      </c>
      <c r="D51" s="2" t="str">
        <f>IFERROR(VLOOKUP(C51,REGRAS_CST!$A$2:$B$200,2,FALSE),"")</f>
        <v>Alíquota reduzida</v>
      </c>
      <c r="E51" s="2" t="str">
        <f>IFERROR(VLOOKUP(C51,REGRAS_CST!$A$2:$C$200,3,FALSE),"")</f>
        <v>NÃO</v>
      </c>
      <c r="F51" s="2" t="str">
        <f>IFERROR(VLOOKUP(C51,REGRAS_CST!$A$2:$D$200,4,FALSE),"")</f>
        <v>SIM</v>
      </c>
      <c r="G51" s="2" t="str">
        <f>IFERROR(VLOOKUP(C51,REGRAS_CST!$A$2:$E$200,5,FALSE),"")</f>
        <v>NÃO</v>
      </c>
      <c r="H51" s="2" t="s">
        <v>10</v>
      </c>
    </row>
    <row r="52" spans="1:8">
      <c r="A52" s="3" t="s">
        <v>158</v>
      </c>
      <c r="B52" s="2" t="s">
        <v>159</v>
      </c>
      <c r="C52" s="3" t="str">
        <f>LEFT(A52,3)</f>
        <v>200</v>
      </c>
      <c r="D52" s="2" t="str">
        <f>IFERROR(VLOOKUP(C52,REGRAS_CST!$A$2:$B$200,2,FALSE),"")</f>
        <v>Alíquota reduzida</v>
      </c>
      <c r="E52" s="2" t="str">
        <f>IFERROR(VLOOKUP(C52,REGRAS_CST!$A$2:$C$200,3,FALSE),"")</f>
        <v>NÃO</v>
      </c>
      <c r="F52" s="2" t="str">
        <f>IFERROR(VLOOKUP(C52,REGRAS_CST!$A$2:$D$200,4,FALSE),"")</f>
        <v>SIM</v>
      </c>
      <c r="G52" s="2" t="str">
        <f>IFERROR(VLOOKUP(C52,REGRAS_CST!$A$2:$E$200,5,FALSE),"")</f>
        <v>NÃO</v>
      </c>
      <c r="H52" s="2" t="s">
        <v>10</v>
      </c>
    </row>
    <row r="53" spans="1:8">
      <c r="A53" s="3" t="s">
        <v>160</v>
      </c>
      <c r="B53" s="2" t="s">
        <v>161</v>
      </c>
      <c r="C53" s="3" t="str">
        <f>LEFT(A53,3)</f>
        <v>200</v>
      </c>
      <c r="D53" s="2" t="str">
        <f>IFERROR(VLOOKUP(C53,REGRAS_CST!$A$2:$B$200,2,FALSE),"")</f>
        <v>Alíquota reduzida</v>
      </c>
      <c r="E53" s="2" t="str">
        <f>IFERROR(VLOOKUP(C53,REGRAS_CST!$A$2:$C$200,3,FALSE),"")</f>
        <v>NÃO</v>
      </c>
      <c r="F53" s="2" t="str">
        <f>IFERROR(VLOOKUP(C53,REGRAS_CST!$A$2:$D$200,4,FALSE),"")</f>
        <v>SIM</v>
      </c>
      <c r="G53" s="2" t="str">
        <f>IFERROR(VLOOKUP(C53,REGRAS_CST!$A$2:$E$200,5,FALSE),"")</f>
        <v>NÃO</v>
      </c>
      <c r="H53" s="2" t="s">
        <v>10</v>
      </c>
    </row>
    <row r="54" spans="1:8">
      <c r="A54" s="3" t="s">
        <v>162</v>
      </c>
      <c r="B54" s="2" t="s">
        <v>163</v>
      </c>
      <c r="C54" s="3" t="str">
        <f>LEFT(A54,3)</f>
        <v>200</v>
      </c>
      <c r="D54" s="2" t="str">
        <f>IFERROR(VLOOKUP(C54,REGRAS_CST!$A$2:$B$200,2,FALSE),"")</f>
        <v>Alíquota reduzida</v>
      </c>
      <c r="E54" s="2" t="str">
        <f>IFERROR(VLOOKUP(C54,REGRAS_CST!$A$2:$C$200,3,FALSE),"")</f>
        <v>NÃO</v>
      </c>
      <c r="F54" s="2" t="str">
        <f>IFERROR(VLOOKUP(C54,REGRAS_CST!$A$2:$D$200,4,FALSE),"")</f>
        <v>SIM</v>
      </c>
      <c r="G54" s="2" t="str">
        <f>IFERROR(VLOOKUP(C54,REGRAS_CST!$A$2:$E$200,5,FALSE),"")</f>
        <v>NÃO</v>
      </c>
      <c r="H54" s="2" t="s">
        <v>10</v>
      </c>
    </row>
    <row r="55" spans="1:8" ht="30.75" customHeight="1">
      <c r="A55" s="3" t="s">
        <v>164</v>
      </c>
      <c r="B55" s="2" t="s">
        <v>165</v>
      </c>
      <c r="C55" s="3" t="str">
        <f>LEFT(A55,3)</f>
        <v>200</v>
      </c>
      <c r="D55" s="2" t="str">
        <f>IFERROR(VLOOKUP(C55,REGRAS_CST!$A$2:$B$200,2,FALSE),"")</f>
        <v>Alíquota reduzida</v>
      </c>
      <c r="E55" s="2" t="str">
        <f>IFERROR(VLOOKUP(C55,REGRAS_CST!$A$2:$C$200,3,FALSE),"")</f>
        <v>NÃO</v>
      </c>
      <c r="F55" s="2" t="str">
        <f>IFERROR(VLOOKUP(C55,REGRAS_CST!$A$2:$D$200,4,FALSE),"")</f>
        <v>SIM</v>
      </c>
      <c r="G55" s="2" t="str">
        <f>IFERROR(VLOOKUP(C55,REGRAS_CST!$A$2:$E$200,5,FALSE),"")</f>
        <v>NÃO</v>
      </c>
      <c r="H55" s="2" t="s">
        <v>10</v>
      </c>
    </row>
    <row r="56" spans="1:8" ht="30.75" customHeight="1">
      <c r="A56" s="3" t="s">
        <v>166</v>
      </c>
      <c r="B56" s="2" t="s">
        <v>167</v>
      </c>
      <c r="C56" s="3" t="str">
        <f>LEFT(A56,3)</f>
        <v>200</v>
      </c>
      <c r="D56" s="2" t="str">
        <f>IFERROR(VLOOKUP(C56,REGRAS_CST!$A$2:$B$200,2,FALSE),"")</f>
        <v>Alíquota reduzida</v>
      </c>
      <c r="E56" s="2" t="str">
        <f>IFERROR(VLOOKUP(C56,REGRAS_CST!$A$2:$C$200,3,FALSE),"")</f>
        <v>NÃO</v>
      </c>
      <c r="F56" s="2" t="str">
        <f>IFERROR(VLOOKUP(C56,REGRAS_CST!$A$2:$D$200,4,FALSE),"")</f>
        <v>SIM</v>
      </c>
      <c r="G56" s="2" t="str">
        <f>IFERROR(VLOOKUP(C56,REGRAS_CST!$A$2:$E$200,5,FALSE),"")</f>
        <v>NÃO</v>
      </c>
      <c r="H56" s="2" t="s">
        <v>10</v>
      </c>
    </row>
    <row r="57" spans="1:8" ht="30.75" customHeight="1">
      <c r="A57" s="3" t="s">
        <v>168</v>
      </c>
      <c r="B57" s="2" t="s">
        <v>169</v>
      </c>
      <c r="C57" s="3" t="str">
        <f>LEFT(A57,3)</f>
        <v>200</v>
      </c>
      <c r="D57" s="2" t="str">
        <f>IFERROR(VLOOKUP(C57,REGRAS_CST!$A$2:$B$200,2,FALSE),"")</f>
        <v>Alíquota reduzida</v>
      </c>
      <c r="E57" s="2" t="str">
        <f>IFERROR(VLOOKUP(C57,REGRAS_CST!$A$2:$C$200,3,FALSE),"")</f>
        <v>NÃO</v>
      </c>
      <c r="F57" s="2" t="str">
        <f>IFERROR(VLOOKUP(C57,REGRAS_CST!$A$2:$D$200,4,FALSE),"")</f>
        <v>SIM</v>
      </c>
      <c r="G57" s="2" t="str">
        <f>IFERROR(VLOOKUP(C57,REGRAS_CST!$A$2:$E$200,5,FALSE),"")</f>
        <v>NÃO</v>
      </c>
      <c r="H57" s="2" t="s">
        <v>10</v>
      </c>
    </row>
    <row r="58" spans="1:8">
      <c r="A58" s="3" t="s">
        <v>170</v>
      </c>
      <c r="B58" s="2" t="s">
        <v>171</v>
      </c>
      <c r="C58" s="3" t="str">
        <f>LEFT(A58,3)</f>
        <v>200</v>
      </c>
      <c r="D58" s="2" t="str">
        <f>IFERROR(VLOOKUP(C58,REGRAS_CST!$A$2:$B$200,2,FALSE),"")</f>
        <v>Alíquota reduzida</v>
      </c>
      <c r="E58" s="2" t="str">
        <f>IFERROR(VLOOKUP(C58,REGRAS_CST!$A$2:$C$200,3,FALSE),"")</f>
        <v>NÃO</v>
      </c>
      <c r="F58" s="2" t="str">
        <f>IFERROR(VLOOKUP(C58,REGRAS_CST!$A$2:$D$200,4,FALSE),"")</f>
        <v>SIM</v>
      </c>
      <c r="G58" s="2" t="str">
        <f>IFERROR(VLOOKUP(C58,REGRAS_CST!$A$2:$E$200,5,FALSE),"")</f>
        <v>NÃO</v>
      </c>
      <c r="H58" s="2" t="s">
        <v>10</v>
      </c>
    </row>
    <row r="59" spans="1:8">
      <c r="A59" s="3" t="s">
        <v>172</v>
      </c>
      <c r="B59" s="2" t="s">
        <v>173</v>
      </c>
      <c r="C59" s="3" t="str">
        <f>LEFT(A59,3)</f>
        <v>200</v>
      </c>
      <c r="D59" s="2" t="str">
        <f>IFERROR(VLOOKUP(C59,REGRAS_CST!$A$2:$B$200,2,FALSE),"")</f>
        <v>Alíquota reduzida</v>
      </c>
      <c r="E59" s="2" t="str">
        <f>IFERROR(VLOOKUP(C59,REGRAS_CST!$A$2:$C$200,3,FALSE),"")</f>
        <v>NÃO</v>
      </c>
      <c r="F59" s="2" t="str">
        <f>IFERROR(VLOOKUP(C59,REGRAS_CST!$A$2:$D$200,4,FALSE),"")</f>
        <v>SIM</v>
      </c>
      <c r="G59" s="2" t="str">
        <f>IFERROR(VLOOKUP(C59,REGRAS_CST!$A$2:$E$200,5,FALSE),"")</f>
        <v>NÃO</v>
      </c>
      <c r="H59" s="2" t="s">
        <v>10</v>
      </c>
    </row>
    <row r="60" spans="1:8">
      <c r="A60" s="3" t="s">
        <v>174</v>
      </c>
      <c r="B60" s="2" t="s">
        <v>175</v>
      </c>
      <c r="C60" s="3" t="str">
        <f>LEFT(A60,3)</f>
        <v>200</v>
      </c>
      <c r="D60" s="2" t="str">
        <f>IFERROR(VLOOKUP(C60,REGRAS_CST!$A$2:$B$200,2,FALSE),"")</f>
        <v>Alíquota reduzida</v>
      </c>
      <c r="E60" s="2" t="str">
        <f>IFERROR(VLOOKUP(C60,REGRAS_CST!$A$2:$C$200,3,FALSE),"")</f>
        <v>NÃO</v>
      </c>
      <c r="F60" s="2" t="str">
        <f>IFERROR(VLOOKUP(C60,REGRAS_CST!$A$2:$D$200,4,FALSE),"")</f>
        <v>SIM</v>
      </c>
      <c r="G60" s="2" t="str">
        <f>IFERROR(VLOOKUP(C60,REGRAS_CST!$A$2:$E$200,5,FALSE),"")</f>
        <v>NÃO</v>
      </c>
      <c r="H60" s="2" t="s">
        <v>10</v>
      </c>
    </row>
    <row r="61" spans="1:8">
      <c r="A61" s="3" t="s">
        <v>176</v>
      </c>
      <c r="B61" s="2" t="s">
        <v>177</v>
      </c>
      <c r="C61" s="3" t="str">
        <f>LEFT(A61,3)</f>
        <v>200</v>
      </c>
      <c r="D61" s="2" t="str">
        <f>IFERROR(VLOOKUP(C61,REGRAS_CST!$A$2:$B$200,2,FALSE),"")</f>
        <v>Alíquota reduzida</v>
      </c>
      <c r="E61" s="2" t="str">
        <f>IFERROR(VLOOKUP(C61,REGRAS_CST!$A$2:$C$200,3,FALSE),"")</f>
        <v>NÃO</v>
      </c>
      <c r="F61" s="2" t="str">
        <f>IFERROR(VLOOKUP(C61,REGRAS_CST!$A$2:$D$200,4,FALSE),"")</f>
        <v>SIM</v>
      </c>
      <c r="G61" s="2" t="str">
        <f>IFERROR(VLOOKUP(C61,REGRAS_CST!$A$2:$E$200,5,FALSE),"")</f>
        <v>NÃO</v>
      </c>
      <c r="H61" s="2" t="s">
        <v>10</v>
      </c>
    </row>
    <row r="62" spans="1:8">
      <c r="A62" s="3" t="s">
        <v>178</v>
      </c>
      <c r="B62" s="2" t="s">
        <v>179</v>
      </c>
      <c r="C62" s="3" t="str">
        <f>LEFT(A62,3)</f>
        <v>200</v>
      </c>
      <c r="D62" s="2" t="str">
        <f>IFERROR(VLOOKUP(C62,REGRAS_CST!$A$2:$B$200,2,FALSE),"")</f>
        <v>Alíquota reduzida</v>
      </c>
      <c r="E62" s="2" t="str">
        <f>IFERROR(VLOOKUP(C62,REGRAS_CST!$A$2:$C$200,3,FALSE),"")</f>
        <v>NÃO</v>
      </c>
      <c r="F62" s="2" t="str">
        <f>IFERROR(VLOOKUP(C62,REGRAS_CST!$A$2:$D$200,4,FALSE),"")</f>
        <v>SIM</v>
      </c>
      <c r="G62" s="2" t="str">
        <f>IFERROR(VLOOKUP(C62,REGRAS_CST!$A$2:$E$200,5,FALSE),"")</f>
        <v>NÃO</v>
      </c>
      <c r="H62" s="2" t="s">
        <v>10</v>
      </c>
    </row>
    <row r="63" spans="1:8">
      <c r="A63" s="3" t="s">
        <v>180</v>
      </c>
      <c r="B63" s="2" t="s">
        <v>181</v>
      </c>
      <c r="C63" s="3" t="str">
        <f>LEFT(A63,3)</f>
        <v>200</v>
      </c>
      <c r="D63" s="2" t="str">
        <f>IFERROR(VLOOKUP(C63,REGRAS_CST!$A$2:$B$200,2,FALSE),"")</f>
        <v>Alíquota reduzida</v>
      </c>
      <c r="E63" s="2" t="str">
        <f>IFERROR(VLOOKUP(C63,REGRAS_CST!$A$2:$C$200,3,FALSE),"")</f>
        <v>NÃO</v>
      </c>
      <c r="F63" s="2" t="str">
        <f>IFERROR(VLOOKUP(C63,REGRAS_CST!$A$2:$D$200,4,FALSE),"")</f>
        <v>SIM</v>
      </c>
      <c r="G63" s="2" t="str">
        <f>IFERROR(VLOOKUP(C63,REGRAS_CST!$A$2:$E$200,5,FALSE),"")</f>
        <v>NÃO</v>
      </c>
      <c r="H63" s="2" t="s">
        <v>10</v>
      </c>
    </row>
    <row r="64" spans="1:8">
      <c r="A64" s="3" t="s">
        <v>182</v>
      </c>
      <c r="B64" s="2" t="s">
        <v>183</v>
      </c>
      <c r="C64" s="3" t="str">
        <f>LEFT(A64,3)</f>
        <v>200</v>
      </c>
      <c r="D64" s="2" t="str">
        <f>IFERROR(VLOOKUP(C64,REGRAS_CST!$A$2:$B$200,2,FALSE),"")</f>
        <v>Alíquota reduzida</v>
      </c>
      <c r="E64" s="2" t="str">
        <f>IFERROR(VLOOKUP(C64,REGRAS_CST!$A$2:$C$200,3,FALSE),"")</f>
        <v>NÃO</v>
      </c>
      <c r="F64" s="2" t="str">
        <f>IFERROR(VLOOKUP(C64,REGRAS_CST!$A$2:$D$200,4,FALSE),"")</f>
        <v>SIM</v>
      </c>
      <c r="G64" s="2" t="str">
        <f>IFERROR(VLOOKUP(C64,REGRAS_CST!$A$2:$E$200,5,FALSE),"")</f>
        <v>NÃO</v>
      </c>
      <c r="H64" s="2" t="s">
        <v>10</v>
      </c>
    </row>
    <row r="65" spans="1:8">
      <c r="A65" s="3" t="s">
        <v>184</v>
      </c>
      <c r="B65" s="2" t="s">
        <v>185</v>
      </c>
      <c r="C65" s="3" t="str">
        <f>LEFT(A65,3)</f>
        <v>220</v>
      </c>
      <c r="D65" s="2" t="str">
        <f>IFERROR(VLOOKUP(C65,REGRAS_CST!$A$2:$B$200,2,FALSE),"")</f>
        <v>Alíquota fixa</v>
      </c>
      <c r="E65" s="2" t="str">
        <f>IFERROR(VLOOKUP(C65,REGRAS_CST!$A$2:$C$200,3,FALSE),"")</f>
        <v>NÃO</v>
      </c>
      <c r="F65" s="2" t="str">
        <f>IFERROR(VLOOKUP(C65,REGRAS_CST!$A$2:$D$200,4,FALSE),"")</f>
        <v>NÃO</v>
      </c>
      <c r="G65" s="2" t="str">
        <f>IFERROR(VLOOKUP(C65,REGRAS_CST!$A$2:$E$200,5,FALSE),"")</f>
        <v>NÃO</v>
      </c>
      <c r="H65" s="2" t="s">
        <v>10</v>
      </c>
    </row>
    <row r="66" spans="1:8">
      <c r="A66" s="3" t="s">
        <v>186</v>
      </c>
      <c r="B66" s="2" t="s">
        <v>185</v>
      </c>
      <c r="C66" s="3" t="str">
        <f>LEFT(A66,3)</f>
        <v>220</v>
      </c>
      <c r="D66" s="2" t="str">
        <f>IFERROR(VLOOKUP(C66,REGRAS_CST!$A$2:$B$200,2,FALSE),"")</f>
        <v>Alíquota fixa</v>
      </c>
      <c r="E66" s="2" t="str">
        <f>IFERROR(VLOOKUP(C66,REGRAS_CST!$A$2:$C$200,3,FALSE),"")</f>
        <v>NÃO</v>
      </c>
      <c r="F66" s="2" t="str">
        <f>IFERROR(VLOOKUP(C66,REGRAS_CST!$A$2:$D$200,4,FALSE),"")</f>
        <v>NÃO</v>
      </c>
      <c r="G66" s="2" t="str">
        <f>IFERROR(VLOOKUP(C66,REGRAS_CST!$A$2:$E$200,5,FALSE),"")</f>
        <v>NÃO</v>
      </c>
      <c r="H66" s="2" t="s">
        <v>10</v>
      </c>
    </row>
    <row r="67" spans="1:8">
      <c r="A67" s="3" t="s">
        <v>187</v>
      </c>
      <c r="B67" s="2" t="s">
        <v>188</v>
      </c>
      <c r="C67" s="3" t="str">
        <f>LEFT(A67,3)</f>
        <v>220</v>
      </c>
      <c r="D67" s="2" t="str">
        <f>IFERROR(VLOOKUP(C67,REGRAS_CST!$A$2:$B$200,2,FALSE),"")</f>
        <v>Alíquota fixa</v>
      </c>
      <c r="E67" s="2" t="str">
        <f>IFERROR(VLOOKUP(C67,REGRAS_CST!$A$2:$C$200,3,FALSE),"")</f>
        <v>NÃO</v>
      </c>
      <c r="F67" s="2" t="str">
        <f>IFERROR(VLOOKUP(C67,REGRAS_CST!$A$2:$D$200,4,FALSE),"")</f>
        <v>NÃO</v>
      </c>
      <c r="G67" s="2" t="str">
        <f>IFERROR(VLOOKUP(C67,REGRAS_CST!$A$2:$E$200,5,FALSE),"")</f>
        <v>NÃO</v>
      </c>
      <c r="H67" s="2" t="s">
        <v>10</v>
      </c>
    </row>
    <row r="68" spans="1:8" ht="30.75" customHeight="1">
      <c r="A68" s="3" t="s">
        <v>189</v>
      </c>
      <c r="B68" s="2" t="s">
        <v>190</v>
      </c>
      <c r="C68" s="3" t="str">
        <f>LEFT(A68,3)</f>
        <v>221</v>
      </c>
      <c r="D68" s="2" t="str">
        <f>IFERROR(VLOOKUP(C68,REGRAS_CST!$A$2:$B$200,2,FALSE),"")</f>
        <v>Alíquota fixa proporcional</v>
      </c>
      <c r="E68" s="2" t="str">
        <f>IFERROR(VLOOKUP(C68,REGRAS_CST!$A$2:$C$200,3,FALSE),"")</f>
        <v>NÃO</v>
      </c>
      <c r="F68" s="2" t="str">
        <f>IFERROR(VLOOKUP(C68,REGRAS_CST!$A$2:$D$200,4,FALSE),"")</f>
        <v>NÃO</v>
      </c>
      <c r="G68" s="2" t="str">
        <f>IFERROR(VLOOKUP(C68,REGRAS_CST!$A$2:$E$200,5,FALSE),"")</f>
        <v>NÃO</v>
      </c>
      <c r="H68" s="2" t="s">
        <v>10</v>
      </c>
    </row>
    <row r="69" spans="1:8" ht="30.75" customHeight="1">
      <c r="A69" s="3" t="s">
        <v>191</v>
      </c>
      <c r="B69" s="2" t="s">
        <v>192</v>
      </c>
      <c r="C69" s="3" t="str">
        <f>LEFT(A69,3)</f>
        <v>222</v>
      </c>
      <c r="D69" s="2" t="str">
        <f>IFERROR(VLOOKUP(C69,REGRAS_CST!$A$2:$B$200,2,FALSE),"")</f>
        <v>Redução de Base de Cálculo</v>
      </c>
      <c r="E69" s="2" t="str">
        <f>IFERROR(VLOOKUP(C69,REGRAS_CST!$A$2:$C$200,3,FALSE),"")</f>
        <v>SIM</v>
      </c>
      <c r="F69" s="2" t="str">
        <f>IFERROR(VLOOKUP(C69,REGRAS_CST!$A$2:$D$200,4,FALSE),"")</f>
        <v>NÃO</v>
      </c>
      <c r="G69" s="2" t="str">
        <f>IFERROR(VLOOKUP(C69,REGRAS_CST!$A$2:$E$200,5,FALSE),"")</f>
        <v>NÃO</v>
      </c>
      <c r="H69" s="2" t="s">
        <v>10</v>
      </c>
    </row>
    <row r="70" spans="1:8" ht="30.75" customHeight="1">
      <c r="A70" s="3" t="s">
        <v>193</v>
      </c>
      <c r="B70" s="2" t="s">
        <v>194</v>
      </c>
      <c r="C70" s="3" t="str">
        <f>LEFT(A70,3)</f>
        <v>400</v>
      </c>
      <c r="D70" s="2" t="str">
        <f>IFERROR(VLOOKUP(C70,REGRAS_CST!$A$2:$B$200,2,FALSE),"")</f>
        <v>Isenção</v>
      </c>
      <c r="E70" s="2" t="str">
        <f>IFERROR(VLOOKUP(C70,REGRAS_CST!$A$2:$C$200,3,FALSE),"")</f>
        <v>NÃO</v>
      </c>
      <c r="F70" s="2" t="str">
        <f>IFERROR(VLOOKUP(C70,REGRAS_CST!$A$2:$D$200,4,FALSE),"")</f>
        <v>NÃO</v>
      </c>
      <c r="G70" s="2" t="str">
        <f>IFERROR(VLOOKUP(C70,REGRAS_CST!$A$2:$E$200,5,FALSE),"")</f>
        <v>NÃO</v>
      </c>
      <c r="H70" s="2" t="s">
        <v>10</v>
      </c>
    </row>
    <row r="71" spans="1:8" ht="30.75" customHeight="1">
      <c r="A71" s="3" t="s">
        <v>195</v>
      </c>
      <c r="B71" s="2" t="s">
        <v>196</v>
      </c>
      <c r="C71" s="3" t="str">
        <f>LEFT(A71,3)</f>
        <v>410</v>
      </c>
      <c r="D71" s="2" t="str">
        <f>IFERROR(VLOOKUP(C71,REGRAS_CST!$A$2:$B$200,2,FALSE),"")</f>
        <v>Imunidade e não incidência</v>
      </c>
      <c r="E71" s="2" t="str">
        <f>IFERROR(VLOOKUP(C71,REGRAS_CST!$A$2:$C$200,3,FALSE),"")</f>
        <v>NÃO</v>
      </c>
      <c r="F71" s="2" t="str">
        <f>IFERROR(VLOOKUP(C71,REGRAS_CST!$A$2:$D$200,4,FALSE),"")</f>
        <v>NÃO</v>
      </c>
      <c r="G71" s="2" t="str">
        <f>IFERROR(VLOOKUP(C71,REGRAS_CST!$A$2:$E$200,5,FALSE),"")</f>
        <v>NÃO</v>
      </c>
      <c r="H71" s="2" t="s">
        <v>10</v>
      </c>
    </row>
    <row r="72" spans="1:8">
      <c r="A72" s="3" t="s">
        <v>197</v>
      </c>
      <c r="B72" s="2" t="s">
        <v>198</v>
      </c>
      <c r="C72" s="3" t="str">
        <f>LEFT(A72,3)</f>
        <v>410</v>
      </c>
      <c r="D72" s="2" t="str">
        <f>IFERROR(VLOOKUP(C72,REGRAS_CST!$A$2:$B$200,2,FALSE),"")</f>
        <v>Imunidade e não incidência</v>
      </c>
      <c r="E72" s="2" t="str">
        <f>IFERROR(VLOOKUP(C72,REGRAS_CST!$A$2:$C$200,3,FALSE),"")</f>
        <v>NÃO</v>
      </c>
      <c r="F72" s="2" t="str">
        <f>IFERROR(VLOOKUP(C72,REGRAS_CST!$A$2:$D$200,4,FALSE),"")</f>
        <v>NÃO</v>
      </c>
      <c r="G72" s="2" t="str">
        <f>IFERROR(VLOOKUP(C72,REGRAS_CST!$A$2:$E$200,5,FALSE),"")</f>
        <v>NÃO</v>
      </c>
      <c r="H72" s="2" t="s">
        <v>10</v>
      </c>
    </row>
    <row r="73" spans="1:8">
      <c r="A73" s="3" t="s">
        <v>199</v>
      </c>
      <c r="B73" s="2" t="s">
        <v>200</v>
      </c>
      <c r="C73" s="3" t="str">
        <f>LEFT(A73,3)</f>
        <v>410</v>
      </c>
      <c r="D73" s="2" t="str">
        <f>IFERROR(VLOOKUP(C73,REGRAS_CST!$A$2:$B$200,2,FALSE),"")</f>
        <v>Imunidade e não incidência</v>
      </c>
      <c r="E73" s="2" t="str">
        <f>IFERROR(VLOOKUP(C73,REGRAS_CST!$A$2:$C$200,3,FALSE),"")</f>
        <v>NÃO</v>
      </c>
      <c r="F73" s="2" t="str">
        <f>IFERROR(VLOOKUP(C73,REGRAS_CST!$A$2:$D$200,4,FALSE),"")</f>
        <v>NÃO</v>
      </c>
      <c r="G73" s="2" t="str">
        <f>IFERROR(VLOOKUP(C73,REGRAS_CST!$A$2:$E$200,5,FALSE),"")</f>
        <v>NÃO</v>
      </c>
      <c r="H73" s="2" t="s">
        <v>10</v>
      </c>
    </row>
    <row r="74" spans="1:8">
      <c r="A74" s="3" t="s">
        <v>201</v>
      </c>
      <c r="B74" s="2" t="s">
        <v>202</v>
      </c>
      <c r="C74" s="3" t="str">
        <f>LEFT(A74,3)</f>
        <v>410</v>
      </c>
      <c r="D74" s="2" t="str">
        <f>IFERROR(VLOOKUP(C74,REGRAS_CST!$A$2:$B$200,2,FALSE),"")</f>
        <v>Imunidade e não incidência</v>
      </c>
      <c r="E74" s="2" t="str">
        <f>IFERROR(VLOOKUP(C74,REGRAS_CST!$A$2:$C$200,3,FALSE),"")</f>
        <v>NÃO</v>
      </c>
      <c r="F74" s="2" t="str">
        <f>IFERROR(VLOOKUP(C74,REGRAS_CST!$A$2:$D$200,4,FALSE),"")</f>
        <v>NÃO</v>
      </c>
      <c r="G74" s="2" t="str">
        <f>IFERROR(VLOOKUP(C74,REGRAS_CST!$A$2:$E$200,5,FALSE),"")</f>
        <v>NÃO</v>
      </c>
      <c r="H74" s="2" t="s">
        <v>10</v>
      </c>
    </row>
    <row r="75" spans="1:8" ht="30.75" customHeight="1">
      <c r="A75" s="3" t="s">
        <v>203</v>
      </c>
      <c r="B75" s="2" t="s">
        <v>204</v>
      </c>
      <c r="C75" s="3" t="str">
        <f>LEFT(A75,3)</f>
        <v>410</v>
      </c>
      <c r="D75" s="2" t="str">
        <f>IFERROR(VLOOKUP(C75,REGRAS_CST!$A$2:$B$200,2,FALSE),"")</f>
        <v>Imunidade e não incidência</v>
      </c>
      <c r="E75" s="2" t="str">
        <f>IFERROR(VLOOKUP(C75,REGRAS_CST!$A$2:$C$200,3,FALSE),"")</f>
        <v>NÃO</v>
      </c>
      <c r="F75" s="2" t="str">
        <f>IFERROR(VLOOKUP(C75,REGRAS_CST!$A$2:$D$200,4,FALSE),"")</f>
        <v>NÃO</v>
      </c>
      <c r="G75" s="2" t="str">
        <f>IFERROR(VLOOKUP(C75,REGRAS_CST!$A$2:$E$200,5,FALSE),"")</f>
        <v>NÃO</v>
      </c>
      <c r="H75" s="2" t="s">
        <v>10</v>
      </c>
    </row>
    <row r="76" spans="1:8">
      <c r="A76" s="3" t="s">
        <v>205</v>
      </c>
      <c r="B76" s="2" t="s">
        <v>206</v>
      </c>
      <c r="C76" s="3" t="str">
        <f>LEFT(A76,3)</f>
        <v>410</v>
      </c>
      <c r="D76" s="2" t="str">
        <f>IFERROR(VLOOKUP(C76,REGRAS_CST!$A$2:$B$200,2,FALSE),"")</f>
        <v>Imunidade e não incidência</v>
      </c>
      <c r="E76" s="2" t="str">
        <f>IFERROR(VLOOKUP(C76,REGRAS_CST!$A$2:$C$200,3,FALSE),"")</f>
        <v>NÃO</v>
      </c>
      <c r="F76" s="2" t="str">
        <f>IFERROR(VLOOKUP(C76,REGRAS_CST!$A$2:$D$200,4,FALSE),"")</f>
        <v>NÃO</v>
      </c>
      <c r="G76" s="2" t="str">
        <f>IFERROR(VLOOKUP(C76,REGRAS_CST!$A$2:$E$200,5,FALSE),"")</f>
        <v>NÃO</v>
      </c>
      <c r="H76" s="2" t="s">
        <v>10</v>
      </c>
    </row>
    <row r="77" spans="1:8">
      <c r="A77" s="3" t="s">
        <v>207</v>
      </c>
      <c r="B77" s="2" t="s">
        <v>208</v>
      </c>
      <c r="C77" s="3" t="str">
        <f>LEFT(A77,3)</f>
        <v>410</v>
      </c>
      <c r="D77" s="2" t="str">
        <f>IFERROR(VLOOKUP(C77,REGRAS_CST!$A$2:$B$200,2,FALSE),"")</f>
        <v>Imunidade e não incidência</v>
      </c>
      <c r="E77" s="2" t="str">
        <f>IFERROR(VLOOKUP(C77,REGRAS_CST!$A$2:$C$200,3,FALSE),"")</f>
        <v>NÃO</v>
      </c>
      <c r="F77" s="2" t="str">
        <f>IFERROR(VLOOKUP(C77,REGRAS_CST!$A$2:$D$200,4,FALSE),"")</f>
        <v>NÃO</v>
      </c>
      <c r="G77" s="2" t="str">
        <f>IFERROR(VLOOKUP(C77,REGRAS_CST!$A$2:$E$200,5,FALSE),"")</f>
        <v>NÃO</v>
      </c>
      <c r="H77" s="2" t="s">
        <v>10</v>
      </c>
    </row>
    <row r="78" spans="1:8" ht="30.75" customHeight="1">
      <c r="A78" s="3" t="s">
        <v>209</v>
      </c>
      <c r="B78" s="2" t="s">
        <v>210</v>
      </c>
      <c r="C78" s="3" t="str">
        <f>LEFT(A78,3)</f>
        <v>410</v>
      </c>
      <c r="D78" s="2" t="str">
        <f>IFERROR(VLOOKUP(C78,REGRAS_CST!$A$2:$B$200,2,FALSE),"")</f>
        <v>Imunidade e não incidência</v>
      </c>
      <c r="E78" s="2" t="str">
        <f>IFERROR(VLOOKUP(C78,REGRAS_CST!$A$2:$C$200,3,FALSE),"")</f>
        <v>NÃO</v>
      </c>
      <c r="F78" s="2" t="str">
        <f>IFERROR(VLOOKUP(C78,REGRAS_CST!$A$2:$D$200,4,FALSE),"")</f>
        <v>NÃO</v>
      </c>
      <c r="G78" s="2" t="str">
        <f>IFERROR(VLOOKUP(C78,REGRAS_CST!$A$2:$E$200,5,FALSE),"")</f>
        <v>NÃO</v>
      </c>
      <c r="H78" s="2" t="s">
        <v>10</v>
      </c>
    </row>
    <row r="79" spans="1:8" ht="30.75" customHeight="1">
      <c r="A79" s="3" t="s">
        <v>211</v>
      </c>
      <c r="B79" s="2" t="s">
        <v>212</v>
      </c>
      <c r="C79" s="3" t="str">
        <f>LEFT(A79,3)</f>
        <v>410</v>
      </c>
      <c r="D79" s="2" t="str">
        <f>IFERROR(VLOOKUP(C79,REGRAS_CST!$A$2:$B$200,2,FALSE),"")</f>
        <v>Imunidade e não incidência</v>
      </c>
      <c r="E79" s="2" t="str">
        <f>IFERROR(VLOOKUP(C79,REGRAS_CST!$A$2:$C$200,3,FALSE),"")</f>
        <v>NÃO</v>
      </c>
      <c r="F79" s="2" t="str">
        <f>IFERROR(VLOOKUP(C79,REGRAS_CST!$A$2:$D$200,4,FALSE),"")</f>
        <v>NÃO</v>
      </c>
      <c r="G79" s="2" t="str">
        <f>IFERROR(VLOOKUP(C79,REGRAS_CST!$A$2:$E$200,5,FALSE),"")</f>
        <v>NÃO</v>
      </c>
      <c r="H79" s="2" t="s">
        <v>10</v>
      </c>
    </row>
    <row r="80" spans="1:8" ht="30.75" customHeight="1">
      <c r="A80" s="3" t="s">
        <v>213</v>
      </c>
      <c r="B80" s="2" t="s">
        <v>214</v>
      </c>
      <c r="C80" s="3" t="str">
        <f>LEFT(A80,3)</f>
        <v>410</v>
      </c>
      <c r="D80" s="2" t="str">
        <f>IFERROR(VLOOKUP(C80,REGRAS_CST!$A$2:$B$200,2,FALSE),"")</f>
        <v>Imunidade e não incidência</v>
      </c>
      <c r="E80" s="2" t="str">
        <f>IFERROR(VLOOKUP(C80,REGRAS_CST!$A$2:$C$200,3,FALSE),"")</f>
        <v>NÃO</v>
      </c>
      <c r="F80" s="2" t="str">
        <f>IFERROR(VLOOKUP(C80,REGRAS_CST!$A$2:$D$200,4,FALSE),"")</f>
        <v>NÃO</v>
      </c>
      <c r="G80" s="2" t="str">
        <f>IFERROR(VLOOKUP(C80,REGRAS_CST!$A$2:$E$200,5,FALSE),"")</f>
        <v>NÃO</v>
      </c>
      <c r="H80" s="2" t="s">
        <v>10</v>
      </c>
    </row>
    <row r="81" spans="1:8" ht="30.75" customHeight="1">
      <c r="A81" s="3" t="s">
        <v>215</v>
      </c>
      <c r="B81" s="2" t="s">
        <v>216</v>
      </c>
      <c r="C81" s="3" t="str">
        <f>LEFT(A81,3)</f>
        <v>410</v>
      </c>
      <c r="D81" s="2" t="str">
        <f>IFERROR(VLOOKUP(C81,REGRAS_CST!$A$2:$B$200,2,FALSE),"")</f>
        <v>Imunidade e não incidência</v>
      </c>
      <c r="E81" s="2" t="str">
        <f>IFERROR(VLOOKUP(C81,REGRAS_CST!$A$2:$C$200,3,FALSE),"")</f>
        <v>NÃO</v>
      </c>
      <c r="F81" s="2" t="str">
        <f>IFERROR(VLOOKUP(C81,REGRAS_CST!$A$2:$D$200,4,FALSE),"")</f>
        <v>NÃO</v>
      </c>
      <c r="G81" s="2" t="str">
        <f>IFERROR(VLOOKUP(C81,REGRAS_CST!$A$2:$E$200,5,FALSE),"")</f>
        <v>NÃO</v>
      </c>
      <c r="H81" s="2" t="s">
        <v>10</v>
      </c>
    </row>
    <row r="82" spans="1:8">
      <c r="A82" s="3" t="s">
        <v>217</v>
      </c>
      <c r="B82" s="2" t="s">
        <v>218</v>
      </c>
      <c r="C82" s="3" t="str">
        <f>LEFT(A82,3)</f>
        <v>410</v>
      </c>
      <c r="D82" s="2" t="str">
        <f>IFERROR(VLOOKUP(C82,REGRAS_CST!$A$2:$B$200,2,FALSE),"")</f>
        <v>Imunidade e não incidência</v>
      </c>
      <c r="E82" s="2" t="str">
        <f>IFERROR(VLOOKUP(C82,REGRAS_CST!$A$2:$C$200,3,FALSE),"")</f>
        <v>NÃO</v>
      </c>
      <c r="F82" s="2" t="str">
        <f>IFERROR(VLOOKUP(C82,REGRAS_CST!$A$2:$D$200,4,FALSE),"")</f>
        <v>NÃO</v>
      </c>
      <c r="G82" s="2" t="str">
        <f>IFERROR(VLOOKUP(C82,REGRAS_CST!$A$2:$E$200,5,FALSE),"")</f>
        <v>NÃO</v>
      </c>
      <c r="H82" s="2" t="s">
        <v>10</v>
      </c>
    </row>
    <row r="83" spans="1:8">
      <c r="A83" s="3" t="s">
        <v>219</v>
      </c>
      <c r="B83" s="2" t="s">
        <v>220</v>
      </c>
      <c r="C83" s="3" t="str">
        <f>LEFT(A83,3)</f>
        <v>410</v>
      </c>
      <c r="D83" s="2" t="str">
        <f>IFERROR(VLOOKUP(C83,REGRAS_CST!$A$2:$B$200,2,FALSE),"")</f>
        <v>Imunidade e não incidência</v>
      </c>
      <c r="E83" s="2" t="str">
        <f>IFERROR(VLOOKUP(C83,REGRAS_CST!$A$2:$C$200,3,FALSE),"")</f>
        <v>NÃO</v>
      </c>
      <c r="F83" s="2" t="str">
        <f>IFERROR(VLOOKUP(C83,REGRAS_CST!$A$2:$D$200,4,FALSE),"")</f>
        <v>NÃO</v>
      </c>
      <c r="G83" s="2" t="str">
        <f>IFERROR(VLOOKUP(C83,REGRAS_CST!$A$2:$E$200,5,FALSE),"")</f>
        <v>NÃO</v>
      </c>
      <c r="H83" s="2" t="s">
        <v>10</v>
      </c>
    </row>
    <row r="84" spans="1:8">
      <c r="A84" s="3" t="s">
        <v>221</v>
      </c>
      <c r="B84" s="2" t="s">
        <v>222</v>
      </c>
      <c r="C84" s="3" t="str">
        <f>LEFT(A84,3)</f>
        <v>410</v>
      </c>
      <c r="D84" s="2" t="str">
        <f>IFERROR(VLOOKUP(C84,REGRAS_CST!$A$2:$B$200,2,FALSE),"")</f>
        <v>Imunidade e não incidência</v>
      </c>
      <c r="E84" s="2" t="str">
        <f>IFERROR(VLOOKUP(C84,REGRAS_CST!$A$2:$C$200,3,FALSE),"")</f>
        <v>NÃO</v>
      </c>
      <c r="F84" s="2" t="str">
        <f>IFERROR(VLOOKUP(C84,REGRAS_CST!$A$2:$D$200,4,FALSE),"")</f>
        <v>NÃO</v>
      </c>
      <c r="G84" s="2" t="str">
        <f>IFERROR(VLOOKUP(C84,REGRAS_CST!$A$2:$E$200,5,FALSE),"")</f>
        <v>NÃO</v>
      </c>
      <c r="H84" s="2" t="s">
        <v>10</v>
      </c>
    </row>
    <row r="85" spans="1:8">
      <c r="A85" s="3" t="s">
        <v>223</v>
      </c>
      <c r="B85" s="2" t="s">
        <v>224</v>
      </c>
      <c r="C85" s="3" t="str">
        <f>LEFT(A85,3)</f>
        <v>410</v>
      </c>
      <c r="D85" s="2" t="str">
        <f>IFERROR(VLOOKUP(C85,REGRAS_CST!$A$2:$B$200,2,FALSE),"")</f>
        <v>Imunidade e não incidência</v>
      </c>
      <c r="E85" s="2" t="str">
        <f>IFERROR(VLOOKUP(C85,REGRAS_CST!$A$2:$C$200,3,FALSE),"")</f>
        <v>NÃO</v>
      </c>
      <c r="F85" s="2" t="str">
        <f>IFERROR(VLOOKUP(C85,REGRAS_CST!$A$2:$D$200,4,FALSE),"")</f>
        <v>NÃO</v>
      </c>
      <c r="G85" s="2" t="str">
        <f>IFERROR(VLOOKUP(C85,REGRAS_CST!$A$2:$E$200,5,FALSE),"")</f>
        <v>NÃO</v>
      </c>
      <c r="H85" s="2" t="s">
        <v>10</v>
      </c>
    </row>
    <row r="86" spans="1:8">
      <c r="A86" s="3" t="s">
        <v>225</v>
      </c>
      <c r="B86" s="2" t="s">
        <v>226</v>
      </c>
      <c r="C86" s="3" t="str">
        <f>LEFT(A86,3)</f>
        <v>410</v>
      </c>
      <c r="D86" s="2" t="str">
        <f>IFERROR(VLOOKUP(C86,REGRAS_CST!$A$2:$B$200,2,FALSE),"")</f>
        <v>Imunidade e não incidência</v>
      </c>
      <c r="E86" s="2" t="str">
        <f>IFERROR(VLOOKUP(C86,REGRAS_CST!$A$2:$C$200,3,FALSE),"")</f>
        <v>NÃO</v>
      </c>
      <c r="F86" s="2" t="str">
        <f>IFERROR(VLOOKUP(C86,REGRAS_CST!$A$2:$D$200,4,FALSE),"")</f>
        <v>NÃO</v>
      </c>
      <c r="G86" s="2" t="str">
        <f>IFERROR(VLOOKUP(C86,REGRAS_CST!$A$2:$E$200,5,FALSE),"")</f>
        <v>NÃO</v>
      </c>
      <c r="H86" s="2" t="s">
        <v>10</v>
      </c>
    </row>
    <row r="87" spans="1:8" ht="30.75" customHeight="1">
      <c r="A87" s="3" t="s">
        <v>227</v>
      </c>
      <c r="B87" s="2" t="s">
        <v>228</v>
      </c>
      <c r="C87" s="3" t="str">
        <f>LEFT(A87,3)</f>
        <v>410</v>
      </c>
      <c r="D87" s="2" t="str">
        <f>IFERROR(VLOOKUP(C87,REGRAS_CST!$A$2:$B$200,2,FALSE),"")</f>
        <v>Imunidade e não incidência</v>
      </c>
      <c r="E87" s="2" t="str">
        <f>IFERROR(VLOOKUP(C87,REGRAS_CST!$A$2:$C$200,3,FALSE),"")</f>
        <v>NÃO</v>
      </c>
      <c r="F87" s="2" t="str">
        <f>IFERROR(VLOOKUP(C87,REGRAS_CST!$A$2:$D$200,4,FALSE),"")</f>
        <v>NÃO</v>
      </c>
      <c r="G87" s="2" t="str">
        <f>IFERROR(VLOOKUP(C87,REGRAS_CST!$A$2:$E$200,5,FALSE),"")</f>
        <v>NÃO</v>
      </c>
      <c r="H87" s="2" t="s">
        <v>10</v>
      </c>
    </row>
    <row r="88" spans="1:8" ht="30.75" customHeight="1">
      <c r="A88" s="3" t="s">
        <v>229</v>
      </c>
      <c r="B88" s="2" t="s">
        <v>230</v>
      </c>
      <c r="C88" s="3" t="str">
        <f>LEFT(A88,3)</f>
        <v>410</v>
      </c>
      <c r="D88" s="2" t="str">
        <f>IFERROR(VLOOKUP(C88,REGRAS_CST!$A$2:$B$200,2,FALSE),"")</f>
        <v>Imunidade e não incidência</v>
      </c>
      <c r="E88" s="2" t="str">
        <f>IFERROR(VLOOKUP(C88,REGRAS_CST!$A$2:$C$200,3,FALSE),"")</f>
        <v>NÃO</v>
      </c>
      <c r="F88" s="2" t="str">
        <f>IFERROR(VLOOKUP(C88,REGRAS_CST!$A$2:$D$200,4,FALSE),"")</f>
        <v>NÃO</v>
      </c>
      <c r="G88" s="2" t="str">
        <f>IFERROR(VLOOKUP(C88,REGRAS_CST!$A$2:$E$200,5,FALSE),"")</f>
        <v>NÃO</v>
      </c>
      <c r="H88" s="2" t="s">
        <v>10</v>
      </c>
    </row>
    <row r="89" spans="1:8">
      <c r="A89" s="3" t="s">
        <v>231</v>
      </c>
      <c r="B89" s="2" t="s">
        <v>232</v>
      </c>
      <c r="C89" s="3" t="str">
        <f>LEFT(A89,3)</f>
        <v>410</v>
      </c>
      <c r="D89" s="2" t="str">
        <f>IFERROR(VLOOKUP(C89,REGRAS_CST!$A$2:$B$200,2,FALSE),"")</f>
        <v>Imunidade e não incidência</v>
      </c>
      <c r="E89" s="2" t="str">
        <f>IFERROR(VLOOKUP(C89,REGRAS_CST!$A$2:$C$200,3,FALSE),"")</f>
        <v>NÃO</v>
      </c>
      <c r="F89" s="2" t="str">
        <f>IFERROR(VLOOKUP(C89,REGRAS_CST!$A$2:$D$200,4,FALSE),"")</f>
        <v>NÃO</v>
      </c>
      <c r="G89" s="2" t="str">
        <f>IFERROR(VLOOKUP(C89,REGRAS_CST!$A$2:$E$200,5,FALSE),"")</f>
        <v>NÃO</v>
      </c>
      <c r="H89" s="2" t="s">
        <v>10</v>
      </c>
    </row>
    <row r="90" spans="1:8" ht="30.75" customHeight="1">
      <c r="A90" s="3" t="s">
        <v>233</v>
      </c>
      <c r="B90" s="2" t="s">
        <v>234</v>
      </c>
      <c r="C90" s="3" t="str">
        <f>LEFT(A90,3)</f>
        <v>410</v>
      </c>
      <c r="D90" s="2" t="str">
        <f>IFERROR(VLOOKUP(C90,REGRAS_CST!$A$2:$B$200,2,FALSE),"")</f>
        <v>Imunidade e não incidência</v>
      </c>
      <c r="E90" s="2" t="str">
        <f>IFERROR(VLOOKUP(C90,REGRAS_CST!$A$2:$C$200,3,FALSE),"")</f>
        <v>NÃO</v>
      </c>
      <c r="F90" s="2" t="str">
        <f>IFERROR(VLOOKUP(C90,REGRAS_CST!$A$2:$D$200,4,FALSE),"")</f>
        <v>NÃO</v>
      </c>
      <c r="G90" s="2" t="str">
        <f>IFERROR(VLOOKUP(C90,REGRAS_CST!$A$2:$E$200,5,FALSE),"")</f>
        <v>NÃO</v>
      </c>
      <c r="H90" s="2" t="s">
        <v>10</v>
      </c>
    </row>
    <row r="91" spans="1:8">
      <c r="A91" s="3" t="s">
        <v>235</v>
      </c>
      <c r="B91" s="2" t="s">
        <v>236</v>
      </c>
      <c r="C91" s="3" t="str">
        <f>LEFT(A91,3)</f>
        <v>410</v>
      </c>
      <c r="D91" s="2" t="str">
        <f>IFERROR(VLOOKUP(C91,REGRAS_CST!$A$2:$B$200,2,FALSE),"")</f>
        <v>Imunidade e não incidência</v>
      </c>
      <c r="E91" s="2" t="str">
        <f>IFERROR(VLOOKUP(C91,REGRAS_CST!$A$2:$C$200,3,FALSE),"")</f>
        <v>NÃO</v>
      </c>
      <c r="F91" s="2" t="str">
        <f>IFERROR(VLOOKUP(C91,REGRAS_CST!$A$2:$D$200,4,FALSE),"")</f>
        <v>NÃO</v>
      </c>
      <c r="G91" s="2" t="str">
        <f>IFERROR(VLOOKUP(C91,REGRAS_CST!$A$2:$E$200,5,FALSE),"")</f>
        <v>NÃO</v>
      </c>
      <c r="H91" s="2" t="s">
        <v>10</v>
      </c>
    </row>
    <row r="92" spans="1:8">
      <c r="A92" s="3" t="s">
        <v>237</v>
      </c>
      <c r="B92" s="2" t="s">
        <v>238</v>
      </c>
      <c r="C92" s="3" t="str">
        <f>LEFT(A92,3)</f>
        <v>410</v>
      </c>
      <c r="D92" s="2" t="str">
        <f>IFERROR(VLOOKUP(C92,REGRAS_CST!$A$2:$B$200,2,FALSE),"")</f>
        <v>Imunidade e não incidência</v>
      </c>
      <c r="E92" s="2" t="str">
        <f>IFERROR(VLOOKUP(C92,REGRAS_CST!$A$2:$C$200,3,FALSE),"")</f>
        <v>NÃO</v>
      </c>
      <c r="F92" s="2" t="str">
        <f>IFERROR(VLOOKUP(C92,REGRAS_CST!$A$2:$D$200,4,FALSE),"")</f>
        <v>NÃO</v>
      </c>
      <c r="G92" s="2" t="str">
        <f>IFERROR(VLOOKUP(C92,REGRAS_CST!$A$2:$E$200,5,FALSE),"")</f>
        <v>NÃO</v>
      </c>
      <c r="H92" s="2" t="s">
        <v>10</v>
      </c>
    </row>
    <row r="93" spans="1:8" ht="30.75" customHeight="1">
      <c r="A93" s="3" t="s">
        <v>239</v>
      </c>
      <c r="B93" s="2" t="s">
        <v>240</v>
      </c>
      <c r="C93" s="3" t="str">
        <f>LEFT(A93,3)</f>
        <v>410</v>
      </c>
      <c r="D93" s="2" t="str">
        <f>IFERROR(VLOOKUP(C93,REGRAS_CST!$A$2:$B$200,2,FALSE),"")</f>
        <v>Imunidade e não incidência</v>
      </c>
      <c r="E93" s="2" t="str">
        <f>IFERROR(VLOOKUP(C93,REGRAS_CST!$A$2:$C$200,3,FALSE),"")</f>
        <v>NÃO</v>
      </c>
      <c r="F93" s="2" t="str">
        <f>IFERROR(VLOOKUP(C93,REGRAS_CST!$A$2:$D$200,4,FALSE),"")</f>
        <v>NÃO</v>
      </c>
      <c r="G93" s="2" t="str">
        <f>IFERROR(VLOOKUP(C93,REGRAS_CST!$A$2:$E$200,5,FALSE),"")</f>
        <v>NÃO</v>
      </c>
      <c r="H93" s="2" t="s">
        <v>10</v>
      </c>
    </row>
    <row r="94" spans="1:8">
      <c r="A94" s="3" t="s">
        <v>241</v>
      </c>
      <c r="B94" s="2" t="s">
        <v>242</v>
      </c>
      <c r="C94" s="3" t="str">
        <f>LEFT(A94,3)</f>
        <v>410</v>
      </c>
      <c r="D94" s="2" t="str">
        <f>IFERROR(VLOOKUP(C94,REGRAS_CST!$A$2:$B$200,2,FALSE),"")</f>
        <v>Imunidade e não incidência</v>
      </c>
      <c r="E94" s="2" t="str">
        <f>IFERROR(VLOOKUP(C94,REGRAS_CST!$A$2:$C$200,3,FALSE),"")</f>
        <v>NÃO</v>
      </c>
      <c r="F94" s="2" t="str">
        <f>IFERROR(VLOOKUP(C94,REGRAS_CST!$A$2:$D$200,4,FALSE),"")</f>
        <v>NÃO</v>
      </c>
      <c r="G94" s="2" t="str">
        <f>IFERROR(VLOOKUP(C94,REGRAS_CST!$A$2:$E$200,5,FALSE),"")</f>
        <v>NÃO</v>
      </c>
      <c r="H94" s="2" t="s">
        <v>10</v>
      </c>
    </row>
    <row r="95" spans="1:8" ht="30.75" customHeight="1">
      <c r="A95" s="3" t="s">
        <v>243</v>
      </c>
      <c r="B95" s="2" t="s">
        <v>244</v>
      </c>
      <c r="C95" s="3" t="str">
        <f>LEFT(A95,3)</f>
        <v>410</v>
      </c>
      <c r="D95" s="2" t="str">
        <f>IFERROR(VLOOKUP(C95,REGRAS_CST!$A$2:$B$200,2,FALSE),"")</f>
        <v>Imunidade e não incidência</v>
      </c>
      <c r="E95" s="2" t="str">
        <f>IFERROR(VLOOKUP(C95,REGRAS_CST!$A$2:$C$200,3,FALSE),"")</f>
        <v>NÃO</v>
      </c>
      <c r="F95" s="2" t="str">
        <f>IFERROR(VLOOKUP(C95,REGRAS_CST!$A$2:$D$200,4,FALSE),"")</f>
        <v>NÃO</v>
      </c>
      <c r="G95" s="2" t="str">
        <f>IFERROR(VLOOKUP(C95,REGRAS_CST!$A$2:$E$200,5,FALSE),"")</f>
        <v>NÃO</v>
      </c>
      <c r="H95" s="2" t="s">
        <v>10</v>
      </c>
    </row>
    <row r="96" spans="1:8">
      <c r="A96" s="3" t="s">
        <v>245</v>
      </c>
      <c r="B96" s="2" t="s">
        <v>246</v>
      </c>
      <c r="C96" s="3" t="str">
        <f>LEFT(A96,3)</f>
        <v>410</v>
      </c>
      <c r="D96" s="2" t="str">
        <f>IFERROR(VLOOKUP(C96,REGRAS_CST!$A$2:$B$200,2,FALSE),"")</f>
        <v>Imunidade e não incidência</v>
      </c>
      <c r="E96" s="2" t="str">
        <f>IFERROR(VLOOKUP(C96,REGRAS_CST!$A$2:$C$200,3,FALSE),"")</f>
        <v>NÃO</v>
      </c>
      <c r="F96" s="2" t="str">
        <f>IFERROR(VLOOKUP(C96,REGRAS_CST!$A$2:$D$200,4,FALSE),"")</f>
        <v>NÃO</v>
      </c>
      <c r="G96" s="2" t="str">
        <f>IFERROR(VLOOKUP(C96,REGRAS_CST!$A$2:$E$200,5,FALSE),"")</f>
        <v>NÃO</v>
      </c>
      <c r="H96" s="2" t="s">
        <v>10</v>
      </c>
    </row>
    <row r="97" spans="1:8">
      <c r="A97" s="3" t="s">
        <v>247</v>
      </c>
      <c r="B97" s="2" t="s">
        <v>248</v>
      </c>
      <c r="C97" s="3" t="str">
        <f>LEFT(A97,3)</f>
        <v>410</v>
      </c>
      <c r="D97" s="2" t="str">
        <f>IFERROR(VLOOKUP(C97,REGRAS_CST!$A$2:$B$200,2,FALSE),"")</f>
        <v>Imunidade e não incidência</v>
      </c>
      <c r="E97" s="2" t="str">
        <f>IFERROR(VLOOKUP(C97,REGRAS_CST!$A$2:$C$200,3,FALSE),"")</f>
        <v>NÃO</v>
      </c>
      <c r="F97" s="2" t="str">
        <f>IFERROR(VLOOKUP(C97,REGRAS_CST!$A$2:$D$200,4,FALSE),"")</f>
        <v>NÃO</v>
      </c>
      <c r="G97" s="2" t="str">
        <f>IFERROR(VLOOKUP(C97,REGRAS_CST!$A$2:$E$200,5,FALSE),"")</f>
        <v>NÃO</v>
      </c>
      <c r="H97" s="2" t="s">
        <v>10</v>
      </c>
    </row>
    <row r="98" spans="1:8" ht="30.75" customHeight="1">
      <c r="A98" s="3" t="s">
        <v>249</v>
      </c>
      <c r="B98" s="2" t="s">
        <v>250</v>
      </c>
      <c r="C98" s="3" t="str">
        <f>LEFT(A98,3)</f>
        <v>410</v>
      </c>
      <c r="D98" s="2" t="str">
        <f>IFERROR(VLOOKUP(C98,REGRAS_CST!$A$2:$B$200,2,FALSE),"")</f>
        <v>Imunidade e não incidência</v>
      </c>
      <c r="E98" s="2" t="str">
        <f>IFERROR(VLOOKUP(C98,REGRAS_CST!$A$2:$C$200,3,FALSE),"")</f>
        <v>NÃO</v>
      </c>
      <c r="F98" s="2" t="str">
        <f>IFERROR(VLOOKUP(C98,REGRAS_CST!$A$2:$D$200,4,FALSE),"")</f>
        <v>NÃO</v>
      </c>
      <c r="G98" s="2" t="str">
        <f>IFERROR(VLOOKUP(C98,REGRAS_CST!$A$2:$E$200,5,FALSE),"")</f>
        <v>NÃO</v>
      </c>
      <c r="H98" s="2" t="s">
        <v>10</v>
      </c>
    </row>
    <row r="99" spans="1:8">
      <c r="A99" s="3" t="s">
        <v>251</v>
      </c>
      <c r="B99" s="2" t="s">
        <v>252</v>
      </c>
      <c r="C99" s="3" t="str">
        <f>LEFT(A99,3)</f>
        <v>410</v>
      </c>
      <c r="D99" s="2" t="str">
        <f>IFERROR(VLOOKUP(C99,REGRAS_CST!$A$2:$B$200,2,FALSE),"")</f>
        <v>Imunidade e não incidência</v>
      </c>
      <c r="E99" s="2" t="str">
        <f>IFERROR(VLOOKUP(C99,REGRAS_CST!$A$2:$C$200,3,FALSE),"")</f>
        <v>NÃO</v>
      </c>
      <c r="F99" s="2" t="str">
        <f>IFERROR(VLOOKUP(C99,REGRAS_CST!$A$2:$D$200,4,FALSE),"")</f>
        <v>NÃO</v>
      </c>
      <c r="G99" s="2" t="str">
        <f>IFERROR(VLOOKUP(C99,REGRAS_CST!$A$2:$E$200,5,FALSE),"")</f>
        <v>NÃO</v>
      </c>
      <c r="H99" s="2" t="s">
        <v>10</v>
      </c>
    </row>
    <row r="100" spans="1:8">
      <c r="A100" s="3" t="s">
        <v>253</v>
      </c>
      <c r="B100" s="2" t="s">
        <v>254</v>
      </c>
      <c r="C100" s="3" t="str">
        <f>LEFT(A100,3)</f>
        <v>410</v>
      </c>
      <c r="D100" s="2" t="str">
        <f>IFERROR(VLOOKUP(C100,REGRAS_CST!$A$2:$B$200,2,FALSE),"")</f>
        <v>Imunidade e não incidência</v>
      </c>
      <c r="E100" s="2" t="str">
        <f>IFERROR(VLOOKUP(C100,REGRAS_CST!$A$2:$C$200,3,FALSE),"")</f>
        <v>NÃO</v>
      </c>
      <c r="F100" s="2" t="str">
        <f>IFERROR(VLOOKUP(C100,REGRAS_CST!$A$2:$D$200,4,FALSE),"")</f>
        <v>NÃO</v>
      </c>
      <c r="G100" s="2" t="str">
        <f>IFERROR(VLOOKUP(C100,REGRAS_CST!$A$2:$E$200,5,FALSE),"")</f>
        <v>NÃO</v>
      </c>
      <c r="H100" s="2" t="s">
        <v>10</v>
      </c>
    </row>
    <row r="101" spans="1:8" ht="30.75" customHeight="1">
      <c r="A101" s="3" t="s">
        <v>255</v>
      </c>
      <c r="B101" s="2" t="s">
        <v>256</v>
      </c>
      <c r="C101" s="3" t="str">
        <f>LEFT(A101,3)</f>
        <v>410</v>
      </c>
      <c r="D101" s="2" t="str">
        <f>IFERROR(VLOOKUP(C101,REGRAS_CST!$A$2:$B$200,2,FALSE),"")</f>
        <v>Imunidade e não incidência</v>
      </c>
      <c r="E101" s="2" t="str">
        <f>IFERROR(VLOOKUP(C101,REGRAS_CST!$A$2:$C$200,3,FALSE),"")</f>
        <v>NÃO</v>
      </c>
      <c r="F101" s="2" t="str">
        <f>IFERROR(VLOOKUP(C101,REGRAS_CST!$A$2:$D$200,4,FALSE),"")</f>
        <v>NÃO</v>
      </c>
      <c r="G101" s="2" t="str">
        <f>IFERROR(VLOOKUP(C101,REGRAS_CST!$A$2:$E$200,5,FALSE),"")</f>
        <v>NÃO</v>
      </c>
      <c r="H101" s="2" t="s">
        <v>10</v>
      </c>
    </row>
    <row r="102" spans="1:8" ht="30.75" customHeight="1">
      <c r="A102" s="3" t="s">
        <v>257</v>
      </c>
      <c r="B102" s="2" t="s">
        <v>258</v>
      </c>
      <c r="C102" s="3" t="str">
        <f>LEFT(A102,3)</f>
        <v>410</v>
      </c>
      <c r="D102" s="2" t="str">
        <f>IFERROR(VLOOKUP(C102,REGRAS_CST!$A$2:$B$200,2,FALSE),"")</f>
        <v>Imunidade e não incidência</v>
      </c>
      <c r="E102" s="2" t="str">
        <f>IFERROR(VLOOKUP(C102,REGRAS_CST!$A$2:$C$200,3,FALSE),"")</f>
        <v>NÃO</v>
      </c>
      <c r="F102" s="2" t="str">
        <f>IFERROR(VLOOKUP(C102,REGRAS_CST!$A$2:$D$200,4,FALSE),"")</f>
        <v>NÃO</v>
      </c>
      <c r="G102" s="2" t="str">
        <f>IFERROR(VLOOKUP(C102,REGRAS_CST!$A$2:$E$200,5,FALSE),"")</f>
        <v>NÃO</v>
      </c>
      <c r="H102" s="2" t="s">
        <v>10</v>
      </c>
    </row>
    <row r="103" spans="1:8" ht="30.75" customHeight="1">
      <c r="A103" s="3" t="s">
        <v>259</v>
      </c>
      <c r="B103" s="2" t="s">
        <v>260</v>
      </c>
      <c r="C103" s="3" t="str">
        <f>LEFT(A103,3)</f>
        <v>510</v>
      </c>
      <c r="D103" s="2" t="str">
        <f>IFERROR(VLOOKUP(C103,REGRAS_CST!$A$2:$B$200,2,FALSE),"")</f>
        <v>Diferimento</v>
      </c>
      <c r="E103" s="2" t="str">
        <f>IFERROR(VLOOKUP(C103,REGRAS_CST!$A$2:$C$200,3,FALSE),"")</f>
        <v>NÃO</v>
      </c>
      <c r="F103" s="2" t="str">
        <f>IFERROR(VLOOKUP(C103,REGRAS_CST!$A$2:$D$200,4,FALSE),"")</f>
        <v>NÃO</v>
      </c>
      <c r="G103" s="2" t="str">
        <f>IFERROR(VLOOKUP(C103,REGRAS_CST!$A$2:$E$200,5,FALSE),"")</f>
        <v>NÃO</v>
      </c>
      <c r="H103" s="2" t="s">
        <v>10</v>
      </c>
    </row>
    <row r="104" spans="1:8" ht="30.75" customHeight="1">
      <c r="A104" s="3" t="s">
        <v>261</v>
      </c>
      <c r="B104" s="2" t="s">
        <v>262</v>
      </c>
      <c r="C104" s="3" t="str">
        <f>LEFT(A104,3)</f>
        <v>515</v>
      </c>
      <c r="D104" s="2" t="str">
        <f>IFERROR(VLOOKUP(C104,REGRAS_CST!$A$2:$B$200,2,FALSE),"")</f>
        <v>Diferimento com redução de alíquota</v>
      </c>
      <c r="E104" s="2" t="str">
        <f>IFERROR(VLOOKUP(C104,REGRAS_CST!$A$2:$C$200,3,FALSE),"")</f>
        <v>NÃO</v>
      </c>
      <c r="F104" s="2" t="str">
        <f>IFERROR(VLOOKUP(C104,REGRAS_CST!$A$2:$D$200,4,FALSE),"")</f>
        <v>SIM</v>
      </c>
      <c r="G104" s="2" t="str">
        <f>IFERROR(VLOOKUP(C104,REGRAS_CST!$A$2:$E$200,5,FALSE),"")</f>
        <v>NÃO</v>
      </c>
      <c r="H104" s="2" t="s">
        <v>10</v>
      </c>
    </row>
    <row r="105" spans="1:8">
      <c r="A105" s="3" t="s">
        <v>263</v>
      </c>
      <c r="B105" s="2" t="s">
        <v>264</v>
      </c>
      <c r="C105" s="3" t="str">
        <f>LEFT(A105,3)</f>
        <v>550</v>
      </c>
      <c r="D105" s="2" t="str">
        <f>IFERROR(VLOOKUP(C105,REGRAS_CST!$A$2:$B$200,2,FALSE),"")</f>
        <v>Suspensão</v>
      </c>
      <c r="E105" s="2" t="str">
        <f>IFERROR(VLOOKUP(C105,REGRAS_CST!$A$2:$C$200,3,FALSE),"")</f>
        <v>NÃO</v>
      </c>
      <c r="F105" s="2" t="str">
        <f>IFERROR(VLOOKUP(C105,REGRAS_CST!$A$2:$D$200,4,FALSE),"")</f>
        <v>NÃO</v>
      </c>
      <c r="G105" s="2" t="str">
        <f>IFERROR(VLOOKUP(C105,REGRAS_CST!$A$2:$E$200,5,FALSE),"")</f>
        <v>NÃO</v>
      </c>
      <c r="H105" s="2" t="s">
        <v>10</v>
      </c>
    </row>
    <row r="106" spans="1:8">
      <c r="A106" s="3" t="s">
        <v>265</v>
      </c>
      <c r="B106" s="2" t="s">
        <v>266</v>
      </c>
      <c r="C106" s="3" t="str">
        <f>LEFT(A106,3)</f>
        <v>550</v>
      </c>
      <c r="D106" s="2" t="str">
        <f>IFERROR(VLOOKUP(C106,REGRAS_CST!$A$2:$B$200,2,FALSE),"")</f>
        <v>Suspensão</v>
      </c>
      <c r="E106" s="2" t="str">
        <f>IFERROR(VLOOKUP(C106,REGRAS_CST!$A$2:$C$200,3,FALSE),"")</f>
        <v>NÃO</v>
      </c>
      <c r="F106" s="2" t="str">
        <f>IFERROR(VLOOKUP(C106,REGRAS_CST!$A$2:$D$200,4,FALSE),"")</f>
        <v>NÃO</v>
      </c>
      <c r="G106" s="2" t="str">
        <f>IFERROR(VLOOKUP(C106,REGRAS_CST!$A$2:$E$200,5,FALSE),"")</f>
        <v>NÃO</v>
      </c>
      <c r="H106" s="2" t="s">
        <v>10</v>
      </c>
    </row>
    <row r="107" spans="1:8">
      <c r="A107" s="3" t="s">
        <v>267</v>
      </c>
      <c r="B107" s="2" t="s">
        <v>268</v>
      </c>
      <c r="C107" s="3" t="str">
        <f>LEFT(A107,3)</f>
        <v>550</v>
      </c>
      <c r="D107" s="2" t="str">
        <f>IFERROR(VLOOKUP(C107,REGRAS_CST!$A$2:$B$200,2,FALSE),"")</f>
        <v>Suspensão</v>
      </c>
      <c r="E107" s="2" t="str">
        <f>IFERROR(VLOOKUP(C107,REGRAS_CST!$A$2:$C$200,3,FALSE),"")</f>
        <v>NÃO</v>
      </c>
      <c r="F107" s="2" t="str">
        <f>IFERROR(VLOOKUP(C107,REGRAS_CST!$A$2:$D$200,4,FALSE),"")</f>
        <v>NÃO</v>
      </c>
      <c r="G107" s="2" t="str">
        <f>IFERROR(VLOOKUP(C107,REGRAS_CST!$A$2:$E$200,5,FALSE),"")</f>
        <v>NÃO</v>
      </c>
      <c r="H107" s="2" t="s">
        <v>10</v>
      </c>
    </row>
    <row r="108" spans="1:8">
      <c r="A108" s="3" t="s">
        <v>269</v>
      </c>
      <c r="B108" s="2" t="s">
        <v>270</v>
      </c>
      <c r="C108" s="3" t="str">
        <f>LEFT(A108,3)</f>
        <v>550</v>
      </c>
      <c r="D108" s="2" t="str">
        <f>IFERROR(VLOOKUP(C108,REGRAS_CST!$A$2:$B$200,2,FALSE),"")</f>
        <v>Suspensão</v>
      </c>
      <c r="E108" s="2" t="str">
        <f>IFERROR(VLOOKUP(C108,REGRAS_CST!$A$2:$C$200,3,FALSE),"")</f>
        <v>NÃO</v>
      </c>
      <c r="F108" s="2" t="str">
        <f>IFERROR(VLOOKUP(C108,REGRAS_CST!$A$2:$D$200,4,FALSE),"")</f>
        <v>NÃO</v>
      </c>
      <c r="G108" s="2" t="str">
        <f>IFERROR(VLOOKUP(C108,REGRAS_CST!$A$2:$E$200,5,FALSE),"")</f>
        <v>NÃO</v>
      </c>
      <c r="H108" s="2" t="s">
        <v>10</v>
      </c>
    </row>
    <row r="109" spans="1:8">
      <c r="A109" s="3" t="s">
        <v>271</v>
      </c>
      <c r="B109" s="2" t="s">
        <v>272</v>
      </c>
      <c r="C109" s="3" t="str">
        <f>LEFT(A109,3)</f>
        <v>550</v>
      </c>
      <c r="D109" s="2" t="str">
        <f>IFERROR(VLOOKUP(C109,REGRAS_CST!$A$2:$B$200,2,FALSE),"")</f>
        <v>Suspensão</v>
      </c>
      <c r="E109" s="2" t="str">
        <f>IFERROR(VLOOKUP(C109,REGRAS_CST!$A$2:$C$200,3,FALSE),"")</f>
        <v>NÃO</v>
      </c>
      <c r="F109" s="2" t="str">
        <f>IFERROR(VLOOKUP(C109,REGRAS_CST!$A$2:$D$200,4,FALSE),"")</f>
        <v>NÃO</v>
      </c>
      <c r="G109" s="2" t="str">
        <f>IFERROR(VLOOKUP(C109,REGRAS_CST!$A$2:$E$200,5,FALSE),"")</f>
        <v>NÃO</v>
      </c>
      <c r="H109" s="2" t="s">
        <v>10</v>
      </c>
    </row>
    <row r="110" spans="1:8">
      <c r="A110" s="3" t="s">
        <v>273</v>
      </c>
      <c r="B110" s="2" t="s">
        <v>274</v>
      </c>
      <c r="C110" s="3" t="str">
        <f>LEFT(A110,3)</f>
        <v>550</v>
      </c>
      <c r="D110" s="2" t="str">
        <f>IFERROR(VLOOKUP(C110,REGRAS_CST!$A$2:$B$200,2,FALSE),"")</f>
        <v>Suspensão</v>
      </c>
      <c r="E110" s="2" t="str">
        <f>IFERROR(VLOOKUP(C110,REGRAS_CST!$A$2:$C$200,3,FALSE),"")</f>
        <v>NÃO</v>
      </c>
      <c r="F110" s="2" t="str">
        <f>IFERROR(VLOOKUP(C110,REGRAS_CST!$A$2:$D$200,4,FALSE),"")</f>
        <v>NÃO</v>
      </c>
      <c r="G110" s="2" t="str">
        <f>IFERROR(VLOOKUP(C110,REGRAS_CST!$A$2:$E$200,5,FALSE),"")</f>
        <v>NÃO</v>
      </c>
      <c r="H110" s="2" t="s">
        <v>10</v>
      </c>
    </row>
    <row r="111" spans="1:8">
      <c r="A111" s="3" t="s">
        <v>275</v>
      </c>
      <c r="B111" s="2" t="s">
        <v>276</v>
      </c>
      <c r="C111" s="3" t="str">
        <f>LEFT(A111,3)</f>
        <v>550</v>
      </c>
      <c r="D111" s="2" t="str">
        <f>IFERROR(VLOOKUP(C111,REGRAS_CST!$A$2:$B$200,2,FALSE),"")</f>
        <v>Suspensão</v>
      </c>
      <c r="E111" s="2" t="str">
        <f>IFERROR(VLOOKUP(C111,REGRAS_CST!$A$2:$C$200,3,FALSE),"")</f>
        <v>NÃO</v>
      </c>
      <c r="F111" s="2" t="str">
        <f>IFERROR(VLOOKUP(C111,REGRAS_CST!$A$2:$D$200,4,FALSE),"")</f>
        <v>NÃO</v>
      </c>
      <c r="G111" s="2" t="str">
        <f>IFERROR(VLOOKUP(C111,REGRAS_CST!$A$2:$E$200,5,FALSE),"")</f>
        <v>NÃO</v>
      </c>
      <c r="H111" s="2" t="s">
        <v>10</v>
      </c>
    </row>
    <row r="112" spans="1:8">
      <c r="A112" s="3" t="s">
        <v>277</v>
      </c>
      <c r="B112" s="2" t="s">
        <v>278</v>
      </c>
      <c r="C112" s="3" t="str">
        <f>LEFT(A112,3)</f>
        <v>550</v>
      </c>
      <c r="D112" s="2" t="str">
        <f>IFERROR(VLOOKUP(C112,REGRAS_CST!$A$2:$B$200,2,FALSE),"")</f>
        <v>Suspensão</v>
      </c>
      <c r="E112" s="2" t="str">
        <f>IFERROR(VLOOKUP(C112,REGRAS_CST!$A$2:$C$200,3,FALSE),"")</f>
        <v>NÃO</v>
      </c>
      <c r="F112" s="2" t="str">
        <f>IFERROR(VLOOKUP(C112,REGRAS_CST!$A$2:$D$200,4,FALSE),"")</f>
        <v>NÃO</v>
      </c>
      <c r="G112" s="2" t="str">
        <f>IFERROR(VLOOKUP(C112,REGRAS_CST!$A$2:$E$200,5,FALSE),"")</f>
        <v>NÃO</v>
      </c>
      <c r="H112" s="2" t="s">
        <v>10</v>
      </c>
    </row>
    <row r="113" spans="1:8">
      <c r="A113" s="3" t="s">
        <v>279</v>
      </c>
      <c r="B113" s="2" t="s">
        <v>280</v>
      </c>
      <c r="C113" s="3" t="str">
        <f>LEFT(A113,3)</f>
        <v>550</v>
      </c>
      <c r="D113" s="2" t="str">
        <f>IFERROR(VLOOKUP(C113,REGRAS_CST!$A$2:$B$200,2,FALSE),"")</f>
        <v>Suspensão</v>
      </c>
      <c r="E113" s="2" t="str">
        <f>IFERROR(VLOOKUP(C113,REGRAS_CST!$A$2:$C$200,3,FALSE),"")</f>
        <v>NÃO</v>
      </c>
      <c r="F113" s="2" t="str">
        <f>IFERROR(VLOOKUP(C113,REGRAS_CST!$A$2:$D$200,4,FALSE),"")</f>
        <v>NÃO</v>
      </c>
      <c r="G113" s="2" t="str">
        <f>IFERROR(VLOOKUP(C113,REGRAS_CST!$A$2:$E$200,5,FALSE),"")</f>
        <v>NÃO</v>
      </c>
      <c r="H113" s="2" t="s">
        <v>10</v>
      </c>
    </row>
    <row r="114" spans="1:8">
      <c r="A114" s="3" t="s">
        <v>281</v>
      </c>
      <c r="B114" s="2" t="s">
        <v>282</v>
      </c>
      <c r="C114" s="3" t="str">
        <f>LEFT(A114,3)</f>
        <v>550</v>
      </c>
      <c r="D114" s="2" t="str">
        <f>IFERROR(VLOOKUP(C114,REGRAS_CST!$A$2:$B$200,2,FALSE),"")</f>
        <v>Suspensão</v>
      </c>
      <c r="E114" s="2" t="str">
        <f>IFERROR(VLOOKUP(C114,REGRAS_CST!$A$2:$C$200,3,FALSE),"")</f>
        <v>NÃO</v>
      </c>
      <c r="F114" s="2" t="str">
        <f>IFERROR(VLOOKUP(C114,REGRAS_CST!$A$2:$D$200,4,FALSE),"")</f>
        <v>NÃO</v>
      </c>
      <c r="G114" s="2" t="str">
        <f>IFERROR(VLOOKUP(C114,REGRAS_CST!$A$2:$E$200,5,FALSE),"")</f>
        <v>NÃO</v>
      </c>
      <c r="H114" s="2" t="s">
        <v>10</v>
      </c>
    </row>
    <row r="115" spans="1:8">
      <c r="A115" s="3" t="s">
        <v>283</v>
      </c>
      <c r="B115" s="2" t="s">
        <v>284</v>
      </c>
      <c r="C115" s="3" t="str">
        <f>LEFT(A115,3)</f>
        <v>550</v>
      </c>
      <c r="D115" s="2" t="str">
        <f>IFERROR(VLOOKUP(C115,REGRAS_CST!$A$2:$B$200,2,FALSE),"")</f>
        <v>Suspensão</v>
      </c>
      <c r="E115" s="2" t="str">
        <f>IFERROR(VLOOKUP(C115,REGRAS_CST!$A$2:$C$200,3,FALSE),"")</f>
        <v>NÃO</v>
      </c>
      <c r="F115" s="2" t="str">
        <f>IFERROR(VLOOKUP(C115,REGRAS_CST!$A$2:$D$200,4,FALSE),"")</f>
        <v>NÃO</v>
      </c>
      <c r="G115" s="2" t="str">
        <f>IFERROR(VLOOKUP(C115,REGRAS_CST!$A$2:$E$200,5,FALSE),"")</f>
        <v>NÃO</v>
      </c>
      <c r="H115" s="2" t="s">
        <v>10</v>
      </c>
    </row>
    <row r="116" spans="1:8">
      <c r="A116" s="3" t="s">
        <v>285</v>
      </c>
      <c r="B116" s="2" t="s">
        <v>286</v>
      </c>
      <c r="C116" s="3" t="str">
        <f>LEFT(A116,3)</f>
        <v>550</v>
      </c>
      <c r="D116" s="2" t="str">
        <f>IFERROR(VLOOKUP(C116,REGRAS_CST!$A$2:$B$200,2,FALSE),"")</f>
        <v>Suspensão</v>
      </c>
      <c r="E116" s="2" t="str">
        <f>IFERROR(VLOOKUP(C116,REGRAS_CST!$A$2:$C$200,3,FALSE),"")</f>
        <v>NÃO</v>
      </c>
      <c r="F116" s="2" t="str">
        <f>IFERROR(VLOOKUP(C116,REGRAS_CST!$A$2:$D$200,4,FALSE),"")</f>
        <v>NÃO</v>
      </c>
      <c r="G116" s="2" t="str">
        <f>IFERROR(VLOOKUP(C116,REGRAS_CST!$A$2:$E$200,5,FALSE),"")</f>
        <v>NÃO</v>
      </c>
      <c r="H116" s="2" t="s">
        <v>10</v>
      </c>
    </row>
    <row r="117" spans="1:8">
      <c r="A117" s="3" t="s">
        <v>287</v>
      </c>
      <c r="B117" s="2" t="s">
        <v>288</v>
      </c>
      <c r="C117" s="3" t="str">
        <f>LEFT(A117,3)</f>
        <v>550</v>
      </c>
      <c r="D117" s="2" t="str">
        <f>IFERROR(VLOOKUP(C117,REGRAS_CST!$A$2:$B$200,2,FALSE),"")</f>
        <v>Suspensão</v>
      </c>
      <c r="E117" s="2" t="str">
        <f>IFERROR(VLOOKUP(C117,REGRAS_CST!$A$2:$C$200,3,FALSE),"")</f>
        <v>NÃO</v>
      </c>
      <c r="F117" s="2" t="str">
        <f>IFERROR(VLOOKUP(C117,REGRAS_CST!$A$2:$D$200,4,FALSE),"")</f>
        <v>NÃO</v>
      </c>
      <c r="G117" s="2" t="str">
        <f>IFERROR(VLOOKUP(C117,REGRAS_CST!$A$2:$E$200,5,FALSE),"")</f>
        <v>NÃO</v>
      </c>
      <c r="H117" s="2" t="s">
        <v>10</v>
      </c>
    </row>
    <row r="118" spans="1:8">
      <c r="A118" s="3" t="s">
        <v>289</v>
      </c>
      <c r="B118" s="2" t="s">
        <v>290</v>
      </c>
      <c r="C118" s="3" t="str">
        <f>LEFT(A118,3)</f>
        <v>550</v>
      </c>
      <c r="D118" s="2" t="str">
        <f>IFERROR(VLOOKUP(C118,REGRAS_CST!$A$2:$B$200,2,FALSE),"")</f>
        <v>Suspensão</v>
      </c>
      <c r="E118" s="2" t="str">
        <f>IFERROR(VLOOKUP(C118,REGRAS_CST!$A$2:$C$200,3,FALSE),"")</f>
        <v>NÃO</v>
      </c>
      <c r="F118" s="2" t="str">
        <f>IFERROR(VLOOKUP(C118,REGRAS_CST!$A$2:$D$200,4,FALSE),"")</f>
        <v>NÃO</v>
      </c>
      <c r="G118" s="2" t="str">
        <f>IFERROR(VLOOKUP(C118,REGRAS_CST!$A$2:$E$200,5,FALSE),"")</f>
        <v>NÃO</v>
      </c>
      <c r="H118" s="2" t="s">
        <v>10</v>
      </c>
    </row>
    <row r="119" spans="1:8" ht="30.75" customHeight="1">
      <c r="A119" s="3" t="s">
        <v>291</v>
      </c>
      <c r="B119" s="2" t="s">
        <v>292</v>
      </c>
      <c r="C119" s="3" t="str">
        <f>LEFT(A119,3)</f>
        <v>550</v>
      </c>
      <c r="D119" s="2" t="str">
        <f>IFERROR(VLOOKUP(C119,REGRAS_CST!$A$2:$B$200,2,FALSE),"")</f>
        <v>Suspensão</v>
      </c>
      <c r="E119" s="2" t="str">
        <f>IFERROR(VLOOKUP(C119,REGRAS_CST!$A$2:$C$200,3,FALSE),"")</f>
        <v>NÃO</v>
      </c>
      <c r="F119" s="2" t="str">
        <f>IFERROR(VLOOKUP(C119,REGRAS_CST!$A$2:$D$200,4,FALSE),"")</f>
        <v>NÃO</v>
      </c>
      <c r="G119" s="2" t="str">
        <f>IFERROR(VLOOKUP(C119,REGRAS_CST!$A$2:$E$200,5,FALSE),"")</f>
        <v>NÃO</v>
      </c>
      <c r="H119" s="2" t="s">
        <v>10</v>
      </c>
    </row>
    <row r="120" spans="1:8">
      <c r="A120" s="3" t="s">
        <v>293</v>
      </c>
      <c r="B120" s="2" t="s">
        <v>294</v>
      </c>
      <c r="C120" s="3" t="str">
        <f>LEFT(A120,3)</f>
        <v>550</v>
      </c>
      <c r="D120" s="2" t="str">
        <f>IFERROR(VLOOKUP(C120,REGRAS_CST!$A$2:$B$200,2,FALSE),"")</f>
        <v>Suspensão</v>
      </c>
      <c r="E120" s="2" t="str">
        <f>IFERROR(VLOOKUP(C120,REGRAS_CST!$A$2:$C$200,3,FALSE),"")</f>
        <v>NÃO</v>
      </c>
      <c r="F120" s="2" t="str">
        <f>IFERROR(VLOOKUP(C120,REGRAS_CST!$A$2:$D$200,4,FALSE),"")</f>
        <v>NÃO</v>
      </c>
      <c r="G120" s="2" t="str">
        <f>IFERROR(VLOOKUP(C120,REGRAS_CST!$A$2:$E$200,5,FALSE),"")</f>
        <v>NÃO</v>
      </c>
      <c r="H120" s="2" t="s">
        <v>10</v>
      </c>
    </row>
    <row r="121" spans="1:8">
      <c r="A121" s="3" t="s">
        <v>295</v>
      </c>
      <c r="B121" s="2" t="s">
        <v>296</v>
      </c>
      <c r="C121" s="3" t="str">
        <f>LEFT(A121,3)</f>
        <v>550</v>
      </c>
      <c r="D121" s="2" t="str">
        <f>IFERROR(VLOOKUP(C121,REGRAS_CST!$A$2:$B$200,2,FALSE),"")</f>
        <v>Suspensão</v>
      </c>
      <c r="E121" s="2" t="str">
        <f>IFERROR(VLOOKUP(C121,REGRAS_CST!$A$2:$C$200,3,FALSE),"")</f>
        <v>NÃO</v>
      </c>
      <c r="F121" s="2" t="str">
        <f>IFERROR(VLOOKUP(C121,REGRAS_CST!$A$2:$D$200,4,FALSE),"")</f>
        <v>NÃO</v>
      </c>
      <c r="G121" s="2" t="str">
        <f>IFERROR(VLOOKUP(C121,REGRAS_CST!$A$2:$E$200,5,FALSE),"")</f>
        <v>NÃO</v>
      </c>
      <c r="H121" s="2" t="s">
        <v>10</v>
      </c>
    </row>
    <row r="122" spans="1:8">
      <c r="A122" s="3" t="s">
        <v>297</v>
      </c>
      <c r="B122" s="2" t="s">
        <v>298</v>
      </c>
      <c r="C122" s="3" t="str">
        <f>LEFT(A122,3)</f>
        <v>550</v>
      </c>
      <c r="D122" s="2" t="str">
        <f>IFERROR(VLOOKUP(C122,REGRAS_CST!$A$2:$B$200,2,FALSE),"")</f>
        <v>Suspensão</v>
      </c>
      <c r="E122" s="2" t="str">
        <f>IFERROR(VLOOKUP(C122,REGRAS_CST!$A$2:$C$200,3,FALSE),"")</f>
        <v>NÃO</v>
      </c>
      <c r="F122" s="2" t="str">
        <f>IFERROR(VLOOKUP(C122,REGRAS_CST!$A$2:$D$200,4,FALSE),"")</f>
        <v>NÃO</v>
      </c>
      <c r="G122" s="2" t="str">
        <f>IFERROR(VLOOKUP(C122,REGRAS_CST!$A$2:$E$200,5,FALSE),"")</f>
        <v>NÃO</v>
      </c>
      <c r="H122" s="2" t="s">
        <v>10</v>
      </c>
    </row>
    <row r="123" spans="1:8">
      <c r="A123" s="3" t="s">
        <v>299</v>
      </c>
      <c r="B123" s="2" t="s">
        <v>300</v>
      </c>
      <c r="C123" s="3" t="str">
        <f>LEFT(A123,3)</f>
        <v>550</v>
      </c>
      <c r="D123" s="2" t="str">
        <f>IFERROR(VLOOKUP(C123,REGRAS_CST!$A$2:$B$200,2,FALSE),"")</f>
        <v>Suspensão</v>
      </c>
      <c r="E123" s="2" t="str">
        <f>IFERROR(VLOOKUP(C123,REGRAS_CST!$A$2:$C$200,3,FALSE),"")</f>
        <v>NÃO</v>
      </c>
      <c r="F123" s="2" t="str">
        <f>IFERROR(VLOOKUP(C123,REGRAS_CST!$A$2:$D$200,4,FALSE),"")</f>
        <v>NÃO</v>
      </c>
      <c r="G123" s="2" t="str">
        <f>IFERROR(VLOOKUP(C123,REGRAS_CST!$A$2:$E$200,5,FALSE),"")</f>
        <v>NÃO</v>
      </c>
      <c r="H123" s="2" t="s">
        <v>10</v>
      </c>
    </row>
    <row r="124" spans="1:8">
      <c r="A124" s="3" t="s">
        <v>301</v>
      </c>
      <c r="B124" s="2" t="s">
        <v>302</v>
      </c>
      <c r="C124" s="3" t="str">
        <f>LEFT(A124,3)</f>
        <v>550</v>
      </c>
      <c r="D124" s="2" t="str">
        <f>IFERROR(VLOOKUP(C124,REGRAS_CST!$A$2:$B$200,2,FALSE),"")</f>
        <v>Suspensão</v>
      </c>
      <c r="E124" s="2" t="str">
        <f>IFERROR(VLOOKUP(C124,REGRAS_CST!$A$2:$C$200,3,FALSE),"")</f>
        <v>NÃO</v>
      </c>
      <c r="F124" s="2" t="str">
        <f>IFERROR(VLOOKUP(C124,REGRAS_CST!$A$2:$D$200,4,FALSE),"")</f>
        <v>NÃO</v>
      </c>
      <c r="G124" s="2" t="str">
        <f>IFERROR(VLOOKUP(C124,REGRAS_CST!$A$2:$E$200,5,FALSE),"")</f>
        <v>NÃO</v>
      </c>
      <c r="H124" s="2" t="s">
        <v>10</v>
      </c>
    </row>
    <row r="125" spans="1:8">
      <c r="A125" s="3" t="s">
        <v>303</v>
      </c>
      <c r="B125" s="2" t="s">
        <v>304</v>
      </c>
      <c r="C125" s="3" t="str">
        <f>LEFT(A125,3)</f>
        <v>550</v>
      </c>
      <c r="D125" s="2" t="str">
        <f>IFERROR(VLOOKUP(C125,REGRAS_CST!$A$2:$B$200,2,FALSE),"")</f>
        <v>Suspensão</v>
      </c>
      <c r="E125" s="2" t="str">
        <f>IFERROR(VLOOKUP(C125,REGRAS_CST!$A$2:$C$200,3,FALSE),"")</f>
        <v>NÃO</v>
      </c>
      <c r="F125" s="2" t="str">
        <f>IFERROR(VLOOKUP(C125,REGRAS_CST!$A$2:$D$200,4,FALSE),"")</f>
        <v>NÃO</v>
      </c>
      <c r="G125" s="2" t="str">
        <f>IFERROR(VLOOKUP(C125,REGRAS_CST!$A$2:$E$200,5,FALSE),"")</f>
        <v>NÃO</v>
      </c>
      <c r="H125" s="2" t="s">
        <v>10</v>
      </c>
    </row>
    <row r="126" spans="1:8">
      <c r="A126" s="3" t="s">
        <v>305</v>
      </c>
      <c r="B126" s="2" t="s">
        <v>306</v>
      </c>
      <c r="C126" s="3" t="str">
        <f>LEFT(A126,3)</f>
        <v>620</v>
      </c>
      <c r="D126" s="2" t="str">
        <f>IFERROR(VLOOKUP(C126,REGRAS_CST!$A$2:$B$200,2,FALSE),"")</f>
        <v>Tributação Monofásica</v>
      </c>
      <c r="E126" s="2" t="str">
        <f>IFERROR(VLOOKUP(C126,REGRAS_CST!$A$2:$C$200,3,FALSE),"")</f>
        <v>NÃO</v>
      </c>
      <c r="F126" s="2" t="str">
        <f>IFERROR(VLOOKUP(C126,REGRAS_CST!$A$2:$D$200,4,FALSE),"")</f>
        <v>NÃO</v>
      </c>
      <c r="G126" s="2" t="str">
        <f>IFERROR(VLOOKUP(C126,REGRAS_CST!$A$2:$E$200,5,FALSE),"")</f>
        <v>NÃO</v>
      </c>
      <c r="H126" s="2" t="s">
        <v>10</v>
      </c>
    </row>
    <row r="127" spans="1:8">
      <c r="A127" s="3" t="s">
        <v>307</v>
      </c>
      <c r="B127" s="2" t="s">
        <v>308</v>
      </c>
      <c r="C127" s="3" t="str">
        <f>LEFT(A127,3)</f>
        <v>620</v>
      </c>
      <c r="D127" s="2" t="str">
        <f>IFERROR(VLOOKUP(C127,REGRAS_CST!$A$2:$B$200,2,FALSE),"")</f>
        <v>Tributação Monofásica</v>
      </c>
      <c r="E127" s="2" t="str">
        <f>IFERROR(VLOOKUP(C127,REGRAS_CST!$A$2:$C$200,3,FALSE),"")</f>
        <v>NÃO</v>
      </c>
      <c r="F127" s="2" t="str">
        <f>IFERROR(VLOOKUP(C127,REGRAS_CST!$A$2:$D$200,4,FALSE),"")</f>
        <v>NÃO</v>
      </c>
      <c r="G127" s="2" t="str">
        <f>IFERROR(VLOOKUP(C127,REGRAS_CST!$A$2:$E$200,5,FALSE),"")</f>
        <v>NÃO</v>
      </c>
      <c r="H127" s="2" t="s">
        <v>10</v>
      </c>
    </row>
    <row r="128" spans="1:8" ht="30.75" customHeight="1">
      <c r="A128" s="3" t="s">
        <v>309</v>
      </c>
      <c r="B128" s="2" t="s">
        <v>310</v>
      </c>
      <c r="C128" s="3" t="str">
        <f>LEFT(A128,3)</f>
        <v>620</v>
      </c>
      <c r="D128" s="2" t="str">
        <f>IFERROR(VLOOKUP(C128,REGRAS_CST!$A$2:$B$200,2,FALSE),"")</f>
        <v>Tributação Monofásica</v>
      </c>
      <c r="E128" s="2" t="str">
        <f>IFERROR(VLOOKUP(C128,REGRAS_CST!$A$2:$C$200,3,FALSE),"")</f>
        <v>NÃO</v>
      </c>
      <c r="F128" s="2" t="str">
        <f>IFERROR(VLOOKUP(C128,REGRAS_CST!$A$2:$D$200,4,FALSE),"")</f>
        <v>NÃO</v>
      </c>
      <c r="G128" s="2" t="str">
        <f>IFERROR(VLOOKUP(C128,REGRAS_CST!$A$2:$E$200,5,FALSE),"")</f>
        <v>NÃO</v>
      </c>
      <c r="H128" s="2" t="s">
        <v>10</v>
      </c>
    </row>
    <row r="129" spans="1:8" ht="30.75" customHeight="1">
      <c r="A129" s="3" t="s">
        <v>311</v>
      </c>
      <c r="B129" s="2" t="s">
        <v>312</v>
      </c>
      <c r="C129" s="3" t="str">
        <f>LEFT(A129,3)</f>
        <v>620</v>
      </c>
      <c r="D129" s="2" t="str">
        <f>IFERROR(VLOOKUP(C129,REGRAS_CST!$A$2:$B$200,2,FALSE),"")</f>
        <v>Tributação Monofásica</v>
      </c>
      <c r="E129" s="2" t="str">
        <f>IFERROR(VLOOKUP(C129,REGRAS_CST!$A$2:$C$200,3,FALSE),"")</f>
        <v>NÃO</v>
      </c>
      <c r="F129" s="2" t="str">
        <f>IFERROR(VLOOKUP(C129,REGRAS_CST!$A$2:$D$200,4,FALSE),"")</f>
        <v>NÃO</v>
      </c>
      <c r="G129" s="2" t="str">
        <f>IFERROR(VLOOKUP(C129,REGRAS_CST!$A$2:$E$200,5,FALSE),"")</f>
        <v>NÃO</v>
      </c>
      <c r="H129" s="2" t="s">
        <v>10</v>
      </c>
    </row>
    <row r="130" spans="1:8" ht="30.75" customHeight="1">
      <c r="A130" s="3" t="s">
        <v>313</v>
      </c>
      <c r="B130" s="2" t="s">
        <v>314</v>
      </c>
      <c r="C130" s="3" t="str">
        <f>LEFT(A130,3)</f>
        <v>620</v>
      </c>
      <c r="D130" s="2" t="str">
        <f>IFERROR(VLOOKUP(C130,REGRAS_CST!$A$2:$B$200,2,FALSE),"")</f>
        <v>Tributação Monofásica</v>
      </c>
      <c r="E130" s="2" t="str">
        <f>IFERROR(VLOOKUP(C130,REGRAS_CST!$A$2:$C$200,3,FALSE),"")</f>
        <v>NÃO</v>
      </c>
      <c r="F130" s="2" t="str">
        <f>IFERROR(VLOOKUP(C130,REGRAS_CST!$A$2:$D$200,4,FALSE),"")</f>
        <v>NÃO</v>
      </c>
      <c r="G130" s="2" t="str">
        <f>IFERROR(VLOOKUP(C130,REGRAS_CST!$A$2:$E$200,5,FALSE),"")</f>
        <v>NÃO</v>
      </c>
      <c r="H130" s="2" t="s">
        <v>10</v>
      </c>
    </row>
    <row r="131" spans="1:8">
      <c r="A131" s="3" t="s">
        <v>315</v>
      </c>
      <c r="B131" s="2" t="s">
        <v>316</v>
      </c>
      <c r="C131" s="3" t="str">
        <f>LEFT(A131,3)</f>
        <v>620</v>
      </c>
      <c r="D131" s="2" t="str">
        <f>IFERROR(VLOOKUP(C131,REGRAS_CST!$A$2:$B$200,2,FALSE),"")</f>
        <v>Tributação Monofásica</v>
      </c>
      <c r="E131" s="2" t="str">
        <f>IFERROR(VLOOKUP(C131,REGRAS_CST!$A$2:$C$200,3,FALSE),"")</f>
        <v>NÃO</v>
      </c>
      <c r="F131" s="2" t="str">
        <f>IFERROR(VLOOKUP(C131,REGRAS_CST!$A$2:$D$200,4,FALSE),"")</f>
        <v>NÃO</v>
      </c>
      <c r="G131" s="2" t="str">
        <f>IFERROR(VLOOKUP(C131,REGRAS_CST!$A$2:$E$200,5,FALSE),"")</f>
        <v>NÃO</v>
      </c>
      <c r="H131" s="2" t="s">
        <v>10</v>
      </c>
    </row>
    <row r="132" spans="1:8">
      <c r="A132" s="3" t="s">
        <v>317</v>
      </c>
      <c r="B132" s="2" t="s">
        <v>318</v>
      </c>
      <c r="C132" s="3" t="str">
        <f>LEFT(A132,3)</f>
        <v>800</v>
      </c>
      <c r="D132" s="2" t="str">
        <f>IFERROR(VLOOKUP(C132,REGRAS_CST!$A$2:$B$200,2,FALSE),"")</f>
        <v>Transferência de crédito</v>
      </c>
      <c r="E132" s="2" t="str">
        <f>IFERROR(VLOOKUP(C132,REGRAS_CST!$A$2:$C$200,3,FALSE),"")</f>
        <v>NÃO</v>
      </c>
      <c r="F132" s="2" t="str">
        <f>IFERROR(VLOOKUP(C132,REGRAS_CST!$A$2:$D$200,4,FALSE),"")</f>
        <v>NÃO</v>
      </c>
      <c r="G132" s="2" t="str">
        <f>IFERROR(VLOOKUP(C132,REGRAS_CST!$A$2:$E$200,5,FALSE),"")</f>
        <v>NÃO</v>
      </c>
      <c r="H132" s="2" t="s">
        <v>10</v>
      </c>
    </row>
    <row r="133" spans="1:8">
      <c r="A133" s="3" t="s">
        <v>319</v>
      </c>
      <c r="B133" s="2" t="s">
        <v>320</v>
      </c>
      <c r="C133" s="3" t="str">
        <f>LEFT(A133,3)</f>
        <v>800</v>
      </c>
      <c r="D133" s="2" t="str">
        <f>IFERROR(VLOOKUP(C133,REGRAS_CST!$A$2:$B$200,2,FALSE),"")</f>
        <v>Transferência de crédito</v>
      </c>
      <c r="E133" s="2" t="str">
        <f>IFERROR(VLOOKUP(C133,REGRAS_CST!$A$2:$C$200,3,FALSE),"")</f>
        <v>NÃO</v>
      </c>
      <c r="F133" s="2" t="str">
        <f>IFERROR(VLOOKUP(C133,REGRAS_CST!$A$2:$D$200,4,FALSE),"")</f>
        <v>NÃO</v>
      </c>
      <c r="G133" s="2" t="str">
        <f>IFERROR(VLOOKUP(C133,REGRAS_CST!$A$2:$E$200,5,FALSE),"")</f>
        <v>NÃO</v>
      </c>
      <c r="H133" s="2" t="s">
        <v>10</v>
      </c>
    </row>
    <row r="134" spans="1:8">
      <c r="A134" s="3" t="s">
        <v>321</v>
      </c>
      <c r="B134" s="2" t="s">
        <v>322</v>
      </c>
      <c r="C134" s="3" t="str">
        <f>LEFT(A134,3)</f>
        <v>810</v>
      </c>
      <c r="D134" s="2" t="str">
        <f>IFERROR(VLOOKUP(C134,REGRAS_CST!$A$2:$B$200,2,FALSE),"")</f>
        <v>Ajuste de IBS na ZFM</v>
      </c>
      <c r="E134" s="2" t="str">
        <f>IFERROR(VLOOKUP(C134,REGRAS_CST!$A$2:$C$200,3,FALSE),"")</f>
        <v>NÃO</v>
      </c>
      <c r="F134" s="2" t="str">
        <f>IFERROR(VLOOKUP(C134,REGRAS_CST!$A$2:$D$200,4,FALSE),"")</f>
        <v>NÃO</v>
      </c>
      <c r="G134" s="2" t="str">
        <f>IFERROR(VLOOKUP(C134,REGRAS_CST!$A$2:$E$200,5,FALSE),"")</f>
        <v>NÃO</v>
      </c>
      <c r="H134" s="2" t="s">
        <v>10</v>
      </c>
    </row>
    <row r="135" spans="1:8">
      <c r="A135" s="3" t="s">
        <v>323</v>
      </c>
      <c r="B135" s="2" t="s">
        <v>324</v>
      </c>
      <c r="C135" s="3" t="str">
        <f>LEFT(A135,3)</f>
        <v>811</v>
      </c>
      <c r="D135" s="2" t="str">
        <f>IFERROR(VLOOKUP(C135,REGRAS_CST!$A$2:$B$200,2,FALSE),"")</f>
        <v>Ajustes</v>
      </c>
      <c r="E135" s="2" t="str">
        <f>IFERROR(VLOOKUP(C135,REGRAS_CST!$A$2:$C$200,3,FALSE),"")</f>
        <v>NÃO</v>
      </c>
      <c r="F135" s="2" t="str">
        <f>IFERROR(VLOOKUP(C135,REGRAS_CST!$A$2:$D$200,4,FALSE),"")</f>
        <v>NÃO</v>
      </c>
      <c r="G135" s="2" t="str">
        <f>IFERROR(VLOOKUP(C135,REGRAS_CST!$A$2:$E$200,5,FALSE),"")</f>
        <v>NÃO</v>
      </c>
      <c r="H135" s="2" t="s">
        <v>10</v>
      </c>
    </row>
    <row r="136" spans="1:8">
      <c r="A136" s="3" t="s">
        <v>325</v>
      </c>
      <c r="B136" s="2" t="s">
        <v>326</v>
      </c>
      <c r="C136" s="3" t="str">
        <f>LEFT(A136,3)</f>
        <v>811</v>
      </c>
      <c r="D136" s="2" t="str">
        <f>IFERROR(VLOOKUP(C136,REGRAS_CST!$A$2:$B$200,2,FALSE),"")</f>
        <v>Ajustes</v>
      </c>
      <c r="E136" s="2" t="str">
        <f>IFERROR(VLOOKUP(C136,REGRAS_CST!$A$2:$C$200,3,FALSE),"")</f>
        <v>NÃO</v>
      </c>
      <c r="F136" s="2" t="str">
        <f>IFERROR(VLOOKUP(C136,REGRAS_CST!$A$2:$D$200,4,FALSE),"")</f>
        <v>NÃO</v>
      </c>
      <c r="G136" s="2" t="str">
        <f>IFERROR(VLOOKUP(C136,REGRAS_CST!$A$2:$E$200,5,FALSE),"")</f>
        <v>NÃO</v>
      </c>
      <c r="H136" s="2" t="s">
        <v>10</v>
      </c>
    </row>
    <row r="137" spans="1:8">
      <c r="A137" s="3" t="s">
        <v>327</v>
      </c>
      <c r="B137" s="2" t="s">
        <v>328</v>
      </c>
      <c r="C137" s="3" t="str">
        <f>LEFT(A137,3)</f>
        <v>811</v>
      </c>
      <c r="D137" s="2" t="str">
        <f>IFERROR(VLOOKUP(C137,REGRAS_CST!$A$2:$B$200,2,FALSE),"")</f>
        <v>Ajustes</v>
      </c>
      <c r="E137" s="2" t="str">
        <f>IFERROR(VLOOKUP(C137,REGRAS_CST!$A$2:$C$200,3,FALSE),"")</f>
        <v>NÃO</v>
      </c>
      <c r="F137" s="2" t="str">
        <f>IFERROR(VLOOKUP(C137,REGRAS_CST!$A$2:$D$200,4,FALSE),"")</f>
        <v>NÃO</v>
      </c>
      <c r="G137" s="2" t="str">
        <f>IFERROR(VLOOKUP(C137,REGRAS_CST!$A$2:$E$200,5,FALSE),"")</f>
        <v>NÃO</v>
      </c>
      <c r="H137" s="2" t="s">
        <v>10</v>
      </c>
    </row>
    <row r="138" spans="1:8" ht="30.75" customHeight="1">
      <c r="A138" s="3" t="s">
        <v>329</v>
      </c>
      <c r="B138" s="2" t="s">
        <v>330</v>
      </c>
      <c r="C138" s="3" t="str">
        <f>LEFT(A138,3)</f>
        <v>820</v>
      </c>
      <c r="D138" s="2" t="str">
        <f>IFERROR(VLOOKUP(C138,REGRAS_CST!$A$2:$B$200,2,FALSE),"")</f>
        <v>Tributação em declaração de regime específico</v>
      </c>
      <c r="E138" s="2" t="str">
        <f>IFERROR(VLOOKUP(C138,REGRAS_CST!$A$2:$C$200,3,FALSE),"")</f>
        <v>NÃO</v>
      </c>
      <c r="F138" s="2" t="str">
        <f>IFERROR(VLOOKUP(C138,REGRAS_CST!$A$2:$D$200,4,FALSE),"")</f>
        <v>NÃO</v>
      </c>
      <c r="G138" s="2" t="str">
        <f>IFERROR(VLOOKUP(C138,REGRAS_CST!$A$2:$E$200,5,FALSE),"")</f>
        <v>NÃO</v>
      </c>
      <c r="H138" s="2" t="s">
        <v>10</v>
      </c>
    </row>
    <row r="139" spans="1:8" ht="30.75" customHeight="1">
      <c r="A139" s="3" t="s">
        <v>331</v>
      </c>
      <c r="B139" s="2" t="s">
        <v>332</v>
      </c>
      <c r="C139" s="3" t="str">
        <f>LEFT(A139,3)</f>
        <v>820</v>
      </c>
      <c r="D139" s="2" t="str">
        <f>IFERROR(VLOOKUP(C139,REGRAS_CST!$A$2:$B$200,2,FALSE),"")</f>
        <v>Tributação em declaração de regime específico</v>
      </c>
      <c r="E139" s="2" t="str">
        <f>IFERROR(VLOOKUP(C139,REGRAS_CST!$A$2:$C$200,3,FALSE),"")</f>
        <v>NÃO</v>
      </c>
      <c r="F139" s="2" t="str">
        <f>IFERROR(VLOOKUP(C139,REGRAS_CST!$A$2:$D$200,4,FALSE),"")</f>
        <v>NÃO</v>
      </c>
      <c r="G139" s="2" t="str">
        <f>IFERROR(VLOOKUP(C139,REGRAS_CST!$A$2:$E$200,5,FALSE),"")</f>
        <v>NÃO</v>
      </c>
      <c r="H139" s="2" t="s">
        <v>10</v>
      </c>
    </row>
    <row r="140" spans="1:8" ht="30.75" customHeight="1">
      <c r="A140" s="3" t="s">
        <v>333</v>
      </c>
      <c r="B140" s="2" t="s">
        <v>334</v>
      </c>
      <c r="C140" s="3" t="str">
        <f>LEFT(A140,3)</f>
        <v>820</v>
      </c>
      <c r="D140" s="2" t="str">
        <f>IFERROR(VLOOKUP(C140,REGRAS_CST!$A$2:$B$200,2,FALSE),"")</f>
        <v>Tributação em declaração de regime específico</v>
      </c>
      <c r="E140" s="2" t="str">
        <f>IFERROR(VLOOKUP(C140,REGRAS_CST!$A$2:$C$200,3,FALSE),"")</f>
        <v>NÃO</v>
      </c>
      <c r="F140" s="2" t="str">
        <f>IFERROR(VLOOKUP(C140,REGRAS_CST!$A$2:$D$200,4,FALSE),"")</f>
        <v>NÃO</v>
      </c>
      <c r="G140" s="2" t="str">
        <f>IFERROR(VLOOKUP(C140,REGRAS_CST!$A$2:$E$200,5,FALSE),"")</f>
        <v>NÃO</v>
      </c>
      <c r="H140" s="2" t="s">
        <v>10</v>
      </c>
    </row>
    <row r="141" spans="1:8" ht="30.75" customHeight="1">
      <c r="A141" s="3" t="s">
        <v>335</v>
      </c>
      <c r="B141" s="2" t="s">
        <v>336</v>
      </c>
      <c r="C141" s="3" t="str">
        <f>LEFT(A141,3)</f>
        <v>820</v>
      </c>
      <c r="D141" s="2" t="str">
        <f>IFERROR(VLOOKUP(C141,REGRAS_CST!$A$2:$B$200,2,FALSE),"")</f>
        <v>Tributação em declaração de regime específico</v>
      </c>
      <c r="E141" s="2" t="str">
        <f>IFERROR(VLOOKUP(C141,REGRAS_CST!$A$2:$C$200,3,FALSE),"")</f>
        <v>NÃO</v>
      </c>
      <c r="F141" s="2" t="str">
        <f>IFERROR(VLOOKUP(C141,REGRAS_CST!$A$2:$D$200,4,FALSE),"")</f>
        <v>NÃO</v>
      </c>
      <c r="G141" s="2" t="str">
        <f>IFERROR(VLOOKUP(C141,REGRAS_CST!$A$2:$E$200,5,FALSE),"")</f>
        <v>NÃO</v>
      </c>
      <c r="H141" s="2" t="s">
        <v>10</v>
      </c>
    </row>
    <row r="142" spans="1:8" ht="30.75" customHeight="1">
      <c r="A142" s="3" t="s">
        <v>337</v>
      </c>
      <c r="B142" s="2" t="s">
        <v>338</v>
      </c>
      <c r="C142" s="3" t="str">
        <f>LEFT(A142,3)</f>
        <v>820</v>
      </c>
      <c r="D142" s="2" t="str">
        <f>IFERROR(VLOOKUP(C142,REGRAS_CST!$A$2:$B$200,2,FALSE),"")</f>
        <v>Tributação em declaração de regime específico</v>
      </c>
      <c r="E142" s="2" t="str">
        <f>IFERROR(VLOOKUP(C142,REGRAS_CST!$A$2:$C$200,3,FALSE),"")</f>
        <v>NÃO</v>
      </c>
      <c r="F142" s="2" t="str">
        <f>IFERROR(VLOOKUP(C142,REGRAS_CST!$A$2:$D$200,4,FALSE),"")</f>
        <v>NÃO</v>
      </c>
      <c r="G142" s="2" t="str">
        <f>IFERROR(VLOOKUP(C142,REGRAS_CST!$A$2:$E$200,5,FALSE),"")</f>
        <v>NÃO</v>
      </c>
      <c r="H142" s="2" t="s">
        <v>10</v>
      </c>
    </row>
    <row r="143" spans="1:8" ht="30.75" customHeight="1">
      <c r="A143" s="3" t="s">
        <v>339</v>
      </c>
      <c r="B143" s="2" t="s">
        <v>340</v>
      </c>
      <c r="C143" s="3" t="str">
        <f>LEFT(A143,3)</f>
        <v>820</v>
      </c>
      <c r="D143" s="2" t="str">
        <f>IFERROR(VLOOKUP(C143,REGRAS_CST!$A$2:$B$200,2,FALSE),"")</f>
        <v>Tributação em declaração de regime específico</v>
      </c>
      <c r="E143" s="2" t="str">
        <f>IFERROR(VLOOKUP(C143,REGRAS_CST!$A$2:$C$200,3,FALSE),"")</f>
        <v>NÃO</v>
      </c>
      <c r="F143" s="2" t="str">
        <f>IFERROR(VLOOKUP(C143,REGRAS_CST!$A$2:$D$200,4,FALSE),"")</f>
        <v>NÃO</v>
      </c>
      <c r="G143" s="2" t="str">
        <f>IFERROR(VLOOKUP(C143,REGRAS_CST!$A$2:$E$200,5,FALSE),"")</f>
        <v>NÃO</v>
      </c>
      <c r="H143" s="2" t="s">
        <v>10</v>
      </c>
    </row>
    <row r="144" spans="1:8" ht="30.75" customHeight="1">
      <c r="A144" s="3" t="s">
        <v>341</v>
      </c>
      <c r="B144" s="2" t="s">
        <v>342</v>
      </c>
      <c r="C144" s="3" t="str">
        <f>LEFT(A144,3)</f>
        <v>820</v>
      </c>
      <c r="D144" s="2" t="str">
        <f>IFERROR(VLOOKUP(C144,REGRAS_CST!$A$2:$B$200,2,FALSE),"")</f>
        <v>Tributação em declaração de regime específico</v>
      </c>
      <c r="E144" s="2" t="str">
        <f>IFERROR(VLOOKUP(C144,REGRAS_CST!$A$2:$C$200,3,FALSE),"")</f>
        <v>NÃO</v>
      </c>
      <c r="F144" s="2" t="str">
        <f>IFERROR(VLOOKUP(C144,REGRAS_CST!$A$2:$D$200,4,FALSE),"")</f>
        <v>NÃO</v>
      </c>
      <c r="G144" s="2" t="str">
        <f>IFERROR(VLOOKUP(C144,REGRAS_CST!$A$2:$E$200,5,FALSE),"")</f>
        <v>NÃO</v>
      </c>
      <c r="H144" s="2" t="s">
        <v>10</v>
      </c>
    </row>
    <row r="145" spans="1:8" ht="30.75" customHeight="1">
      <c r="A145" s="3" t="s">
        <v>343</v>
      </c>
      <c r="B145" s="2" t="s">
        <v>344</v>
      </c>
      <c r="C145" s="3" t="str">
        <f>LEFT(A145,3)</f>
        <v>820</v>
      </c>
      <c r="D145" s="2" t="str">
        <f>IFERROR(VLOOKUP(C145,REGRAS_CST!$A$2:$B$200,2,FALSE),"")</f>
        <v>Tributação em declaração de regime específico</v>
      </c>
      <c r="E145" s="2" t="str">
        <f>IFERROR(VLOOKUP(C145,REGRAS_CST!$A$2:$C$200,3,FALSE),"")</f>
        <v>NÃO</v>
      </c>
      <c r="F145" s="2" t="str">
        <f>IFERROR(VLOOKUP(C145,REGRAS_CST!$A$2:$D$200,4,FALSE),"")</f>
        <v>NÃO</v>
      </c>
      <c r="G145" s="2" t="str">
        <f>IFERROR(VLOOKUP(C145,REGRAS_CST!$A$2:$E$200,5,FALSE),"")</f>
        <v>NÃO</v>
      </c>
      <c r="H145" s="2" t="s">
        <v>10</v>
      </c>
    </row>
    <row r="146" spans="1:8" ht="30.75" customHeight="1">
      <c r="A146" s="3" t="s">
        <v>345</v>
      </c>
      <c r="B146" s="2" t="s">
        <v>346</v>
      </c>
      <c r="C146" s="3" t="str">
        <f>LEFT(A146,3)</f>
        <v>830</v>
      </c>
      <c r="D146" s="2" t="str">
        <f>IFERROR(VLOOKUP(C146,REGRAS_CST!$A$2:$B$200,2,FALSE),"")</f>
        <v>Exclusão da Base de Cálculo</v>
      </c>
      <c r="E146" s="2" t="str">
        <f>IFERROR(VLOOKUP(C146,REGRAS_CST!$A$2:$C$200,3,FALSE),"")</f>
        <v>NÃO</v>
      </c>
      <c r="F146" s="2" t="str">
        <f>IFERROR(VLOOKUP(C146,REGRAS_CST!$A$2:$D$200,4,FALSE),"")</f>
        <v>NÃO</v>
      </c>
      <c r="G146" s="2" t="str">
        <f>IFERROR(VLOOKUP(C146,REGRAS_CST!$A$2:$E$200,5,FALSE),"")</f>
        <v>SIM</v>
      </c>
      <c r="H146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V1737"/>
  <sheetViews>
    <sheetView showGridLines="0" tabSelected="1" zoomScale="85" zoomScaleNormal="85" workbookViewId="0">
      <selection activeCell="C4" sqref="C4"/>
    </sheetView>
  </sheetViews>
  <sheetFormatPr defaultRowHeight="15"/>
  <cols>
    <col min="1" max="1" width="9" style="44" bestFit="1" customWidth="1"/>
    <col min="2" max="2" width="9" style="42" customWidth="1"/>
    <col min="3" max="3" width="39.85546875" style="38" bestFit="1" customWidth="1"/>
    <col min="4" max="4" width="10.140625" style="36" customWidth="1"/>
    <col min="5" max="5" width="7.28515625" customWidth="1"/>
    <col min="6" max="6" width="17.7109375" customWidth="1"/>
    <col min="7" max="7" width="10.5703125" style="34" bestFit="1" customWidth="1"/>
    <col min="8" max="8" width="15.7109375" customWidth="1"/>
    <col min="9" max="9" width="17.42578125" customWidth="1"/>
    <col min="10" max="10" width="17.5703125" hidden="1" customWidth="1"/>
    <col min="11" max="11" width="14.140625" customWidth="1"/>
    <col min="12" max="12" width="13.85546875" customWidth="1"/>
    <col min="13" max="14" width="14" customWidth="1"/>
    <col min="15" max="15" width="23.5703125" customWidth="1"/>
    <col min="16" max="16" width="20.140625" customWidth="1"/>
    <col min="17" max="17" width="18.85546875" customWidth="1"/>
    <col min="18" max="18" width="21" hidden="1" customWidth="1"/>
    <col min="19" max="20" width="12.28515625" customWidth="1"/>
    <col min="21" max="21" width="16.42578125" style="17" customWidth="1"/>
    <col min="22" max="22" width="20.140625" style="17" bestFit="1" customWidth="1"/>
  </cols>
  <sheetData>
    <row r="1" spans="1:22" s="6" customFormat="1" ht="35.25" customHeight="1">
      <c r="A1" s="43" t="s">
        <v>347</v>
      </c>
      <c r="B1" s="41" t="s">
        <v>348</v>
      </c>
      <c r="C1" s="37" t="s">
        <v>349</v>
      </c>
      <c r="D1" s="35" t="s">
        <v>55</v>
      </c>
      <c r="E1" s="12" t="s">
        <v>350</v>
      </c>
      <c r="F1" s="12" t="s">
        <v>1</v>
      </c>
      <c r="G1" s="33" t="s">
        <v>351</v>
      </c>
      <c r="H1" s="13" t="s">
        <v>352</v>
      </c>
      <c r="I1" s="12" t="s">
        <v>353</v>
      </c>
      <c r="J1" s="11" t="s">
        <v>354</v>
      </c>
      <c r="K1" s="12" t="s">
        <v>355</v>
      </c>
      <c r="L1" s="25" t="s">
        <v>356</v>
      </c>
      <c r="M1" s="25" t="s">
        <v>357</v>
      </c>
      <c r="N1" s="12" t="s">
        <v>358</v>
      </c>
      <c r="O1" s="12" t="s">
        <v>359</v>
      </c>
      <c r="P1" s="30" t="s">
        <v>360</v>
      </c>
      <c r="Q1" s="12" t="s">
        <v>361</v>
      </c>
      <c r="R1" s="11" t="s">
        <v>362</v>
      </c>
      <c r="S1" s="26" t="s">
        <v>363</v>
      </c>
      <c r="T1" s="18" t="s">
        <v>364</v>
      </c>
      <c r="U1" s="19" t="s">
        <v>365</v>
      </c>
      <c r="V1" s="20" t="s">
        <v>366</v>
      </c>
    </row>
    <row r="2" spans="1:22" ht="32.25" customHeight="1">
      <c r="D2" s="39"/>
      <c r="E2" s="27" t="str">
        <f>IF(D2="","",LEFT(D2,3))</f>
        <v/>
      </c>
      <c r="F2" s="28" t="str">
        <f>IF(E2="","",IFERROR(VLOOKUP(E2,REGRAS_CST!$A$2:$B$200,2,FALSE),""))</f>
        <v/>
      </c>
      <c r="H2" s="29">
        <v>8.9999999999999993E-3</v>
      </c>
      <c r="I2" s="29">
        <v>1E-3</v>
      </c>
      <c r="J2" s="22">
        <v>0</v>
      </c>
      <c r="K2" s="21" t="str">
        <f>IF(E2="","",IFERROR(VLOOKUP(E2,REGRAS_CST!$A$2:$C$200,3,FALSE),""))</f>
        <v/>
      </c>
      <c r="L2" s="23" t="str">
        <f>IF($G2="", "", $G2*(1-$V2))</f>
        <v/>
      </c>
      <c r="M2" s="24" t="str">
        <f>IF(OR($L2="",$S2=""),"",$L2*$S2)</f>
        <v/>
      </c>
      <c r="N2" s="24" t="str">
        <f>IF(OR($L2="",$T2=""),"",$L2*$T2)</f>
        <v/>
      </c>
      <c r="O2" s="32" t="str">
        <f>IF(D2="","",
IF(AND(K2&lt;&gt;"SIM",V2&gt;0),"ERRO: % BC &gt; 0, mas NÃO permitida ❌",
IF(AND(K2="SIM",V2=0),"ATENÇÃO: BC permitida, mas % = 0 🔎",
"Base de cálculo aplicada corretamente ✅")))</f>
        <v/>
      </c>
      <c r="P2" s="31" t="str">
        <f>IF(D2="","",
IF(AND(Q2&lt;&gt;"SIM",U2&gt;0),"ERRO: % alíquota &gt; 0, mas NÃO permitida ❌",
IF(AND(Q2="SIM",U2=0),"ATENÇÃO: alíquota permitida, mas % = 0 🔎",
"Alíquota aplicada corretamente ✅")))</f>
        <v/>
      </c>
      <c r="Q2" s="14" t="str">
        <f>IF(E2="","",IFERROR(VLOOKUP(E2,REGRAS_CST!$A$2:$D$200,4,FALSE),""))</f>
        <v/>
      </c>
      <c r="R2" s="10"/>
      <c r="S2" s="9">
        <f>IF($H2="","",$H2*(1-$U2))</f>
        <v>8.9999999999999993E-3</v>
      </c>
      <c r="T2" s="9">
        <f>IF($I2="","",$I2*(1-$U2))</f>
        <v>1E-3</v>
      </c>
      <c r="U2" s="16">
        <f>IFERROR(INDEX(BASE_CCLASSTRIB!$E:$E, MATCH(TEXT($D2,"000000"), BASE_CCLASSTRIB!$A:$A, 0))/100, 0)</f>
        <v>0</v>
      </c>
      <c r="V2" s="16">
        <f>IFERROR(INDEX(BASE_CCLASSTRIB!$F:$F, MATCH(TEXT($D2,"000000"), BASE_CCLASSTRIB!$A:$A, 0))/100, 0)</f>
        <v>0</v>
      </c>
    </row>
    <row r="3" spans="1:22" ht="32.25" customHeight="1">
      <c r="D3" s="40"/>
      <c r="E3" s="27" t="str">
        <f>IF(D3="","",LEFT(D3,3))</f>
        <v/>
      </c>
      <c r="F3" s="28" t="str">
        <f>IF(E3="","",IFERROR(VLOOKUP(E3,REGRAS_CST!$A$2:$B$200,2,FALSE),""))</f>
        <v/>
      </c>
      <c r="H3" s="29">
        <v>8.9999999999999993E-3</v>
      </c>
      <c r="I3" s="29">
        <v>1E-3</v>
      </c>
      <c r="J3" s="7"/>
      <c r="K3" s="21" t="str">
        <f>IF(E3="","",IFERROR(VLOOKUP(E3,REGRAS_CST!$A$2:$C$200,3,FALSE),""))</f>
        <v/>
      </c>
      <c r="L3" s="23" t="str">
        <f>IF($G3="", "", $G3*(1-$V3))</f>
        <v/>
      </c>
      <c r="M3" s="24" t="str">
        <f>IF(OR($L3="",$S3=""),"",$L3*$S3)</f>
        <v/>
      </c>
      <c r="N3" s="24" t="str">
        <f>IF(OR($L3="",$T3=""),"",$L3*$T3)</f>
        <v/>
      </c>
      <c r="O3" s="15" t="str">
        <f>IF(D3="","",
IF(AND(K3&lt;&gt;"SIM",V3&gt;0),"ERRO: % BC &gt; 0, mas NÃO permitida ❌",
IF(AND(K3="SIM",V3=0),"ATENÇÃO: BC permitida, mas % = 0 🔎",
"Base de cálculo aplicada corretamente ✅")))</f>
        <v/>
      </c>
      <c r="P3" s="31" t="str">
        <f>IF(D3="","",
IF(AND(Q3&lt;&gt;"SIM",U3&gt;0),"ERRO: % alíquota &gt; 0, mas NÃO permitida ❌",
IF(AND(Q3="SIM",U3=0),"ATENÇÃO: alíquota permitida, mas % = 0 🔎",
"Alíquota aplicada corretamente ✅")))</f>
        <v/>
      </c>
      <c r="Q3" s="8" t="str">
        <f>IF(E3="","",IFERROR(VLOOKUP(E3,REGRAS_CST!$A$2:$D$200,4,FALSE),""))</f>
        <v/>
      </c>
      <c r="R3" s="7"/>
      <c r="S3" s="9">
        <f>IF($H3="","",$H3*(1-$U3))</f>
        <v>8.9999999999999993E-3</v>
      </c>
      <c r="T3" s="9">
        <f>IF($I3="","",$I3*(1-$U3))</f>
        <v>1E-3</v>
      </c>
      <c r="U3" s="16">
        <f>IFERROR(INDEX(BASE_CCLASSTRIB!$E:$E, MATCH(TEXT($D3,"000000"), BASE_CCLASSTRIB!$A:$A, 0))/100, 0)</f>
        <v>0</v>
      </c>
      <c r="V3" s="16">
        <f>IFERROR(INDEX(BASE_CCLASSTRIB!$F:$F, MATCH(TEXT($D3,"000000"), BASE_CCLASSTRIB!$A:$A, 0))/100, 0)</f>
        <v>0</v>
      </c>
    </row>
    <row r="4" spans="1:22" ht="32.25" customHeight="1">
      <c r="D4" s="39"/>
      <c r="E4" s="27" t="str">
        <f>IF(D4="","",LEFT(D4,3))</f>
        <v/>
      </c>
      <c r="F4" s="28" t="str">
        <f>IF(E4="","",IFERROR(VLOOKUP(E4,REGRAS_CST!$A$2:$B$200,2,FALSE),""))</f>
        <v/>
      </c>
      <c r="H4" s="29">
        <v>8.9999999999999993E-3</v>
      </c>
      <c r="I4" s="29">
        <v>1E-3</v>
      </c>
      <c r="J4" s="4"/>
      <c r="K4" s="21" t="str">
        <f>IF(E4="","",IFERROR(VLOOKUP(E4,REGRAS_CST!$A$2:$C$200,3,FALSE),""))</f>
        <v/>
      </c>
      <c r="L4" s="23" t="str">
        <f>IF($G4="", "", $G4*(1-$V4))</f>
        <v/>
      </c>
      <c r="M4" s="24" t="str">
        <f>IF(OR($L4="",$S4=""),"",$L4*$S4)</f>
        <v/>
      </c>
      <c r="N4" s="24" t="str">
        <f>IF(OR($L4="",$T4=""),"",$L4*$T4)</f>
        <v/>
      </c>
      <c r="O4" s="15" t="str">
        <f>IF(D4="","",
IF(AND(K4&lt;&gt;"SIM",V4&gt;0),"ERRO: % BC &gt; 0, mas NÃO permitida ❌",
IF(AND(K4="SIM",V4=0),"ATENÇÃO: BC permitida, mas % = 0 🔎",
"Base de cálculo aplicada corretamente ✅")))</f>
        <v/>
      </c>
      <c r="P4" s="31" t="str">
        <f>IF(D4="","",
IF(AND(Q4&lt;&gt;"SIM",U4&gt;0),"ERRO: % alíquota &gt; 0, mas NÃO permitida ❌",
IF(AND(Q4="SIM",U4=0),"ATENÇÃO: alíquota permitida, mas % = 0 🔎",
"Alíquota aplicada corretamente ✅")))</f>
        <v/>
      </c>
      <c r="Q4" s="8" t="str">
        <f>IF(E4="","",IFERROR(VLOOKUP(E4,REGRAS_CST!$A$2:$D$200,4,FALSE),""))</f>
        <v/>
      </c>
      <c r="R4" s="4"/>
      <c r="S4" s="9">
        <f>IF($H4="","",$H4*(1-$U4))</f>
        <v>8.9999999999999993E-3</v>
      </c>
      <c r="T4" s="9">
        <f>IF($I4="","",$I4*(1-$U4))</f>
        <v>1E-3</v>
      </c>
      <c r="U4" s="16">
        <f>IFERROR(INDEX(BASE_CCLASSTRIB!$E:$E, MATCH(TEXT($D4,"000000"), BASE_CCLASSTRIB!$A:$A, 0))/100, 0)</f>
        <v>0</v>
      </c>
      <c r="V4" s="16">
        <f>IFERROR(INDEX(BASE_CCLASSTRIB!$F:$F, MATCH(TEXT($D4,"000000"), BASE_CCLASSTRIB!$A:$A, 0))/100, 0)</f>
        <v>0</v>
      </c>
    </row>
    <row r="5" spans="1:22" ht="32.25" customHeight="1">
      <c r="D5" s="39"/>
      <c r="E5" s="27" t="str">
        <f>IF(D5="","",LEFT(D5,3))</f>
        <v/>
      </c>
      <c r="F5" s="28" t="str">
        <f>IF(E5="","",IFERROR(VLOOKUP(E5,REGRAS_CST!$A$2:$B$200,2,FALSE),""))</f>
        <v/>
      </c>
      <c r="H5" s="29">
        <v>8.9999999999999993E-3</v>
      </c>
      <c r="I5" s="29">
        <v>1E-3</v>
      </c>
      <c r="J5" s="4"/>
      <c r="K5" s="21" t="str">
        <f>IF(E5="","",IFERROR(VLOOKUP(E5,REGRAS_CST!$A$2:$C$200,3,FALSE),""))</f>
        <v/>
      </c>
      <c r="L5" s="23" t="str">
        <f>IF($G5="", "", $G5*(1-$V5))</f>
        <v/>
      </c>
      <c r="M5" s="24" t="str">
        <f>IF(OR($L5="",$S5=""),"",$L5*$S5)</f>
        <v/>
      </c>
      <c r="N5" s="24" t="str">
        <f>IF(OR($L5="",$T5=""),"",$L5*$T5)</f>
        <v/>
      </c>
      <c r="O5" s="15" t="str">
        <f>IF(D5="","",
IF(AND(K5&lt;&gt;"SIM",V5&gt;0),"ERRO: % BC &gt; 0, mas NÃO permitida ❌",
IF(AND(K5="SIM",V5=0),"ATENÇÃO: BC permitida, mas % = 0 🔎",
"Base de cálculo aplicada corretamente ✅")))</f>
        <v/>
      </c>
      <c r="P5" s="31" t="str">
        <f>IF(D5="","",
IF(AND(Q5&lt;&gt;"SIM",U5&gt;0),"ERRO: % alíquota &gt; 0, mas NÃO permitida ❌",
IF(AND(Q5="SIM",U5=0),"ATENÇÃO: alíquota permitida, mas % = 0 🔎",
"Alíquota aplicada corretamente ✅")))</f>
        <v/>
      </c>
      <c r="Q5" s="8" t="str">
        <f>IF(E5="","",IFERROR(VLOOKUP(E5,REGRAS_CST!$A$2:$D$200,4,FALSE),""))</f>
        <v/>
      </c>
      <c r="R5" s="4"/>
      <c r="S5" s="9">
        <f>IF($H5="","",$H5*(1-$U5))</f>
        <v>8.9999999999999993E-3</v>
      </c>
      <c r="T5" s="9">
        <f>IF($I5="","",$I5*(1-$U5))</f>
        <v>1E-3</v>
      </c>
      <c r="U5" s="16">
        <f>IFERROR(INDEX(BASE_CCLASSTRIB!$E:$E, MATCH(TEXT($D5,"000000"), BASE_CCLASSTRIB!$A:$A, 0))/100, 0)</f>
        <v>0</v>
      </c>
      <c r="V5" s="16">
        <f>IFERROR(INDEX(BASE_CCLASSTRIB!$F:$F, MATCH(TEXT($D5,"000000"), BASE_CCLASSTRIB!$A:$A, 0))/100, 0)</f>
        <v>0</v>
      </c>
    </row>
    <row r="6" spans="1:22" ht="32.25" customHeight="1">
      <c r="D6" s="39"/>
      <c r="E6" s="27" t="str">
        <f>IF(D6="","",LEFT(D6,3))</f>
        <v/>
      </c>
      <c r="F6" s="28" t="str">
        <f>IF(E6="","",IFERROR(VLOOKUP(E6,REGRAS_CST!$A$2:$B$200,2,FALSE),""))</f>
        <v/>
      </c>
      <c r="H6" s="29">
        <v>8.9999999999999993E-3</v>
      </c>
      <c r="I6" s="29">
        <v>1E-3</v>
      </c>
      <c r="J6" s="4"/>
      <c r="K6" s="21" t="str">
        <f>IF(E6="","",IFERROR(VLOOKUP(E6,REGRAS_CST!$A$2:$C$200,3,FALSE),""))</f>
        <v/>
      </c>
      <c r="L6" s="23" t="str">
        <f>IF($G6="", "", $G6*(1-$V6))</f>
        <v/>
      </c>
      <c r="M6" s="24" t="str">
        <f>IF(OR($L6="",$S6=""),"",$L6*$S6)</f>
        <v/>
      </c>
      <c r="N6" s="24" t="str">
        <f>IF(OR($L6="",$T6=""),"",$L6*$T6)</f>
        <v/>
      </c>
      <c r="O6" s="15" t="str">
        <f>IF(D6="","",
IF(AND(K6&lt;&gt;"SIM",V6&gt;0),"ERRO: % BC &gt; 0, mas NÃO permitida ❌",
IF(AND(K6="SIM",V6=0),"ATENÇÃO: BC permitida, mas % = 0 🔎",
"Base de cálculo aplicada corretamente ✅")))</f>
        <v/>
      </c>
      <c r="P6" s="31" t="str">
        <f>IF(D6="","",
IF(AND(Q6&lt;&gt;"SIM",U6&gt;0),"ERRO: % alíquota &gt; 0, mas NÃO permitida ❌",
IF(AND(Q6="SIM",U6=0),"ATENÇÃO: alíquota permitida, mas % = 0 🔎",
"Alíquota aplicada corretamente ✅")))</f>
        <v/>
      </c>
      <c r="Q6" s="8" t="str">
        <f>IF(E6="","",IFERROR(VLOOKUP(E6,REGRAS_CST!$A$2:$D$200,4,FALSE),""))</f>
        <v/>
      </c>
      <c r="R6" s="4"/>
      <c r="S6" s="9">
        <f>IF($H6="","",$H6*(1-$U6))</f>
        <v>8.9999999999999993E-3</v>
      </c>
      <c r="T6" s="9">
        <f>IF($I6="","",$I6*(1-$U6))</f>
        <v>1E-3</v>
      </c>
      <c r="U6" s="16">
        <f>IFERROR(INDEX(BASE_CCLASSTRIB!$E:$E, MATCH(TEXT($D6,"000000"), BASE_CCLASSTRIB!$A:$A, 0))/100, 0)</f>
        <v>0</v>
      </c>
      <c r="V6" s="16">
        <f>IFERROR(INDEX(BASE_CCLASSTRIB!$F:$F, MATCH(TEXT($D6,"000000"), BASE_CCLASSTRIB!$A:$A, 0))/100, 0)</f>
        <v>0</v>
      </c>
    </row>
    <row r="7" spans="1:22" ht="32.25" customHeight="1">
      <c r="D7" s="39"/>
      <c r="E7" s="27" t="str">
        <f>IF(D7="","",LEFT(D7,3))</f>
        <v/>
      </c>
      <c r="F7" s="28" t="str">
        <f>IF(E7="","",IFERROR(VLOOKUP(E7,REGRAS_CST!$A$2:$B$200,2,FALSE),""))</f>
        <v/>
      </c>
      <c r="H7" s="29">
        <v>8.9999999999999993E-3</v>
      </c>
      <c r="I7" s="29">
        <v>1E-3</v>
      </c>
      <c r="J7" s="4"/>
      <c r="K7" s="21" t="str">
        <f>IF(E7="","",IFERROR(VLOOKUP(E7,REGRAS_CST!$A$2:$C$200,3,FALSE),""))</f>
        <v/>
      </c>
      <c r="L7" s="23" t="str">
        <f>IF($G7="", "", $G7*(1-$V7))</f>
        <v/>
      </c>
      <c r="M7" s="24" t="str">
        <f>IF(OR($L7="",$S7=""),"",$L7*$S7)</f>
        <v/>
      </c>
      <c r="N7" s="24" t="str">
        <f>IF(OR($L7="",$T7=""),"",$L7*$T7)</f>
        <v/>
      </c>
      <c r="O7" s="15" t="str">
        <f>IF(D7="","",
IF(AND(K7&lt;&gt;"SIM",V7&gt;0),"ERRO: % BC &gt; 0, mas NÃO permitida ❌",
IF(AND(K7="SIM",V7=0),"ATENÇÃO: BC permitida, mas % = 0 🔎",
"Base de cálculo aplicada corretamente ✅")))</f>
        <v/>
      </c>
      <c r="P7" s="31" t="str">
        <f>IF(D7="","",
IF(AND(Q7&lt;&gt;"SIM",U7&gt;0),"ERRO: % alíquota &gt; 0, mas NÃO permitida ❌",
IF(AND(Q7="SIM",U7=0),"ATENÇÃO: alíquota permitida, mas % = 0 🔎",
"Alíquota aplicada corretamente ✅")))</f>
        <v/>
      </c>
      <c r="Q7" s="8" t="str">
        <f>IF(E7="","",IFERROR(VLOOKUP(E7,REGRAS_CST!$A$2:$D$200,4,FALSE),""))</f>
        <v/>
      </c>
      <c r="R7" s="4"/>
      <c r="S7" s="9">
        <f>IF($H7="","",$H7*(1-$U7))</f>
        <v>8.9999999999999993E-3</v>
      </c>
      <c r="T7" s="9">
        <f>IF($I7="","",$I7*(1-$U7))</f>
        <v>1E-3</v>
      </c>
      <c r="U7" s="16">
        <f>IFERROR(INDEX(BASE_CCLASSTRIB!$E:$E, MATCH(TEXT($D7,"000000"), BASE_CCLASSTRIB!$A:$A, 0))/100, 0)</f>
        <v>0</v>
      </c>
      <c r="V7" s="16">
        <f>IFERROR(INDEX(BASE_CCLASSTRIB!$F:$F, MATCH(TEXT($D7,"000000"), BASE_CCLASSTRIB!$A:$A, 0))/100, 0)</f>
        <v>0</v>
      </c>
    </row>
    <row r="8" spans="1:22" ht="32.25" customHeight="1">
      <c r="D8" s="39"/>
      <c r="E8" s="27" t="str">
        <f>IF(D8="","",LEFT(D8,3))</f>
        <v/>
      </c>
      <c r="F8" s="28" t="str">
        <f>IF(E8="","",IFERROR(VLOOKUP(E8,REGRAS_CST!$A$2:$B$200,2,FALSE),""))</f>
        <v/>
      </c>
      <c r="H8" s="29">
        <v>8.9999999999999993E-3</v>
      </c>
      <c r="I8" s="29">
        <v>1E-3</v>
      </c>
      <c r="J8" s="4"/>
      <c r="K8" s="21" t="str">
        <f>IF(E8="","",IFERROR(VLOOKUP(E8,REGRAS_CST!$A$2:$C$200,3,FALSE),""))</f>
        <v/>
      </c>
      <c r="L8" s="23" t="str">
        <f>IF($G8="", "", $G8*(1-$V8))</f>
        <v/>
      </c>
      <c r="M8" s="24" t="str">
        <f>IF(OR($L8="",$S8=""),"",$L8*$S8)</f>
        <v/>
      </c>
      <c r="N8" s="24" t="str">
        <f>IF(OR($L8="",$T8=""),"",$L8*$T8)</f>
        <v/>
      </c>
      <c r="O8" s="15" t="str">
        <f>IF(D8="","",
IF(AND(K8&lt;&gt;"SIM",V8&gt;0),"ERRO: % BC &gt; 0, mas NÃO permitida ❌",
IF(AND(K8="SIM",V8=0),"ATENÇÃO: BC permitida, mas % = 0 🔎",
"Base de cálculo aplicada corretamente ✅")))</f>
        <v/>
      </c>
      <c r="P8" s="31" t="str">
        <f>IF(D8="","",
IF(AND(Q8&lt;&gt;"SIM",U8&gt;0),"ERRO: % alíquota &gt; 0, mas NÃO permitida ❌",
IF(AND(Q8="SIM",U8=0),"ATENÇÃO: alíquota permitida, mas % = 0 🔎",
"Alíquota aplicada corretamente ✅")))</f>
        <v/>
      </c>
      <c r="Q8" s="8" t="str">
        <f>IF(E8="","",IFERROR(VLOOKUP(E8,REGRAS_CST!$A$2:$D$200,4,FALSE),""))</f>
        <v/>
      </c>
      <c r="R8" s="4"/>
      <c r="S8" s="9">
        <f>IF($H8="","",$H8*(1-$U8))</f>
        <v>8.9999999999999993E-3</v>
      </c>
      <c r="T8" s="9">
        <f>IF($I8="","",$I8*(1-$U8))</f>
        <v>1E-3</v>
      </c>
      <c r="U8" s="16">
        <f>IFERROR(INDEX(BASE_CCLASSTRIB!$E:$E, MATCH(TEXT($D8,"000000"), BASE_CCLASSTRIB!$A:$A, 0))/100, 0)</f>
        <v>0</v>
      </c>
      <c r="V8" s="16">
        <f>IFERROR(INDEX(BASE_CCLASSTRIB!$F:$F, MATCH(TEXT($D8,"000000"), BASE_CCLASSTRIB!$A:$A, 0))/100, 0)</f>
        <v>0</v>
      </c>
    </row>
    <row r="9" spans="1:22" ht="32.25" customHeight="1">
      <c r="D9" s="39"/>
      <c r="E9" s="27" t="str">
        <f>IF(D9="","",LEFT(D9,3))</f>
        <v/>
      </c>
      <c r="F9" s="28" t="str">
        <f>IF(E9="","",IFERROR(VLOOKUP(E9,REGRAS_CST!$A$2:$B$200,2,FALSE),""))</f>
        <v/>
      </c>
      <c r="H9" s="29">
        <v>8.9999999999999993E-3</v>
      </c>
      <c r="I9" s="29">
        <v>1E-3</v>
      </c>
      <c r="J9" s="4"/>
      <c r="K9" s="21" t="str">
        <f>IF(E9="","",IFERROR(VLOOKUP(E9,REGRAS_CST!$A$2:$C$200,3,FALSE),""))</f>
        <v/>
      </c>
      <c r="L9" s="23" t="str">
        <f>IF($G9="", "", $G9*(1-$V9))</f>
        <v/>
      </c>
      <c r="M9" s="24" t="str">
        <f>IF(OR($L9="",$S9=""),"",$L9*$S9)</f>
        <v/>
      </c>
      <c r="N9" s="24" t="str">
        <f>IF(OR($L9="",$T9=""),"",$L9*$T9)</f>
        <v/>
      </c>
      <c r="O9" s="15" t="str">
        <f>IF(D9="","",
IF(AND(K9&lt;&gt;"SIM",V9&gt;0),"ERRO: % BC &gt; 0, mas NÃO permitida ❌",
IF(AND(K9="SIM",V9=0),"ATENÇÃO: BC permitida, mas % = 0 🔎",
"Base de cálculo aplicada corretamente ✅")))</f>
        <v/>
      </c>
      <c r="P9" s="31" t="str">
        <f>IF(D9="","",
IF(AND(Q9&lt;&gt;"SIM",U9&gt;0),"ERRO: % alíquota &gt; 0, mas NÃO permitida ❌",
IF(AND(Q9="SIM",U9=0),"ATENÇÃO: alíquota permitida, mas % = 0 🔎",
"Alíquota aplicada corretamente ✅")))</f>
        <v/>
      </c>
      <c r="Q9" s="8" t="str">
        <f>IF(E9="","",IFERROR(VLOOKUP(E9,REGRAS_CST!$A$2:$D$200,4,FALSE),""))</f>
        <v/>
      </c>
      <c r="R9" s="4"/>
      <c r="S9" s="9">
        <f>IF($H9="","",$H9*(1-$U9))</f>
        <v>8.9999999999999993E-3</v>
      </c>
      <c r="T9" s="9">
        <f>IF($I9="","",$I9*(1-$U9))</f>
        <v>1E-3</v>
      </c>
      <c r="U9" s="16">
        <f>IFERROR(INDEX(BASE_CCLASSTRIB!$E:$E, MATCH(TEXT($D9,"000000"), BASE_CCLASSTRIB!$A:$A, 0))/100, 0)</f>
        <v>0</v>
      </c>
      <c r="V9" s="16">
        <f>IFERROR(INDEX(BASE_CCLASSTRIB!$F:$F, MATCH(TEXT($D9,"000000"), BASE_CCLASSTRIB!$A:$A, 0))/100, 0)</f>
        <v>0</v>
      </c>
    </row>
    <row r="10" spans="1:22" ht="32.25" customHeight="1">
      <c r="D10" s="39"/>
      <c r="E10" s="27" t="str">
        <f>IF(D10="","",LEFT(D10,3))</f>
        <v/>
      </c>
      <c r="F10" s="28" t="str">
        <f>IF(E10="","",IFERROR(VLOOKUP(E10,REGRAS_CST!$A$2:$B$200,2,FALSE),""))</f>
        <v/>
      </c>
      <c r="H10" s="29">
        <v>8.9999999999999993E-3</v>
      </c>
      <c r="I10" s="29">
        <v>1E-3</v>
      </c>
      <c r="J10" s="4"/>
      <c r="K10" s="21" t="str">
        <f>IF(E10="","",IFERROR(VLOOKUP(E10,REGRAS_CST!$A$2:$C$200,3,FALSE),""))</f>
        <v/>
      </c>
      <c r="L10" s="23" t="str">
        <f>IF($G10="", "", $G10*(1-$V10))</f>
        <v/>
      </c>
      <c r="M10" s="24" t="str">
        <f>IF(OR($L10="",$S10=""),"",$L10*$S10)</f>
        <v/>
      </c>
      <c r="N10" s="24" t="str">
        <f>IF(OR($L10="",$T10=""),"",$L10*$T10)</f>
        <v/>
      </c>
      <c r="O10" s="15" t="str">
        <f>IF(D10="","",
IF(AND(K10&lt;&gt;"SIM",V10&gt;0),"ERRO: % BC &gt; 0, mas NÃO permitida ❌",
IF(AND(K10="SIM",V10=0),"ATENÇÃO: BC permitida, mas % = 0 🔎",
"Base de cálculo aplicada corretamente ✅")))</f>
        <v/>
      </c>
      <c r="P10" s="31" t="str">
        <f>IF(D10="","",
IF(AND(Q10&lt;&gt;"SIM",U10&gt;0),"ERRO: % alíquota &gt; 0, mas NÃO permitida ❌",
IF(AND(Q10="SIM",U10=0),"ATENÇÃO: alíquota permitida, mas % = 0 🔎",
"Alíquota aplicada corretamente ✅")))</f>
        <v/>
      </c>
      <c r="Q10" s="8" t="str">
        <f>IF(E10="","",IFERROR(VLOOKUP(E10,REGRAS_CST!$A$2:$D$200,4,FALSE),""))</f>
        <v/>
      </c>
      <c r="R10" s="4"/>
      <c r="S10" s="9">
        <f>IF($H10="","",$H10*(1-$U10))</f>
        <v>8.9999999999999993E-3</v>
      </c>
      <c r="T10" s="9">
        <f>IF($I10="","",$I10*(1-$U10))</f>
        <v>1E-3</v>
      </c>
      <c r="U10" s="16">
        <f>IFERROR(INDEX(BASE_CCLASSTRIB!$E:$E, MATCH(TEXT($D10,"000000"), BASE_CCLASSTRIB!$A:$A, 0))/100, 0)</f>
        <v>0</v>
      </c>
      <c r="V10" s="16">
        <f>IFERROR(INDEX(BASE_CCLASSTRIB!$F:$F, MATCH(TEXT($D10,"000000"), BASE_CCLASSTRIB!$A:$A, 0))/100, 0)</f>
        <v>0</v>
      </c>
    </row>
    <row r="11" spans="1:22" ht="32.25" customHeight="1">
      <c r="D11" s="39"/>
      <c r="E11" s="27" t="str">
        <f>IF(D11="","",LEFT(D11,3))</f>
        <v/>
      </c>
      <c r="F11" s="28" t="str">
        <f>IF(E11="","",IFERROR(VLOOKUP(E11,REGRAS_CST!$A$2:$B$200,2,FALSE),""))</f>
        <v/>
      </c>
      <c r="H11" s="29">
        <v>8.9999999999999993E-3</v>
      </c>
      <c r="I11" s="29">
        <v>1E-3</v>
      </c>
      <c r="J11" s="4"/>
      <c r="K11" s="21" t="str">
        <f>IF(E11="","",IFERROR(VLOOKUP(E11,REGRAS_CST!$A$2:$C$200,3,FALSE),""))</f>
        <v/>
      </c>
      <c r="L11" s="23" t="str">
        <f>IF($G11="", "", $G11*(1-$V11))</f>
        <v/>
      </c>
      <c r="M11" s="24" t="str">
        <f>IF(OR($L11="",$S11=""),"",$L11*$S11)</f>
        <v/>
      </c>
      <c r="N11" s="24" t="str">
        <f>IF(OR($L11="",$T11=""),"",$L11*$T11)</f>
        <v/>
      </c>
      <c r="O11" s="15" t="str">
        <f>IF(D11="","",
IF(AND(K11&lt;&gt;"SIM",V11&gt;0),"ERRO: % BC &gt; 0, mas NÃO permitida ❌",
IF(AND(K11="SIM",V11=0),"ATENÇÃO: BC permitida, mas % = 0 🔎",
"Base de cálculo aplicada corretamente ✅")))</f>
        <v/>
      </c>
      <c r="P11" s="31" t="str">
        <f>IF(D11="","",
IF(AND(Q11&lt;&gt;"SIM",U11&gt;0),"ERRO: % alíquota &gt; 0, mas NÃO permitida ❌",
IF(AND(Q11="SIM",U11=0),"ATENÇÃO: alíquota permitida, mas % = 0 🔎",
"Alíquota aplicada corretamente ✅")))</f>
        <v/>
      </c>
      <c r="Q11" s="8" t="str">
        <f>IF(E11="","",IFERROR(VLOOKUP(E11,REGRAS_CST!$A$2:$D$200,4,FALSE),""))</f>
        <v/>
      </c>
      <c r="R11" s="4"/>
      <c r="S11" s="9">
        <f>IF($H11="","",$H11*(1-$U11))</f>
        <v>8.9999999999999993E-3</v>
      </c>
      <c r="T11" s="9">
        <f>IF($I11="","",$I11*(1-$U11))</f>
        <v>1E-3</v>
      </c>
      <c r="U11" s="16">
        <f>IFERROR(INDEX(BASE_CCLASSTRIB!$E:$E, MATCH(TEXT($D11,"000000"), BASE_CCLASSTRIB!$A:$A, 0))/100, 0)</f>
        <v>0</v>
      </c>
      <c r="V11" s="16">
        <f>IFERROR(INDEX(BASE_CCLASSTRIB!$F:$F, MATCH(TEXT($D11,"000000"), BASE_CCLASSTRIB!$A:$A, 0))/100, 0)</f>
        <v>0</v>
      </c>
    </row>
    <row r="12" spans="1:22" ht="32.25" customHeight="1">
      <c r="D12" s="39"/>
      <c r="E12" s="27" t="str">
        <f>IF(D12="","",LEFT(D12,3))</f>
        <v/>
      </c>
      <c r="F12" s="28" t="str">
        <f>IF(E12="","",IFERROR(VLOOKUP(E12,REGRAS_CST!$A$2:$B$200,2,FALSE),""))</f>
        <v/>
      </c>
      <c r="H12" s="29">
        <v>8.9999999999999993E-3</v>
      </c>
      <c r="I12" s="29">
        <v>1E-3</v>
      </c>
      <c r="J12" s="4"/>
      <c r="K12" s="21" t="str">
        <f>IF(E12="","",IFERROR(VLOOKUP(E12,REGRAS_CST!$A$2:$C$200,3,FALSE),""))</f>
        <v/>
      </c>
      <c r="L12" s="23" t="str">
        <f>IF($G12="", "", $G12*(1-$V12))</f>
        <v/>
      </c>
      <c r="M12" s="24" t="str">
        <f>IF(OR($L12="",$S12=""),"",$L12*$S12)</f>
        <v/>
      </c>
      <c r="N12" s="24" t="str">
        <f>IF(OR($L12="",$T12=""),"",$L12*$T12)</f>
        <v/>
      </c>
      <c r="O12" s="15" t="str">
        <f>IF(D12="","",
IF(AND(K12&lt;&gt;"SIM",V12&gt;0),"ERRO: % BC &gt; 0, mas NÃO permitida ❌",
IF(AND(K12="SIM",V12=0),"ATENÇÃO: BC permitida, mas % = 0 🔎",
"Base de cálculo aplicada corretamente ✅")))</f>
        <v/>
      </c>
      <c r="P12" s="31" t="str">
        <f>IF(D12="","",
IF(AND(Q12&lt;&gt;"SIM",U12&gt;0),"ERRO: % alíquota &gt; 0, mas NÃO permitida ❌",
IF(AND(Q12="SIM",U12=0),"ATENÇÃO: alíquota permitida, mas % = 0 🔎",
"Alíquota aplicada corretamente ✅")))</f>
        <v/>
      </c>
      <c r="Q12" s="8" t="str">
        <f>IF(E12="","",IFERROR(VLOOKUP(E12,REGRAS_CST!$A$2:$D$200,4,FALSE),""))</f>
        <v/>
      </c>
      <c r="R12" s="4"/>
      <c r="S12" s="9">
        <f>IF($H12="","",$H12*(1-$U12))</f>
        <v>8.9999999999999993E-3</v>
      </c>
      <c r="T12" s="9">
        <f>IF($I12="","",$I12*(1-$U12))</f>
        <v>1E-3</v>
      </c>
      <c r="U12" s="16">
        <f>IFERROR(INDEX(BASE_CCLASSTRIB!$E:$E, MATCH(TEXT($D12,"000000"), BASE_CCLASSTRIB!$A:$A, 0))/100, 0)</f>
        <v>0</v>
      </c>
      <c r="V12" s="16">
        <f>IFERROR(INDEX(BASE_CCLASSTRIB!$F:$F, MATCH(TEXT($D12,"000000"), BASE_CCLASSTRIB!$A:$A, 0))/100, 0)</f>
        <v>0</v>
      </c>
    </row>
    <row r="13" spans="1:22" ht="32.25" customHeight="1">
      <c r="D13" s="39"/>
      <c r="E13" s="27" t="str">
        <f>IF(D13="","",LEFT(D13,3))</f>
        <v/>
      </c>
      <c r="F13" s="28" t="str">
        <f>IF(E13="","",IFERROR(VLOOKUP(E13,REGRAS_CST!$A$2:$B$200,2,FALSE),""))</f>
        <v/>
      </c>
      <c r="H13" s="29">
        <v>8.9999999999999993E-3</v>
      </c>
      <c r="I13" s="29">
        <v>1E-3</v>
      </c>
      <c r="J13" s="4"/>
      <c r="K13" s="21" t="str">
        <f>IF(E13="","",IFERROR(VLOOKUP(E13,REGRAS_CST!$A$2:$C$200,3,FALSE),""))</f>
        <v/>
      </c>
      <c r="L13" s="23" t="str">
        <f>IF($G13="", "", $G13*(1-$V13))</f>
        <v/>
      </c>
      <c r="M13" s="24" t="str">
        <f>IF(OR($L13="",$S13=""),"",$L13*$S13)</f>
        <v/>
      </c>
      <c r="N13" s="24" t="str">
        <f>IF(OR($L13="",$T13=""),"",$L13*$T13)</f>
        <v/>
      </c>
      <c r="O13" s="15" t="str">
        <f>IF(D13="","",
IF(AND(K13&lt;&gt;"SIM",V13&gt;0),"ERRO: % BC &gt; 0, mas NÃO permitida ❌",
IF(AND(K13="SIM",V13=0),"ATENÇÃO: BC permitida, mas % = 0 🔎",
"Base de cálculo aplicada corretamente ✅")))</f>
        <v/>
      </c>
      <c r="P13" s="31" t="str">
        <f>IF(D13="","",
IF(AND(Q13&lt;&gt;"SIM",U13&gt;0),"ERRO: % alíquota &gt; 0, mas NÃO permitida ❌",
IF(AND(Q13="SIM",U13=0),"ATENÇÃO: alíquota permitida, mas % = 0 🔎",
"Alíquota aplicada corretamente ✅")))</f>
        <v/>
      </c>
      <c r="Q13" s="8" t="str">
        <f>IF(E13="","",IFERROR(VLOOKUP(E13,REGRAS_CST!$A$2:$D$200,4,FALSE),""))</f>
        <v/>
      </c>
      <c r="R13" s="4"/>
      <c r="S13" s="9">
        <f>IF($H13="","",$H13*(1-$U13))</f>
        <v>8.9999999999999993E-3</v>
      </c>
      <c r="T13" s="9">
        <f>IF($I13="","",$I13*(1-$U13))</f>
        <v>1E-3</v>
      </c>
      <c r="U13" s="16">
        <f>IFERROR(INDEX(BASE_CCLASSTRIB!$E:$E, MATCH(TEXT($D13,"000000"), BASE_CCLASSTRIB!$A:$A, 0))/100, 0)</f>
        <v>0</v>
      </c>
      <c r="V13" s="16">
        <f>IFERROR(INDEX(BASE_CCLASSTRIB!$F:$F, MATCH(TEXT($D13,"000000"), BASE_CCLASSTRIB!$A:$A, 0))/100, 0)</f>
        <v>0</v>
      </c>
    </row>
    <row r="14" spans="1:22" ht="32.25" customHeight="1">
      <c r="D14" s="39"/>
      <c r="E14" s="27" t="str">
        <f>IF(D14="","",LEFT(D14,3))</f>
        <v/>
      </c>
      <c r="F14" s="28" t="str">
        <f>IF(E14="","",IFERROR(VLOOKUP(E14,REGRAS_CST!$A$2:$B$200,2,FALSE),""))</f>
        <v/>
      </c>
      <c r="H14" s="29">
        <v>8.9999999999999993E-3</v>
      </c>
      <c r="I14" s="29">
        <v>1E-3</v>
      </c>
      <c r="J14" s="4"/>
      <c r="K14" s="21" t="str">
        <f>IF(E14="","",IFERROR(VLOOKUP(E14,REGRAS_CST!$A$2:$C$200,3,FALSE),""))</f>
        <v/>
      </c>
      <c r="L14" s="23" t="str">
        <f>IF($G14="", "", $G14*(1-$V14))</f>
        <v/>
      </c>
      <c r="M14" s="24" t="str">
        <f>IF(OR($L14="",$S14=""),"",$L14*$S14)</f>
        <v/>
      </c>
      <c r="N14" s="24" t="str">
        <f>IF(OR($L14="",$T14=""),"",$L14*$T14)</f>
        <v/>
      </c>
      <c r="O14" s="15" t="str">
        <f>IF(D14="","",
IF(AND(K14&lt;&gt;"SIM",V14&gt;0),"ERRO: % BC &gt; 0, mas NÃO permitida ❌",
IF(AND(K14="SIM",V14=0),"ATENÇÃO: BC permitida, mas % = 0 🔎",
"Base de cálculo aplicada corretamente ✅")))</f>
        <v/>
      </c>
      <c r="P14" s="31" t="str">
        <f>IF(D14="","",
IF(AND(Q14&lt;&gt;"SIM",U14&gt;0),"ERRO: % alíquota &gt; 0, mas NÃO permitida ❌",
IF(AND(Q14="SIM",U14=0),"ATENÇÃO: alíquota permitida, mas % = 0 🔎",
"Alíquota aplicada corretamente ✅")))</f>
        <v/>
      </c>
      <c r="Q14" s="8" t="str">
        <f>IF(E14="","",IFERROR(VLOOKUP(E14,REGRAS_CST!$A$2:$D$200,4,FALSE),""))</f>
        <v/>
      </c>
      <c r="R14" s="4"/>
      <c r="S14" s="9">
        <f>IF($H14="","",$H14*(1-$U14))</f>
        <v>8.9999999999999993E-3</v>
      </c>
      <c r="T14" s="9">
        <f>IF($I14="","",$I14*(1-$U14))</f>
        <v>1E-3</v>
      </c>
      <c r="U14" s="16">
        <f>IFERROR(INDEX(BASE_CCLASSTRIB!$E:$E, MATCH(TEXT($D14,"000000"), BASE_CCLASSTRIB!$A:$A, 0))/100, 0)</f>
        <v>0</v>
      </c>
      <c r="V14" s="16">
        <f>IFERROR(INDEX(BASE_CCLASSTRIB!$F:$F, MATCH(TEXT($D14,"000000"), BASE_CCLASSTRIB!$A:$A, 0))/100, 0)</f>
        <v>0</v>
      </c>
    </row>
    <row r="15" spans="1:22" ht="32.25" customHeight="1">
      <c r="D15" s="39"/>
      <c r="E15" s="27" t="str">
        <f>IF(D15="","",LEFT(D15,3))</f>
        <v/>
      </c>
      <c r="F15" s="28" t="str">
        <f>IF(E15="","",IFERROR(VLOOKUP(E15,REGRAS_CST!$A$2:$B$200,2,FALSE),""))</f>
        <v/>
      </c>
      <c r="H15" s="29">
        <v>8.9999999999999993E-3</v>
      </c>
      <c r="I15" s="29">
        <v>1E-3</v>
      </c>
      <c r="J15" s="4"/>
      <c r="K15" s="21" t="str">
        <f>IF(E15="","",IFERROR(VLOOKUP(E15,REGRAS_CST!$A$2:$C$200,3,FALSE),""))</f>
        <v/>
      </c>
      <c r="L15" s="23" t="str">
        <f>IF($G15="", "", $G15*(1-$V15))</f>
        <v/>
      </c>
      <c r="M15" s="24" t="str">
        <f>IF(OR($L15="",$S15=""),"",$L15*$S15)</f>
        <v/>
      </c>
      <c r="N15" s="24" t="str">
        <f>IF(OR($L15="",$T15=""),"",$L15*$T15)</f>
        <v/>
      </c>
      <c r="O15" s="15" t="str">
        <f>IF(D15="","",
IF(AND(K15&lt;&gt;"SIM",V15&gt;0),"ERRO: % BC &gt; 0, mas NÃO permitida ❌",
IF(AND(K15="SIM",V15=0),"ATENÇÃO: BC permitida, mas % = 0 🔎",
"Base de cálculo aplicada corretamente ✅")))</f>
        <v/>
      </c>
      <c r="P15" s="31" t="str">
        <f>IF(D15="","",
IF(AND(Q15&lt;&gt;"SIM",U15&gt;0),"ERRO: % alíquota &gt; 0, mas NÃO permitida ❌",
IF(AND(Q15="SIM",U15=0),"ATENÇÃO: alíquota permitida, mas % = 0 🔎",
"Alíquota aplicada corretamente ✅")))</f>
        <v/>
      </c>
      <c r="Q15" s="8" t="str">
        <f>IF(E15="","",IFERROR(VLOOKUP(E15,REGRAS_CST!$A$2:$D$200,4,FALSE),""))</f>
        <v/>
      </c>
      <c r="R15" s="4"/>
      <c r="S15" s="9">
        <f>IF($H15="","",$H15*(1-$U15))</f>
        <v>8.9999999999999993E-3</v>
      </c>
      <c r="T15" s="9">
        <f>IF($I15="","",$I15*(1-$U15))</f>
        <v>1E-3</v>
      </c>
      <c r="U15" s="16">
        <f>IFERROR(INDEX(BASE_CCLASSTRIB!$E:$E, MATCH(TEXT($D15,"000000"), BASE_CCLASSTRIB!$A:$A, 0))/100, 0)</f>
        <v>0</v>
      </c>
      <c r="V15" s="16">
        <f>IFERROR(INDEX(BASE_CCLASSTRIB!$F:$F, MATCH(TEXT($D15,"000000"), BASE_CCLASSTRIB!$A:$A, 0))/100, 0)</f>
        <v>0</v>
      </c>
    </row>
    <row r="16" spans="1:22" ht="32.25" customHeight="1">
      <c r="D16" s="39"/>
      <c r="E16" s="27" t="str">
        <f>IF(D16="","",LEFT(D16,3))</f>
        <v/>
      </c>
      <c r="F16" s="28" t="str">
        <f>IF(E16="","",IFERROR(VLOOKUP(E16,REGRAS_CST!$A$2:$B$200,2,FALSE),""))</f>
        <v/>
      </c>
      <c r="H16" s="29">
        <v>8.9999999999999993E-3</v>
      </c>
      <c r="I16" s="29">
        <v>1E-3</v>
      </c>
      <c r="J16" s="4"/>
      <c r="K16" s="21" t="str">
        <f>IF(E16="","",IFERROR(VLOOKUP(E16,REGRAS_CST!$A$2:$C$200,3,FALSE),""))</f>
        <v/>
      </c>
      <c r="L16" s="23" t="str">
        <f>IF($G16="", "", $G16*(1-$V16))</f>
        <v/>
      </c>
      <c r="M16" s="24" t="str">
        <f>IF(OR($L16="",$S16=""),"",$L16*$S16)</f>
        <v/>
      </c>
      <c r="N16" s="24" t="str">
        <f>IF(OR($L16="",$T16=""),"",$L16*$T16)</f>
        <v/>
      </c>
      <c r="O16" s="15" t="str">
        <f>IF(D16="","",
IF(AND(K16&lt;&gt;"SIM",V16&gt;0),"ERRO: % BC &gt; 0, mas NÃO permitida ❌",
IF(AND(K16="SIM",V16=0),"ATENÇÃO: BC permitida, mas % = 0 🔎",
"Base de cálculo aplicada corretamente ✅")))</f>
        <v/>
      </c>
      <c r="P16" s="31" t="str">
        <f>IF(D16="","",
IF(AND(Q16&lt;&gt;"SIM",U16&gt;0),"ERRO: % alíquota &gt; 0, mas NÃO permitida ❌",
IF(AND(Q16="SIM",U16=0),"ATENÇÃO: alíquota permitida, mas % = 0 🔎",
"Alíquota aplicada corretamente ✅")))</f>
        <v/>
      </c>
      <c r="Q16" s="8" t="str">
        <f>IF(E16="","",IFERROR(VLOOKUP(E16,REGRAS_CST!$A$2:$D$200,4,FALSE),""))</f>
        <v/>
      </c>
      <c r="R16" s="4"/>
      <c r="S16" s="9">
        <f>IF($H16="","",$H16*(1-$U16))</f>
        <v>8.9999999999999993E-3</v>
      </c>
      <c r="T16" s="9">
        <f>IF($I16="","",$I16*(1-$U16))</f>
        <v>1E-3</v>
      </c>
      <c r="U16" s="16">
        <f>IFERROR(INDEX(BASE_CCLASSTRIB!$E:$E, MATCH(TEXT($D16,"000000"), BASE_CCLASSTRIB!$A:$A, 0))/100, 0)</f>
        <v>0</v>
      </c>
      <c r="V16" s="16">
        <f>IFERROR(INDEX(BASE_CCLASSTRIB!$F:$F, MATCH(TEXT($D16,"000000"), BASE_CCLASSTRIB!$A:$A, 0))/100, 0)</f>
        <v>0</v>
      </c>
    </row>
    <row r="17" spans="4:22" ht="32.25" customHeight="1">
      <c r="D17" s="39"/>
      <c r="E17" s="27" t="str">
        <f>IF(D17="","",LEFT(D17,3))</f>
        <v/>
      </c>
      <c r="F17" s="28" t="str">
        <f>IF(E17="","",IFERROR(VLOOKUP(E17,REGRAS_CST!$A$2:$B$200,2,FALSE),""))</f>
        <v/>
      </c>
      <c r="H17" s="29">
        <v>8.9999999999999993E-3</v>
      </c>
      <c r="I17" s="29">
        <v>1E-3</v>
      </c>
      <c r="J17" s="4"/>
      <c r="K17" s="21" t="str">
        <f>IF(E17="","",IFERROR(VLOOKUP(E17,REGRAS_CST!$A$2:$C$200,3,FALSE),""))</f>
        <v/>
      </c>
      <c r="L17" s="23" t="str">
        <f>IF($G17="", "", $G17*(1-$V17))</f>
        <v/>
      </c>
      <c r="M17" s="24" t="str">
        <f>IF(OR($L17="",$S17=""),"",$L17*$S17)</f>
        <v/>
      </c>
      <c r="N17" s="24" t="str">
        <f>IF(OR($L17="",$T17=""),"",$L17*$T17)</f>
        <v/>
      </c>
      <c r="O17" s="15" t="str">
        <f>IF(D17="","",
IF(AND(K17&lt;&gt;"SIM",V17&gt;0),"ERRO: % BC &gt; 0, mas NÃO permitida ❌",
IF(AND(K17="SIM",V17=0),"ATENÇÃO: BC permitida, mas % = 0 🔎",
"Base de cálculo aplicada corretamente ✅")))</f>
        <v/>
      </c>
      <c r="P17" s="31" t="str">
        <f>IF(D17="","",
IF(AND(Q17&lt;&gt;"SIM",U17&gt;0),"ERRO: % alíquota &gt; 0, mas NÃO permitida ❌",
IF(AND(Q17="SIM",U17=0),"ATENÇÃO: alíquota permitida, mas % = 0 🔎",
"Alíquota aplicada corretamente ✅")))</f>
        <v/>
      </c>
      <c r="Q17" s="8" t="str">
        <f>IF(E17="","",IFERROR(VLOOKUP(E17,REGRAS_CST!$A$2:$D$200,4,FALSE),""))</f>
        <v/>
      </c>
      <c r="R17" s="4"/>
      <c r="S17" s="9">
        <f>IF($H17="","",$H17*(1-$U17))</f>
        <v>8.9999999999999993E-3</v>
      </c>
      <c r="T17" s="9">
        <f>IF($I17="","",$I17*(1-$U17))</f>
        <v>1E-3</v>
      </c>
      <c r="U17" s="16">
        <f>IFERROR(INDEX(BASE_CCLASSTRIB!$E:$E, MATCH(TEXT($D17,"000000"), BASE_CCLASSTRIB!$A:$A, 0))/100, 0)</f>
        <v>0</v>
      </c>
      <c r="V17" s="16">
        <f>IFERROR(INDEX(BASE_CCLASSTRIB!$F:$F, MATCH(TEXT($D17,"000000"), BASE_CCLASSTRIB!$A:$A, 0))/100, 0)</f>
        <v>0</v>
      </c>
    </row>
    <row r="18" spans="4:22" ht="32.25" customHeight="1">
      <c r="D18" s="39"/>
      <c r="E18" s="27" t="str">
        <f>IF(D18="","",LEFT(D18,3))</f>
        <v/>
      </c>
      <c r="F18" s="28" t="str">
        <f>IF(E18="","",IFERROR(VLOOKUP(E18,REGRAS_CST!$A$2:$B$200,2,FALSE),""))</f>
        <v/>
      </c>
      <c r="H18" s="29">
        <v>8.9999999999999993E-3</v>
      </c>
      <c r="I18" s="29">
        <v>1E-3</v>
      </c>
      <c r="J18" s="4"/>
      <c r="K18" s="21" t="str">
        <f>IF(E18="","",IFERROR(VLOOKUP(E18,REGRAS_CST!$A$2:$C$200,3,FALSE),""))</f>
        <v/>
      </c>
      <c r="L18" s="23" t="str">
        <f>IF($G18="", "", $G18*(1-$V18))</f>
        <v/>
      </c>
      <c r="M18" s="24" t="str">
        <f>IF(OR($L18="",$S18=""),"",$L18*$S18)</f>
        <v/>
      </c>
      <c r="N18" s="24" t="str">
        <f>IF(OR($L18="",$T18=""),"",$L18*$T18)</f>
        <v/>
      </c>
      <c r="O18" s="15" t="str">
        <f>IF(D18="","",
IF(AND(K18&lt;&gt;"SIM",V18&gt;0),"ERRO: % BC &gt; 0, mas NÃO permitida ❌",
IF(AND(K18="SIM",V18=0),"ATENÇÃO: BC permitida, mas % = 0 🔎",
"Base de cálculo aplicada corretamente ✅")))</f>
        <v/>
      </c>
      <c r="P18" s="31" t="str">
        <f>IF(D18="","",
IF(AND(Q18&lt;&gt;"SIM",U18&gt;0),"ERRO: % alíquota &gt; 0, mas NÃO permitida ❌",
IF(AND(Q18="SIM",U18=0),"ATENÇÃO: alíquota permitida, mas % = 0 🔎",
"Alíquota aplicada corretamente ✅")))</f>
        <v/>
      </c>
      <c r="Q18" s="8" t="str">
        <f>IF(E18="","",IFERROR(VLOOKUP(E18,REGRAS_CST!$A$2:$D$200,4,FALSE),""))</f>
        <v/>
      </c>
      <c r="R18" s="4"/>
      <c r="S18" s="9">
        <f>IF($H18="","",$H18*(1-$U18))</f>
        <v>8.9999999999999993E-3</v>
      </c>
      <c r="T18" s="9">
        <f>IF($I18="","",$I18*(1-$U18))</f>
        <v>1E-3</v>
      </c>
      <c r="U18" s="16">
        <f>IFERROR(INDEX(BASE_CCLASSTRIB!$E:$E, MATCH(TEXT($D18,"000000"), BASE_CCLASSTRIB!$A:$A, 0))/100, 0)</f>
        <v>0</v>
      </c>
      <c r="V18" s="16">
        <f>IFERROR(INDEX(BASE_CCLASSTRIB!$F:$F, MATCH(TEXT($D18,"000000"), BASE_CCLASSTRIB!$A:$A, 0))/100, 0)</f>
        <v>0</v>
      </c>
    </row>
    <row r="19" spans="4:22" ht="32.25" customHeight="1">
      <c r="D19" s="39"/>
      <c r="E19" s="27" t="str">
        <f>IF(D19="","",LEFT(D19,3))</f>
        <v/>
      </c>
      <c r="F19" s="28" t="str">
        <f>IF(E19="","",IFERROR(VLOOKUP(E19,REGRAS_CST!$A$2:$B$200,2,FALSE),""))</f>
        <v/>
      </c>
      <c r="H19" s="29">
        <v>8.9999999999999993E-3</v>
      </c>
      <c r="I19" s="29">
        <v>1E-3</v>
      </c>
      <c r="J19" s="4"/>
      <c r="K19" s="21" t="str">
        <f>IF(E19="","",IFERROR(VLOOKUP(E19,REGRAS_CST!$A$2:$C$200,3,FALSE),""))</f>
        <v/>
      </c>
      <c r="L19" s="23" t="str">
        <f>IF($G19="", "", $G19*(1-$V19))</f>
        <v/>
      </c>
      <c r="M19" s="24" t="str">
        <f>IF(OR($L19="",$S19=""),"",$L19*$S19)</f>
        <v/>
      </c>
      <c r="N19" s="24" t="str">
        <f>IF(OR($L19="",$T19=""),"",$L19*$T19)</f>
        <v/>
      </c>
      <c r="O19" s="15" t="str">
        <f>IF(D19="","",
IF(AND(K19&lt;&gt;"SIM",V19&gt;0),"ERRO: % BC &gt; 0, mas NÃO permitida ❌",
IF(AND(K19="SIM",V19=0),"ATENÇÃO: BC permitida, mas % = 0 🔎",
"Base de cálculo aplicada corretamente ✅")))</f>
        <v/>
      </c>
      <c r="P19" s="31" t="str">
        <f>IF(D19="","",
IF(AND(Q19&lt;&gt;"SIM",U19&gt;0),"ERRO: % alíquota &gt; 0, mas NÃO permitida ❌",
IF(AND(Q19="SIM",U19=0),"ATENÇÃO: alíquota permitida, mas % = 0 🔎",
"Alíquota aplicada corretamente ✅")))</f>
        <v/>
      </c>
      <c r="Q19" s="8" t="str">
        <f>IF(E19="","",IFERROR(VLOOKUP(E19,REGRAS_CST!$A$2:$D$200,4,FALSE),""))</f>
        <v/>
      </c>
      <c r="R19" s="4"/>
      <c r="S19" s="9">
        <f>IF($H19="","",$H19*(1-$U19))</f>
        <v>8.9999999999999993E-3</v>
      </c>
      <c r="T19" s="9">
        <f>IF($I19="","",$I19*(1-$U19))</f>
        <v>1E-3</v>
      </c>
      <c r="U19" s="16">
        <f>IFERROR(INDEX(BASE_CCLASSTRIB!$E:$E, MATCH(TEXT($D19,"000000"), BASE_CCLASSTRIB!$A:$A, 0))/100, 0)</f>
        <v>0</v>
      </c>
      <c r="V19" s="16">
        <f>IFERROR(INDEX(BASE_CCLASSTRIB!$F:$F, MATCH(TEXT($D19,"000000"), BASE_CCLASSTRIB!$A:$A, 0))/100, 0)</f>
        <v>0</v>
      </c>
    </row>
    <row r="20" spans="4:22" ht="32.25" customHeight="1">
      <c r="D20" s="39"/>
      <c r="E20" s="27" t="str">
        <f>IF(D20="","",LEFT(D20,3))</f>
        <v/>
      </c>
      <c r="F20" s="28" t="str">
        <f>IF(E20="","",IFERROR(VLOOKUP(E20,REGRAS_CST!$A$2:$B$200,2,FALSE),""))</f>
        <v/>
      </c>
      <c r="H20" s="29">
        <v>8.9999999999999993E-3</v>
      </c>
      <c r="I20" s="29">
        <v>1E-3</v>
      </c>
      <c r="J20" s="4"/>
      <c r="K20" s="21" t="str">
        <f>IF(E20="","",IFERROR(VLOOKUP(E20,REGRAS_CST!$A$2:$C$200,3,FALSE),""))</f>
        <v/>
      </c>
      <c r="L20" s="23" t="str">
        <f>IF($G20="", "", $G20*(1-$V20))</f>
        <v/>
      </c>
      <c r="M20" s="24" t="str">
        <f>IF(OR($L20="",$S20=""),"",$L20*$S20)</f>
        <v/>
      </c>
      <c r="N20" s="24" t="str">
        <f>IF(OR($L20="",$T20=""),"",$L20*$T20)</f>
        <v/>
      </c>
      <c r="O20" s="15" t="str">
        <f>IF(D20="","",
IF(AND(K20&lt;&gt;"SIM",V20&gt;0),"ERRO: % BC &gt; 0, mas NÃO permitida ❌",
IF(AND(K20="SIM",V20=0),"ATENÇÃO: BC permitida, mas % = 0 🔎",
"Base de cálculo aplicada corretamente ✅")))</f>
        <v/>
      </c>
      <c r="P20" s="31" t="str">
        <f>IF(D20="","",
IF(AND(Q20&lt;&gt;"SIM",U20&gt;0),"ERRO: % alíquota &gt; 0, mas NÃO permitida ❌",
IF(AND(Q20="SIM",U20=0),"ATENÇÃO: alíquota permitida, mas % = 0 🔎",
"Alíquota aplicada corretamente ✅")))</f>
        <v/>
      </c>
      <c r="Q20" s="8" t="str">
        <f>IF(E20="","",IFERROR(VLOOKUP(E20,REGRAS_CST!$A$2:$D$200,4,FALSE),""))</f>
        <v/>
      </c>
      <c r="R20" s="4"/>
      <c r="S20" s="9">
        <f>IF($H20="","",$H20*(1-$U20))</f>
        <v>8.9999999999999993E-3</v>
      </c>
      <c r="T20" s="9">
        <f>IF($I20="","",$I20*(1-$U20))</f>
        <v>1E-3</v>
      </c>
      <c r="U20" s="16">
        <f>IFERROR(INDEX(BASE_CCLASSTRIB!$E:$E, MATCH(TEXT($D20,"000000"), BASE_CCLASSTRIB!$A:$A, 0))/100, 0)</f>
        <v>0</v>
      </c>
      <c r="V20" s="16">
        <f>IFERROR(INDEX(BASE_CCLASSTRIB!$F:$F, MATCH(TEXT($D20,"000000"), BASE_CCLASSTRIB!$A:$A, 0))/100, 0)</f>
        <v>0</v>
      </c>
    </row>
    <row r="21" spans="4:22" ht="32.25" customHeight="1">
      <c r="D21" s="39"/>
      <c r="E21" s="27" t="str">
        <f>IF(D21="","",LEFT(D21,3))</f>
        <v/>
      </c>
      <c r="F21" s="28" t="str">
        <f>IF(E21="","",IFERROR(VLOOKUP(E21,REGRAS_CST!$A$2:$B$200,2,FALSE),""))</f>
        <v/>
      </c>
      <c r="H21" s="29">
        <v>8.9999999999999993E-3</v>
      </c>
      <c r="I21" s="29">
        <v>1E-3</v>
      </c>
      <c r="J21" s="4"/>
      <c r="K21" s="21" t="str">
        <f>IF(E21="","",IFERROR(VLOOKUP(E21,REGRAS_CST!$A$2:$C$200,3,FALSE),""))</f>
        <v/>
      </c>
      <c r="L21" s="23" t="str">
        <f>IF($G21="", "", $G21*(1-$V21))</f>
        <v/>
      </c>
      <c r="M21" s="24" t="str">
        <f>IF(OR($L21="",$S21=""),"",$L21*$S21)</f>
        <v/>
      </c>
      <c r="N21" s="24" t="str">
        <f>IF(OR($L21="",$T21=""),"",$L21*$T21)</f>
        <v/>
      </c>
      <c r="O21" s="15" t="str">
        <f>IF(D21="","",
IF(AND(K21&lt;&gt;"SIM",V21&gt;0),"ERRO: % BC &gt; 0, mas NÃO permitida ❌",
IF(AND(K21="SIM",V21=0),"ATENÇÃO: BC permitida, mas % = 0 🔎",
"Base de cálculo aplicada corretamente ✅")))</f>
        <v/>
      </c>
      <c r="P21" s="31" t="str">
        <f>IF(D21="","",
IF(AND(Q21&lt;&gt;"SIM",U21&gt;0),"ERRO: % alíquota &gt; 0, mas NÃO permitida ❌",
IF(AND(Q21="SIM",U21=0),"ATENÇÃO: alíquota permitida, mas % = 0 🔎",
"Alíquota aplicada corretamente ✅")))</f>
        <v/>
      </c>
      <c r="Q21" s="8" t="str">
        <f>IF(E21="","",IFERROR(VLOOKUP(E21,REGRAS_CST!$A$2:$D$200,4,FALSE),""))</f>
        <v/>
      </c>
      <c r="R21" s="4"/>
      <c r="S21" s="9">
        <f>IF($H21="","",$H21*(1-$U21))</f>
        <v>8.9999999999999993E-3</v>
      </c>
      <c r="T21" s="9">
        <f>IF($I21="","",$I21*(1-$U21))</f>
        <v>1E-3</v>
      </c>
      <c r="U21" s="16">
        <f>IFERROR(INDEX(BASE_CCLASSTRIB!$E:$E, MATCH(TEXT($D21,"000000"), BASE_CCLASSTRIB!$A:$A, 0))/100, 0)</f>
        <v>0</v>
      </c>
      <c r="V21" s="16">
        <f>IFERROR(INDEX(BASE_CCLASSTRIB!$F:$F, MATCH(TEXT($D21,"000000"), BASE_CCLASSTRIB!$A:$A, 0))/100, 0)</f>
        <v>0</v>
      </c>
    </row>
    <row r="22" spans="4:22" ht="32.25" customHeight="1">
      <c r="D22" s="39"/>
      <c r="E22" s="27" t="str">
        <f>IF(D22="","",LEFT(D22,3))</f>
        <v/>
      </c>
      <c r="F22" s="28" t="str">
        <f>IF(E22="","",IFERROR(VLOOKUP(E22,REGRAS_CST!$A$2:$B$200,2,FALSE),""))</f>
        <v/>
      </c>
      <c r="H22" s="29">
        <v>8.9999999999999993E-3</v>
      </c>
      <c r="I22" s="29">
        <v>1E-3</v>
      </c>
      <c r="J22" s="4"/>
      <c r="K22" s="21" t="str">
        <f>IF(E22="","",IFERROR(VLOOKUP(E22,REGRAS_CST!$A$2:$C$200,3,FALSE),""))</f>
        <v/>
      </c>
      <c r="L22" s="23" t="str">
        <f>IF($G22="", "", $G22*(1-$V22))</f>
        <v/>
      </c>
      <c r="M22" s="24" t="str">
        <f>IF(OR($L22="",$S22=""),"",$L22*$S22)</f>
        <v/>
      </c>
      <c r="N22" s="24" t="str">
        <f>IF(OR($L22="",$T22=""),"",$L22*$T22)</f>
        <v/>
      </c>
      <c r="O22" s="15" t="str">
        <f>IF(D22="","",
IF(AND(K22&lt;&gt;"SIM",V22&gt;0),"ERRO: % BC &gt; 0, mas NÃO permitida ❌",
IF(AND(K22="SIM",V22=0),"ATENÇÃO: BC permitida, mas % = 0 🔎",
"Base de cálculo aplicada corretamente ✅")))</f>
        <v/>
      </c>
      <c r="P22" s="31" t="str">
        <f>IF(D22="","",
IF(AND(Q22&lt;&gt;"SIM",U22&gt;0),"ERRO: % alíquota &gt; 0, mas NÃO permitida ❌",
IF(AND(Q22="SIM",U22=0),"ATENÇÃO: alíquota permitida, mas % = 0 🔎",
"Alíquota aplicada corretamente ✅")))</f>
        <v/>
      </c>
      <c r="Q22" s="8" t="str">
        <f>IF(E22="","",IFERROR(VLOOKUP(E22,REGRAS_CST!$A$2:$D$200,4,FALSE),""))</f>
        <v/>
      </c>
      <c r="R22" s="4"/>
      <c r="S22" s="9">
        <f>IF($H22="","",$H22*(1-$U22))</f>
        <v>8.9999999999999993E-3</v>
      </c>
      <c r="T22" s="9">
        <f>IF($I22="","",$I22*(1-$U22))</f>
        <v>1E-3</v>
      </c>
      <c r="U22" s="16">
        <f>IFERROR(INDEX(BASE_CCLASSTRIB!$E:$E, MATCH(TEXT($D22,"000000"), BASE_CCLASSTRIB!$A:$A, 0))/100, 0)</f>
        <v>0</v>
      </c>
      <c r="V22" s="16">
        <f>IFERROR(INDEX(BASE_CCLASSTRIB!$F:$F, MATCH(TEXT($D22,"000000"), BASE_CCLASSTRIB!$A:$A, 0))/100, 0)</f>
        <v>0</v>
      </c>
    </row>
    <row r="23" spans="4:22" ht="32.25" customHeight="1">
      <c r="D23" s="40"/>
      <c r="E23" s="27" t="str">
        <f>IF(D23="","",LEFT(D23,3))</f>
        <v/>
      </c>
      <c r="F23" s="28" t="str">
        <f>IF(E23="","",IFERROR(VLOOKUP(E23,REGRAS_CST!$A$2:$B$200,2,FALSE),""))</f>
        <v/>
      </c>
      <c r="H23" s="29">
        <v>8.9999999999999993E-3</v>
      </c>
      <c r="I23" s="29">
        <v>1E-3</v>
      </c>
      <c r="J23" s="4"/>
      <c r="K23" s="21" t="str">
        <f>IF(E23="","",IFERROR(VLOOKUP(E23,REGRAS_CST!$A$2:$C$200,3,FALSE),""))</f>
        <v/>
      </c>
      <c r="L23" s="23" t="str">
        <f>IF($G23="", "", $G23*(1-$V23))</f>
        <v/>
      </c>
      <c r="M23" s="24" t="str">
        <f>IF(OR($L23="",$S23=""),"",$L23*$S23)</f>
        <v/>
      </c>
      <c r="N23" s="24" t="str">
        <f>IF(OR($L23="",$T23=""),"",$L23*$T23)</f>
        <v/>
      </c>
      <c r="O23" s="15" t="str">
        <f>IF(D23="","",
IF(AND(K23&lt;&gt;"SIM",V23&gt;0),"ERRO: % BC &gt; 0, mas NÃO permitida ❌",
IF(AND(K23="SIM",V23=0),"ATENÇÃO: BC permitida, mas % = 0 🔎",
"Base de cálculo aplicada corretamente ✅")))</f>
        <v/>
      </c>
      <c r="P23" s="31" t="str">
        <f>IF(D23="","",
IF(AND(Q23&lt;&gt;"SIM",U23&gt;0),"ERRO: % alíquota &gt; 0, mas NÃO permitida ❌",
IF(AND(Q23="SIM",U23=0),"ATENÇÃO: alíquota permitida, mas % = 0 🔎",
"Alíquota aplicada corretamente ✅")))</f>
        <v/>
      </c>
      <c r="Q23" s="8" t="str">
        <f>IF(E23="","",IFERROR(VLOOKUP(E23,REGRAS_CST!$A$2:$D$200,4,FALSE),""))</f>
        <v/>
      </c>
      <c r="R23" s="4"/>
      <c r="S23" s="9">
        <f>IF($H23="","",$H23*(1-$U23))</f>
        <v>8.9999999999999993E-3</v>
      </c>
      <c r="T23" s="9">
        <f>IF($I23="","",$I23*(1-$U23))</f>
        <v>1E-3</v>
      </c>
      <c r="U23" s="16">
        <f>IFERROR(INDEX(BASE_CCLASSTRIB!$E:$E, MATCH(TEXT($D23,"000000"), BASE_CCLASSTRIB!$A:$A, 0))/100, 0)</f>
        <v>0</v>
      </c>
      <c r="V23" s="16">
        <f>IFERROR(INDEX(BASE_CCLASSTRIB!$F:$F, MATCH(TEXT($D23,"000000"), BASE_CCLASSTRIB!$A:$A, 0))/100, 0)</f>
        <v>0</v>
      </c>
    </row>
    <row r="24" spans="4:22" ht="32.25" customHeight="1">
      <c r="D24" s="40"/>
      <c r="E24" s="27" t="str">
        <f>IF(D24="","",LEFT(D24,3))</f>
        <v/>
      </c>
      <c r="F24" s="28" t="str">
        <f>IF(E24="","",IFERROR(VLOOKUP(E24,REGRAS_CST!$A$2:$B$200,2,FALSE),""))</f>
        <v/>
      </c>
      <c r="H24" s="29">
        <v>8.9999999999999993E-3</v>
      </c>
      <c r="I24" s="29">
        <v>1E-3</v>
      </c>
      <c r="J24" s="4"/>
      <c r="K24" s="21" t="str">
        <f>IF(E24="","",IFERROR(VLOOKUP(E24,REGRAS_CST!$A$2:$C$200,3,FALSE),""))</f>
        <v/>
      </c>
      <c r="L24" s="23" t="str">
        <f>IF($G24="", "", $G24*(1-$V24))</f>
        <v/>
      </c>
      <c r="M24" s="24" t="str">
        <f>IF(OR($L24="",$S24=""),"",$L24*$S24)</f>
        <v/>
      </c>
      <c r="N24" s="24" t="str">
        <f>IF(OR($L24="",$T24=""),"",$L24*$T24)</f>
        <v/>
      </c>
      <c r="O24" s="15" t="str">
        <f>IF(D24="","",
IF(AND(K24&lt;&gt;"SIM",V24&gt;0),"ERRO: % BC &gt; 0, mas NÃO permitida ❌",
IF(AND(K24="SIM",V24=0),"ATENÇÃO: BC permitida, mas % = 0 🔎",
"Base de cálculo aplicada corretamente ✅")))</f>
        <v/>
      </c>
      <c r="P24" s="31" t="str">
        <f>IF(D24="","",
IF(AND(Q24&lt;&gt;"SIM",U24&gt;0),"ERRO: % alíquota &gt; 0, mas NÃO permitida ❌",
IF(AND(Q24="SIM",U24=0),"ATENÇÃO: alíquota permitida, mas % = 0 🔎",
"Alíquota aplicada corretamente ✅")))</f>
        <v/>
      </c>
      <c r="Q24" s="8" t="str">
        <f>IF(E24="","",IFERROR(VLOOKUP(E24,REGRAS_CST!$A$2:$D$200,4,FALSE),""))</f>
        <v/>
      </c>
      <c r="R24" s="4"/>
      <c r="S24" s="9">
        <f>IF($H24="","",$H24*(1-$U24))</f>
        <v>8.9999999999999993E-3</v>
      </c>
      <c r="T24" s="9">
        <f>IF($I24="","",$I24*(1-$U24))</f>
        <v>1E-3</v>
      </c>
      <c r="U24" s="16">
        <f>IFERROR(INDEX(BASE_CCLASSTRIB!$E:$E, MATCH(TEXT($D24,"000000"), BASE_CCLASSTRIB!$A:$A, 0))/100, 0)</f>
        <v>0</v>
      </c>
      <c r="V24" s="16">
        <f>IFERROR(INDEX(BASE_CCLASSTRIB!$F:$F, MATCH(TEXT($D24,"000000"), BASE_CCLASSTRIB!$A:$A, 0))/100, 0)</f>
        <v>0</v>
      </c>
    </row>
    <row r="25" spans="4:22" ht="32.25" customHeight="1">
      <c r="D25" s="39"/>
      <c r="E25" s="27" t="str">
        <f>IF(D25="","",LEFT(D25,3))</f>
        <v/>
      </c>
      <c r="F25" s="28" t="str">
        <f>IF(E25="","",IFERROR(VLOOKUP(E25,REGRAS_CST!$A$2:$B$200,2,FALSE),""))</f>
        <v/>
      </c>
      <c r="H25" s="29">
        <v>8.9999999999999993E-3</v>
      </c>
      <c r="I25" s="29">
        <v>1E-3</v>
      </c>
      <c r="J25" s="4"/>
      <c r="K25" s="21" t="str">
        <f>IF(E25="","",IFERROR(VLOOKUP(E25,REGRAS_CST!$A$2:$C$200,3,FALSE),""))</f>
        <v/>
      </c>
      <c r="L25" s="23" t="str">
        <f>IF($G25="", "", $G25*(1-$V25))</f>
        <v/>
      </c>
      <c r="M25" s="24" t="str">
        <f>IF(OR($L25="",$S25=""),"",$L25*$S25)</f>
        <v/>
      </c>
      <c r="N25" s="24" t="str">
        <f>IF(OR($L25="",$T25=""),"",$L25*$T25)</f>
        <v/>
      </c>
      <c r="O25" s="15" t="str">
        <f>IF(D25="","",
IF(AND(K25&lt;&gt;"SIM",V25&gt;0),"ERRO: % BC &gt; 0, mas NÃO permitida ❌",
IF(AND(K25="SIM",V25=0),"ATENÇÃO: BC permitida, mas % = 0 🔎",
"Base de cálculo aplicada corretamente ✅")))</f>
        <v/>
      </c>
      <c r="P25" s="31" t="str">
        <f>IF(D25="","",
IF(AND(Q25&lt;&gt;"SIM",U25&gt;0),"ERRO: % alíquota &gt; 0, mas NÃO permitida ❌",
IF(AND(Q25="SIM",U25=0),"ATENÇÃO: alíquota permitida, mas % = 0 🔎",
"Alíquota aplicada corretamente ✅")))</f>
        <v/>
      </c>
      <c r="Q25" s="8" t="str">
        <f>IF(E25="","",IFERROR(VLOOKUP(E25,REGRAS_CST!$A$2:$D$200,4,FALSE),""))</f>
        <v/>
      </c>
      <c r="R25" s="4"/>
      <c r="S25" s="9">
        <f>IF($H25="","",$H25*(1-$U25))</f>
        <v>8.9999999999999993E-3</v>
      </c>
      <c r="T25" s="9">
        <f>IF($I25="","",$I25*(1-$U25))</f>
        <v>1E-3</v>
      </c>
      <c r="U25" s="16">
        <f>IFERROR(INDEX(BASE_CCLASSTRIB!$E:$E, MATCH(TEXT($D25,"000000"), BASE_CCLASSTRIB!$A:$A, 0))/100, 0)</f>
        <v>0</v>
      </c>
      <c r="V25" s="16">
        <f>IFERROR(INDEX(BASE_CCLASSTRIB!$F:$F, MATCH(TEXT($D25,"000000"), BASE_CCLASSTRIB!$A:$A, 0))/100, 0)</f>
        <v>0</v>
      </c>
    </row>
    <row r="26" spans="4:22" ht="32.25" customHeight="1">
      <c r="D26" s="40"/>
      <c r="E26" s="27" t="str">
        <f>IF(D26="","",LEFT(D26,3))</f>
        <v/>
      </c>
      <c r="F26" s="28" t="str">
        <f>IF(E26="","",IFERROR(VLOOKUP(E26,REGRAS_CST!$A$2:$B$200,2,FALSE),""))</f>
        <v/>
      </c>
      <c r="H26" s="29">
        <v>8.9999999999999993E-3</v>
      </c>
      <c r="I26" s="29">
        <v>1E-3</v>
      </c>
      <c r="J26" s="4"/>
      <c r="K26" s="21" t="str">
        <f>IF(E26="","",IFERROR(VLOOKUP(E26,REGRAS_CST!$A$2:$C$200,3,FALSE),""))</f>
        <v/>
      </c>
      <c r="L26" s="23" t="str">
        <f>IF($G26="", "", $G26*(1-$V26))</f>
        <v/>
      </c>
      <c r="M26" s="24" t="str">
        <f>IF(OR($L26="",$S26=""),"",$L26*$S26)</f>
        <v/>
      </c>
      <c r="N26" s="24" t="str">
        <f>IF(OR($L26="",$T26=""),"",$L26*$T26)</f>
        <v/>
      </c>
      <c r="O26" s="15" t="str">
        <f>IF(D26="","",
IF(AND(K26&lt;&gt;"SIM",V26&gt;0),"ERRO: % BC &gt; 0, mas NÃO permitida ❌",
IF(AND(K26="SIM",V26=0),"ATENÇÃO: BC permitida, mas % = 0 🔎",
"Base de cálculo aplicada corretamente ✅")))</f>
        <v/>
      </c>
      <c r="P26" s="31" t="str">
        <f>IF(D26="","",
IF(AND(Q26&lt;&gt;"SIM",U26&gt;0),"ERRO: % alíquota &gt; 0, mas NÃO permitida ❌",
IF(AND(Q26="SIM",U26=0),"ATENÇÃO: alíquota permitida, mas % = 0 🔎",
"Alíquota aplicada corretamente ✅")))</f>
        <v/>
      </c>
      <c r="Q26" s="8" t="str">
        <f>IF(E26="","",IFERROR(VLOOKUP(E26,REGRAS_CST!$A$2:$D$200,4,FALSE),""))</f>
        <v/>
      </c>
      <c r="R26" s="4"/>
      <c r="S26" s="9">
        <f>IF($H26="","",$H26*(1-$U26))</f>
        <v>8.9999999999999993E-3</v>
      </c>
      <c r="T26" s="9">
        <f>IF($I26="","",$I26*(1-$U26))</f>
        <v>1E-3</v>
      </c>
      <c r="U26" s="16">
        <f>IFERROR(INDEX(BASE_CCLASSTRIB!$E:$E, MATCH(TEXT($D26,"000000"), BASE_CCLASSTRIB!$A:$A, 0))/100, 0)</f>
        <v>0</v>
      </c>
      <c r="V26" s="16">
        <f>IFERROR(INDEX(BASE_CCLASSTRIB!$F:$F, MATCH(TEXT($D26,"000000"), BASE_CCLASSTRIB!$A:$A, 0))/100, 0)</f>
        <v>0</v>
      </c>
    </row>
    <row r="27" spans="4:22" ht="32.25" customHeight="1">
      <c r="D27" s="39"/>
      <c r="E27" s="27" t="str">
        <f>IF(D27="","",LEFT(D27,3))</f>
        <v/>
      </c>
      <c r="F27" s="28" t="str">
        <f>IF(E27="","",IFERROR(VLOOKUP(E27,REGRAS_CST!$A$2:$B$200,2,FALSE),""))</f>
        <v/>
      </c>
      <c r="H27" s="29">
        <v>8.9999999999999993E-3</v>
      </c>
      <c r="I27" s="29">
        <v>1E-3</v>
      </c>
      <c r="J27" s="4"/>
      <c r="K27" s="21" t="str">
        <f>IF(E27="","",IFERROR(VLOOKUP(E27,REGRAS_CST!$A$2:$C$200,3,FALSE),""))</f>
        <v/>
      </c>
      <c r="L27" s="23" t="str">
        <f>IF($G27="", "", $G27*(1-$V27))</f>
        <v/>
      </c>
      <c r="M27" s="24" t="str">
        <f>IF(OR($L27="",$S27=""),"",$L27*$S27)</f>
        <v/>
      </c>
      <c r="N27" s="24" t="str">
        <f>IF(OR($L27="",$T27=""),"",$L27*$T27)</f>
        <v/>
      </c>
      <c r="O27" s="15" t="str">
        <f>IF(D27="","",
IF(AND(K27&lt;&gt;"SIM",V27&gt;0),"ERRO: % BC &gt; 0, mas NÃO permitida ❌",
IF(AND(K27="SIM",V27=0),"ATENÇÃO: BC permitida, mas % = 0 🔎",
"Base de cálculo aplicada corretamente ✅")))</f>
        <v/>
      </c>
      <c r="P27" s="31" t="str">
        <f>IF(D27="","",
IF(AND(Q27&lt;&gt;"SIM",U27&gt;0),"ERRO: % alíquota &gt; 0, mas NÃO permitida ❌",
IF(AND(Q27="SIM",U27=0),"ATENÇÃO: alíquota permitida, mas % = 0 🔎",
"Alíquota aplicada corretamente ✅")))</f>
        <v/>
      </c>
      <c r="Q27" s="8" t="str">
        <f>IF(E27="","",IFERROR(VLOOKUP(E27,REGRAS_CST!$A$2:$D$200,4,FALSE),""))</f>
        <v/>
      </c>
      <c r="R27" s="4"/>
      <c r="S27" s="9">
        <f>IF($H27="","",$H27*(1-$U27))</f>
        <v>8.9999999999999993E-3</v>
      </c>
      <c r="T27" s="9">
        <f>IF($I27="","",$I27*(1-$U27))</f>
        <v>1E-3</v>
      </c>
      <c r="U27" s="16">
        <f>IFERROR(INDEX(BASE_CCLASSTRIB!$E:$E, MATCH(TEXT($D27,"000000"), BASE_CCLASSTRIB!$A:$A, 0))/100, 0)</f>
        <v>0</v>
      </c>
      <c r="V27" s="16">
        <f>IFERROR(INDEX(BASE_CCLASSTRIB!$F:$F, MATCH(TEXT($D27,"000000"), BASE_CCLASSTRIB!$A:$A, 0))/100, 0)</f>
        <v>0</v>
      </c>
    </row>
    <row r="28" spans="4:22" ht="32.25" customHeight="1">
      <c r="D28" s="39"/>
      <c r="E28" s="27" t="str">
        <f>IF(D28="","",LEFT(D28,3))</f>
        <v/>
      </c>
      <c r="F28" s="28" t="str">
        <f>IF(E28="","",IFERROR(VLOOKUP(E28,REGRAS_CST!$A$2:$B$200,2,FALSE),""))</f>
        <v/>
      </c>
      <c r="H28" s="29">
        <v>8.9999999999999993E-3</v>
      </c>
      <c r="I28" s="29">
        <v>1E-3</v>
      </c>
      <c r="J28" s="4"/>
      <c r="K28" s="21" t="str">
        <f>IF(E28="","",IFERROR(VLOOKUP(E28,REGRAS_CST!$A$2:$C$200,3,FALSE),""))</f>
        <v/>
      </c>
      <c r="L28" s="23" t="str">
        <f>IF($G28="", "", $G28*(1-$V28))</f>
        <v/>
      </c>
      <c r="M28" s="24" t="str">
        <f>IF(OR($L28="",$S28=""),"",$L28*$S28)</f>
        <v/>
      </c>
      <c r="N28" s="24" t="str">
        <f>IF(OR($L28="",$T28=""),"",$L28*$T28)</f>
        <v/>
      </c>
      <c r="O28" s="15" t="str">
        <f>IF(D28="","",
IF(AND(K28&lt;&gt;"SIM",V28&gt;0),"ERRO: % BC &gt; 0, mas NÃO permitida ❌",
IF(AND(K28="SIM",V28=0),"ATENÇÃO: BC permitida, mas % = 0 🔎",
"Base de cálculo aplicada corretamente ✅")))</f>
        <v/>
      </c>
      <c r="P28" s="31" t="str">
        <f>IF(D28="","",
IF(AND(Q28&lt;&gt;"SIM",U28&gt;0),"ERRO: % alíquota &gt; 0, mas NÃO permitida ❌",
IF(AND(Q28="SIM",U28=0),"ATENÇÃO: alíquota permitida, mas % = 0 🔎",
"Alíquota aplicada corretamente ✅")))</f>
        <v/>
      </c>
      <c r="Q28" s="8" t="str">
        <f>IF(E28="","",IFERROR(VLOOKUP(E28,REGRAS_CST!$A$2:$D$200,4,FALSE),""))</f>
        <v/>
      </c>
      <c r="R28" s="4"/>
      <c r="S28" s="9">
        <f>IF($H28="","",$H28*(1-$U28))</f>
        <v>8.9999999999999993E-3</v>
      </c>
      <c r="T28" s="9">
        <f>IF($I28="","",$I28*(1-$U28))</f>
        <v>1E-3</v>
      </c>
      <c r="U28" s="16">
        <f>IFERROR(INDEX(BASE_CCLASSTRIB!$E:$E, MATCH(TEXT($D28,"000000"), BASE_CCLASSTRIB!$A:$A, 0))/100, 0)</f>
        <v>0</v>
      </c>
      <c r="V28" s="16">
        <f>IFERROR(INDEX(BASE_CCLASSTRIB!$F:$F, MATCH(TEXT($D28,"000000"), BASE_CCLASSTRIB!$A:$A, 0))/100, 0)</f>
        <v>0</v>
      </c>
    </row>
    <row r="29" spans="4:22" ht="32.25" customHeight="1">
      <c r="D29" s="39"/>
      <c r="E29" s="27" t="str">
        <f>IF(D29="","",LEFT(D29,3))</f>
        <v/>
      </c>
      <c r="F29" s="28" t="str">
        <f>IF(E29="","",IFERROR(VLOOKUP(E29,REGRAS_CST!$A$2:$B$200,2,FALSE),""))</f>
        <v/>
      </c>
      <c r="H29" s="29">
        <v>8.9999999999999993E-3</v>
      </c>
      <c r="I29" s="29">
        <v>1E-3</v>
      </c>
      <c r="J29" s="4"/>
      <c r="K29" s="21" t="str">
        <f>IF(E29="","",IFERROR(VLOOKUP(E29,REGRAS_CST!$A$2:$C$200,3,FALSE),""))</f>
        <v/>
      </c>
      <c r="L29" s="23" t="str">
        <f>IF($G29="", "", $G29*(1-$V29))</f>
        <v/>
      </c>
      <c r="M29" s="24" t="str">
        <f>IF(OR($L29="",$S29=""),"",$L29*$S29)</f>
        <v/>
      </c>
      <c r="N29" s="24" t="str">
        <f>IF(OR($L29="",$T29=""),"",$L29*$T29)</f>
        <v/>
      </c>
      <c r="O29" s="15" t="str">
        <f>IF(D29="","",
IF(AND(K29&lt;&gt;"SIM",V29&gt;0),"ERRO: % BC &gt; 0, mas NÃO permitida ❌",
IF(AND(K29="SIM",V29=0),"ATENÇÃO: BC permitida, mas % = 0 🔎",
"Base de cálculo aplicada corretamente ✅")))</f>
        <v/>
      </c>
      <c r="P29" s="31" t="str">
        <f>IF(D29="","",
IF(AND(Q29&lt;&gt;"SIM",U29&gt;0),"ERRO: % alíquota &gt; 0, mas NÃO permitida ❌",
IF(AND(Q29="SIM",U29=0),"ATENÇÃO: alíquota permitida, mas % = 0 🔎",
"Alíquota aplicada corretamente ✅")))</f>
        <v/>
      </c>
      <c r="Q29" s="8" t="str">
        <f>IF(E29="","",IFERROR(VLOOKUP(E29,REGRAS_CST!$A$2:$D$200,4,FALSE),""))</f>
        <v/>
      </c>
      <c r="R29" s="4"/>
      <c r="S29" s="9">
        <f>IF($H29="","",$H29*(1-$U29))</f>
        <v>8.9999999999999993E-3</v>
      </c>
      <c r="T29" s="9">
        <f>IF($I29="","",$I29*(1-$U29))</f>
        <v>1E-3</v>
      </c>
      <c r="U29" s="16">
        <f>IFERROR(INDEX(BASE_CCLASSTRIB!$E:$E, MATCH(TEXT($D29,"000000"), BASE_CCLASSTRIB!$A:$A, 0))/100, 0)</f>
        <v>0</v>
      </c>
      <c r="V29" s="16">
        <f>IFERROR(INDEX(BASE_CCLASSTRIB!$F:$F, MATCH(TEXT($D29,"000000"), BASE_CCLASSTRIB!$A:$A, 0))/100, 0)</f>
        <v>0</v>
      </c>
    </row>
    <row r="30" spans="4:22" ht="32.25" customHeight="1">
      <c r="D30" s="39"/>
      <c r="E30" s="27" t="str">
        <f>IF(D30="","",LEFT(D30,3))</f>
        <v/>
      </c>
      <c r="F30" s="28" t="str">
        <f>IF(E30="","",IFERROR(VLOOKUP(E30,REGRAS_CST!$A$2:$B$200,2,FALSE),""))</f>
        <v/>
      </c>
      <c r="H30" s="29">
        <v>8.9999999999999993E-3</v>
      </c>
      <c r="I30" s="29">
        <v>1E-3</v>
      </c>
      <c r="J30" s="4"/>
      <c r="K30" s="21" t="str">
        <f>IF(E30="","",IFERROR(VLOOKUP(E30,REGRAS_CST!$A$2:$C$200,3,FALSE),""))</f>
        <v/>
      </c>
      <c r="L30" s="23" t="str">
        <f>IF($G30="", "", $G30*(1-$V30))</f>
        <v/>
      </c>
      <c r="M30" s="24" t="str">
        <f>IF(OR($L30="",$S30=""),"",$L30*$S30)</f>
        <v/>
      </c>
      <c r="N30" s="24" t="str">
        <f>IF(OR($L30="",$T30=""),"",$L30*$T30)</f>
        <v/>
      </c>
      <c r="O30" s="15" t="str">
        <f>IF(D30="","",
IF(AND(K30&lt;&gt;"SIM",V30&gt;0),"ERRO: % BC &gt; 0, mas NÃO permitida ❌",
IF(AND(K30="SIM",V30=0),"ATENÇÃO: BC permitida, mas % = 0 🔎",
"Base de cálculo aplicada corretamente ✅")))</f>
        <v/>
      </c>
      <c r="P30" s="31" t="str">
        <f>IF(D30="","",
IF(AND(Q30&lt;&gt;"SIM",U30&gt;0),"ERRO: % alíquota &gt; 0, mas NÃO permitida ❌",
IF(AND(Q30="SIM",U30=0),"ATENÇÃO: alíquota permitida, mas % = 0 🔎",
"Alíquota aplicada corretamente ✅")))</f>
        <v/>
      </c>
      <c r="Q30" s="8" t="str">
        <f>IF(E30="","",IFERROR(VLOOKUP(E30,REGRAS_CST!$A$2:$D$200,4,FALSE),""))</f>
        <v/>
      </c>
      <c r="R30" s="4"/>
      <c r="S30" s="9">
        <f>IF($H30="","",$H30*(1-$U30))</f>
        <v>8.9999999999999993E-3</v>
      </c>
      <c r="T30" s="9">
        <f>IF($I30="","",$I30*(1-$U30))</f>
        <v>1E-3</v>
      </c>
      <c r="U30" s="16">
        <f>IFERROR(INDEX(BASE_CCLASSTRIB!$E:$E, MATCH(TEXT($D30,"000000"), BASE_CCLASSTRIB!$A:$A, 0))/100, 0)</f>
        <v>0</v>
      </c>
      <c r="V30" s="16">
        <f>IFERROR(INDEX(BASE_CCLASSTRIB!$F:$F, MATCH(TEXT($D30,"000000"), BASE_CCLASSTRIB!$A:$A, 0))/100, 0)</f>
        <v>0</v>
      </c>
    </row>
    <row r="31" spans="4:22" ht="32.25" customHeight="1">
      <c r="D31" s="39"/>
      <c r="E31" s="27" t="str">
        <f>IF(D31="","",LEFT(D31,3))</f>
        <v/>
      </c>
      <c r="F31" s="28" t="str">
        <f>IF(E31="","",IFERROR(VLOOKUP(E31,REGRAS_CST!$A$2:$B$200,2,FALSE),""))</f>
        <v/>
      </c>
      <c r="H31" s="29">
        <v>8.9999999999999993E-3</v>
      </c>
      <c r="I31" s="29">
        <v>1E-3</v>
      </c>
      <c r="J31" s="4"/>
      <c r="K31" s="21" t="str">
        <f>IF(E31="","",IFERROR(VLOOKUP(E31,REGRAS_CST!$A$2:$C$200,3,FALSE),""))</f>
        <v/>
      </c>
      <c r="L31" s="23" t="str">
        <f>IF($G31="", "", $G31*(1-$V31))</f>
        <v/>
      </c>
      <c r="M31" s="24" t="str">
        <f>IF(OR($L31="",$S31=""),"",$L31*$S31)</f>
        <v/>
      </c>
      <c r="N31" s="24" t="str">
        <f>IF(OR($L31="",$T31=""),"",$L31*$T31)</f>
        <v/>
      </c>
      <c r="O31" s="15" t="str">
        <f>IF(D31="","",
IF(AND(K31&lt;&gt;"SIM",V31&gt;0),"ERRO: % BC &gt; 0, mas NÃO permitida ❌",
IF(AND(K31="SIM",V31=0),"ATENÇÃO: BC permitida, mas % = 0 🔎",
"Base de cálculo aplicada corretamente ✅")))</f>
        <v/>
      </c>
      <c r="P31" s="31" t="str">
        <f>IF(D31="","",
IF(AND(Q31&lt;&gt;"SIM",U31&gt;0),"ERRO: % alíquota &gt; 0, mas NÃO permitida ❌",
IF(AND(Q31="SIM",U31=0),"ATENÇÃO: alíquota permitida, mas % = 0 🔎",
"Alíquota aplicada corretamente ✅")))</f>
        <v/>
      </c>
      <c r="Q31" s="8" t="str">
        <f>IF(E31="","",IFERROR(VLOOKUP(E31,REGRAS_CST!$A$2:$D$200,4,FALSE),""))</f>
        <v/>
      </c>
      <c r="R31" s="4"/>
      <c r="S31" s="9">
        <f>IF($H31="","",$H31*(1-$U31))</f>
        <v>8.9999999999999993E-3</v>
      </c>
      <c r="T31" s="9">
        <f>IF($I31="","",$I31*(1-$U31))</f>
        <v>1E-3</v>
      </c>
      <c r="U31" s="16">
        <f>IFERROR(INDEX(BASE_CCLASSTRIB!$E:$E, MATCH(TEXT($D31,"000000"), BASE_CCLASSTRIB!$A:$A, 0))/100, 0)</f>
        <v>0</v>
      </c>
      <c r="V31" s="16">
        <f>IFERROR(INDEX(BASE_CCLASSTRIB!$F:$F, MATCH(TEXT($D31,"000000"), BASE_CCLASSTRIB!$A:$A, 0))/100, 0)</f>
        <v>0</v>
      </c>
    </row>
    <row r="32" spans="4:22" ht="32.25" customHeight="1">
      <c r="D32" s="39"/>
      <c r="E32" s="27" t="str">
        <f>IF(D32="","",LEFT(D32,3))</f>
        <v/>
      </c>
      <c r="F32" s="28" t="str">
        <f>IF(E32="","",IFERROR(VLOOKUP(E32,REGRAS_CST!$A$2:$B$200,2,FALSE),""))</f>
        <v/>
      </c>
      <c r="H32" s="29">
        <v>8.9999999999999993E-3</v>
      </c>
      <c r="I32" s="29">
        <v>1E-3</v>
      </c>
      <c r="J32" s="4"/>
      <c r="K32" s="21" t="str">
        <f>IF(E32="","",IFERROR(VLOOKUP(E32,REGRAS_CST!$A$2:$C$200,3,FALSE),""))</f>
        <v/>
      </c>
      <c r="L32" s="23" t="str">
        <f>IF($G32="", "", $G32*(1-$V32))</f>
        <v/>
      </c>
      <c r="M32" s="24" t="str">
        <f>IF(OR($L32="",$S32=""),"",$L32*$S32)</f>
        <v/>
      </c>
      <c r="N32" s="24" t="str">
        <f>IF(OR($L32="",$T32=""),"",$L32*$T32)</f>
        <v/>
      </c>
      <c r="O32" s="15" t="str">
        <f>IF(D32="","",
IF(AND(K32&lt;&gt;"SIM",V32&gt;0),"ERRO: % BC &gt; 0, mas NÃO permitida ❌",
IF(AND(K32="SIM",V32=0),"ATENÇÃO: BC permitida, mas % = 0 🔎",
"Base de cálculo aplicada corretamente ✅")))</f>
        <v/>
      </c>
      <c r="P32" s="31" t="str">
        <f>IF(D32="","",
IF(AND(Q32&lt;&gt;"SIM",U32&gt;0),"ERRO: % alíquota &gt; 0, mas NÃO permitida ❌",
IF(AND(Q32="SIM",U32=0),"ATENÇÃO: alíquota permitida, mas % = 0 🔎",
"Alíquota aplicada corretamente ✅")))</f>
        <v/>
      </c>
      <c r="Q32" s="8" t="str">
        <f>IF(E32="","",IFERROR(VLOOKUP(E32,REGRAS_CST!$A$2:$D$200,4,FALSE),""))</f>
        <v/>
      </c>
      <c r="R32" s="4"/>
      <c r="S32" s="9">
        <f>IF($H32="","",$H32*(1-$U32))</f>
        <v>8.9999999999999993E-3</v>
      </c>
      <c r="T32" s="9">
        <f>IF($I32="","",$I32*(1-$U32))</f>
        <v>1E-3</v>
      </c>
      <c r="U32" s="16">
        <f>IFERROR(INDEX(BASE_CCLASSTRIB!$E:$E, MATCH(TEXT($D32,"000000"), BASE_CCLASSTRIB!$A:$A, 0))/100, 0)</f>
        <v>0</v>
      </c>
      <c r="V32" s="16">
        <f>IFERROR(INDEX(BASE_CCLASSTRIB!$F:$F, MATCH(TEXT($D32,"000000"), BASE_CCLASSTRIB!$A:$A, 0))/100, 0)</f>
        <v>0</v>
      </c>
    </row>
    <row r="33" spans="4:22" ht="32.25" customHeight="1">
      <c r="D33" s="39"/>
      <c r="E33" s="27" t="str">
        <f>IF(D33="","",LEFT(D33,3))</f>
        <v/>
      </c>
      <c r="F33" s="28" t="str">
        <f>IF(E33="","",IFERROR(VLOOKUP(E33,REGRAS_CST!$A$2:$B$200,2,FALSE),""))</f>
        <v/>
      </c>
      <c r="H33" s="29">
        <v>8.9999999999999993E-3</v>
      </c>
      <c r="I33" s="29">
        <v>1E-3</v>
      </c>
      <c r="J33" s="4"/>
      <c r="K33" s="21" t="str">
        <f>IF(E33="","",IFERROR(VLOOKUP(E33,REGRAS_CST!$A$2:$C$200,3,FALSE),""))</f>
        <v/>
      </c>
      <c r="L33" s="23" t="str">
        <f>IF($G33="", "", $G33*(1-$V33))</f>
        <v/>
      </c>
      <c r="M33" s="24" t="str">
        <f>IF(OR($L33="",$S33=""),"",$L33*$S33)</f>
        <v/>
      </c>
      <c r="N33" s="24" t="str">
        <f>IF(OR($L33="",$T33=""),"",$L33*$T33)</f>
        <v/>
      </c>
      <c r="O33" s="15" t="str">
        <f>IF(D33="","",
IF(AND(K33&lt;&gt;"SIM",V33&gt;0),"ERRO: % BC &gt; 0, mas NÃO permitida ❌",
IF(AND(K33="SIM",V33=0),"ATENÇÃO: BC permitida, mas % = 0 🔎",
"Base de cálculo aplicada corretamente ✅")))</f>
        <v/>
      </c>
      <c r="P33" s="31" t="str">
        <f>IF(D33="","",
IF(AND(Q33&lt;&gt;"SIM",U33&gt;0),"ERRO: % alíquota &gt; 0, mas NÃO permitida ❌",
IF(AND(Q33="SIM",U33=0),"ATENÇÃO: alíquota permitida, mas % = 0 🔎",
"Alíquota aplicada corretamente ✅")))</f>
        <v/>
      </c>
      <c r="Q33" s="8" t="str">
        <f>IF(E33="","",IFERROR(VLOOKUP(E33,REGRAS_CST!$A$2:$D$200,4,FALSE),""))</f>
        <v/>
      </c>
      <c r="R33" s="4"/>
      <c r="S33" s="9">
        <f>IF($H33="","",$H33*(1-$U33))</f>
        <v>8.9999999999999993E-3</v>
      </c>
      <c r="T33" s="9">
        <f>IF($I33="","",$I33*(1-$U33))</f>
        <v>1E-3</v>
      </c>
      <c r="U33" s="16">
        <f>IFERROR(INDEX(BASE_CCLASSTRIB!$E:$E, MATCH(TEXT($D33,"000000"), BASE_CCLASSTRIB!$A:$A, 0))/100, 0)</f>
        <v>0</v>
      </c>
      <c r="V33" s="16">
        <f>IFERROR(INDEX(BASE_CCLASSTRIB!$F:$F, MATCH(TEXT($D33,"000000"), BASE_CCLASSTRIB!$A:$A, 0))/100, 0)</f>
        <v>0</v>
      </c>
    </row>
    <row r="34" spans="4:22" ht="32.25" customHeight="1">
      <c r="D34" s="39"/>
      <c r="E34" s="27" t="str">
        <f>IF(D34="","",LEFT(D34,3))</f>
        <v/>
      </c>
      <c r="F34" s="28" t="str">
        <f>IF(E34="","",IFERROR(VLOOKUP(E34,REGRAS_CST!$A$2:$B$200,2,FALSE),""))</f>
        <v/>
      </c>
      <c r="H34" s="29">
        <v>8.9999999999999993E-3</v>
      </c>
      <c r="I34" s="29">
        <v>1E-3</v>
      </c>
      <c r="J34" s="4"/>
      <c r="K34" s="21" t="str">
        <f>IF(E34="","",IFERROR(VLOOKUP(E34,REGRAS_CST!$A$2:$C$200,3,FALSE),""))</f>
        <v/>
      </c>
      <c r="L34" s="23" t="str">
        <f>IF($G34="", "", $G34*(1-$V34))</f>
        <v/>
      </c>
      <c r="M34" s="24" t="str">
        <f>IF(OR($L34="",$S34=""),"",$L34*$S34)</f>
        <v/>
      </c>
      <c r="N34" s="24" t="str">
        <f>IF(OR($L34="",$T34=""),"",$L34*$T34)</f>
        <v/>
      </c>
      <c r="O34" s="15" t="str">
        <f>IF(D34="","",
IF(AND(K34&lt;&gt;"SIM",V34&gt;0),"ERRO: % BC &gt; 0, mas NÃO permitida ❌",
IF(AND(K34="SIM",V34=0),"ATENÇÃO: BC permitida, mas % = 0 🔎",
"Base de cálculo aplicada corretamente ✅")))</f>
        <v/>
      </c>
      <c r="P34" s="31" t="str">
        <f>IF(D34="","",
IF(AND(Q34&lt;&gt;"SIM",U34&gt;0),"ERRO: % alíquota &gt; 0, mas NÃO permitida ❌",
IF(AND(Q34="SIM",U34=0),"ATENÇÃO: alíquota permitida, mas % = 0 🔎",
"Alíquota aplicada corretamente ✅")))</f>
        <v/>
      </c>
      <c r="Q34" s="8" t="str">
        <f>IF(E34="","",IFERROR(VLOOKUP(E34,REGRAS_CST!$A$2:$D$200,4,FALSE),""))</f>
        <v/>
      </c>
      <c r="R34" s="4"/>
      <c r="S34" s="9">
        <f>IF($H34="","",$H34*(1-$U34))</f>
        <v>8.9999999999999993E-3</v>
      </c>
      <c r="T34" s="9">
        <f>IF($I34="","",$I34*(1-$U34))</f>
        <v>1E-3</v>
      </c>
      <c r="U34" s="16">
        <f>IFERROR(INDEX(BASE_CCLASSTRIB!$E:$E, MATCH(TEXT($D34,"000000"), BASE_CCLASSTRIB!$A:$A, 0))/100, 0)</f>
        <v>0</v>
      </c>
      <c r="V34" s="16">
        <f>IFERROR(INDEX(BASE_CCLASSTRIB!$F:$F, MATCH(TEXT($D34,"000000"), BASE_CCLASSTRIB!$A:$A, 0))/100, 0)</f>
        <v>0</v>
      </c>
    </row>
    <row r="35" spans="4:22" ht="32.25" customHeight="1">
      <c r="D35" s="39"/>
      <c r="E35" s="27" t="str">
        <f>IF(D35="","",LEFT(D35,3))</f>
        <v/>
      </c>
      <c r="F35" s="28" t="str">
        <f>IF(E35="","",IFERROR(VLOOKUP(E35,REGRAS_CST!$A$2:$B$200,2,FALSE),""))</f>
        <v/>
      </c>
      <c r="H35" s="29">
        <v>8.9999999999999993E-3</v>
      </c>
      <c r="I35" s="29">
        <v>1E-3</v>
      </c>
      <c r="J35" s="4"/>
      <c r="K35" s="21" t="str">
        <f>IF(E35="","",IFERROR(VLOOKUP(E35,REGRAS_CST!$A$2:$C$200,3,FALSE),""))</f>
        <v/>
      </c>
      <c r="L35" s="23" t="str">
        <f>IF($G35="", "", $G35*(1-$V35))</f>
        <v/>
      </c>
      <c r="M35" s="24" t="str">
        <f>IF(OR($L35="",$S35=""),"",$L35*$S35)</f>
        <v/>
      </c>
      <c r="N35" s="24" t="str">
        <f>IF(OR($L35="",$T35=""),"",$L35*$T35)</f>
        <v/>
      </c>
      <c r="O35" s="15" t="str">
        <f>IF(D35="","",
IF(AND(K35&lt;&gt;"SIM",V35&gt;0),"ERRO: % BC &gt; 0, mas NÃO permitida ❌",
IF(AND(K35="SIM",V35=0),"ATENÇÃO: BC permitida, mas % = 0 🔎",
"Base de cálculo aplicada corretamente ✅")))</f>
        <v/>
      </c>
      <c r="P35" s="31" t="str">
        <f>IF(D35="","",
IF(AND(Q35&lt;&gt;"SIM",U35&gt;0),"ERRO: % alíquota &gt; 0, mas NÃO permitida ❌",
IF(AND(Q35="SIM",U35=0),"ATENÇÃO: alíquota permitida, mas % = 0 🔎",
"Alíquota aplicada corretamente ✅")))</f>
        <v/>
      </c>
      <c r="Q35" s="8" t="str">
        <f>IF(E35="","",IFERROR(VLOOKUP(E35,REGRAS_CST!$A$2:$D$200,4,FALSE),""))</f>
        <v/>
      </c>
      <c r="R35" s="4"/>
      <c r="S35" s="9">
        <f>IF($H35="","",$H35*(1-$U35))</f>
        <v>8.9999999999999993E-3</v>
      </c>
      <c r="T35" s="9">
        <f>IF($I35="","",$I35*(1-$U35))</f>
        <v>1E-3</v>
      </c>
      <c r="U35" s="16">
        <f>IFERROR(INDEX(BASE_CCLASSTRIB!$E:$E, MATCH(TEXT($D35,"000000"), BASE_CCLASSTRIB!$A:$A, 0))/100, 0)</f>
        <v>0</v>
      </c>
      <c r="V35" s="16">
        <f>IFERROR(INDEX(BASE_CCLASSTRIB!$F:$F, MATCH(TEXT($D35,"000000"), BASE_CCLASSTRIB!$A:$A, 0))/100, 0)</f>
        <v>0</v>
      </c>
    </row>
    <row r="36" spans="4:22" ht="32.25" customHeight="1">
      <c r="D36" s="39"/>
      <c r="E36" s="27" t="str">
        <f>IF(D36="","",LEFT(D36,3))</f>
        <v/>
      </c>
      <c r="F36" s="28" t="str">
        <f>IF(E36="","",IFERROR(VLOOKUP(E36,REGRAS_CST!$A$2:$B$200,2,FALSE),""))</f>
        <v/>
      </c>
      <c r="H36" s="29">
        <v>8.9999999999999993E-3</v>
      </c>
      <c r="I36" s="29">
        <v>1E-3</v>
      </c>
      <c r="J36" s="4"/>
      <c r="K36" s="21" t="str">
        <f>IF(E36="","",IFERROR(VLOOKUP(E36,REGRAS_CST!$A$2:$C$200,3,FALSE),""))</f>
        <v/>
      </c>
      <c r="L36" s="23" t="str">
        <f>IF($G36="", "", $G36*(1-$V36))</f>
        <v/>
      </c>
      <c r="M36" s="24" t="str">
        <f>IF(OR($L36="",$S36=""),"",$L36*$S36)</f>
        <v/>
      </c>
      <c r="N36" s="24" t="str">
        <f>IF(OR($L36="",$T36=""),"",$L36*$T36)</f>
        <v/>
      </c>
      <c r="O36" s="15" t="str">
        <f>IF(D36="","",
IF(AND(K36&lt;&gt;"SIM",V36&gt;0),"ERRO: % BC &gt; 0, mas NÃO permitida ❌",
IF(AND(K36="SIM",V36=0),"ATENÇÃO: BC permitida, mas % = 0 🔎",
"Base de cálculo aplicada corretamente ✅")))</f>
        <v/>
      </c>
      <c r="P36" s="31" t="str">
        <f>IF(D36="","",
IF(AND(Q36&lt;&gt;"SIM",U36&gt;0),"ERRO: % alíquota &gt; 0, mas NÃO permitida ❌",
IF(AND(Q36="SIM",U36=0),"ATENÇÃO: alíquota permitida, mas % = 0 🔎",
"Alíquota aplicada corretamente ✅")))</f>
        <v/>
      </c>
      <c r="Q36" s="8" t="str">
        <f>IF(E36="","",IFERROR(VLOOKUP(E36,REGRAS_CST!$A$2:$D$200,4,FALSE),""))</f>
        <v/>
      </c>
      <c r="R36" s="4"/>
      <c r="S36" s="9">
        <f>IF($H36="","",$H36*(1-$U36))</f>
        <v>8.9999999999999993E-3</v>
      </c>
      <c r="T36" s="9">
        <f>IF($I36="","",$I36*(1-$U36))</f>
        <v>1E-3</v>
      </c>
      <c r="U36" s="16">
        <f>IFERROR(INDEX(BASE_CCLASSTRIB!$E:$E, MATCH(TEXT($D36,"000000"), BASE_CCLASSTRIB!$A:$A, 0))/100, 0)</f>
        <v>0</v>
      </c>
      <c r="V36" s="16">
        <f>IFERROR(INDEX(BASE_CCLASSTRIB!$F:$F, MATCH(TEXT($D36,"000000"), BASE_CCLASSTRIB!$A:$A, 0))/100, 0)</f>
        <v>0</v>
      </c>
    </row>
    <row r="37" spans="4:22" ht="32.25" customHeight="1">
      <c r="D37" s="39"/>
      <c r="E37" s="27" t="str">
        <f>IF(D37="","",LEFT(D37,3))</f>
        <v/>
      </c>
      <c r="F37" s="28" t="str">
        <f>IF(E37="","",IFERROR(VLOOKUP(E37,REGRAS_CST!$A$2:$B$200,2,FALSE),""))</f>
        <v/>
      </c>
      <c r="H37" s="29">
        <v>8.9999999999999993E-3</v>
      </c>
      <c r="I37" s="29">
        <v>1E-3</v>
      </c>
      <c r="J37" s="4"/>
      <c r="K37" s="21" t="str">
        <f>IF(E37="","",IFERROR(VLOOKUP(E37,REGRAS_CST!$A$2:$C$200,3,FALSE),""))</f>
        <v/>
      </c>
      <c r="L37" s="23" t="str">
        <f>IF($G37="", "", $G37*(1-$V37))</f>
        <v/>
      </c>
      <c r="M37" s="24" t="str">
        <f>IF(OR($L37="",$S37=""),"",$L37*$S37)</f>
        <v/>
      </c>
      <c r="N37" s="24" t="str">
        <f>IF(OR($L37="",$T37=""),"",$L37*$T37)</f>
        <v/>
      </c>
      <c r="O37" s="15" t="str">
        <f>IF(D37="","",
IF(AND(K37&lt;&gt;"SIM",V37&gt;0),"ERRO: % BC &gt; 0, mas NÃO permitida ❌",
IF(AND(K37="SIM",V37=0),"ATENÇÃO: BC permitida, mas % = 0 🔎",
"Base de cálculo aplicada corretamente ✅")))</f>
        <v/>
      </c>
      <c r="P37" s="31" t="str">
        <f>IF(D37="","",
IF(AND(Q37&lt;&gt;"SIM",U37&gt;0),"ERRO: % alíquota &gt; 0, mas NÃO permitida ❌",
IF(AND(Q37="SIM",U37=0),"ATENÇÃO: alíquota permitida, mas % = 0 🔎",
"Alíquota aplicada corretamente ✅")))</f>
        <v/>
      </c>
      <c r="Q37" s="8" t="str">
        <f>IF(E37="","",IFERROR(VLOOKUP(E37,REGRAS_CST!$A$2:$D$200,4,FALSE),""))</f>
        <v/>
      </c>
      <c r="R37" s="4"/>
      <c r="S37" s="9">
        <f>IF($H37="","",$H37*(1-$U37))</f>
        <v>8.9999999999999993E-3</v>
      </c>
      <c r="T37" s="9">
        <f>IF($I37="","",$I37*(1-$U37))</f>
        <v>1E-3</v>
      </c>
      <c r="U37" s="16">
        <f>IFERROR(INDEX(BASE_CCLASSTRIB!$E:$E, MATCH(TEXT($D37,"000000"), BASE_CCLASSTRIB!$A:$A, 0))/100, 0)</f>
        <v>0</v>
      </c>
      <c r="V37" s="16">
        <f>IFERROR(INDEX(BASE_CCLASSTRIB!$F:$F, MATCH(TEXT($D37,"000000"), BASE_CCLASSTRIB!$A:$A, 0))/100, 0)</f>
        <v>0</v>
      </c>
    </row>
    <row r="38" spans="4:22" ht="32.25" customHeight="1">
      <c r="D38" s="39"/>
      <c r="E38" s="27" t="str">
        <f>IF(D38="","",LEFT(D38,3))</f>
        <v/>
      </c>
      <c r="F38" s="28" t="str">
        <f>IF(E38="","",IFERROR(VLOOKUP(E38,REGRAS_CST!$A$2:$B$200,2,FALSE),""))</f>
        <v/>
      </c>
      <c r="H38" s="29">
        <v>8.9999999999999993E-3</v>
      </c>
      <c r="I38" s="29">
        <v>1E-3</v>
      </c>
      <c r="J38" s="4"/>
      <c r="K38" s="21" t="str">
        <f>IF(E38="","",IFERROR(VLOOKUP(E38,REGRAS_CST!$A$2:$C$200,3,FALSE),""))</f>
        <v/>
      </c>
      <c r="L38" s="23" t="str">
        <f>IF($G38="", "", $G38*(1-$V38))</f>
        <v/>
      </c>
      <c r="M38" s="24" t="str">
        <f>IF(OR($L38="",$S38=""),"",$L38*$S38)</f>
        <v/>
      </c>
      <c r="N38" s="24" t="str">
        <f>IF(OR($L38="",$T38=""),"",$L38*$T38)</f>
        <v/>
      </c>
      <c r="O38" s="15" t="str">
        <f>IF(D38="","",
IF(AND(K38&lt;&gt;"SIM",V38&gt;0),"ERRO: % BC &gt; 0, mas NÃO permitida ❌",
IF(AND(K38="SIM",V38=0),"ATENÇÃO: BC permitida, mas % = 0 🔎",
"Base de cálculo aplicada corretamente ✅")))</f>
        <v/>
      </c>
      <c r="P38" s="31" t="str">
        <f>IF(D38="","",
IF(AND(Q38&lt;&gt;"SIM",U38&gt;0),"ERRO: % alíquota &gt; 0, mas NÃO permitida ❌",
IF(AND(Q38="SIM",U38=0),"ATENÇÃO: alíquota permitida, mas % = 0 🔎",
"Alíquota aplicada corretamente ✅")))</f>
        <v/>
      </c>
      <c r="Q38" s="8" t="str">
        <f>IF(E38="","",IFERROR(VLOOKUP(E38,REGRAS_CST!$A$2:$D$200,4,FALSE),""))</f>
        <v/>
      </c>
      <c r="R38" s="4"/>
      <c r="S38" s="9">
        <f>IF($H38="","",$H38*(1-$U38))</f>
        <v>8.9999999999999993E-3</v>
      </c>
      <c r="T38" s="9">
        <f>IF($I38="","",$I38*(1-$U38))</f>
        <v>1E-3</v>
      </c>
      <c r="U38" s="16">
        <f>IFERROR(INDEX(BASE_CCLASSTRIB!$E:$E, MATCH(TEXT($D38,"000000"), BASE_CCLASSTRIB!$A:$A, 0))/100, 0)</f>
        <v>0</v>
      </c>
      <c r="V38" s="16">
        <f>IFERROR(INDEX(BASE_CCLASSTRIB!$F:$F, MATCH(TEXT($D38,"000000"), BASE_CCLASSTRIB!$A:$A, 0))/100, 0)</f>
        <v>0</v>
      </c>
    </row>
    <row r="39" spans="4:22" ht="32.25" customHeight="1">
      <c r="D39" s="39"/>
      <c r="E39" s="27" t="str">
        <f>IF(D39="","",LEFT(D39,3))</f>
        <v/>
      </c>
      <c r="F39" s="28" t="str">
        <f>IF(E39="","",IFERROR(VLOOKUP(E39,REGRAS_CST!$A$2:$B$200,2,FALSE),""))</f>
        <v/>
      </c>
      <c r="H39" s="29">
        <v>8.9999999999999993E-3</v>
      </c>
      <c r="I39" s="29">
        <v>1E-3</v>
      </c>
      <c r="J39" s="4"/>
      <c r="K39" s="21" t="str">
        <f>IF(E39="","",IFERROR(VLOOKUP(E39,REGRAS_CST!$A$2:$C$200,3,FALSE),""))</f>
        <v/>
      </c>
      <c r="L39" s="23" t="str">
        <f>IF($G39="", "", $G39*(1-$V39))</f>
        <v/>
      </c>
      <c r="M39" s="24" t="str">
        <f>IF(OR($L39="",$S39=""),"",$L39*$S39)</f>
        <v/>
      </c>
      <c r="N39" s="24" t="str">
        <f>IF(OR($L39="",$T39=""),"",$L39*$T39)</f>
        <v/>
      </c>
      <c r="O39" s="15" t="str">
        <f>IF(D39="","",
IF(AND(K39&lt;&gt;"SIM",V39&gt;0),"ERRO: % BC &gt; 0, mas NÃO permitida ❌",
IF(AND(K39="SIM",V39=0),"ATENÇÃO: BC permitida, mas % = 0 🔎",
"Base de cálculo aplicada corretamente ✅")))</f>
        <v/>
      </c>
      <c r="P39" s="31" t="str">
        <f>IF(D39="","",
IF(AND(Q39&lt;&gt;"SIM",U39&gt;0),"ERRO: % alíquota &gt; 0, mas NÃO permitida ❌",
IF(AND(Q39="SIM",U39=0),"ATENÇÃO: alíquota permitida, mas % = 0 🔎",
"Alíquota aplicada corretamente ✅")))</f>
        <v/>
      </c>
      <c r="Q39" s="8" t="str">
        <f>IF(E39="","",IFERROR(VLOOKUP(E39,REGRAS_CST!$A$2:$D$200,4,FALSE),""))</f>
        <v/>
      </c>
      <c r="R39" s="4"/>
      <c r="S39" s="9">
        <f>IF($H39="","",$H39*(1-$U39))</f>
        <v>8.9999999999999993E-3</v>
      </c>
      <c r="T39" s="9">
        <f>IF($I39="","",$I39*(1-$U39))</f>
        <v>1E-3</v>
      </c>
      <c r="U39" s="16">
        <f>IFERROR(INDEX(BASE_CCLASSTRIB!$E:$E, MATCH(TEXT($D39,"000000"), BASE_CCLASSTRIB!$A:$A, 0))/100, 0)</f>
        <v>0</v>
      </c>
      <c r="V39" s="16">
        <f>IFERROR(INDEX(BASE_CCLASSTRIB!$F:$F, MATCH(TEXT($D39,"000000"), BASE_CCLASSTRIB!$A:$A, 0))/100, 0)</f>
        <v>0</v>
      </c>
    </row>
    <row r="40" spans="4:22" ht="32.25" customHeight="1">
      <c r="D40" s="39"/>
      <c r="E40" s="27" t="str">
        <f>IF(D40="","",LEFT(D40,3))</f>
        <v/>
      </c>
      <c r="F40" s="28" t="str">
        <f>IF(E40="","",IFERROR(VLOOKUP(E40,REGRAS_CST!$A$2:$B$200,2,FALSE),""))</f>
        <v/>
      </c>
      <c r="H40" s="29">
        <v>8.9999999999999993E-3</v>
      </c>
      <c r="I40" s="29">
        <v>1E-3</v>
      </c>
      <c r="J40" s="4"/>
      <c r="K40" s="21" t="str">
        <f>IF(E40="","",IFERROR(VLOOKUP(E40,REGRAS_CST!$A$2:$C$200,3,FALSE),""))</f>
        <v/>
      </c>
      <c r="L40" s="23" t="str">
        <f>IF($G40="", "", $G40*(1-$V40))</f>
        <v/>
      </c>
      <c r="M40" s="24" t="str">
        <f>IF(OR($L40="",$S40=""),"",$L40*$S40)</f>
        <v/>
      </c>
      <c r="N40" s="24" t="str">
        <f>IF(OR($L40="",$T40=""),"",$L40*$T40)</f>
        <v/>
      </c>
      <c r="O40" s="15" t="str">
        <f>IF(D40="","",
IF(AND(K40&lt;&gt;"SIM",V40&gt;0),"ERRO: % BC &gt; 0, mas NÃO permitida ❌",
IF(AND(K40="SIM",V40=0),"ATENÇÃO: BC permitida, mas % = 0 🔎",
"Base de cálculo aplicada corretamente ✅")))</f>
        <v/>
      </c>
      <c r="P40" s="31" t="str">
        <f>IF(D40="","",
IF(AND(Q40&lt;&gt;"SIM",U40&gt;0),"ERRO: % alíquota &gt; 0, mas NÃO permitida ❌",
IF(AND(Q40="SIM",U40=0),"ATENÇÃO: alíquota permitida, mas % = 0 🔎",
"Alíquota aplicada corretamente ✅")))</f>
        <v/>
      </c>
      <c r="Q40" s="8" t="str">
        <f>IF(E40="","",IFERROR(VLOOKUP(E40,REGRAS_CST!$A$2:$D$200,4,FALSE),""))</f>
        <v/>
      </c>
      <c r="R40" s="4"/>
      <c r="S40" s="9">
        <f>IF($H40="","",$H40*(1-$U40))</f>
        <v>8.9999999999999993E-3</v>
      </c>
      <c r="T40" s="9">
        <f>IF($I40="","",$I40*(1-$U40))</f>
        <v>1E-3</v>
      </c>
      <c r="U40" s="16">
        <f>IFERROR(INDEX(BASE_CCLASSTRIB!$E:$E, MATCH(TEXT($D40,"000000"), BASE_CCLASSTRIB!$A:$A, 0))/100, 0)</f>
        <v>0</v>
      </c>
      <c r="V40" s="16">
        <f>IFERROR(INDEX(BASE_CCLASSTRIB!$F:$F, MATCH(TEXT($D40,"000000"), BASE_CCLASSTRIB!$A:$A, 0))/100, 0)</f>
        <v>0</v>
      </c>
    </row>
    <row r="41" spans="4:22" ht="32.25" customHeight="1">
      <c r="D41" s="39"/>
      <c r="E41" s="27" t="str">
        <f>IF(D41="","",LEFT(D41,3))</f>
        <v/>
      </c>
      <c r="F41" s="28" t="str">
        <f>IF(E41="","",IFERROR(VLOOKUP(E41,REGRAS_CST!$A$2:$B$200,2,FALSE),""))</f>
        <v/>
      </c>
      <c r="H41" s="29">
        <v>8.9999999999999993E-3</v>
      </c>
      <c r="I41" s="29">
        <v>1E-3</v>
      </c>
      <c r="J41" s="4"/>
      <c r="K41" s="21" t="str">
        <f>IF(E41="","",IFERROR(VLOOKUP(E41,REGRAS_CST!$A$2:$C$200,3,FALSE),""))</f>
        <v/>
      </c>
      <c r="L41" s="23" t="str">
        <f>IF($G41="", "", $G41*(1-$V41))</f>
        <v/>
      </c>
      <c r="M41" s="24" t="str">
        <f>IF(OR($L41="",$S41=""),"",$L41*$S41)</f>
        <v/>
      </c>
      <c r="N41" s="24" t="str">
        <f>IF(OR($L41="",$T41=""),"",$L41*$T41)</f>
        <v/>
      </c>
      <c r="O41" s="15" t="str">
        <f>IF(D41="","",
IF(AND(K41&lt;&gt;"SIM",V41&gt;0),"ERRO: % BC &gt; 0, mas NÃO permitida ❌",
IF(AND(K41="SIM",V41=0),"ATENÇÃO: BC permitida, mas % = 0 🔎",
"Base de cálculo aplicada corretamente ✅")))</f>
        <v/>
      </c>
      <c r="P41" s="31" t="str">
        <f>IF(D41="","",
IF(AND(Q41&lt;&gt;"SIM",U41&gt;0),"ERRO: % alíquota &gt; 0, mas NÃO permitida ❌",
IF(AND(Q41="SIM",U41=0),"ATENÇÃO: alíquota permitida, mas % = 0 🔎",
"Alíquota aplicada corretamente ✅")))</f>
        <v/>
      </c>
      <c r="Q41" s="8" t="str">
        <f>IF(E41="","",IFERROR(VLOOKUP(E41,REGRAS_CST!$A$2:$D$200,4,FALSE),""))</f>
        <v/>
      </c>
      <c r="R41" s="4"/>
      <c r="S41" s="9">
        <f>IF($H41="","",$H41*(1-$U41))</f>
        <v>8.9999999999999993E-3</v>
      </c>
      <c r="T41" s="9">
        <f>IF($I41="","",$I41*(1-$U41))</f>
        <v>1E-3</v>
      </c>
      <c r="U41" s="16">
        <f>IFERROR(INDEX(BASE_CCLASSTRIB!$E:$E, MATCH(TEXT($D41,"000000"), BASE_CCLASSTRIB!$A:$A, 0))/100, 0)</f>
        <v>0</v>
      </c>
      <c r="V41" s="16">
        <f>IFERROR(INDEX(BASE_CCLASSTRIB!$F:$F, MATCH(TEXT($D41,"000000"), BASE_CCLASSTRIB!$A:$A, 0))/100, 0)</f>
        <v>0</v>
      </c>
    </row>
    <row r="42" spans="4:22" ht="32.25" customHeight="1">
      <c r="D42" s="39"/>
      <c r="E42" s="27" t="str">
        <f>IF(D42="","",LEFT(D42,3))</f>
        <v/>
      </c>
      <c r="F42" s="28" t="str">
        <f>IF(E42="","",IFERROR(VLOOKUP(E42,REGRAS_CST!$A$2:$B$200,2,FALSE),""))</f>
        <v/>
      </c>
      <c r="H42" s="29">
        <v>8.9999999999999993E-3</v>
      </c>
      <c r="I42" s="29">
        <v>1E-3</v>
      </c>
      <c r="J42" s="4"/>
      <c r="K42" s="21" t="str">
        <f>IF(E42="","",IFERROR(VLOOKUP(E42,REGRAS_CST!$A$2:$C$200,3,FALSE),""))</f>
        <v/>
      </c>
      <c r="L42" s="23" t="str">
        <f>IF($G42="", "", $G42*(1-$V42))</f>
        <v/>
      </c>
      <c r="M42" s="24" t="str">
        <f>IF(OR($L42="",$S42=""),"",$L42*$S42)</f>
        <v/>
      </c>
      <c r="N42" s="24" t="str">
        <f>IF(OR($L42="",$T42=""),"",$L42*$T42)</f>
        <v/>
      </c>
      <c r="O42" s="15" t="str">
        <f>IF(D42="","",
IF(AND(K42&lt;&gt;"SIM",V42&gt;0),"ERRO: % BC &gt; 0, mas NÃO permitida ❌",
IF(AND(K42="SIM",V42=0),"ATENÇÃO: BC permitida, mas % = 0 🔎",
"Base de cálculo aplicada corretamente ✅")))</f>
        <v/>
      </c>
      <c r="P42" s="31" t="str">
        <f>IF(D42="","",
IF(AND(Q42&lt;&gt;"SIM",U42&gt;0),"ERRO: % alíquota &gt; 0, mas NÃO permitida ❌",
IF(AND(Q42="SIM",U42=0),"ATENÇÃO: alíquota permitida, mas % = 0 🔎",
"Alíquota aplicada corretamente ✅")))</f>
        <v/>
      </c>
      <c r="Q42" s="8" t="str">
        <f>IF(E42="","",IFERROR(VLOOKUP(E42,REGRAS_CST!$A$2:$D$200,4,FALSE),""))</f>
        <v/>
      </c>
      <c r="R42" s="4"/>
      <c r="S42" s="9">
        <f>IF($H42="","",$H42*(1-$U42))</f>
        <v>8.9999999999999993E-3</v>
      </c>
      <c r="T42" s="9">
        <f>IF($I42="","",$I42*(1-$U42))</f>
        <v>1E-3</v>
      </c>
      <c r="U42" s="16">
        <f>IFERROR(INDEX(BASE_CCLASSTRIB!$E:$E, MATCH(TEXT($D42,"000000"), BASE_CCLASSTRIB!$A:$A, 0))/100, 0)</f>
        <v>0</v>
      </c>
      <c r="V42" s="16">
        <f>IFERROR(INDEX(BASE_CCLASSTRIB!$F:$F, MATCH(TEXT($D42,"000000"), BASE_CCLASSTRIB!$A:$A, 0))/100, 0)</f>
        <v>0</v>
      </c>
    </row>
    <row r="43" spans="4:22" ht="32.25" customHeight="1">
      <c r="D43" s="39"/>
      <c r="E43" s="27" t="str">
        <f>IF(D43="","",LEFT(D43,3))</f>
        <v/>
      </c>
      <c r="F43" s="28" t="str">
        <f>IF(E43="","",IFERROR(VLOOKUP(E43,REGRAS_CST!$A$2:$B$200,2,FALSE),""))</f>
        <v/>
      </c>
      <c r="H43" s="29">
        <v>8.9999999999999993E-3</v>
      </c>
      <c r="I43" s="29">
        <v>1E-3</v>
      </c>
      <c r="J43" s="4"/>
      <c r="K43" s="21" t="str">
        <f>IF(E43="","",IFERROR(VLOOKUP(E43,REGRAS_CST!$A$2:$C$200,3,FALSE),""))</f>
        <v/>
      </c>
      <c r="L43" s="23" t="str">
        <f>IF($G43="", "", $G43*(1-$V43))</f>
        <v/>
      </c>
      <c r="M43" s="24" t="str">
        <f>IF(OR($L43="",$S43=""),"",$L43*$S43)</f>
        <v/>
      </c>
      <c r="N43" s="24" t="str">
        <f>IF(OR($L43="",$T43=""),"",$L43*$T43)</f>
        <v/>
      </c>
      <c r="O43" s="15" t="str">
        <f>IF(D43="","",
IF(AND(K43&lt;&gt;"SIM",V43&gt;0),"ERRO: % BC &gt; 0, mas NÃO permitida ❌",
IF(AND(K43="SIM",V43=0),"ATENÇÃO: BC permitida, mas % = 0 🔎",
"Base de cálculo aplicada corretamente ✅")))</f>
        <v/>
      </c>
      <c r="P43" s="31" t="str">
        <f>IF(D43="","",
IF(AND(Q43&lt;&gt;"SIM",U43&gt;0),"ERRO: % alíquota &gt; 0, mas NÃO permitida ❌",
IF(AND(Q43="SIM",U43=0),"ATENÇÃO: alíquota permitida, mas % = 0 🔎",
"Alíquota aplicada corretamente ✅")))</f>
        <v/>
      </c>
      <c r="Q43" s="8" t="str">
        <f>IF(E43="","",IFERROR(VLOOKUP(E43,REGRAS_CST!$A$2:$D$200,4,FALSE),""))</f>
        <v/>
      </c>
      <c r="R43" s="4"/>
      <c r="S43" s="9">
        <f>IF($H43="","",$H43*(1-$U43))</f>
        <v>8.9999999999999993E-3</v>
      </c>
      <c r="T43" s="9">
        <f>IF($I43="","",$I43*(1-$U43))</f>
        <v>1E-3</v>
      </c>
      <c r="U43" s="16">
        <f>IFERROR(INDEX(BASE_CCLASSTRIB!$E:$E, MATCH(TEXT($D43,"000000"), BASE_CCLASSTRIB!$A:$A, 0))/100, 0)</f>
        <v>0</v>
      </c>
      <c r="V43" s="16">
        <f>IFERROR(INDEX(BASE_CCLASSTRIB!$F:$F, MATCH(TEXT($D43,"000000"), BASE_CCLASSTRIB!$A:$A, 0))/100, 0)</f>
        <v>0</v>
      </c>
    </row>
    <row r="44" spans="4:22" ht="32.25" customHeight="1">
      <c r="D44" s="39"/>
      <c r="E44" s="27" t="str">
        <f>IF(D44="","",LEFT(D44,3))</f>
        <v/>
      </c>
      <c r="F44" s="28" t="str">
        <f>IF(E44="","",IFERROR(VLOOKUP(E44,REGRAS_CST!$A$2:$B$200,2,FALSE),""))</f>
        <v/>
      </c>
      <c r="H44" s="29">
        <v>8.9999999999999993E-3</v>
      </c>
      <c r="I44" s="29">
        <v>1E-3</v>
      </c>
      <c r="J44" s="4"/>
      <c r="K44" s="21" t="str">
        <f>IF(E44="","",IFERROR(VLOOKUP(E44,REGRAS_CST!$A$2:$C$200,3,FALSE),""))</f>
        <v/>
      </c>
      <c r="L44" s="23" t="str">
        <f>IF($G44="", "", $G44*(1-$V44))</f>
        <v/>
      </c>
      <c r="M44" s="24" t="str">
        <f>IF(OR($L44="",$S44=""),"",$L44*$S44)</f>
        <v/>
      </c>
      <c r="N44" s="24" t="str">
        <f>IF(OR($L44="",$T44=""),"",$L44*$T44)</f>
        <v/>
      </c>
      <c r="O44" s="15" t="str">
        <f>IF(D44="","",
IF(AND(K44&lt;&gt;"SIM",V44&gt;0),"ERRO: % BC &gt; 0, mas NÃO permitida ❌",
IF(AND(K44="SIM",V44=0),"ATENÇÃO: BC permitida, mas % = 0 🔎",
"Base de cálculo aplicada corretamente ✅")))</f>
        <v/>
      </c>
      <c r="P44" s="31" t="str">
        <f>IF(D44="","",
IF(AND(Q44&lt;&gt;"SIM",U44&gt;0),"ERRO: % alíquota &gt; 0, mas NÃO permitida ❌",
IF(AND(Q44="SIM",U44=0),"ATENÇÃO: alíquota permitida, mas % = 0 🔎",
"Alíquota aplicada corretamente ✅")))</f>
        <v/>
      </c>
      <c r="Q44" s="8" t="str">
        <f>IF(E44="","",IFERROR(VLOOKUP(E44,REGRAS_CST!$A$2:$D$200,4,FALSE),""))</f>
        <v/>
      </c>
      <c r="R44" s="4"/>
      <c r="S44" s="9">
        <f>IF($H44="","",$H44*(1-$U44))</f>
        <v>8.9999999999999993E-3</v>
      </c>
      <c r="T44" s="9">
        <f>IF($I44="","",$I44*(1-$U44))</f>
        <v>1E-3</v>
      </c>
      <c r="U44" s="16">
        <f>IFERROR(INDEX(BASE_CCLASSTRIB!$E:$E, MATCH(TEXT($D44,"000000"), BASE_CCLASSTRIB!$A:$A, 0))/100, 0)</f>
        <v>0</v>
      </c>
      <c r="V44" s="16">
        <f>IFERROR(INDEX(BASE_CCLASSTRIB!$F:$F, MATCH(TEXT($D44,"000000"), BASE_CCLASSTRIB!$A:$A, 0))/100, 0)</f>
        <v>0</v>
      </c>
    </row>
    <row r="45" spans="4:22" ht="32.25" customHeight="1">
      <c r="D45" s="39"/>
      <c r="E45" s="27" t="str">
        <f>IF(D45="","",LEFT(D45,3))</f>
        <v/>
      </c>
      <c r="F45" s="28" t="str">
        <f>IF(E45="","",IFERROR(VLOOKUP(E45,REGRAS_CST!$A$2:$B$200,2,FALSE),""))</f>
        <v/>
      </c>
      <c r="H45" s="29">
        <v>8.9999999999999993E-3</v>
      </c>
      <c r="I45" s="29">
        <v>1E-3</v>
      </c>
      <c r="J45" s="4"/>
      <c r="K45" s="21" t="str">
        <f>IF(E45="","",IFERROR(VLOOKUP(E45,REGRAS_CST!$A$2:$C$200,3,FALSE),""))</f>
        <v/>
      </c>
      <c r="L45" s="23" t="str">
        <f>IF($G45="", "", $G45*(1-$V45))</f>
        <v/>
      </c>
      <c r="M45" s="24" t="str">
        <f>IF(OR($L45="",$S45=""),"",$L45*$S45)</f>
        <v/>
      </c>
      <c r="N45" s="24" t="str">
        <f>IF(OR($L45="",$T45=""),"",$L45*$T45)</f>
        <v/>
      </c>
      <c r="O45" s="15" t="str">
        <f>IF(D45="","",
IF(AND(K45&lt;&gt;"SIM",V45&gt;0),"ERRO: % BC &gt; 0, mas NÃO permitida ❌",
IF(AND(K45="SIM",V45=0),"ATENÇÃO: BC permitida, mas % = 0 🔎",
"Base de cálculo aplicada corretamente ✅")))</f>
        <v/>
      </c>
      <c r="P45" s="31" t="str">
        <f>IF(D45="","",
IF(AND(Q45&lt;&gt;"SIM",U45&gt;0),"ERRO: % alíquota &gt; 0, mas NÃO permitida ❌",
IF(AND(Q45="SIM",U45=0),"ATENÇÃO: alíquota permitida, mas % = 0 🔎",
"Alíquota aplicada corretamente ✅")))</f>
        <v/>
      </c>
      <c r="Q45" s="8" t="str">
        <f>IF(E45="","",IFERROR(VLOOKUP(E45,REGRAS_CST!$A$2:$D$200,4,FALSE),""))</f>
        <v/>
      </c>
      <c r="R45" s="4"/>
      <c r="S45" s="9">
        <f>IF($H45="","",$H45*(1-$U45))</f>
        <v>8.9999999999999993E-3</v>
      </c>
      <c r="T45" s="9">
        <f>IF($I45="","",$I45*(1-$U45))</f>
        <v>1E-3</v>
      </c>
      <c r="U45" s="16">
        <f>IFERROR(INDEX(BASE_CCLASSTRIB!$E:$E, MATCH(TEXT($D45,"000000"), BASE_CCLASSTRIB!$A:$A, 0))/100, 0)</f>
        <v>0</v>
      </c>
      <c r="V45" s="16">
        <f>IFERROR(INDEX(BASE_CCLASSTRIB!$F:$F, MATCH(TEXT($D45,"000000"), BASE_CCLASSTRIB!$A:$A, 0))/100, 0)</f>
        <v>0</v>
      </c>
    </row>
    <row r="46" spans="4:22" ht="32.25" customHeight="1">
      <c r="D46" s="39"/>
      <c r="E46" s="27" t="str">
        <f>IF(D46="","",LEFT(D46,3))</f>
        <v/>
      </c>
      <c r="F46" s="28" t="str">
        <f>IF(E46="","",IFERROR(VLOOKUP(E46,REGRAS_CST!$A$2:$B$200,2,FALSE),""))</f>
        <v/>
      </c>
      <c r="H46" s="29">
        <v>8.9999999999999993E-3</v>
      </c>
      <c r="I46" s="29">
        <v>1E-3</v>
      </c>
      <c r="J46" s="4"/>
      <c r="K46" s="21" t="str">
        <f>IF(E46="","",IFERROR(VLOOKUP(E46,REGRAS_CST!$A$2:$C$200,3,FALSE),""))</f>
        <v/>
      </c>
      <c r="L46" s="23" t="str">
        <f>IF($G46="", "", $G46*(1-$V46))</f>
        <v/>
      </c>
      <c r="M46" s="24" t="str">
        <f>IF(OR($L46="",$S46=""),"",$L46*$S46)</f>
        <v/>
      </c>
      <c r="N46" s="24" t="str">
        <f>IF(OR($L46="",$T46=""),"",$L46*$T46)</f>
        <v/>
      </c>
      <c r="O46" s="15" t="str">
        <f>IF(D46="","",
IF(AND(K46&lt;&gt;"SIM",V46&gt;0),"ERRO: % BC &gt; 0, mas NÃO permitida ❌",
IF(AND(K46="SIM",V46=0),"ATENÇÃO: BC permitida, mas % = 0 🔎",
"Base de cálculo aplicada corretamente ✅")))</f>
        <v/>
      </c>
      <c r="P46" s="31" t="str">
        <f>IF(D46="","",
IF(AND(Q46&lt;&gt;"SIM",U46&gt;0),"ERRO: % alíquota &gt; 0, mas NÃO permitida ❌",
IF(AND(Q46="SIM",U46=0),"ATENÇÃO: alíquota permitida, mas % = 0 🔎",
"Alíquota aplicada corretamente ✅")))</f>
        <v/>
      </c>
      <c r="Q46" s="8" t="str">
        <f>IF(E46="","",IFERROR(VLOOKUP(E46,REGRAS_CST!$A$2:$D$200,4,FALSE),""))</f>
        <v/>
      </c>
      <c r="R46" s="4"/>
      <c r="S46" s="9">
        <f>IF($H46="","",$H46*(1-$U46))</f>
        <v>8.9999999999999993E-3</v>
      </c>
      <c r="T46" s="9">
        <f>IF($I46="","",$I46*(1-$U46))</f>
        <v>1E-3</v>
      </c>
      <c r="U46" s="16">
        <f>IFERROR(INDEX(BASE_CCLASSTRIB!$E:$E, MATCH(TEXT($D46,"000000"), BASE_CCLASSTRIB!$A:$A, 0))/100, 0)</f>
        <v>0</v>
      </c>
      <c r="V46" s="16">
        <f>IFERROR(INDEX(BASE_CCLASSTRIB!$F:$F, MATCH(TEXT($D46,"000000"), BASE_CCLASSTRIB!$A:$A, 0))/100, 0)</f>
        <v>0</v>
      </c>
    </row>
    <row r="47" spans="4:22" ht="32.25" customHeight="1">
      <c r="D47" s="39"/>
      <c r="E47" s="27" t="str">
        <f>IF(D47="","",LEFT(D47,3))</f>
        <v/>
      </c>
      <c r="F47" s="28" t="str">
        <f>IF(E47="","",IFERROR(VLOOKUP(E47,REGRAS_CST!$A$2:$B$200,2,FALSE),""))</f>
        <v/>
      </c>
      <c r="H47" s="29">
        <v>8.9999999999999993E-3</v>
      </c>
      <c r="I47" s="29">
        <v>1E-3</v>
      </c>
      <c r="J47" s="4"/>
      <c r="K47" s="21" t="str">
        <f>IF(E47="","",IFERROR(VLOOKUP(E47,REGRAS_CST!$A$2:$C$200,3,FALSE),""))</f>
        <v/>
      </c>
      <c r="L47" s="23" t="str">
        <f>IF($G47="", "", $G47*(1-$V47))</f>
        <v/>
      </c>
      <c r="M47" s="24" t="str">
        <f>IF(OR($L47="",$S47=""),"",$L47*$S47)</f>
        <v/>
      </c>
      <c r="N47" s="24" t="str">
        <f>IF(OR($L47="",$T47=""),"",$L47*$T47)</f>
        <v/>
      </c>
      <c r="O47" s="15" t="str">
        <f>IF(D47="","",
IF(AND(K47&lt;&gt;"SIM",V47&gt;0),"ERRO: % BC &gt; 0, mas NÃO permitida ❌",
IF(AND(K47="SIM",V47=0),"ATENÇÃO: BC permitida, mas % = 0 🔎",
"Base de cálculo aplicada corretamente ✅")))</f>
        <v/>
      </c>
      <c r="P47" s="31" t="str">
        <f>IF(D47="","",
IF(AND(Q47&lt;&gt;"SIM",U47&gt;0),"ERRO: % alíquota &gt; 0, mas NÃO permitida ❌",
IF(AND(Q47="SIM",U47=0),"ATENÇÃO: alíquota permitida, mas % = 0 🔎",
"Alíquota aplicada corretamente ✅")))</f>
        <v/>
      </c>
      <c r="Q47" s="8" t="str">
        <f>IF(E47="","",IFERROR(VLOOKUP(E47,REGRAS_CST!$A$2:$D$200,4,FALSE),""))</f>
        <v/>
      </c>
      <c r="R47" s="4"/>
      <c r="S47" s="9">
        <f>IF($H47="","",$H47*(1-$U47))</f>
        <v>8.9999999999999993E-3</v>
      </c>
      <c r="T47" s="9">
        <f>IF($I47="","",$I47*(1-$U47))</f>
        <v>1E-3</v>
      </c>
      <c r="U47" s="16">
        <f>IFERROR(INDEX(BASE_CCLASSTRIB!$E:$E, MATCH(TEXT($D47,"000000"), BASE_CCLASSTRIB!$A:$A, 0))/100, 0)</f>
        <v>0</v>
      </c>
      <c r="V47" s="16">
        <f>IFERROR(INDEX(BASE_CCLASSTRIB!$F:$F, MATCH(TEXT($D47,"000000"), BASE_CCLASSTRIB!$A:$A, 0))/100, 0)</f>
        <v>0</v>
      </c>
    </row>
    <row r="48" spans="4:22" ht="32.25" customHeight="1">
      <c r="D48" s="39"/>
      <c r="E48" s="27" t="str">
        <f>IF(D48="","",LEFT(D48,3))</f>
        <v/>
      </c>
      <c r="F48" s="28" t="str">
        <f>IF(E48="","",IFERROR(VLOOKUP(E48,REGRAS_CST!$A$2:$B$200,2,FALSE),""))</f>
        <v/>
      </c>
      <c r="H48" s="29">
        <v>8.9999999999999993E-3</v>
      </c>
      <c r="I48" s="29">
        <v>1E-3</v>
      </c>
      <c r="J48" s="4"/>
      <c r="K48" s="21" t="str">
        <f>IF(E48="","",IFERROR(VLOOKUP(E48,REGRAS_CST!$A$2:$C$200,3,FALSE),""))</f>
        <v/>
      </c>
      <c r="L48" s="23" t="str">
        <f>IF($G48="", "", $G48*(1-$V48))</f>
        <v/>
      </c>
      <c r="M48" s="24" t="str">
        <f>IF(OR($L48="",$S48=""),"",$L48*$S48)</f>
        <v/>
      </c>
      <c r="N48" s="24" t="str">
        <f>IF(OR($L48="",$T48=""),"",$L48*$T48)</f>
        <v/>
      </c>
      <c r="O48" s="15" t="str">
        <f>IF(D48="","",
IF(AND(K48&lt;&gt;"SIM",V48&gt;0),"ERRO: % BC &gt; 0, mas NÃO permitida ❌",
IF(AND(K48="SIM",V48=0),"ATENÇÃO: BC permitida, mas % = 0 🔎",
"Base de cálculo aplicada corretamente ✅")))</f>
        <v/>
      </c>
      <c r="P48" s="31" t="str">
        <f>IF(D48="","",
IF(AND(Q48&lt;&gt;"SIM",U48&gt;0),"ERRO: % alíquota &gt; 0, mas NÃO permitida ❌",
IF(AND(Q48="SIM",U48=0),"ATENÇÃO: alíquota permitida, mas % = 0 🔎",
"Alíquota aplicada corretamente ✅")))</f>
        <v/>
      </c>
      <c r="Q48" s="8" t="str">
        <f>IF(E48="","",IFERROR(VLOOKUP(E48,REGRAS_CST!$A$2:$D$200,4,FALSE),""))</f>
        <v/>
      </c>
      <c r="R48" s="4"/>
      <c r="S48" s="9">
        <f>IF($H48="","",$H48*(1-$U48))</f>
        <v>8.9999999999999993E-3</v>
      </c>
      <c r="T48" s="9">
        <f>IF($I48="","",$I48*(1-$U48))</f>
        <v>1E-3</v>
      </c>
      <c r="U48" s="16">
        <f>IFERROR(INDEX(BASE_CCLASSTRIB!$E:$E, MATCH(TEXT($D48,"000000"), BASE_CCLASSTRIB!$A:$A, 0))/100, 0)</f>
        <v>0</v>
      </c>
      <c r="V48" s="16">
        <f>IFERROR(INDEX(BASE_CCLASSTRIB!$F:$F, MATCH(TEXT($D48,"000000"), BASE_CCLASSTRIB!$A:$A, 0))/100, 0)</f>
        <v>0</v>
      </c>
    </row>
    <row r="49" spans="4:22" ht="32.25" customHeight="1">
      <c r="D49" s="40"/>
      <c r="E49" s="27" t="str">
        <f>IF(D49="","",LEFT(D49,3))</f>
        <v/>
      </c>
      <c r="F49" s="28" t="str">
        <f>IF(E49="","",IFERROR(VLOOKUP(E49,REGRAS_CST!$A$2:$B$200,2,FALSE),""))</f>
        <v/>
      </c>
      <c r="H49" s="29">
        <v>8.9999999999999993E-3</v>
      </c>
      <c r="I49" s="29">
        <v>1E-3</v>
      </c>
      <c r="J49" s="4"/>
      <c r="K49" s="21" t="str">
        <f>IF(E49="","",IFERROR(VLOOKUP(E49,REGRAS_CST!$A$2:$C$200,3,FALSE),""))</f>
        <v/>
      </c>
      <c r="L49" s="23" t="str">
        <f>IF($G49="", "", $G49*(1-$V49))</f>
        <v/>
      </c>
      <c r="M49" s="24" t="str">
        <f>IF(OR($L49="",$S49=""),"",$L49*$S49)</f>
        <v/>
      </c>
      <c r="N49" s="24" t="str">
        <f>IF(OR($L49="",$T49=""),"",$L49*$T49)</f>
        <v/>
      </c>
      <c r="O49" s="15" t="str">
        <f>IF(D49="","",
IF(AND(K49&lt;&gt;"SIM",V49&gt;0),"ERRO: % BC &gt; 0, mas NÃO permitida ❌",
IF(AND(K49="SIM",V49=0),"ATENÇÃO: BC permitida, mas % = 0 🔎",
"Base de cálculo aplicada corretamente ✅")))</f>
        <v/>
      </c>
      <c r="P49" s="31" t="str">
        <f>IF(D49="","",
IF(AND(Q49&lt;&gt;"SIM",U49&gt;0),"ERRO: % alíquota &gt; 0, mas NÃO permitida ❌",
IF(AND(Q49="SIM",U49=0),"ATENÇÃO: alíquota permitida, mas % = 0 🔎",
"Alíquota aplicada corretamente ✅")))</f>
        <v/>
      </c>
      <c r="Q49" s="8" t="str">
        <f>IF(E49="","",IFERROR(VLOOKUP(E49,REGRAS_CST!$A$2:$D$200,4,FALSE),""))</f>
        <v/>
      </c>
      <c r="R49" s="4"/>
      <c r="S49" s="9">
        <f>IF($H49="","",$H49*(1-$U49))</f>
        <v>8.9999999999999993E-3</v>
      </c>
      <c r="T49" s="9">
        <f>IF($I49="","",$I49*(1-$U49))</f>
        <v>1E-3</v>
      </c>
      <c r="U49" s="16">
        <f>IFERROR(INDEX(BASE_CCLASSTRIB!$E:$E, MATCH(TEXT($D49,"000000"), BASE_CCLASSTRIB!$A:$A, 0))/100, 0)</f>
        <v>0</v>
      </c>
      <c r="V49" s="16">
        <f>IFERROR(INDEX(BASE_CCLASSTRIB!$F:$F, MATCH(TEXT($D49,"000000"), BASE_CCLASSTRIB!$A:$A, 0))/100, 0)</f>
        <v>0</v>
      </c>
    </row>
    <row r="50" spans="4:22" ht="32.25" customHeight="1">
      <c r="D50" s="39"/>
      <c r="E50" s="27" t="str">
        <f>IF(D50="","",LEFT(D50,3))</f>
        <v/>
      </c>
      <c r="F50" s="28" t="str">
        <f>IF(E50="","",IFERROR(VLOOKUP(E50,REGRAS_CST!$A$2:$B$200,2,FALSE),""))</f>
        <v/>
      </c>
      <c r="H50" s="29">
        <v>8.9999999999999993E-3</v>
      </c>
      <c r="I50" s="29">
        <v>1E-3</v>
      </c>
      <c r="J50" s="4"/>
      <c r="K50" s="21" t="str">
        <f>IF(E50="","",IFERROR(VLOOKUP(E50,REGRAS_CST!$A$2:$C$200,3,FALSE),""))</f>
        <v/>
      </c>
      <c r="L50" s="23" t="str">
        <f>IF($G50="", "", $G50*(1-$V50))</f>
        <v/>
      </c>
      <c r="M50" s="24" t="str">
        <f>IF(OR($L50="",$S50=""),"",$L50*$S50)</f>
        <v/>
      </c>
      <c r="N50" s="24" t="str">
        <f>IF(OR($L50="",$T50=""),"",$L50*$T50)</f>
        <v/>
      </c>
      <c r="O50" s="15" t="str">
        <f>IF(D50="","",
IF(AND(K50&lt;&gt;"SIM",V50&gt;0),"ERRO: % BC &gt; 0, mas NÃO permitida ❌",
IF(AND(K50="SIM",V50=0),"ATENÇÃO: BC permitida, mas % = 0 🔎",
"Base de cálculo aplicada corretamente ✅")))</f>
        <v/>
      </c>
      <c r="P50" s="31" t="str">
        <f>IF(D50="","",
IF(AND(Q50&lt;&gt;"SIM",U50&gt;0),"ERRO: % alíquota &gt; 0, mas NÃO permitida ❌",
IF(AND(Q50="SIM",U50=0),"ATENÇÃO: alíquota permitida, mas % = 0 🔎",
"Alíquota aplicada corretamente ✅")))</f>
        <v/>
      </c>
      <c r="Q50" s="8" t="str">
        <f>IF(E50="","",IFERROR(VLOOKUP(E50,REGRAS_CST!$A$2:$D$200,4,FALSE),""))</f>
        <v/>
      </c>
      <c r="R50" s="4"/>
      <c r="S50" s="9">
        <f>IF($H50="","",$H50*(1-$U50))</f>
        <v>8.9999999999999993E-3</v>
      </c>
      <c r="T50" s="9">
        <f>IF($I50="","",$I50*(1-$U50))</f>
        <v>1E-3</v>
      </c>
      <c r="U50" s="16">
        <f>IFERROR(INDEX(BASE_CCLASSTRIB!$E:$E, MATCH(TEXT($D50,"000000"), BASE_CCLASSTRIB!$A:$A, 0))/100, 0)</f>
        <v>0</v>
      </c>
      <c r="V50" s="16">
        <f>IFERROR(INDEX(BASE_CCLASSTRIB!$F:$F, MATCH(TEXT($D50,"000000"), BASE_CCLASSTRIB!$A:$A, 0))/100, 0)</f>
        <v>0</v>
      </c>
    </row>
    <row r="51" spans="4:22" ht="32.25" customHeight="1">
      <c r="D51" s="39"/>
      <c r="E51" s="27" t="str">
        <f>IF(D51="","",LEFT(D51,3))</f>
        <v/>
      </c>
      <c r="F51" s="28" t="str">
        <f>IF(E51="","",IFERROR(VLOOKUP(E51,REGRAS_CST!$A$2:$B$200,2,FALSE),""))</f>
        <v/>
      </c>
      <c r="H51" s="29">
        <v>8.9999999999999993E-3</v>
      </c>
      <c r="I51" s="29">
        <v>1E-3</v>
      </c>
      <c r="J51" s="4"/>
      <c r="K51" s="21" t="str">
        <f>IF(E51="","",IFERROR(VLOOKUP(E51,REGRAS_CST!$A$2:$C$200,3,FALSE),""))</f>
        <v/>
      </c>
      <c r="L51" s="23" t="str">
        <f>IF($G51="", "", $G51*(1-$V51))</f>
        <v/>
      </c>
      <c r="M51" s="24" t="str">
        <f>IF(OR($L51="",$S51=""),"",$L51*$S51)</f>
        <v/>
      </c>
      <c r="N51" s="24" t="str">
        <f>IF(OR($L51="",$T51=""),"",$L51*$T51)</f>
        <v/>
      </c>
      <c r="O51" s="15" t="str">
        <f>IF(D51="","",
IF(AND(K51&lt;&gt;"SIM",V51&gt;0),"ERRO: % BC &gt; 0, mas NÃO permitida ❌",
IF(AND(K51="SIM",V51=0),"ATENÇÃO: BC permitida, mas % = 0 🔎",
"Base de cálculo aplicada corretamente ✅")))</f>
        <v/>
      </c>
      <c r="P51" s="31" t="str">
        <f>IF(D51="","",
IF(AND(Q51&lt;&gt;"SIM",U51&gt;0),"ERRO: % alíquota &gt; 0, mas NÃO permitida ❌",
IF(AND(Q51="SIM",U51=0),"ATENÇÃO: alíquota permitida, mas % = 0 🔎",
"Alíquota aplicada corretamente ✅")))</f>
        <v/>
      </c>
      <c r="Q51" s="8" t="str">
        <f>IF(E51="","",IFERROR(VLOOKUP(E51,REGRAS_CST!$A$2:$D$200,4,FALSE),""))</f>
        <v/>
      </c>
      <c r="R51" s="4"/>
      <c r="S51" s="9">
        <f>IF($H51="","",$H51*(1-$U51))</f>
        <v>8.9999999999999993E-3</v>
      </c>
      <c r="T51" s="9">
        <f>IF($I51="","",$I51*(1-$U51))</f>
        <v>1E-3</v>
      </c>
      <c r="U51" s="16">
        <f>IFERROR(INDEX(BASE_CCLASSTRIB!$E:$E, MATCH(TEXT($D51,"000000"), BASE_CCLASSTRIB!$A:$A, 0))/100, 0)</f>
        <v>0</v>
      </c>
      <c r="V51" s="16">
        <f>IFERROR(INDEX(BASE_CCLASSTRIB!$F:$F, MATCH(TEXT($D51,"000000"), BASE_CCLASSTRIB!$A:$A, 0))/100, 0)</f>
        <v>0</v>
      </c>
    </row>
    <row r="52" spans="4:22" ht="32.25" customHeight="1">
      <c r="D52" s="39"/>
      <c r="E52" s="27" t="str">
        <f>IF(D52="","",LEFT(D52,3))</f>
        <v/>
      </c>
      <c r="F52" s="28" t="str">
        <f>IF(E52="","",IFERROR(VLOOKUP(E52,REGRAS_CST!$A$2:$B$200,2,FALSE),""))</f>
        <v/>
      </c>
      <c r="H52" s="29">
        <v>8.9999999999999993E-3</v>
      </c>
      <c r="I52" s="29">
        <v>1E-3</v>
      </c>
      <c r="J52" s="4"/>
      <c r="K52" s="21" t="str">
        <f>IF(E52="","",IFERROR(VLOOKUP(E52,REGRAS_CST!$A$2:$C$200,3,FALSE),""))</f>
        <v/>
      </c>
      <c r="L52" s="23" t="str">
        <f>IF($G52="", "", $G52*(1-$V52))</f>
        <v/>
      </c>
      <c r="M52" s="24" t="str">
        <f>IF(OR($L52="",$S52=""),"",$L52*$S52)</f>
        <v/>
      </c>
      <c r="N52" s="24" t="str">
        <f>IF(OR($L52="",$T52=""),"",$L52*$T52)</f>
        <v/>
      </c>
      <c r="O52" s="15" t="str">
        <f>IF(D52="","",
IF(AND(K52&lt;&gt;"SIM",V52&gt;0),"ERRO: % BC &gt; 0, mas NÃO permitida ❌",
IF(AND(K52="SIM",V52=0),"ATENÇÃO: BC permitida, mas % = 0 🔎",
"Base de cálculo aplicada corretamente ✅")))</f>
        <v/>
      </c>
      <c r="P52" s="31" t="str">
        <f>IF(D52="","",
IF(AND(Q52&lt;&gt;"SIM",U52&gt;0),"ERRO: % alíquota &gt; 0, mas NÃO permitida ❌",
IF(AND(Q52="SIM",U52=0),"ATENÇÃO: alíquota permitida, mas % = 0 🔎",
"Alíquota aplicada corretamente ✅")))</f>
        <v/>
      </c>
      <c r="Q52" s="8" t="str">
        <f>IF(E52="","",IFERROR(VLOOKUP(E52,REGRAS_CST!$A$2:$D$200,4,FALSE),""))</f>
        <v/>
      </c>
      <c r="R52" s="4"/>
      <c r="S52" s="9">
        <f>IF($H52="","",$H52*(1-$U52))</f>
        <v>8.9999999999999993E-3</v>
      </c>
      <c r="T52" s="9">
        <f>IF($I52="","",$I52*(1-$U52))</f>
        <v>1E-3</v>
      </c>
      <c r="U52" s="16">
        <f>IFERROR(INDEX(BASE_CCLASSTRIB!$E:$E, MATCH(TEXT($D52,"000000"), BASE_CCLASSTRIB!$A:$A, 0))/100, 0)</f>
        <v>0</v>
      </c>
      <c r="V52" s="16">
        <f>IFERROR(INDEX(BASE_CCLASSTRIB!$F:$F, MATCH(TEXT($D52,"000000"), BASE_CCLASSTRIB!$A:$A, 0))/100, 0)</f>
        <v>0</v>
      </c>
    </row>
    <row r="53" spans="4:22" ht="32.25" customHeight="1">
      <c r="D53" s="39"/>
      <c r="E53" s="27" t="str">
        <f>IF(D53="","",LEFT(D53,3))</f>
        <v/>
      </c>
      <c r="F53" s="28" t="str">
        <f>IF(E53="","",IFERROR(VLOOKUP(E53,REGRAS_CST!$A$2:$B$200,2,FALSE),""))</f>
        <v/>
      </c>
      <c r="H53" s="29">
        <v>8.9999999999999993E-3</v>
      </c>
      <c r="I53" s="29">
        <v>1E-3</v>
      </c>
      <c r="J53" s="4"/>
      <c r="K53" s="21" t="str">
        <f>IF(E53="","",IFERROR(VLOOKUP(E53,REGRAS_CST!$A$2:$C$200,3,FALSE),""))</f>
        <v/>
      </c>
      <c r="L53" s="23" t="str">
        <f>IF($G53="", "", $G53*(1-$V53))</f>
        <v/>
      </c>
      <c r="M53" s="24" t="str">
        <f>IF(OR($L53="",$S53=""),"",$L53*$S53)</f>
        <v/>
      </c>
      <c r="N53" s="24" t="str">
        <f>IF(OR($L53="",$T53=""),"",$L53*$T53)</f>
        <v/>
      </c>
      <c r="O53" s="15" t="str">
        <f>IF(D53="","",
IF(AND(K53&lt;&gt;"SIM",V53&gt;0),"ERRO: % BC &gt; 0, mas NÃO permitida ❌",
IF(AND(K53="SIM",V53=0),"ATENÇÃO: BC permitida, mas % = 0 🔎",
"Base de cálculo aplicada corretamente ✅")))</f>
        <v/>
      </c>
      <c r="P53" s="31" t="str">
        <f>IF(D53="","",
IF(AND(Q53&lt;&gt;"SIM",U53&gt;0),"ERRO: % alíquota &gt; 0, mas NÃO permitida ❌",
IF(AND(Q53="SIM",U53=0),"ATENÇÃO: alíquota permitida, mas % = 0 🔎",
"Alíquota aplicada corretamente ✅")))</f>
        <v/>
      </c>
      <c r="Q53" s="8" t="str">
        <f>IF(E53="","",IFERROR(VLOOKUP(E53,REGRAS_CST!$A$2:$D$200,4,FALSE),""))</f>
        <v/>
      </c>
      <c r="R53" s="4"/>
      <c r="S53" s="9">
        <f>IF($H53="","",$H53*(1-$U53))</f>
        <v>8.9999999999999993E-3</v>
      </c>
      <c r="T53" s="9">
        <f>IF($I53="","",$I53*(1-$U53))</f>
        <v>1E-3</v>
      </c>
      <c r="U53" s="16">
        <f>IFERROR(INDEX(BASE_CCLASSTRIB!$E:$E, MATCH(TEXT($D53,"000000"), BASE_CCLASSTRIB!$A:$A, 0))/100, 0)</f>
        <v>0</v>
      </c>
      <c r="V53" s="16">
        <f>IFERROR(INDEX(BASE_CCLASSTRIB!$F:$F, MATCH(TEXT($D53,"000000"), BASE_CCLASSTRIB!$A:$A, 0))/100, 0)</f>
        <v>0</v>
      </c>
    </row>
    <row r="54" spans="4:22" ht="32.25" customHeight="1">
      <c r="D54" s="40"/>
      <c r="E54" s="27" t="str">
        <f>IF(D54="","",LEFT(D54,3))</f>
        <v/>
      </c>
      <c r="F54" s="28" t="str">
        <f>IF(E54="","",IFERROR(VLOOKUP(E54,REGRAS_CST!$A$2:$B$200,2,FALSE),""))</f>
        <v/>
      </c>
      <c r="H54" s="29">
        <v>8.9999999999999993E-3</v>
      </c>
      <c r="I54" s="29">
        <v>1E-3</v>
      </c>
      <c r="J54" s="4"/>
      <c r="K54" s="21" t="str">
        <f>IF(E54="","",IFERROR(VLOOKUP(E54,REGRAS_CST!$A$2:$C$200,3,FALSE),""))</f>
        <v/>
      </c>
      <c r="L54" s="23" t="str">
        <f>IF($G54="", "", $G54*(1-$V54))</f>
        <v/>
      </c>
      <c r="M54" s="24" t="str">
        <f>IF(OR($L54="",$S54=""),"",$L54*$S54)</f>
        <v/>
      </c>
      <c r="N54" s="24" t="str">
        <f>IF(OR($L54="",$T54=""),"",$L54*$T54)</f>
        <v/>
      </c>
      <c r="O54" s="15" t="str">
        <f>IF(D54="","",
IF(AND(K54&lt;&gt;"SIM",V54&gt;0),"ERRO: % BC &gt; 0, mas NÃO permitida ❌",
IF(AND(K54="SIM",V54=0),"ATENÇÃO: BC permitida, mas % = 0 🔎",
"Base de cálculo aplicada corretamente ✅")))</f>
        <v/>
      </c>
      <c r="P54" s="31" t="str">
        <f>IF(D54="","",
IF(AND(Q54&lt;&gt;"SIM",U54&gt;0),"ERRO: % alíquota &gt; 0, mas NÃO permitida ❌",
IF(AND(Q54="SIM",U54=0),"ATENÇÃO: alíquota permitida, mas % = 0 🔎",
"Alíquota aplicada corretamente ✅")))</f>
        <v/>
      </c>
      <c r="Q54" s="8" t="str">
        <f>IF(E54="","",IFERROR(VLOOKUP(E54,REGRAS_CST!$A$2:$D$200,4,FALSE),""))</f>
        <v/>
      </c>
      <c r="R54" s="4"/>
      <c r="S54" s="9">
        <f>IF($H54="","",$H54*(1-$U54))</f>
        <v>8.9999999999999993E-3</v>
      </c>
      <c r="T54" s="9">
        <f>IF($I54="","",$I54*(1-$U54))</f>
        <v>1E-3</v>
      </c>
      <c r="U54" s="16">
        <f>IFERROR(INDEX(BASE_CCLASSTRIB!$E:$E, MATCH(TEXT($D54,"000000"), BASE_CCLASSTRIB!$A:$A, 0))/100, 0)</f>
        <v>0</v>
      </c>
      <c r="V54" s="16">
        <f>IFERROR(INDEX(BASE_CCLASSTRIB!$F:$F, MATCH(TEXT($D54,"000000"), BASE_CCLASSTRIB!$A:$A, 0))/100, 0)</f>
        <v>0</v>
      </c>
    </row>
    <row r="55" spans="4:22" ht="32.25" customHeight="1">
      <c r="D55" s="40"/>
      <c r="E55" s="27" t="str">
        <f>IF(D55="","",LEFT(D55,3))</f>
        <v/>
      </c>
      <c r="F55" s="28" t="str">
        <f>IF(E55="","",IFERROR(VLOOKUP(E55,REGRAS_CST!$A$2:$B$200,2,FALSE),""))</f>
        <v/>
      </c>
      <c r="H55" s="29">
        <v>8.9999999999999993E-3</v>
      </c>
      <c r="I55" s="29">
        <v>1E-3</v>
      </c>
      <c r="J55" s="4"/>
      <c r="K55" s="21" t="str">
        <f>IF(E55="","",IFERROR(VLOOKUP(E55,REGRAS_CST!$A$2:$C$200,3,FALSE),""))</f>
        <v/>
      </c>
      <c r="L55" s="23" t="str">
        <f>IF($G55="", "", $G55*(1-$V55))</f>
        <v/>
      </c>
      <c r="M55" s="24" t="str">
        <f>IF(OR($L55="",$S55=""),"",$L55*$S55)</f>
        <v/>
      </c>
      <c r="N55" s="24" t="str">
        <f>IF(OR($L55="",$T55=""),"",$L55*$T55)</f>
        <v/>
      </c>
      <c r="O55" s="15" t="str">
        <f>IF(D55="","",
IF(AND(K55&lt;&gt;"SIM",V55&gt;0),"ERRO: % BC &gt; 0, mas NÃO permitida ❌",
IF(AND(K55="SIM",V55=0),"ATENÇÃO: BC permitida, mas % = 0 🔎",
"Base de cálculo aplicada corretamente ✅")))</f>
        <v/>
      </c>
      <c r="P55" s="31" t="str">
        <f>IF(D55="","",
IF(AND(Q55&lt;&gt;"SIM",U55&gt;0),"ERRO: % alíquota &gt; 0, mas NÃO permitida ❌",
IF(AND(Q55="SIM",U55=0),"ATENÇÃO: alíquota permitida, mas % = 0 🔎",
"Alíquota aplicada corretamente ✅")))</f>
        <v/>
      </c>
      <c r="Q55" s="8" t="str">
        <f>IF(E55="","",IFERROR(VLOOKUP(E55,REGRAS_CST!$A$2:$D$200,4,FALSE),""))</f>
        <v/>
      </c>
      <c r="R55" s="4"/>
      <c r="S55" s="9">
        <f>IF($H55="","",$H55*(1-$U55))</f>
        <v>8.9999999999999993E-3</v>
      </c>
      <c r="T55" s="9">
        <f>IF($I55="","",$I55*(1-$U55))</f>
        <v>1E-3</v>
      </c>
      <c r="U55" s="16">
        <f>IFERROR(INDEX(BASE_CCLASSTRIB!$E:$E, MATCH(TEXT($D55,"000000"), BASE_CCLASSTRIB!$A:$A, 0))/100, 0)</f>
        <v>0</v>
      </c>
      <c r="V55" s="16">
        <f>IFERROR(INDEX(BASE_CCLASSTRIB!$F:$F, MATCH(TEXT($D55,"000000"), BASE_CCLASSTRIB!$A:$A, 0))/100, 0)</f>
        <v>0</v>
      </c>
    </row>
    <row r="56" spans="4:22" ht="32.25" customHeight="1">
      <c r="D56" s="40"/>
      <c r="E56" s="27" t="str">
        <f>IF(D56="","",LEFT(D56,3))</f>
        <v/>
      </c>
      <c r="F56" s="28" t="str">
        <f>IF(E56="","",IFERROR(VLOOKUP(E56,REGRAS_CST!$A$2:$B$200,2,FALSE),""))</f>
        <v/>
      </c>
      <c r="H56" s="29">
        <v>8.9999999999999993E-3</v>
      </c>
      <c r="I56" s="29">
        <v>1E-3</v>
      </c>
      <c r="J56" s="4"/>
      <c r="K56" s="21" t="str">
        <f>IF(E56="","",IFERROR(VLOOKUP(E56,REGRAS_CST!$A$2:$C$200,3,FALSE),""))</f>
        <v/>
      </c>
      <c r="L56" s="23" t="str">
        <f>IF($G56="", "", $G56*(1-$V56))</f>
        <v/>
      </c>
      <c r="M56" s="24" t="str">
        <f>IF(OR($L56="",$S56=""),"",$L56*$S56)</f>
        <v/>
      </c>
      <c r="N56" s="24" t="str">
        <f>IF(OR($L56="",$T56=""),"",$L56*$T56)</f>
        <v/>
      </c>
      <c r="O56" s="15" t="str">
        <f>IF(D56="","",
IF(AND(K56&lt;&gt;"SIM",V56&gt;0),"ERRO: % BC &gt; 0, mas NÃO permitida ❌",
IF(AND(K56="SIM",V56=0),"ATENÇÃO: BC permitida, mas % = 0 🔎",
"Base de cálculo aplicada corretamente ✅")))</f>
        <v/>
      </c>
      <c r="P56" s="31" t="str">
        <f>IF(D56="","",
IF(AND(Q56&lt;&gt;"SIM",U56&gt;0),"ERRO: % alíquota &gt; 0, mas NÃO permitida ❌",
IF(AND(Q56="SIM",U56=0),"ATENÇÃO: alíquota permitida, mas % = 0 🔎",
"Alíquota aplicada corretamente ✅")))</f>
        <v/>
      </c>
      <c r="Q56" s="8" t="str">
        <f>IF(E56="","",IFERROR(VLOOKUP(E56,REGRAS_CST!$A$2:$D$200,4,FALSE),""))</f>
        <v/>
      </c>
      <c r="R56" s="4"/>
      <c r="S56" s="9">
        <f>IF($H56="","",$H56*(1-$U56))</f>
        <v>8.9999999999999993E-3</v>
      </c>
      <c r="T56" s="9">
        <f>IF($I56="","",$I56*(1-$U56))</f>
        <v>1E-3</v>
      </c>
      <c r="U56" s="16">
        <f>IFERROR(INDEX(BASE_CCLASSTRIB!$E:$E, MATCH(TEXT($D56,"000000"), BASE_CCLASSTRIB!$A:$A, 0))/100, 0)</f>
        <v>0</v>
      </c>
      <c r="V56" s="16">
        <f>IFERROR(INDEX(BASE_CCLASSTRIB!$F:$F, MATCH(TEXT($D56,"000000"), BASE_CCLASSTRIB!$A:$A, 0))/100, 0)</f>
        <v>0</v>
      </c>
    </row>
    <row r="57" spans="4:22" ht="32.25" customHeight="1">
      <c r="D57" s="40"/>
      <c r="E57" s="27" t="str">
        <f>IF(D57="","",LEFT(D57,3))</f>
        <v/>
      </c>
      <c r="F57" s="28" t="str">
        <f>IF(E57="","",IFERROR(VLOOKUP(E57,REGRAS_CST!$A$2:$B$200,2,FALSE),""))</f>
        <v/>
      </c>
      <c r="H57" s="29">
        <v>8.9999999999999993E-3</v>
      </c>
      <c r="I57" s="29">
        <v>1E-3</v>
      </c>
      <c r="J57" s="4"/>
      <c r="K57" s="21" t="str">
        <f>IF(E57="","",IFERROR(VLOOKUP(E57,REGRAS_CST!$A$2:$C$200,3,FALSE),""))</f>
        <v/>
      </c>
      <c r="L57" s="23" t="str">
        <f>IF($G57="", "", $G57*(1-$V57))</f>
        <v/>
      </c>
      <c r="M57" s="24" t="str">
        <f>IF(OR($L57="",$S57=""),"",$L57*$S57)</f>
        <v/>
      </c>
      <c r="N57" s="24" t="str">
        <f>IF(OR($L57="",$T57=""),"",$L57*$T57)</f>
        <v/>
      </c>
      <c r="O57" s="15" t="str">
        <f>IF(D57="","",
IF(AND(K57&lt;&gt;"SIM",V57&gt;0),"ERRO: % BC &gt; 0, mas NÃO permitida ❌",
IF(AND(K57="SIM",V57=0),"ATENÇÃO: BC permitida, mas % = 0 🔎",
"Base de cálculo aplicada corretamente ✅")))</f>
        <v/>
      </c>
      <c r="P57" s="31" t="str">
        <f>IF(D57="","",
IF(AND(Q57&lt;&gt;"SIM",U57&gt;0),"ERRO: % alíquota &gt; 0, mas NÃO permitida ❌",
IF(AND(Q57="SIM",U57=0),"ATENÇÃO: alíquota permitida, mas % = 0 🔎",
"Alíquota aplicada corretamente ✅")))</f>
        <v/>
      </c>
      <c r="Q57" s="8" t="str">
        <f>IF(E57="","",IFERROR(VLOOKUP(E57,REGRAS_CST!$A$2:$D$200,4,FALSE),""))</f>
        <v/>
      </c>
      <c r="R57" s="4"/>
      <c r="S57" s="9">
        <f>IF($H57="","",$H57*(1-$U57))</f>
        <v>8.9999999999999993E-3</v>
      </c>
      <c r="T57" s="9">
        <f>IF($I57="","",$I57*(1-$U57))</f>
        <v>1E-3</v>
      </c>
      <c r="U57" s="16">
        <f>IFERROR(INDEX(BASE_CCLASSTRIB!$E:$E, MATCH(TEXT($D57,"000000"), BASE_CCLASSTRIB!$A:$A, 0))/100, 0)</f>
        <v>0</v>
      </c>
      <c r="V57" s="16">
        <f>IFERROR(INDEX(BASE_CCLASSTRIB!$F:$F, MATCH(TEXT($D57,"000000"), BASE_CCLASSTRIB!$A:$A, 0))/100, 0)</f>
        <v>0</v>
      </c>
    </row>
    <row r="58" spans="4:22" ht="32.25" customHeight="1">
      <c r="D58" s="39"/>
      <c r="E58" s="27" t="str">
        <f>IF(D58="","",LEFT(D58,3))</f>
        <v/>
      </c>
      <c r="F58" s="28" t="str">
        <f>IF(E58="","",IFERROR(VLOOKUP(E58,REGRAS_CST!$A$2:$B$200,2,FALSE),""))</f>
        <v/>
      </c>
      <c r="H58" s="29">
        <v>8.9999999999999993E-3</v>
      </c>
      <c r="I58" s="29">
        <v>1E-3</v>
      </c>
      <c r="J58" s="4"/>
      <c r="K58" s="21" t="str">
        <f>IF(E58="","",IFERROR(VLOOKUP(E58,REGRAS_CST!$A$2:$C$200,3,FALSE),""))</f>
        <v/>
      </c>
      <c r="L58" s="23" t="str">
        <f>IF($G58="", "", $G58*(1-$V58))</f>
        <v/>
      </c>
      <c r="M58" s="24" t="str">
        <f>IF(OR($L58="",$S58=""),"",$L58*$S58)</f>
        <v/>
      </c>
      <c r="N58" s="24" t="str">
        <f>IF(OR($L58="",$T58=""),"",$L58*$T58)</f>
        <v/>
      </c>
      <c r="O58" s="15" t="str">
        <f>IF(D58="","",
IF(AND(K58&lt;&gt;"SIM",V58&gt;0),"ERRO: % BC &gt; 0, mas NÃO permitida ❌",
IF(AND(K58="SIM",V58=0),"ATENÇÃO: BC permitida, mas % = 0 🔎",
"Base de cálculo aplicada corretamente ✅")))</f>
        <v/>
      </c>
      <c r="P58" s="31" t="str">
        <f>IF(D58="","",
IF(AND(Q58&lt;&gt;"SIM",U58&gt;0),"ERRO: % alíquota &gt; 0, mas NÃO permitida ❌",
IF(AND(Q58="SIM",U58=0),"ATENÇÃO: alíquota permitida, mas % = 0 🔎",
"Alíquota aplicada corretamente ✅")))</f>
        <v/>
      </c>
      <c r="Q58" s="8" t="str">
        <f>IF(E58="","",IFERROR(VLOOKUP(E58,REGRAS_CST!$A$2:$D$200,4,FALSE),""))</f>
        <v/>
      </c>
      <c r="R58" s="4"/>
      <c r="S58" s="9">
        <f>IF($H58="","",$H58*(1-$U58))</f>
        <v>8.9999999999999993E-3</v>
      </c>
      <c r="T58" s="9">
        <f>IF($I58="","",$I58*(1-$U58))</f>
        <v>1E-3</v>
      </c>
      <c r="U58" s="16">
        <f>IFERROR(INDEX(BASE_CCLASSTRIB!$E:$E, MATCH(TEXT($D58,"000000"), BASE_CCLASSTRIB!$A:$A, 0))/100, 0)</f>
        <v>0</v>
      </c>
      <c r="V58" s="16">
        <f>IFERROR(INDEX(BASE_CCLASSTRIB!$F:$F, MATCH(TEXT($D58,"000000"), BASE_CCLASSTRIB!$A:$A, 0))/100, 0)</f>
        <v>0</v>
      </c>
    </row>
    <row r="59" spans="4:22" ht="32.25" customHeight="1">
      <c r="D59" s="40"/>
      <c r="E59" s="27" t="str">
        <f>IF(D59="","",LEFT(D59,3))</f>
        <v/>
      </c>
      <c r="F59" s="28" t="str">
        <f>IF(E59="","",IFERROR(VLOOKUP(E59,REGRAS_CST!$A$2:$B$200,2,FALSE),""))</f>
        <v/>
      </c>
      <c r="H59" s="29">
        <v>8.9999999999999993E-3</v>
      </c>
      <c r="I59" s="29">
        <v>1E-3</v>
      </c>
      <c r="J59" s="4"/>
      <c r="K59" s="21" t="str">
        <f>IF(E59="","",IFERROR(VLOOKUP(E59,REGRAS_CST!$A$2:$C$200,3,FALSE),""))</f>
        <v/>
      </c>
      <c r="L59" s="23" t="str">
        <f>IF($G59="", "", $G59*(1-$V59))</f>
        <v/>
      </c>
      <c r="M59" s="24" t="str">
        <f>IF(OR($L59="",$S59=""),"",$L59*$S59)</f>
        <v/>
      </c>
      <c r="N59" s="24" t="str">
        <f>IF(OR($L59="",$T59=""),"",$L59*$T59)</f>
        <v/>
      </c>
      <c r="O59" s="15" t="str">
        <f>IF(D59="","",
IF(AND(K59&lt;&gt;"SIM",V59&gt;0),"ERRO: % BC &gt; 0, mas NÃO permitida ❌",
IF(AND(K59="SIM",V59=0),"ATENÇÃO: BC permitida, mas % = 0 🔎",
"Base de cálculo aplicada corretamente ✅")))</f>
        <v/>
      </c>
      <c r="P59" s="31" t="str">
        <f>IF(D59="","",
IF(AND(Q59&lt;&gt;"SIM",U59&gt;0),"ERRO: % alíquota &gt; 0, mas NÃO permitida ❌",
IF(AND(Q59="SIM",U59=0),"ATENÇÃO: alíquota permitida, mas % = 0 🔎",
"Alíquota aplicada corretamente ✅")))</f>
        <v/>
      </c>
      <c r="Q59" s="8" t="str">
        <f>IF(E59="","",IFERROR(VLOOKUP(E59,REGRAS_CST!$A$2:$D$200,4,FALSE),""))</f>
        <v/>
      </c>
      <c r="R59" s="4"/>
      <c r="S59" s="9">
        <f>IF($H59="","",$H59*(1-$U59))</f>
        <v>8.9999999999999993E-3</v>
      </c>
      <c r="T59" s="9">
        <f>IF($I59="","",$I59*(1-$U59))</f>
        <v>1E-3</v>
      </c>
      <c r="U59" s="16">
        <f>IFERROR(INDEX(BASE_CCLASSTRIB!$E:$E, MATCH(TEXT($D59,"000000"), BASE_CCLASSTRIB!$A:$A, 0))/100, 0)</f>
        <v>0</v>
      </c>
      <c r="V59" s="16">
        <f>IFERROR(INDEX(BASE_CCLASSTRIB!$F:$F, MATCH(TEXT($D59,"000000"), BASE_CCLASSTRIB!$A:$A, 0))/100, 0)</f>
        <v>0</v>
      </c>
    </row>
    <row r="60" spans="4:22" ht="32.25" customHeight="1">
      <c r="D60" s="39"/>
      <c r="E60" s="27" t="str">
        <f>IF(D60="","",LEFT(D60,3))</f>
        <v/>
      </c>
      <c r="F60" s="28" t="str">
        <f>IF(E60="","",IFERROR(VLOOKUP(E60,REGRAS_CST!$A$2:$B$200,2,FALSE),""))</f>
        <v/>
      </c>
      <c r="H60" s="29">
        <v>8.9999999999999993E-3</v>
      </c>
      <c r="I60" s="29">
        <v>1E-3</v>
      </c>
      <c r="J60" s="4"/>
      <c r="K60" s="21" t="str">
        <f>IF(E60="","",IFERROR(VLOOKUP(E60,REGRAS_CST!$A$2:$C$200,3,FALSE),""))</f>
        <v/>
      </c>
      <c r="L60" s="23" t="str">
        <f>IF($G60="", "", $G60*(1-$V60))</f>
        <v/>
      </c>
      <c r="M60" s="24" t="str">
        <f>IF(OR($L60="",$S60=""),"",$L60*$S60)</f>
        <v/>
      </c>
      <c r="N60" s="24" t="str">
        <f>IF(OR($L60="",$T60=""),"",$L60*$T60)</f>
        <v/>
      </c>
      <c r="O60" s="15" t="str">
        <f>IF(D60="","",
IF(AND(K60&lt;&gt;"SIM",V60&gt;0),"ERRO: % BC &gt; 0, mas NÃO permitida ❌",
IF(AND(K60="SIM",V60=0),"ATENÇÃO: BC permitida, mas % = 0 🔎",
"Base de cálculo aplicada corretamente ✅")))</f>
        <v/>
      </c>
      <c r="P60" s="31" t="str">
        <f>IF(D60="","",
IF(AND(Q60&lt;&gt;"SIM",U60&gt;0),"ERRO: % alíquota &gt; 0, mas NÃO permitida ❌",
IF(AND(Q60="SIM",U60=0),"ATENÇÃO: alíquota permitida, mas % = 0 🔎",
"Alíquota aplicada corretamente ✅")))</f>
        <v/>
      </c>
      <c r="Q60" s="8" t="str">
        <f>IF(E60="","",IFERROR(VLOOKUP(E60,REGRAS_CST!$A$2:$D$200,4,FALSE),""))</f>
        <v/>
      </c>
      <c r="R60" s="4"/>
      <c r="S60" s="9">
        <f>IF($H60="","",$H60*(1-$U60))</f>
        <v>8.9999999999999993E-3</v>
      </c>
      <c r="T60" s="9">
        <f>IF($I60="","",$I60*(1-$U60))</f>
        <v>1E-3</v>
      </c>
      <c r="U60" s="16">
        <f>IFERROR(INDEX(BASE_CCLASSTRIB!$E:$E, MATCH(TEXT($D60,"000000"), BASE_CCLASSTRIB!$A:$A, 0))/100, 0)</f>
        <v>0</v>
      </c>
      <c r="V60" s="16">
        <f>IFERROR(INDEX(BASE_CCLASSTRIB!$F:$F, MATCH(TEXT($D60,"000000"), BASE_CCLASSTRIB!$A:$A, 0))/100, 0)</f>
        <v>0</v>
      </c>
    </row>
    <row r="61" spans="4:22" ht="32.25" customHeight="1">
      <c r="D61" s="39"/>
      <c r="E61" s="27" t="str">
        <f>IF(D61="","",LEFT(D61,3))</f>
        <v/>
      </c>
      <c r="F61" s="28" t="str">
        <f>IF(E61="","",IFERROR(VLOOKUP(E61,REGRAS_CST!$A$2:$B$200,2,FALSE),""))</f>
        <v/>
      </c>
      <c r="H61" s="29">
        <v>8.9999999999999993E-3</v>
      </c>
      <c r="I61" s="29">
        <v>1E-3</v>
      </c>
      <c r="J61" s="4"/>
      <c r="K61" s="21" t="str">
        <f>IF(E61="","",IFERROR(VLOOKUP(E61,REGRAS_CST!$A$2:$C$200,3,FALSE),""))</f>
        <v/>
      </c>
      <c r="L61" s="23" t="str">
        <f>IF($G61="", "", $G61*(1-$V61))</f>
        <v/>
      </c>
      <c r="M61" s="24" t="str">
        <f>IF(OR($L61="",$S61=""),"",$L61*$S61)</f>
        <v/>
      </c>
      <c r="N61" s="24" t="str">
        <f>IF(OR($L61="",$T61=""),"",$L61*$T61)</f>
        <v/>
      </c>
      <c r="O61" s="15" t="str">
        <f>IF(D61="","",
IF(AND(K61&lt;&gt;"SIM",V61&gt;0),"ERRO: % BC &gt; 0, mas NÃO permitida ❌",
IF(AND(K61="SIM",V61=0),"ATENÇÃO: BC permitida, mas % = 0 🔎",
"Base de cálculo aplicada corretamente ✅")))</f>
        <v/>
      </c>
      <c r="P61" s="31" t="str">
        <f>IF(D61="","",
IF(AND(Q61&lt;&gt;"SIM",U61&gt;0),"ERRO: % alíquota &gt; 0, mas NÃO permitida ❌",
IF(AND(Q61="SIM",U61=0),"ATENÇÃO: alíquota permitida, mas % = 0 🔎",
"Alíquota aplicada corretamente ✅")))</f>
        <v/>
      </c>
      <c r="Q61" s="8" t="str">
        <f>IF(E61="","",IFERROR(VLOOKUP(E61,REGRAS_CST!$A$2:$D$200,4,FALSE),""))</f>
        <v/>
      </c>
      <c r="R61" s="4"/>
      <c r="S61" s="9">
        <f>IF($H61="","",$H61*(1-$U61))</f>
        <v>8.9999999999999993E-3</v>
      </c>
      <c r="T61" s="9">
        <f>IF($I61="","",$I61*(1-$U61))</f>
        <v>1E-3</v>
      </c>
      <c r="U61" s="16">
        <f>IFERROR(INDEX(BASE_CCLASSTRIB!$E:$E, MATCH(TEXT($D61,"000000"), BASE_CCLASSTRIB!$A:$A, 0))/100, 0)</f>
        <v>0</v>
      </c>
      <c r="V61" s="16">
        <f>IFERROR(INDEX(BASE_CCLASSTRIB!$F:$F, MATCH(TEXT($D61,"000000"), BASE_CCLASSTRIB!$A:$A, 0))/100, 0)</f>
        <v>0</v>
      </c>
    </row>
    <row r="62" spans="4:22" ht="32.25" customHeight="1">
      <c r="D62" s="40"/>
      <c r="E62" s="27" t="str">
        <f>IF(D62="","",LEFT(D62,3))</f>
        <v/>
      </c>
      <c r="F62" s="28" t="str">
        <f>IF(E62="","",IFERROR(VLOOKUP(E62,REGRAS_CST!$A$2:$B$200,2,FALSE),""))</f>
        <v/>
      </c>
      <c r="H62" s="29">
        <v>8.9999999999999993E-3</v>
      </c>
      <c r="I62" s="29">
        <v>1E-3</v>
      </c>
      <c r="J62" s="4"/>
      <c r="K62" s="21" t="str">
        <f>IF(E62="","",IFERROR(VLOOKUP(E62,REGRAS_CST!$A$2:$C$200,3,FALSE),""))</f>
        <v/>
      </c>
      <c r="L62" s="23" t="str">
        <f>IF($G62="", "", $G62*(1-$V62))</f>
        <v/>
      </c>
      <c r="M62" s="24" t="str">
        <f>IF(OR($L62="",$S62=""),"",$L62*$S62)</f>
        <v/>
      </c>
      <c r="N62" s="24" t="str">
        <f>IF(OR($L62="",$T62=""),"",$L62*$T62)</f>
        <v/>
      </c>
      <c r="O62" s="15" t="str">
        <f>IF(D62="","",
IF(AND(K62&lt;&gt;"SIM",V62&gt;0),"ERRO: % BC &gt; 0, mas NÃO permitida ❌",
IF(AND(K62="SIM",V62=0),"ATENÇÃO: BC permitida, mas % = 0 🔎",
"Base de cálculo aplicada corretamente ✅")))</f>
        <v/>
      </c>
      <c r="P62" s="31" t="str">
        <f>IF(D62="","",
IF(AND(Q62&lt;&gt;"SIM",U62&gt;0),"ERRO: % alíquota &gt; 0, mas NÃO permitida ❌",
IF(AND(Q62="SIM",U62=0),"ATENÇÃO: alíquota permitida, mas % = 0 🔎",
"Alíquota aplicada corretamente ✅")))</f>
        <v/>
      </c>
      <c r="Q62" s="8" t="str">
        <f>IF(E62="","",IFERROR(VLOOKUP(E62,REGRAS_CST!$A$2:$D$200,4,FALSE),""))</f>
        <v/>
      </c>
      <c r="R62" s="4"/>
      <c r="S62" s="9">
        <f>IF($H62="","",$H62*(1-$U62))</f>
        <v>8.9999999999999993E-3</v>
      </c>
      <c r="T62" s="9">
        <f>IF($I62="","",$I62*(1-$U62))</f>
        <v>1E-3</v>
      </c>
      <c r="U62" s="16">
        <f>IFERROR(INDEX(BASE_CCLASSTRIB!$E:$E, MATCH(TEXT($D62,"000000"), BASE_CCLASSTRIB!$A:$A, 0))/100, 0)</f>
        <v>0</v>
      </c>
      <c r="V62" s="16">
        <f>IFERROR(INDEX(BASE_CCLASSTRIB!$F:$F, MATCH(TEXT($D62,"000000"), BASE_CCLASSTRIB!$A:$A, 0))/100, 0)</f>
        <v>0</v>
      </c>
    </row>
    <row r="63" spans="4:22" ht="32.25" customHeight="1">
      <c r="D63" s="39"/>
      <c r="E63" s="27" t="str">
        <f>IF(D63="","",LEFT(D63,3))</f>
        <v/>
      </c>
      <c r="F63" s="28" t="str">
        <f>IF(E63="","",IFERROR(VLOOKUP(E63,REGRAS_CST!$A$2:$B$200,2,FALSE),""))</f>
        <v/>
      </c>
      <c r="H63" s="29">
        <v>8.9999999999999993E-3</v>
      </c>
      <c r="I63" s="29">
        <v>1E-3</v>
      </c>
      <c r="J63" s="4"/>
      <c r="K63" s="21" t="str">
        <f>IF(E63="","",IFERROR(VLOOKUP(E63,REGRAS_CST!$A$2:$C$200,3,FALSE),""))</f>
        <v/>
      </c>
      <c r="L63" s="23" t="str">
        <f>IF($G63="", "", $G63*(1-$V63))</f>
        <v/>
      </c>
      <c r="M63" s="24" t="str">
        <f>IF(OR($L63="",$S63=""),"",$L63*$S63)</f>
        <v/>
      </c>
      <c r="N63" s="24" t="str">
        <f>IF(OR($L63="",$T63=""),"",$L63*$T63)</f>
        <v/>
      </c>
      <c r="O63" s="15" t="str">
        <f>IF(D63="","",
IF(AND(K63&lt;&gt;"SIM",V63&gt;0),"ERRO: % BC &gt; 0, mas NÃO permitida ❌",
IF(AND(K63="SIM",V63=0),"ATENÇÃO: BC permitida, mas % = 0 🔎",
"Base de cálculo aplicada corretamente ✅")))</f>
        <v/>
      </c>
      <c r="P63" s="31" t="str">
        <f>IF(D63="","",
IF(AND(Q63&lt;&gt;"SIM",U63&gt;0),"ERRO: % alíquota &gt; 0, mas NÃO permitida ❌",
IF(AND(Q63="SIM",U63=0),"ATENÇÃO: alíquota permitida, mas % = 0 🔎",
"Alíquota aplicada corretamente ✅")))</f>
        <v/>
      </c>
      <c r="Q63" s="8" t="str">
        <f>IF(E63="","",IFERROR(VLOOKUP(E63,REGRAS_CST!$A$2:$D$200,4,FALSE),""))</f>
        <v/>
      </c>
      <c r="R63" s="4"/>
      <c r="S63" s="9">
        <f>IF($H63="","",$H63*(1-$U63))</f>
        <v>8.9999999999999993E-3</v>
      </c>
      <c r="T63" s="9">
        <f>IF($I63="","",$I63*(1-$U63))</f>
        <v>1E-3</v>
      </c>
      <c r="U63" s="16">
        <f>IFERROR(INDEX(BASE_CCLASSTRIB!$E:$E, MATCH(TEXT($D63,"000000"), BASE_CCLASSTRIB!$A:$A, 0))/100, 0)</f>
        <v>0</v>
      </c>
      <c r="V63" s="16">
        <f>IFERROR(INDEX(BASE_CCLASSTRIB!$F:$F, MATCH(TEXT($D63,"000000"), BASE_CCLASSTRIB!$A:$A, 0))/100, 0)</f>
        <v>0</v>
      </c>
    </row>
    <row r="64" spans="4:22" ht="32.25" customHeight="1">
      <c r="D64" s="39"/>
      <c r="E64" s="27" t="str">
        <f>IF(D64="","",LEFT(D64,3))</f>
        <v/>
      </c>
      <c r="F64" s="28" t="str">
        <f>IF(E64="","",IFERROR(VLOOKUP(E64,REGRAS_CST!$A$2:$B$200,2,FALSE),""))</f>
        <v/>
      </c>
      <c r="H64" s="29">
        <v>8.9999999999999993E-3</v>
      </c>
      <c r="I64" s="29">
        <v>1E-3</v>
      </c>
      <c r="J64" s="4"/>
      <c r="K64" s="21" t="str">
        <f>IF(E64="","",IFERROR(VLOOKUP(E64,REGRAS_CST!$A$2:$C$200,3,FALSE),""))</f>
        <v/>
      </c>
      <c r="L64" s="23" t="str">
        <f>IF($G64="", "", $G64*(1-$V64))</f>
        <v/>
      </c>
      <c r="M64" s="24" t="str">
        <f>IF(OR($L64="",$S64=""),"",$L64*$S64)</f>
        <v/>
      </c>
      <c r="N64" s="24" t="str">
        <f>IF(OR($L64="",$T64=""),"",$L64*$T64)</f>
        <v/>
      </c>
      <c r="O64" s="15" t="str">
        <f>IF(D64="","",
IF(AND(K64&lt;&gt;"SIM",V64&gt;0),"ERRO: % BC &gt; 0, mas NÃO permitida ❌",
IF(AND(K64="SIM",V64=0),"ATENÇÃO: BC permitida, mas % = 0 🔎",
"Base de cálculo aplicada corretamente ✅")))</f>
        <v/>
      </c>
      <c r="P64" s="31" t="str">
        <f>IF(D64="","",
IF(AND(Q64&lt;&gt;"SIM",U64&gt;0),"ERRO: % alíquota &gt; 0, mas NÃO permitida ❌",
IF(AND(Q64="SIM",U64=0),"ATENÇÃO: alíquota permitida, mas % = 0 🔎",
"Alíquota aplicada corretamente ✅")))</f>
        <v/>
      </c>
      <c r="Q64" s="8" t="str">
        <f>IF(E64="","",IFERROR(VLOOKUP(E64,REGRAS_CST!$A$2:$D$200,4,FALSE),""))</f>
        <v/>
      </c>
      <c r="R64" s="4"/>
      <c r="S64" s="9">
        <f>IF($H64="","",$H64*(1-$U64))</f>
        <v>8.9999999999999993E-3</v>
      </c>
      <c r="T64" s="9">
        <f>IF($I64="","",$I64*(1-$U64))</f>
        <v>1E-3</v>
      </c>
      <c r="U64" s="16">
        <f>IFERROR(INDEX(BASE_CCLASSTRIB!$E:$E, MATCH(TEXT($D64,"000000"), BASE_CCLASSTRIB!$A:$A, 0))/100, 0)</f>
        <v>0</v>
      </c>
      <c r="V64" s="16">
        <f>IFERROR(INDEX(BASE_CCLASSTRIB!$F:$F, MATCH(TEXT($D64,"000000"), BASE_CCLASSTRIB!$A:$A, 0))/100, 0)</f>
        <v>0</v>
      </c>
    </row>
    <row r="65" spans="4:22" ht="32.25" customHeight="1">
      <c r="D65" s="40"/>
      <c r="E65" s="27" t="str">
        <f>IF(D65="","",LEFT(D65,3))</f>
        <v/>
      </c>
      <c r="F65" s="28" t="str">
        <f>IF(E65="","",IFERROR(VLOOKUP(E65,REGRAS_CST!$A$2:$B$200,2,FALSE),""))</f>
        <v/>
      </c>
      <c r="H65" s="29">
        <v>8.9999999999999993E-3</v>
      </c>
      <c r="I65" s="29">
        <v>1E-3</v>
      </c>
      <c r="J65" s="4"/>
      <c r="K65" s="21" t="str">
        <f>IF(E65="","",IFERROR(VLOOKUP(E65,REGRAS_CST!$A$2:$C$200,3,FALSE),""))</f>
        <v/>
      </c>
      <c r="L65" s="23" t="str">
        <f>IF($G65="", "", $G65*(1-$V65))</f>
        <v/>
      </c>
      <c r="M65" s="24" t="str">
        <f>IF(OR($L65="",$S65=""),"",$L65*$S65)</f>
        <v/>
      </c>
      <c r="N65" s="24" t="str">
        <f>IF(OR($L65="",$T65=""),"",$L65*$T65)</f>
        <v/>
      </c>
      <c r="O65" s="15" t="str">
        <f>IF(D65="","",
IF(AND(K65&lt;&gt;"SIM",V65&gt;0),"ERRO: % BC &gt; 0, mas NÃO permitida ❌",
IF(AND(K65="SIM",V65=0),"ATENÇÃO: BC permitida, mas % = 0 🔎",
"Base de cálculo aplicada corretamente ✅")))</f>
        <v/>
      </c>
      <c r="P65" s="31" t="str">
        <f>IF(D65="","",
IF(AND(Q65&lt;&gt;"SIM",U65&gt;0),"ERRO: % alíquota &gt; 0, mas NÃO permitida ❌",
IF(AND(Q65="SIM",U65=0),"ATENÇÃO: alíquota permitida, mas % = 0 🔎",
"Alíquota aplicada corretamente ✅")))</f>
        <v/>
      </c>
      <c r="Q65" s="8" t="str">
        <f>IF(E65="","",IFERROR(VLOOKUP(E65,REGRAS_CST!$A$2:$D$200,4,FALSE),""))</f>
        <v/>
      </c>
      <c r="R65" s="4"/>
      <c r="S65" s="9">
        <f>IF($H65="","",$H65*(1-$U65))</f>
        <v>8.9999999999999993E-3</v>
      </c>
      <c r="T65" s="9">
        <f>IF($I65="","",$I65*(1-$U65))</f>
        <v>1E-3</v>
      </c>
      <c r="U65" s="16">
        <f>IFERROR(INDEX(BASE_CCLASSTRIB!$E:$E, MATCH(TEXT($D65,"000000"), BASE_CCLASSTRIB!$A:$A, 0))/100, 0)</f>
        <v>0</v>
      </c>
      <c r="V65" s="16">
        <f>IFERROR(INDEX(BASE_CCLASSTRIB!$F:$F, MATCH(TEXT($D65,"000000"), BASE_CCLASSTRIB!$A:$A, 0))/100, 0)</f>
        <v>0</v>
      </c>
    </row>
    <row r="66" spans="4:22" ht="32.25" customHeight="1">
      <c r="D66" s="39"/>
      <c r="E66" s="27" t="str">
        <f>IF(D66="","",LEFT(D66,3))</f>
        <v/>
      </c>
      <c r="F66" s="28" t="str">
        <f>IF(E66="","",IFERROR(VLOOKUP(E66,REGRAS_CST!$A$2:$B$200,2,FALSE),""))</f>
        <v/>
      </c>
      <c r="H66" s="29">
        <v>8.9999999999999993E-3</v>
      </c>
      <c r="I66" s="29">
        <v>1E-3</v>
      </c>
      <c r="J66" s="4"/>
      <c r="K66" s="21" t="str">
        <f>IF(E66="","",IFERROR(VLOOKUP(E66,REGRAS_CST!$A$2:$C$200,3,FALSE),""))</f>
        <v/>
      </c>
      <c r="L66" s="23" t="str">
        <f>IF($G66="", "", $G66*(1-$V66))</f>
        <v/>
      </c>
      <c r="M66" s="24" t="str">
        <f>IF(OR($L66="",$S66=""),"",$L66*$S66)</f>
        <v/>
      </c>
      <c r="N66" s="24" t="str">
        <f>IF(OR($L66="",$T66=""),"",$L66*$T66)</f>
        <v/>
      </c>
      <c r="O66" s="15" t="str">
        <f>IF(D66="","",
IF(AND(K66&lt;&gt;"SIM",V66&gt;0),"ERRO: % BC &gt; 0, mas NÃO permitida ❌",
IF(AND(K66="SIM",V66=0),"ATENÇÃO: BC permitida, mas % = 0 🔎",
"Base de cálculo aplicada corretamente ✅")))</f>
        <v/>
      </c>
      <c r="P66" s="31" t="str">
        <f>IF(D66="","",
IF(AND(Q66&lt;&gt;"SIM",U66&gt;0),"ERRO: % alíquota &gt; 0, mas NÃO permitida ❌",
IF(AND(Q66="SIM",U66=0),"ATENÇÃO: alíquota permitida, mas % = 0 🔎",
"Alíquota aplicada corretamente ✅")))</f>
        <v/>
      </c>
      <c r="Q66" s="8" t="str">
        <f>IF(E66="","",IFERROR(VLOOKUP(E66,REGRAS_CST!$A$2:$D$200,4,FALSE),""))</f>
        <v/>
      </c>
      <c r="R66" s="4"/>
      <c r="S66" s="9">
        <f>IF($H66="","",$H66*(1-$U66))</f>
        <v>8.9999999999999993E-3</v>
      </c>
      <c r="T66" s="9">
        <f>IF($I66="","",$I66*(1-$U66))</f>
        <v>1E-3</v>
      </c>
      <c r="U66" s="16">
        <f>IFERROR(INDEX(BASE_CCLASSTRIB!$E:$E, MATCH(TEXT($D66,"000000"), BASE_CCLASSTRIB!$A:$A, 0))/100, 0)</f>
        <v>0</v>
      </c>
      <c r="V66" s="16">
        <f>IFERROR(INDEX(BASE_CCLASSTRIB!$F:$F, MATCH(TEXT($D66,"000000"), BASE_CCLASSTRIB!$A:$A, 0))/100, 0)</f>
        <v>0</v>
      </c>
    </row>
    <row r="67" spans="4:22" ht="32.25" customHeight="1">
      <c r="D67" s="39"/>
      <c r="E67" s="27" t="str">
        <f>IF(D67="","",LEFT(D67,3))</f>
        <v/>
      </c>
      <c r="F67" s="28" t="str">
        <f>IF(E67="","",IFERROR(VLOOKUP(E67,REGRAS_CST!$A$2:$B$200,2,FALSE),""))</f>
        <v/>
      </c>
      <c r="H67" s="29">
        <v>8.9999999999999993E-3</v>
      </c>
      <c r="I67" s="29">
        <v>1E-3</v>
      </c>
      <c r="J67" s="4"/>
      <c r="K67" s="21" t="str">
        <f>IF(E67="","",IFERROR(VLOOKUP(E67,REGRAS_CST!$A$2:$C$200,3,FALSE),""))</f>
        <v/>
      </c>
      <c r="L67" s="23" t="str">
        <f>IF($G67="", "", $G67*(1-$V67))</f>
        <v/>
      </c>
      <c r="M67" s="24" t="str">
        <f>IF(OR($L67="",$S67=""),"",$L67*$S67)</f>
        <v/>
      </c>
      <c r="N67" s="24" t="str">
        <f>IF(OR($L67="",$T67=""),"",$L67*$T67)</f>
        <v/>
      </c>
      <c r="O67" s="15" t="str">
        <f>IF(D67="","",
IF(AND(K67&lt;&gt;"SIM",V67&gt;0),"ERRO: % BC &gt; 0, mas NÃO permitida ❌",
IF(AND(K67="SIM",V67=0),"ATENÇÃO: BC permitida, mas % = 0 🔎",
"Base de cálculo aplicada corretamente ✅")))</f>
        <v/>
      </c>
      <c r="P67" s="31" t="str">
        <f>IF(D67="","",
IF(AND(Q67&lt;&gt;"SIM",U67&gt;0),"ERRO: % alíquota &gt; 0, mas NÃO permitida ❌",
IF(AND(Q67="SIM",U67=0),"ATENÇÃO: alíquota permitida, mas % = 0 🔎",
"Alíquota aplicada corretamente ✅")))</f>
        <v/>
      </c>
      <c r="Q67" s="8" t="str">
        <f>IF(E67="","",IFERROR(VLOOKUP(E67,REGRAS_CST!$A$2:$D$200,4,FALSE),""))</f>
        <v/>
      </c>
      <c r="R67" s="4"/>
      <c r="S67" s="9">
        <f>IF($H67="","",$H67*(1-$U67))</f>
        <v>8.9999999999999993E-3</v>
      </c>
      <c r="T67" s="9">
        <f>IF($I67="","",$I67*(1-$U67))</f>
        <v>1E-3</v>
      </c>
      <c r="U67" s="16">
        <f>IFERROR(INDEX(BASE_CCLASSTRIB!$E:$E, MATCH(TEXT($D67,"000000"), BASE_CCLASSTRIB!$A:$A, 0))/100, 0)</f>
        <v>0</v>
      </c>
      <c r="V67" s="16">
        <f>IFERROR(INDEX(BASE_CCLASSTRIB!$F:$F, MATCH(TEXT($D67,"000000"), BASE_CCLASSTRIB!$A:$A, 0))/100, 0)</f>
        <v>0</v>
      </c>
    </row>
    <row r="68" spans="4:22" ht="32.25" customHeight="1">
      <c r="D68" s="39"/>
      <c r="E68" s="27" t="str">
        <f>IF(D68="","",LEFT(D68,3))</f>
        <v/>
      </c>
      <c r="F68" s="28" t="str">
        <f>IF(E68="","",IFERROR(VLOOKUP(E68,REGRAS_CST!$A$2:$B$200,2,FALSE),""))</f>
        <v/>
      </c>
      <c r="H68" s="29">
        <v>8.9999999999999993E-3</v>
      </c>
      <c r="I68" s="29">
        <v>1E-3</v>
      </c>
      <c r="J68" s="4"/>
      <c r="K68" s="21" t="str">
        <f>IF(E68="","",IFERROR(VLOOKUP(E68,REGRAS_CST!$A$2:$C$200,3,FALSE),""))</f>
        <v/>
      </c>
      <c r="L68" s="23" t="str">
        <f>IF($G68="", "", $G68*(1-$V68))</f>
        <v/>
      </c>
      <c r="M68" s="24" t="str">
        <f>IF(OR($L68="",$S68=""),"",$L68*$S68)</f>
        <v/>
      </c>
      <c r="N68" s="24" t="str">
        <f>IF(OR($L68="",$T68=""),"",$L68*$T68)</f>
        <v/>
      </c>
      <c r="O68" s="15" t="str">
        <f>IF(D68="","",
IF(AND(K68&lt;&gt;"SIM",V68&gt;0),"ERRO: % BC &gt; 0, mas NÃO permitida ❌",
IF(AND(K68="SIM",V68=0),"ATENÇÃO: BC permitida, mas % = 0 🔎",
"Base de cálculo aplicada corretamente ✅")))</f>
        <v/>
      </c>
      <c r="P68" s="31" t="str">
        <f>IF(D68="","",
IF(AND(Q68&lt;&gt;"SIM",U68&gt;0),"ERRO: % alíquota &gt; 0, mas NÃO permitida ❌",
IF(AND(Q68="SIM",U68=0),"ATENÇÃO: alíquota permitida, mas % = 0 🔎",
"Alíquota aplicada corretamente ✅")))</f>
        <v/>
      </c>
      <c r="Q68" s="8" t="str">
        <f>IF(E68="","",IFERROR(VLOOKUP(E68,REGRAS_CST!$A$2:$D$200,4,FALSE),""))</f>
        <v/>
      </c>
      <c r="R68" s="4"/>
      <c r="S68" s="9">
        <f>IF($H68="","",$H68*(1-$U68))</f>
        <v>8.9999999999999993E-3</v>
      </c>
      <c r="T68" s="9">
        <f>IF($I68="","",$I68*(1-$U68))</f>
        <v>1E-3</v>
      </c>
      <c r="U68" s="16">
        <f>IFERROR(INDEX(BASE_CCLASSTRIB!$E:$E, MATCH(TEXT($D68,"000000"), BASE_CCLASSTRIB!$A:$A, 0))/100, 0)</f>
        <v>0</v>
      </c>
      <c r="V68" s="16">
        <f>IFERROR(INDEX(BASE_CCLASSTRIB!$F:$F, MATCH(TEXT($D68,"000000"), BASE_CCLASSTRIB!$A:$A, 0))/100, 0)</f>
        <v>0</v>
      </c>
    </row>
    <row r="69" spans="4:22" ht="32.25" customHeight="1">
      <c r="D69" s="39"/>
      <c r="E69" s="27" t="str">
        <f>IF(D69="","",LEFT(D69,3))</f>
        <v/>
      </c>
      <c r="F69" s="28" t="str">
        <f>IF(E69="","",IFERROR(VLOOKUP(E69,REGRAS_CST!$A$2:$B$200,2,FALSE),""))</f>
        <v/>
      </c>
      <c r="H69" s="29">
        <v>8.9999999999999993E-3</v>
      </c>
      <c r="I69" s="29">
        <v>1E-3</v>
      </c>
      <c r="J69" s="4"/>
      <c r="K69" s="21" t="str">
        <f>IF(E69="","",IFERROR(VLOOKUP(E69,REGRAS_CST!$A$2:$C$200,3,FALSE),""))</f>
        <v/>
      </c>
      <c r="L69" s="23" t="str">
        <f>IF($G69="", "", $G69*(1-$V69))</f>
        <v/>
      </c>
      <c r="M69" s="24" t="str">
        <f>IF(OR($L69="",$S69=""),"",$L69*$S69)</f>
        <v/>
      </c>
      <c r="N69" s="24" t="str">
        <f>IF(OR($L69="",$T69=""),"",$L69*$T69)</f>
        <v/>
      </c>
      <c r="O69" s="15" t="str">
        <f>IF(D69="","",
IF(AND(K69&lt;&gt;"SIM",V69&gt;0),"ERRO: % BC &gt; 0, mas NÃO permitida ❌",
IF(AND(K69="SIM",V69=0),"ATENÇÃO: BC permitida, mas % = 0 🔎",
"Base de cálculo aplicada corretamente ✅")))</f>
        <v/>
      </c>
      <c r="P69" s="31" t="str">
        <f>IF(D69="","",
IF(AND(Q69&lt;&gt;"SIM",U69&gt;0),"ERRO: % alíquota &gt; 0, mas NÃO permitida ❌",
IF(AND(Q69="SIM",U69=0),"ATENÇÃO: alíquota permitida, mas % = 0 🔎",
"Alíquota aplicada corretamente ✅")))</f>
        <v/>
      </c>
      <c r="Q69" s="8" t="str">
        <f>IF(E69="","",IFERROR(VLOOKUP(E69,REGRAS_CST!$A$2:$D$200,4,FALSE),""))</f>
        <v/>
      </c>
      <c r="R69" s="4"/>
      <c r="S69" s="9">
        <f>IF($H69="","",$H69*(1-$U69))</f>
        <v>8.9999999999999993E-3</v>
      </c>
      <c r="T69" s="9">
        <f>IF($I69="","",$I69*(1-$U69))</f>
        <v>1E-3</v>
      </c>
      <c r="U69" s="16">
        <f>IFERROR(INDEX(BASE_CCLASSTRIB!$E:$E, MATCH(TEXT($D69,"000000"), BASE_CCLASSTRIB!$A:$A, 0))/100, 0)</f>
        <v>0</v>
      </c>
      <c r="V69" s="16">
        <f>IFERROR(INDEX(BASE_CCLASSTRIB!$F:$F, MATCH(TEXT($D69,"000000"), BASE_CCLASSTRIB!$A:$A, 0))/100, 0)</f>
        <v>0</v>
      </c>
    </row>
    <row r="70" spans="4:22" ht="32.25" customHeight="1">
      <c r="D70" s="39"/>
      <c r="E70" s="27" t="str">
        <f>IF(D70="","",LEFT(D70,3))</f>
        <v/>
      </c>
      <c r="F70" s="28" t="str">
        <f>IF(E70="","",IFERROR(VLOOKUP(E70,REGRAS_CST!$A$2:$B$200,2,FALSE),""))</f>
        <v/>
      </c>
      <c r="H70" s="29">
        <v>8.9999999999999993E-3</v>
      </c>
      <c r="I70" s="29">
        <v>1E-3</v>
      </c>
      <c r="J70" s="4"/>
      <c r="K70" s="21" t="str">
        <f>IF(E70="","",IFERROR(VLOOKUP(E70,REGRAS_CST!$A$2:$C$200,3,FALSE),""))</f>
        <v/>
      </c>
      <c r="L70" s="23" t="str">
        <f>IF($G70="", "", $G70*(1-$V70))</f>
        <v/>
      </c>
      <c r="M70" s="24" t="str">
        <f>IF(OR($L70="",$S70=""),"",$L70*$S70)</f>
        <v/>
      </c>
      <c r="N70" s="24" t="str">
        <f>IF(OR($L70="",$T70=""),"",$L70*$T70)</f>
        <v/>
      </c>
      <c r="O70" s="15" t="str">
        <f>IF(D70="","",
IF(AND(K70&lt;&gt;"SIM",V70&gt;0),"ERRO: % BC &gt; 0, mas NÃO permitida ❌",
IF(AND(K70="SIM",V70=0),"ATENÇÃO: BC permitida, mas % = 0 🔎",
"Base de cálculo aplicada corretamente ✅")))</f>
        <v/>
      </c>
      <c r="P70" s="31" t="str">
        <f>IF(D70="","",
IF(AND(Q70&lt;&gt;"SIM",U70&gt;0),"ERRO: % alíquota &gt; 0, mas NÃO permitida ❌",
IF(AND(Q70="SIM",U70=0),"ATENÇÃO: alíquota permitida, mas % = 0 🔎",
"Alíquota aplicada corretamente ✅")))</f>
        <v/>
      </c>
      <c r="Q70" s="8" t="str">
        <f>IF(E70="","",IFERROR(VLOOKUP(E70,REGRAS_CST!$A$2:$D$200,4,FALSE),""))</f>
        <v/>
      </c>
      <c r="R70" s="4"/>
      <c r="S70" s="9">
        <f>IF($H70="","",$H70*(1-$U70))</f>
        <v>8.9999999999999993E-3</v>
      </c>
      <c r="T70" s="9">
        <f>IF($I70="","",$I70*(1-$U70))</f>
        <v>1E-3</v>
      </c>
      <c r="U70" s="16">
        <f>IFERROR(INDEX(BASE_CCLASSTRIB!$E:$E, MATCH(TEXT($D70,"000000"), BASE_CCLASSTRIB!$A:$A, 0))/100, 0)</f>
        <v>0</v>
      </c>
      <c r="V70" s="16">
        <f>IFERROR(INDEX(BASE_CCLASSTRIB!$F:$F, MATCH(TEXT($D70,"000000"), BASE_CCLASSTRIB!$A:$A, 0))/100, 0)</f>
        <v>0</v>
      </c>
    </row>
    <row r="71" spans="4:22" ht="32.25" customHeight="1">
      <c r="D71" s="40"/>
      <c r="E71" s="27" t="str">
        <f>IF(D71="","",LEFT(D71,3))</f>
        <v/>
      </c>
      <c r="F71" s="28" t="str">
        <f>IF(E71="","",IFERROR(VLOOKUP(E71,REGRAS_CST!$A$2:$B$200,2,FALSE),""))</f>
        <v/>
      </c>
      <c r="H71" s="29">
        <v>8.9999999999999993E-3</v>
      </c>
      <c r="I71" s="29">
        <v>1E-3</v>
      </c>
      <c r="J71" s="4"/>
      <c r="K71" s="21" t="str">
        <f>IF(E71="","",IFERROR(VLOOKUP(E71,REGRAS_CST!$A$2:$C$200,3,FALSE),""))</f>
        <v/>
      </c>
      <c r="L71" s="23" t="str">
        <f>IF($G71="", "", $G71*(1-$V71))</f>
        <v/>
      </c>
      <c r="M71" s="24" t="str">
        <f>IF(OR($L71="",$S71=""),"",$L71*$S71)</f>
        <v/>
      </c>
      <c r="N71" s="24" t="str">
        <f>IF(OR($L71="",$T71=""),"",$L71*$T71)</f>
        <v/>
      </c>
      <c r="O71" s="15" t="str">
        <f>IF(D71="","",
IF(AND(K71&lt;&gt;"SIM",V71&gt;0),"ERRO: % BC &gt; 0, mas NÃO permitida ❌",
IF(AND(K71="SIM",V71=0),"ATENÇÃO: BC permitida, mas % = 0 🔎",
"Base de cálculo aplicada corretamente ✅")))</f>
        <v/>
      </c>
      <c r="P71" s="31" t="str">
        <f>IF(D71="","",
IF(AND(Q71&lt;&gt;"SIM",U71&gt;0),"ERRO: % alíquota &gt; 0, mas NÃO permitida ❌",
IF(AND(Q71="SIM",U71=0),"ATENÇÃO: alíquota permitida, mas % = 0 🔎",
"Alíquota aplicada corretamente ✅")))</f>
        <v/>
      </c>
      <c r="Q71" s="8" t="str">
        <f>IF(E71="","",IFERROR(VLOOKUP(E71,REGRAS_CST!$A$2:$D$200,4,FALSE),""))</f>
        <v/>
      </c>
      <c r="R71" s="4"/>
      <c r="S71" s="9">
        <f>IF($H71="","",$H71*(1-$U71))</f>
        <v>8.9999999999999993E-3</v>
      </c>
      <c r="T71" s="9">
        <f>IF($I71="","",$I71*(1-$U71))</f>
        <v>1E-3</v>
      </c>
      <c r="U71" s="16">
        <f>IFERROR(INDEX(BASE_CCLASSTRIB!$E:$E, MATCH(TEXT($D71,"000000"), BASE_CCLASSTRIB!$A:$A, 0))/100, 0)</f>
        <v>0</v>
      </c>
      <c r="V71" s="16">
        <f>IFERROR(INDEX(BASE_CCLASSTRIB!$F:$F, MATCH(TEXT($D71,"000000"), BASE_CCLASSTRIB!$A:$A, 0))/100, 0)</f>
        <v>0</v>
      </c>
    </row>
    <row r="72" spans="4:22" ht="32.25" customHeight="1">
      <c r="D72" s="40"/>
      <c r="E72" s="27" t="str">
        <f>IF(D72="","",LEFT(D72,3))</f>
        <v/>
      </c>
      <c r="F72" s="28" t="str">
        <f>IF(E72="","",IFERROR(VLOOKUP(E72,REGRAS_CST!$A$2:$B$200,2,FALSE),""))</f>
        <v/>
      </c>
      <c r="H72" s="29">
        <v>8.9999999999999993E-3</v>
      </c>
      <c r="I72" s="29">
        <v>1E-3</v>
      </c>
      <c r="J72" s="4"/>
      <c r="K72" s="21" t="str">
        <f>IF(E72="","",IFERROR(VLOOKUP(E72,REGRAS_CST!$A$2:$C$200,3,FALSE),""))</f>
        <v/>
      </c>
      <c r="L72" s="23" t="str">
        <f>IF($G72="", "", $G72*(1-$V72))</f>
        <v/>
      </c>
      <c r="M72" s="24" t="str">
        <f>IF(OR($L72="",$S72=""),"",$L72*$S72)</f>
        <v/>
      </c>
      <c r="N72" s="24" t="str">
        <f>IF(OR($L72="",$T72=""),"",$L72*$T72)</f>
        <v/>
      </c>
      <c r="O72" s="15" t="str">
        <f>IF(D72="","",
IF(AND(K72&lt;&gt;"SIM",V72&gt;0),"ERRO: % BC &gt; 0, mas NÃO permitida ❌",
IF(AND(K72="SIM",V72=0),"ATENÇÃO: BC permitida, mas % = 0 🔎",
"Base de cálculo aplicada corretamente ✅")))</f>
        <v/>
      </c>
      <c r="P72" s="31" t="str">
        <f>IF(D72="","",
IF(AND(Q72&lt;&gt;"SIM",U72&gt;0),"ERRO: % alíquota &gt; 0, mas NÃO permitida ❌",
IF(AND(Q72="SIM",U72=0),"ATENÇÃO: alíquota permitida, mas % = 0 🔎",
"Alíquota aplicada corretamente ✅")))</f>
        <v/>
      </c>
      <c r="Q72" s="8" t="str">
        <f>IF(E72="","",IFERROR(VLOOKUP(E72,REGRAS_CST!$A$2:$D$200,4,FALSE),""))</f>
        <v/>
      </c>
      <c r="R72" s="4"/>
      <c r="S72" s="9">
        <f>IF($H72="","",$H72*(1-$U72))</f>
        <v>8.9999999999999993E-3</v>
      </c>
      <c r="T72" s="9">
        <f>IF($I72="","",$I72*(1-$U72))</f>
        <v>1E-3</v>
      </c>
      <c r="U72" s="16">
        <f>IFERROR(INDEX(BASE_CCLASSTRIB!$E:$E, MATCH(TEXT($D72,"000000"), BASE_CCLASSTRIB!$A:$A, 0))/100, 0)</f>
        <v>0</v>
      </c>
      <c r="V72" s="16">
        <f>IFERROR(INDEX(BASE_CCLASSTRIB!$F:$F, MATCH(TEXT($D72,"000000"), BASE_CCLASSTRIB!$A:$A, 0))/100, 0)</f>
        <v>0</v>
      </c>
    </row>
    <row r="73" spans="4:22" ht="32.25" customHeight="1">
      <c r="D73" s="39"/>
      <c r="E73" s="27" t="str">
        <f>IF(D73="","",LEFT(D73,3))</f>
        <v/>
      </c>
      <c r="F73" s="28" t="str">
        <f>IF(E73="","",IFERROR(VLOOKUP(E73,REGRAS_CST!$A$2:$B$200,2,FALSE),""))</f>
        <v/>
      </c>
      <c r="H73" s="29">
        <v>8.9999999999999993E-3</v>
      </c>
      <c r="I73" s="29">
        <v>1E-3</v>
      </c>
      <c r="J73" s="4"/>
      <c r="K73" s="21" t="str">
        <f>IF(E73="","",IFERROR(VLOOKUP(E73,REGRAS_CST!$A$2:$C$200,3,FALSE),""))</f>
        <v/>
      </c>
      <c r="L73" s="23" t="str">
        <f>IF($G73="", "", $G73*(1-$V73))</f>
        <v/>
      </c>
      <c r="M73" s="24" t="str">
        <f>IF(OR($L73="",$S73=""),"",$L73*$S73)</f>
        <v/>
      </c>
      <c r="N73" s="24" t="str">
        <f>IF(OR($L73="",$T73=""),"",$L73*$T73)</f>
        <v/>
      </c>
      <c r="O73" s="15" t="str">
        <f>IF(D73="","",
IF(AND(K73&lt;&gt;"SIM",V73&gt;0),"ERRO: % BC &gt; 0, mas NÃO permitida ❌",
IF(AND(K73="SIM",V73=0),"ATENÇÃO: BC permitida, mas % = 0 🔎",
"Base de cálculo aplicada corretamente ✅")))</f>
        <v/>
      </c>
      <c r="P73" s="31" t="str">
        <f>IF(D73="","",
IF(AND(Q73&lt;&gt;"SIM",U73&gt;0),"ERRO: % alíquota &gt; 0, mas NÃO permitida ❌",
IF(AND(Q73="SIM",U73=0),"ATENÇÃO: alíquota permitida, mas % = 0 🔎",
"Alíquota aplicada corretamente ✅")))</f>
        <v/>
      </c>
      <c r="Q73" s="8" t="str">
        <f>IF(E73="","",IFERROR(VLOOKUP(E73,REGRAS_CST!$A$2:$D$200,4,FALSE),""))</f>
        <v/>
      </c>
      <c r="R73" s="4"/>
      <c r="S73" s="9">
        <f>IF($H73="","",$H73*(1-$U73))</f>
        <v>8.9999999999999993E-3</v>
      </c>
      <c r="T73" s="9">
        <f>IF($I73="","",$I73*(1-$U73))</f>
        <v>1E-3</v>
      </c>
      <c r="U73" s="16">
        <f>IFERROR(INDEX(BASE_CCLASSTRIB!$E:$E, MATCH(TEXT($D73,"000000"), BASE_CCLASSTRIB!$A:$A, 0))/100, 0)</f>
        <v>0</v>
      </c>
      <c r="V73" s="16">
        <f>IFERROR(INDEX(BASE_CCLASSTRIB!$F:$F, MATCH(TEXT($D73,"000000"), BASE_CCLASSTRIB!$A:$A, 0))/100, 0)</f>
        <v>0</v>
      </c>
    </row>
    <row r="74" spans="4:22" ht="32.25" customHeight="1">
      <c r="D74" s="39"/>
      <c r="E74" s="27" t="str">
        <f>IF(D74="","",LEFT(D74,3))</f>
        <v/>
      </c>
      <c r="F74" s="28" t="str">
        <f>IF(E74="","",IFERROR(VLOOKUP(E74,REGRAS_CST!$A$2:$B$200,2,FALSE),""))</f>
        <v/>
      </c>
      <c r="H74" s="29">
        <v>8.9999999999999993E-3</v>
      </c>
      <c r="I74" s="29">
        <v>1E-3</v>
      </c>
      <c r="J74" s="4"/>
      <c r="K74" s="21" t="str">
        <f>IF(E74="","",IFERROR(VLOOKUP(E74,REGRAS_CST!$A$2:$C$200,3,FALSE),""))</f>
        <v/>
      </c>
      <c r="L74" s="23" t="str">
        <f>IF($G74="", "", $G74*(1-$V74))</f>
        <v/>
      </c>
      <c r="M74" s="24" t="str">
        <f>IF(OR($L74="",$S74=""),"",$L74*$S74)</f>
        <v/>
      </c>
      <c r="N74" s="24" t="str">
        <f>IF(OR($L74="",$T74=""),"",$L74*$T74)</f>
        <v/>
      </c>
      <c r="O74" s="15" t="str">
        <f>IF(D74="","",
IF(AND(K74&lt;&gt;"SIM",V74&gt;0),"ERRO: % BC &gt; 0, mas NÃO permitida ❌",
IF(AND(K74="SIM",V74=0),"ATENÇÃO: BC permitida, mas % = 0 🔎",
"Base de cálculo aplicada corretamente ✅")))</f>
        <v/>
      </c>
      <c r="P74" s="31" t="str">
        <f>IF(D74="","",
IF(AND(Q74&lt;&gt;"SIM",U74&gt;0),"ERRO: % alíquota &gt; 0, mas NÃO permitida ❌",
IF(AND(Q74="SIM",U74=0),"ATENÇÃO: alíquota permitida, mas % = 0 🔎",
"Alíquota aplicada corretamente ✅")))</f>
        <v/>
      </c>
      <c r="Q74" s="8" t="str">
        <f>IF(E74="","",IFERROR(VLOOKUP(E74,REGRAS_CST!$A$2:$D$200,4,FALSE),""))</f>
        <v/>
      </c>
      <c r="R74" s="4"/>
      <c r="S74" s="9">
        <f>IF($H74="","",$H74*(1-$U74))</f>
        <v>8.9999999999999993E-3</v>
      </c>
      <c r="T74" s="9">
        <f>IF($I74="","",$I74*(1-$U74))</f>
        <v>1E-3</v>
      </c>
      <c r="U74" s="16">
        <f>IFERROR(INDEX(BASE_CCLASSTRIB!$E:$E, MATCH(TEXT($D74,"000000"), BASE_CCLASSTRIB!$A:$A, 0))/100, 0)</f>
        <v>0</v>
      </c>
      <c r="V74" s="16">
        <f>IFERROR(INDEX(BASE_CCLASSTRIB!$F:$F, MATCH(TEXT($D74,"000000"), BASE_CCLASSTRIB!$A:$A, 0))/100, 0)</f>
        <v>0</v>
      </c>
    </row>
    <row r="75" spans="4:22" ht="32.25" customHeight="1">
      <c r="D75" s="40"/>
      <c r="E75" s="27" t="str">
        <f>IF(D75="","",LEFT(D75,3))</f>
        <v/>
      </c>
      <c r="F75" s="28" t="str">
        <f>IF(E75="","",IFERROR(VLOOKUP(E75,REGRAS_CST!$A$2:$B$200,2,FALSE),""))</f>
        <v/>
      </c>
      <c r="H75" s="29">
        <v>8.9999999999999993E-3</v>
      </c>
      <c r="I75" s="29">
        <v>1E-3</v>
      </c>
      <c r="J75" s="4"/>
      <c r="K75" s="21" t="str">
        <f>IF(E75="","",IFERROR(VLOOKUP(E75,REGRAS_CST!$A$2:$C$200,3,FALSE),""))</f>
        <v/>
      </c>
      <c r="L75" s="23" t="str">
        <f>IF($G75="", "", $G75*(1-$V75))</f>
        <v/>
      </c>
      <c r="M75" s="24" t="str">
        <f>IF(OR($L75="",$S75=""),"",$L75*$S75)</f>
        <v/>
      </c>
      <c r="N75" s="24" t="str">
        <f>IF(OR($L75="",$T75=""),"",$L75*$T75)</f>
        <v/>
      </c>
      <c r="O75" s="15" t="str">
        <f>IF(D75="","",
IF(AND(K75&lt;&gt;"SIM",V75&gt;0),"ERRO: % BC &gt; 0, mas NÃO permitida ❌",
IF(AND(K75="SIM",V75=0),"ATENÇÃO: BC permitida, mas % = 0 🔎",
"Base de cálculo aplicada corretamente ✅")))</f>
        <v/>
      </c>
      <c r="P75" s="31" t="str">
        <f>IF(D75="","",
IF(AND(Q75&lt;&gt;"SIM",U75&gt;0),"ERRO: % alíquota &gt; 0, mas NÃO permitida ❌",
IF(AND(Q75="SIM",U75=0),"ATENÇÃO: alíquota permitida, mas % = 0 🔎",
"Alíquota aplicada corretamente ✅")))</f>
        <v/>
      </c>
      <c r="Q75" s="8" t="str">
        <f>IF(E75="","",IFERROR(VLOOKUP(E75,REGRAS_CST!$A$2:$D$200,4,FALSE),""))</f>
        <v/>
      </c>
      <c r="R75" s="4"/>
      <c r="S75" s="9">
        <f>IF($H75="","",$H75*(1-$U75))</f>
        <v>8.9999999999999993E-3</v>
      </c>
      <c r="T75" s="9">
        <f>IF($I75="","",$I75*(1-$U75))</f>
        <v>1E-3</v>
      </c>
      <c r="U75" s="16">
        <f>IFERROR(INDEX(BASE_CCLASSTRIB!$E:$E, MATCH(TEXT($D75,"000000"), BASE_CCLASSTRIB!$A:$A, 0))/100, 0)</f>
        <v>0</v>
      </c>
      <c r="V75" s="16">
        <f>IFERROR(INDEX(BASE_CCLASSTRIB!$F:$F, MATCH(TEXT($D75,"000000"), BASE_CCLASSTRIB!$A:$A, 0))/100, 0)</f>
        <v>0</v>
      </c>
    </row>
    <row r="76" spans="4:22" ht="32.25" customHeight="1">
      <c r="D76" s="40"/>
      <c r="E76" s="27" t="str">
        <f>IF(D76="","",LEFT(D76,3))</f>
        <v/>
      </c>
      <c r="F76" s="28" t="str">
        <f>IF(E76="","",IFERROR(VLOOKUP(E76,REGRAS_CST!$A$2:$B$200,2,FALSE),""))</f>
        <v/>
      </c>
      <c r="H76" s="29">
        <v>8.9999999999999993E-3</v>
      </c>
      <c r="I76" s="29">
        <v>1E-3</v>
      </c>
      <c r="J76" s="4"/>
      <c r="K76" s="21" t="str">
        <f>IF(E76="","",IFERROR(VLOOKUP(E76,REGRAS_CST!$A$2:$C$200,3,FALSE),""))</f>
        <v/>
      </c>
      <c r="L76" s="23" t="str">
        <f>IF($G76="", "", $G76*(1-$V76))</f>
        <v/>
      </c>
      <c r="M76" s="24" t="str">
        <f>IF(OR($L76="",$S76=""),"",$L76*$S76)</f>
        <v/>
      </c>
      <c r="N76" s="24" t="str">
        <f>IF(OR($L76="",$T76=""),"",$L76*$T76)</f>
        <v/>
      </c>
      <c r="O76" s="15" t="str">
        <f>IF(D76="","",
IF(AND(K76&lt;&gt;"SIM",V76&gt;0),"ERRO: % BC &gt; 0, mas NÃO permitida ❌",
IF(AND(K76="SIM",V76=0),"ATENÇÃO: BC permitida, mas % = 0 🔎",
"Base de cálculo aplicada corretamente ✅")))</f>
        <v/>
      </c>
      <c r="P76" s="31" t="str">
        <f>IF(D76="","",
IF(AND(Q76&lt;&gt;"SIM",U76&gt;0),"ERRO: % alíquota &gt; 0, mas NÃO permitida ❌",
IF(AND(Q76="SIM",U76=0),"ATENÇÃO: alíquota permitida, mas % = 0 🔎",
"Alíquota aplicada corretamente ✅")))</f>
        <v/>
      </c>
      <c r="Q76" s="8" t="str">
        <f>IF(E76="","",IFERROR(VLOOKUP(E76,REGRAS_CST!$A$2:$D$200,4,FALSE),""))</f>
        <v/>
      </c>
      <c r="R76" s="4"/>
      <c r="S76" s="9">
        <f>IF($H76="","",$H76*(1-$U76))</f>
        <v>8.9999999999999993E-3</v>
      </c>
      <c r="T76" s="9">
        <f>IF($I76="","",$I76*(1-$U76))</f>
        <v>1E-3</v>
      </c>
      <c r="U76" s="16">
        <f>IFERROR(INDEX(BASE_CCLASSTRIB!$E:$E, MATCH(TEXT($D76,"000000"), BASE_CCLASSTRIB!$A:$A, 0))/100, 0)</f>
        <v>0</v>
      </c>
      <c r="V76" s="16">
        <f>IFERROR(INDEX(BASE_CCLASSTRIB!$F:$F, MATCH(TEXT($D76,"000000"), BASE_CCLASSTRIB!$A:$A, 0))/100, 0)</f>
        <v>0</v>
      </c>
    </row>
    <row r="77" spans="4:22" ht="32.25" customHeight="1">
      <c r="D77" s="40"/>
      <c r="E77" s="27" t="str">
        <f>IF(D77="","",LEFT(D77,3))</f>
        <v/>
      </c>
      <c r="F77" s="28" t="str">
        <f>IF(E77="","",IFERROR(VLOOKUP(E77,REGRAS_CST!$A$2:$B$200,2,FALSE),""))</f>
        <v/>
      </c>
      <c r="H77" s="29">
        <v>8.9999999999999993E-3</v>
      </c>
      <c r="I77" s="29">
        <v>1E-3</v>
      </c>
      <c r="J77" s="4"/>
      <c r="K77" s="21" t="str">
        <f>IF(E77="","",IFERROR(VLOOKUP(E77,REGRAS_CST!$A$2:$C$200,3,FALSE),""))</f>
        <v/>
      </c>
      <c r="L77" s="23" t="str">
        <f>IF($G77="", "", $G77*(1-$V77))</f>
        <v/>
      </c>
      <c r="M77" s="24" t="str">
        <f>IF(OR($L77="",$S77=""),"",$L77*$S77)</f>
        <v/>
      </c>
      <c r="N77" s="24" t="str">
        <f>IF(OR($L77="",$T77=""),"",$L77*$T77)</f>
        <v/>
      </c>
      <c r="O77" s="15" t="str">
        <f>IF(D77="","",
IF(AND(K77&lt;&gt;"SIM",V77&gt;0),"ERRO: % BC &gt; 0, mas NÃO permitida ❌",
IF(AND(K77="SIM",V77=0),"ATENÇÃO: BC permitida, mas % = 0 🔎",
"Base de cálculo aplicada corretamente ✅")))</f>
        <v/>
      </c>
      <c r="P77" s="31" t="str">
        <f>IF(D77="","",
IF(AND(Q77&lt;&gt;"SIM",U77&gt;0),"ERRO: % alíquota &gt; 0, mas NÃO permitida ❌",
IF(AND(Q77="SIM",U77=0),"ATENÇÃO: alíquota permitida, mas % = 0 🔎",
"Alíquota aplicada corretamente ✅")))</f>
        <v/>
      </c>
      <c r="Q77" s="8" t="str">
        <f>IF(E77="","",IFERROR(VLOOKUP(E77,REGRAS_CST!$A$2:$D$200,4,FALSE),""))</f>
        <v/>
      </c>
      <c r="R77" s="4"/>
      <c r="S77" s="9">
        <f>IF($H77="","",$H77*(1-$U77))</f>
        <v>8.9999999999999993E-3</v>
      </c>
      <c r="T77" s="9">
        <f>IF($I77="","",$I77*(1-$U77))</f>
        <v>1E-3</v>
      </c>
      <c r="U77" s="16">
        <f>IFERROR(INDEX(BASE_CCLASSTRIB!$E:$E, MATCH(TEXT($D77,"000000"), BASE_CCLASSTRIB!$A:$A, 0))/100, 0)</f>
        <v>0</v>
      </c>
      <c r="V77" s="16">
        <f>IFERROR(INDEX(BASE_CCLASSTRIB!$F:$F, MATCH(TEXT($D77,"000000"), BASE_CCLASSTRIB!$A:$A, 0))/100, 0)</f>
        <v>0</v>
      </c>
    </row>
    <row r="78" spans="4:22" ht="32.25" customHeight="1">
      <c r="D78" s="39"/>
      <c r="E78" s="27" t="str">
        <f>IF(D78="","",LEFT(D78,3))</f>
        <v/>
      </c>
      <c r="F78" s="28" t="str">
        <f>IF(E78="","",IFERROR(VLOOKUP(E78,REGRAS_CST!$A$2:$B$200,2,FALSE),""))</f>
        <v/>
      </c>
      <c r="H78" s="29">
        <v>8.9999999999999993E-3</v>
      </c>
      <c r="I78" s="29">
        <v>1E-3</v>
      </c>
      <c r="J78" s="4"/>
      <c r="K78" s="21" t="str">
        <f>IF(E78="","",IFERROR(VLOOKUP(E78,REGRAS_CST!$A$2:$C$200,3,FALSE),""))</f>
        <v/>
      </c>
      <c r="L78" s="23" t="str">
        <f>IF($G78="", "", $G78*(1-$V78))</f>
        <v/>
      </c>
      <c r="M78" s="24" t="str">
        <f>IF(OR($L78="",$S78=""),"",$L78*$S78)</f>
        <v/>
      </c>
      <c r="N78" s="24" t="str">
        <f>IF(OR($L78="",$T78=""),"",$L78*$T78)</f>
        <v/>
      </c>
      <c r="O78" s="15" t="str">
        <f>IF(D78="","",
IF(AND(K78&lt;&gt;"SIM",V78&gt;0),"ERRO: % BC &gt; 0, mas NÃO permitida ❌",
IF(AND(K78="SIM",V78=0),"ATENÇÃO: BC permitida, mas % = 0 🔎",
"Base de cálculo aplicada corretamente ✅")))</f>
        <v/>
      </c>
      <c r="P78" s="31" t="str">
        <f>IF(D78="","",
IF(AND(Q78&lt;&gt;"SIM",U78&gt;0),"ERRO: % alíquota &gt; 0, mas NÃO permitida ❌",
IF(AND(Q78="SIM",U78=0),"ATENÇÃO: alíquota permitida, mas % = 0 🔎",
"Alíquota aplicada corretamente ✅")))</f>
        <v/>
      </c>
      <c r="Q78" s="8" t="str">
        <f>IF(E78="","",IFERROR(VLOOKUP(E78,REGRAS_CST!$A$2:$D$200,4,FALSE),""))</f>
        <v/>
      </c>
      <c r="R78" s="4"/>
      <c r="S78" s="9">
        <f>IF($H78="","",$H78*(1-$U78))</f>
        <v>8.9999999999999993E-3</v>
      </c>
      <c r="T78" s="9">
        <f>IF($I78="","",$I78*(1-$U78))</f>
        <v>1E-3</v>
      </c>
      <c r="U78" s="16">
        <f>IFERROR(INDEX(BASE_CCLASSTRIB!$E:$E, MATCH(TEXT($D78,"000000"), BASE_CCLASSTRIB!$A:$A, 0))/100, 0)</f>
        <v>0</v>
      </c>
      <c r="V78" s="16">
        <f>IFERROR(INDEX(BASE_CCLASSTRIB!$F:$F, MATCH(TEXT($D78,"000000"), BASE_CCLASSTRIB!$A:$A, 0))/100, 0)</f>
        <v>0</v>
      </c>
    </row>
    <row r="79" spans="4:22" ht="32.25" customHeight="1">
      <c r="D79" s="39"/>
      <c r="E79" s="27" t="str">
        <f>IF(D79="","",LEFT(D79,3))</f>
        <v/>
      </c>
      <c r="F79" s="28" t="str">
        <f>IF(E79="","",IFERROR(VLOOKUP(E79,REGRAS_CST!$A$2:$B$200,2,FALSE),""))</f>
        <v/>
      </c>
      <c r="H79" s="29">
        <v>8.9999999999999993E-3</v>
      </c>
      <c r="I79" s="29">
        <v>1E-3</v>
      </c>
      <c r="J79" s="4"/>
      <c r="K79" s="21" t="str">
        <f>IF(E79="","",IFERROR(VLOOKUP(E79,REGRAS_CST!$A$2:$C$200,3,FALSE),""))</f>
        <v/>
      </c>
      <c r="L79" s="23" t="str">
        <f>IF($G79="", "", $G79*(1-$V79))</f>
        <v/>
      </c>
      <c r="M79" s="24" t="str">
        <f>IF(OR($L79="",$S79=""),"",$L79*$S79)</f>
        <v/>
      </c>
      <c r="N79" s="24" t="str">
        <f>IF(OR($L79="",$T79=""),"",$L79*$T79)</f>
        <v/>
      </c>
      <c r="O79" s="15" t="str">
        <f>IF(D79="","",
IF(AND(K79&lt;&gt;"SIM",V79&gt;0),"ERRO: % BC &gt; 0, mas NÃO permitida ❌",
IF(AND(K79="SIM",V79=0),"ATENÇÃO: BC permitida, mas % = 0 🔎",
"Base de cálculo aplicada corretamente ✅")))</f>
        <v/>
      </c>
      <c r="P79" s="31" t="str">
        <f>IF(D79="","",
IF(AND(Q79&lt;&gt;"SIM",U79&gt;0),"ERRO: % alíquota &gt; 0, mas NÃO permitida ❌",
IF(AND(Q79="SIM",U79=0),"ATENÇÃO: alíquota permitida, mas % = 0 🔎",
"Alíquota aplicada corretamente ✅")))</f>
        <v/>
      </c>
      <c r="Q79" s="8" t="str">
        <f>IF(E79="","",IFERROR(VLOOKUP(E79,REGRAS_CST!$A$2:$D$200,4,FALSE),""))</f>
        <v/>
      </c>
      <c r="R79" s="4"/>
      <c r="S79" s="9">
        <f>IF($H79="","",$H79*(1-$U79))</f>
        <v>8.9999999999999993E-3</v>
      </c>
      <c r="T79" s="9">
        <f>IF($I79="","",$I79*(1-$U79))</f>
        <v>1E-3</v>
      </c>
      <c r="U79" s="16">
        <f>IFERROR(INDEX(BASE_CCLASSTRIB!$E:$E, MATCH(TEXT($D79,"000000"), BASE_CCLASSTRIB!$A:$A, 0))/100, 0)</f>
        <v>0</v>
      </c>
      <c r="V79" s="16">
        <f>IFERROR(INDEX(BASE_CCLASSTRIB!$F:$F, MATCH(TEXT($D79,"000000"), BASE_CCLASSTRIB!$A:$A, 0))/100, 0)</f>
        <v>0</v>
      </c>
    </row>
    <row r="80" spans="4:22" ht="32.25" customHeight="1">
      <c r="D80" s="40"/>
      <c r="E80" s="27" t="str">
        <f>IF(D80="","",LEFT(D80,3))</f>
        <v/>
      </c>
      <c r="F80" s="28" t="str">
        <f>IF(E80="","",IFERROR(VLOOKUP(E80,REGRAS_CST!$A$2:$B$200,2,FALSE),""))</f>
        <v/>
      </c>
      <c r="H80" s="29">
        <v>8.9999999999999993E-3</v>
      </c>
      <c r="I80" s="29">
        <v>1E-3</v>
      </c>
      <c r="J80" s="4"/>
      <c r="K80" s="21" t="str">
        <f>IF(E80="","",IFERROR(VLOOKUP(E80,REGRAS_CST!$A$2:$C$200,3,FALSE),""))</f>
        <v/>
      </c>
      <c r="L80" s="23" t="str">
        <f>IF($G80="", "", $G80*(1-$V80))</f>
        <v/>
      </c>
      <c r="M80" s="24" t="str">
        <f>IF(OR($L80="",$S80=""),"",$L80*$S80)</f>
        <v/>
      </c>
      <c r="N80" s="24" t="str">
        <f>IF(OR($L80="",$T80=""),"",$L80*$T80)</f>
        <v/>
      </c>
      <c r="O80" s="15" t="str">
        <f>IF(D80="","",
IF(AND(K80&lt;&gt;"SIM",V80&gt;0),"ERRO: % BC &gt; 0, mas NÃO permitida ❌",
IF(AND(K80="SIM",V80=0),"ATENÇÃO: BC permitida, mas % = 0 🔎",
"Base de cálculo aplicada corretamente ✅")))</f>
        <v/>
      </c>
      <c r="P80" s="31" t="str">
        <f>IF(D80="","",
IF(AND(Q80&lt;&gt;"SIM",U80&gt;0),"ERRO: % alíquota &gt; 0, mas NÃO permitida ❌",
IF(AND(Q80="SIM",U80=0),"ATENÇÃO: alíquota permitida, mas % = 0 🔎",
"Alíquota aplicada corretamente ✅")))</f>
        <v/>
      </c>
      <c r="Q80" s="8" t="str">
        <f>IF(E80="","",IFERROR(VLOOKUP(E80,REGRAS_CST!$A$2:$D$200,4,FALSE),""))</f>
        <v/>
      </c>
      <c r="R80" s="4"/>
      <c r="S80" s="9">
        <f>IF($H80="","",$H80*(1-$U80))</f>
        <v>8.9999999999999993E-3</v>
      </c>
      <c r="T80" s="9">
        <f>IF($I80="","",$I80*(1-$U80))</f>
        <v>1E-3</v>
      </c>
      <c r="U80" s="16">
        <f>IFERROR(INDEX(BASE_CCLASSTRIB!$E:$E, MATCH(TEXT($D80,"000000"), BASE_CCLASSTRIB!$A:$A, 0))/100, 0)</f>
        <v>0</v>
      </c>
      <c r="V80" s="16">
        <f>IFERROR(INDEX(BASE_CCLASSTRIB!$F:$F, MATCH(TEXT($D80,"000000"), BASE_CCLASSTRIB!$A:$A, 0))/100, 0)</f>
        <v>0</v>
      </c>
    </row>
    <row r="81" spans="4:22" ht="32.25" customHeight="1">
      <c r="D81" s="39"/>
      <c r="E81" s="27" t="str">
        <f>IF(D81="","",LEFT(D81,3))</f>
        <v/>
      </c>
      <c r="F81" s="28" t="str">
        <f>IF(E81="","",IFERROR(VLOOKUP(E81,REGRAS_CST!$A$2:$B$200,2,FALSE),""))</f>
        <v/>
      </c>
      <c r="H81" s="29">
        <v>8.9999999999999993E-3</v>
      </c>
      <c r="I81" s="29">
        <v>1E-3</v>
      </c>
      <c r="J81" s="4"/>
      <c r="K81" s="21" t="str">
        <f>IF(E81="","",IFERROR(VLOOKUP(E81,REGRAS_CST!$A$2:$C$200,3,FALSE),""))</f>
        <v/>
      </c>
      <c r="L81" s="23" t="str">
        <f>IF($G81="", "", $G81*(1-$V81))</f>
        <v/>
      </c>
      <c r="M81" s="24" t="str">
        <f>IF(OR($L81="",$S81=""),"",$L81*$S81)</f>
        <v/>
      </c>
      <c r="N81" s="24" t="str">
        <f>IF(OR($L81="",$T81=""),"",$L81*$T81)</f>
        <v/>
      </c>
      <c r="O81" s="15" t="str">
        <f>IF(D81="","",
IF(AND(K81&lt;&gt;"SIM",V81&gt;0),"ERRO: % BC &gt; 0, mas NÃO permitida ❌",
IF(AND(K81="SIM",V81=0),"ATENÇÃO: BC permitida, mas % = 0 🔎",
"Base de cálculo aplicada corretamente ✅")))</f>
        <v/>
      </c>
      <c r="P81" s="31" t="str">
        <f>IF(D81="","",
IF(AND(Q81&lt;&gt;"SIM",U81&gt;0),"ERRO: % alíquota &gt; 0, mas NÃO permitida ❌",
IF(AND(Q81="SIM",U81=0),"ATENÇÃO: alíquota permitida, mas % = 0 🔎",
"Alíquota aplicada corretamente ✅")))</f>
        <v/>
      </c>
      <c r="Q81" s="8" t="str">
        <f>IF(E81="","",IFERROR(VLOOKUP(E81,REGRAS_CST!$A$2:$D$200,4,FALSE),""))</f>
        <v/>
      </c>
      <c r="R81" s="4"/>
      <c r="S81" s="9">
        <f>IF($H81="","",$H81*(1-$U81))</f>
        <v>8.9999999999999993E-3</v>
      </c>
      <c r="T81" s="9">
        <f>IF($I81="","",$I81*(1-$U81))</f>
        <v>1E-3</v>
      </c>
      <c r="U81" s="16">
        <f>IFERROR(INDEX(BASE_CCLASSTRIB!$E:$E, MATCH(TEXT($D81,"000000"), BASE_CCLASSTRIB!$A:$A, 0))/100, 0)</f>
        <v>0</v>
      </c>
      <c r="V81" s="16">
        <f>IFERROR(INDEX(BASE_CCLASSTRIB!$F:$F, MATCH(TEXT($D81,"000000"), BASE_CCLASSTRIB!$A:$A, 0))/100, 0)</f>
        <v>0</v>
      </c>
    </row>
    <row r="82" spans="4:22" ht="32.25" customHeight="1">
      <c r="D82" s="39"/>
      <c r="E82" s="27" t="str">
        <f>IF(D82="","",LEFT(D82,3))</f>
        <v/>
      </c>
      <c r="F82" s="28" t="str">
        <f>IF(E82="","",IFERROR(VLOOKUP(E82,REGRAS_CST!$A$2:$B$200,2,FALSE),""))</f>
        <v/>
      </c>
      <c r="H82" s="29">
        <v>8.9999999999999993E-3</v>
      </c>
      <c r="I82" s="29">
        <v>1E-3</v>
      </c>
      <c r="J82" s="4"/>
      <c r="K82" s="21" t="str">
        <f>IF(E82="","",IFERROR(VLOOKUP(E82,REGRAS_CST!$A$2:$C$200,3,FALSE),""))</f>
        <v/>
      </c>
      <c r="L82" s="23" t="str">
        <f>IF($G82="", "", $G82*(1-$V82))</f>
        <v/>
      </c>
      <c r="M82" s="24" t="str">
        <f>IF(OR($L82="",$S82=""),"",$L82*$S82)</f>
        <v/>
      </c>
      <c r="N82" s="24" t="str">
        <f>IF(OR($L82="",$T82=""),"",$L82*$T82)</f>
        <v/>
      </c>
      <c r="O82" s="15" t="str">
        <f>IF(D82="","",
IF(AND(K82&lt;&gt;"SIM",V82&gt;0),"ERRO: % BC &gt; 0, mas NÃO permitida ❌",
IF(AND(K82="SIM",V82=0),"ATENÇÃO: BC permitida, mas % = 0 🔎",
"Base de cálculo aplicada corretamente ✅")))</f>
        <v/>
      </c>
      <c r="P82" s="31" t="str">
        <f>IF(D82="","",
IF(AND(Q82&lt;&gt;"SIM",U82&gt;0),"ERRO: % alíquota &gt; 0, mas NÃO permitida ❌",
IF(AND(Q82="SIM",U82=0),"ATENÇÃO: alíquota permitida, mas % = 0 🔎",
"Alíquota aplicada corretamente ✅")))</f>
        <v/>
      </c>
      <c r="Q82" s="8" t="str">
        <f>IF(E82="","",IFERROR(VLOOKUP(E82,REGRAS_CST!$A$2:$D$200,4,FALSE),""))</f>
        <v/>
      </c>
      <c r="R82" s="4"/>
      <c r="S82" s="9">
        <f>IF($H82="","",$H82*(1-$U82))</f>
        <v>8.9999999999999993E-3</v>
      </c>
      <c r="T82" s="9">
        <f>IF($I82="","",$I82*(1-$U82))</f>
        <v>1E-3</v>
      </c>
      <c r="U82" s="16">
        <f>IFERROR(INDEX(BASE_CCLASSTRIB!$E:$E, MATCH(TEXT($D82,"000000"), BASE_CCLASSTRIB!$A:$A, 0))/100, 0)</f>
        <v>0</v>
      </c>
      <c r="V82" s="16">
        <f>IFERROR(INDEX(BASE_CCLASSTRIB!$F:$F, MATCH(TEXT($D82,"000000"), BASE_CCLASSTRIB!$A:$A, 0))/100, 0)</f>
        <v>0</v>
      </c>
    </row>
    <row r="83" spans="4:22" ht="32.25" customHeight="1">
      <c r="D83" s="40"/>
      <c r="E83" s="27" t="str">
        <f>IF(D83="","",LEFT(D83,3))</f>
        <v/>
      </c>
      <c r="F83" s="28" t="str">
        <f>IF(E83="","",IFERROR(VLOOKUP(E83,REGRAS_CST!$A$2:$B$200,2,FALSE),""))</f>
        <v/>
      </c>
      <c r="H83" s="29">
        <v>8.9999999999999993E-3</v>
      </c>
      <c r="I83" s="29">
        <v>1E-3</v>
      </c>
      <c r="J83" s="4"/>
      <c r="K83" s="21" t="str">
        <f>IF(E83="","",IFERROR(VLOOKUP(E83,REGRAS_CST!$A$2:$C$200,3,FALSE),""))</f>
        <v/>
      </c>
      <c r="L83" s="23" t="str">
        <f>IF($G83="", "", $G83*(1-$V83))</f>
        <v/>
      </c>
      <c r="M83" s="24" t="str">
        <f>IF(OR($L83="",$S83=""),"",$L83*$S83)</f>
        <v/>
      </c>
      <c r="N83" s="24" t="str">
        <f>IF(OR($L83="",$T83=""),"",$L83*$T83)</f>
        <v/>
      </c>
      <c r="O83" s="15" t="str">
        <f>IF(D83="","",
IF(AND(K83&lt;&gt;"SIM",V83&gt;0),"ERRO: % BC &gt; 0, mas NÃO permitida ❌",
IF(AND(K83="SIM",V83=0),"ATENÇÃO: BC permitida, mas % = 0 🔎",
"Base de cálculo aplicada corretamente ✅")))</f>
        <v/>
      </c>
      <c r="P83" s="31" t="str">
        <f>IF(D83="","",
IF(AND(Q83&lt;&gt;"SIM",U83&gt;0),"ERRO: % alíquota &gt; 0, mas NÃO permitida ❌",
IF(AND(Q83="SIM",U83=0),"ATENÇÃO: alíquota permitida, mas % = 0 🔎",
"Alíquota aplicada corretamente ✅")))</f>
        <v/>
      </c>
      <c r="Q83" s="8" t="str">
        <f>IF(E83="","",IFERROR(VLOOKUP(E83,REGRAS_CST!$A$2:$D$200,4,FALSE),""))</f>
        <v/>
      </c>
      <c r="R83" s="4"/>
      <c r="S83" s="9">
        <f>IF($H83="","",$H83*(1-$U83))</f>
        <v>8.9999999999999993E-3</v>
      </c>
      <c r="T83" s="9">
        <f>IF($I83="","",$I83*(1-$U83))</f>
        <v>1E-3</v>
      </c>
      <c r="U83" s="16">
        <f>IFERROR(INDEX(BASE_CCLASSTRIB!$E:$E, MATCH(TEXT($D83,"000000"), BASE_CCLASSTRIB!$A:$A, 0))/100, 0)</f>
        <v>0</v>
      </c>
      <c r="V83" s="16">
        <f>IFERROR(INDEX(BASE_CCLASSTRIB!$F:$F, MATCH(TEXT($D83,"000000"), BASE_CCLASSTRIB!$A:$A, 0))/100, 0)</f>
        <v>0</v>
      </c>
    </row>
    <row r="84" spans="4:22" ht="32.25" customHeight="1">
      <c r="D84" s="40"/>
      <c r="E84" s="27" t="str">
        <f>IF(D84="","",LEFT(D84,3))</f>
        <v/>
      </c>
      <c r="F84" s="28" t="str">
        <f>IF(E84="","",IFERROR(VLOOKUP(E84,REGRAS_CST!$A$2:$B$200,2,FALSE),""))</f>
        <v/>
      </c>
      <c r="H84" s="29">
        <v>8.9999999999999993E-3</v>
      </c>
      <c r="I84" s="29">
        <v>1E-3</v>
      </c>
      <c r="J84" s="4"/>
      <c r="K84" s="21" t="str">
        <f>IF(E84="","",IFERROR(VLOOKUP(E84,REGRAS_CST!$A$2:$C$200,3,FALSE),""))</f>
        <v/>
      </c>
      <c r="L84" s="23" t="str">
        <f>IF($G84="", "", $G84*(1-$V84))</f>
        <v/>
      </c>
      <c r="M84" s="24" t="str">
        <f>IF(OR($L84="",$S84=""),"",$L84*$S84)</f>
        <v/>
      </c>
      <c r="N84" s="24" t="str">
        <f>IF(OR($L84="",$T84=""),"",$L84*$T84)</f>
        <v/>
      </c>
      <c r="O84" s="15" t="str">
        <f>IF(D84="","",
IF(AND(K84&lt;&gt;"SIM",V84&gt;0),"ERRO: % BC &gt; 0, mas NÃO permitida ❌",
IF(AND(K84="SIM",V84=0),"ATENÇÃO: BC permitida, mas % = 0 🔎",
"Base de cálculo aplicada corretamente ✅")))</f>
        <v/>
      </c>
      <c r="P84" s="31" t="str">
        <f>IF(D84="","",
IF(AND(Q84&lt;&gt;"SIM",U84&gt;0),"ERRO: % alíquota &gt; 0, mas NÃO permitida ❌",
IF(AND(Q84="SIM",U84=0),"ATENÇÃO: alíquota permitida, mas % = 0 🔎",
"Alíquota aplicada corretamente ✅")))</f>
        <v/>
      </c>
      <c r="Q84" s="8" t="str">
        <f>IF(E84="","",IFERROR(VLOOKUP(E84,REGRAS_CST!$A$2:$D$200,4,FALSE),""))</f>
        <v/>
      </c>
      <c r="R84" s="4"/>
      <c r="S84" s="9">
        <f>IF($H84="","",$H84*(1-$U84))</f>
        <v>8.9999999999999993E-3</v>
      </c>
      <c r="T84" s="9">
        <f>IF($I84="","",$I84*(1-$U84))</f>
        <v>1E-3</v>
      </c>
      <c r="U84" s="16">
        <f>IFERROR(INDEX(BASE_CCLASSTRIB!$E:$E, MATCH(TEXT($D84,"000000"), BASE_CCLASSTRIB!$A:$A, 0))/100, 0)</f>
        <v>0</v>
      </c>
      <c r="V84" s="16">
        <f>IFERROR(INDEX(BASE_CCLASSTRIB!$F:$F, MATCH(TEXT($D84,"000000"), BASE_CCLASSTRIB!$A:$A, 0))/100, 0)</f>
        <v>0</v>
      </c>
    </row>
    <row r="85" spans="4:22" ht="32.25" customHeight="1">
      <c r="D85" s="40"/>
      <c r="E85" s="27" t="str">
        <f>IF(D85="","",LEFT(D85,3))</f>
        <v/>
      </c>
      <c r="F85" s="28" t="str">
        <f>IF(E85="","",IFERROR(VLOOKUP(E85,REGRAS_CST!$A$2:$B$200,2,FALSE),""))</f>
        <v/>
      </c>
      <c r="H85" s="29">
        <v>8.9999999999999993E-3</v>
      </c>
      <c r="I85" s="29">
        <v>1E-3</v>
      </c>
      <c r="J85" s="4"/>
      <c r="K85" s="21" t="str">
        <f>IF(E85="","",IFERROR(VLOOKUP(E85,REGRAS_CST!$A$2:$C$200,3,FALSE),""))</f>
        <v/>
      </c>
      <c r="L85" s="23" t="str">
        <f>IF($G85="", "", $G85*(1-$V85))</f>
        <v/>
      </c>
      <c r="M85" s="24" t="str">
        <f>IF(OR($L85="",$S85=""),"",$L85*$S85)</f>
        <v/>
      </c>
      <c r="N85" s="24" t="str">
        <f>IF(OR($L85="",$T85=""),"",$L85*$T85)</f>
        <v/>
      </c>
      <c r="O85" s="15" t="str">
        <f>IF(D85="","",
IF(AND(K85&lt;&gt;"SIM",V85&gt;0),"ERRO: % BC &gt; 0, mas NÃO permitida ❌",
IF(AND(K85="SIM",V85=0),"ATENÇÃO: BC permitida, mas % = 0 🔎",
"Base de cálculo aplicada corretamente ✅")))</f>
        <v/>
      </c>
      <c r="P85" s="31" t="str">
        <f>IF(D85="","",
IF(AND(Q85&lt;&gt;"SIM",U85&gt;0),"ERRO: % alíquota &gt; 0, mas NÃO permitida ❌",
IF(AND(Q85="SIM",U85=0),"ATENÇÃO: alíquota permitida, mas % = 0 🔎",
"Alíquota aplicada corretamente ✅")))</f>
        <v/>
      </c>
      <c r="Q85" s="8" t="str">
        <f>IF(E85="","",IFERROR(VLOOKUP(E85,REGRAS_CST!$A$2:$D$200,4,FALSE),""))</f>
        <v/>
      </c>
      <c r="R85" s="4"/>
      <c r="S85" s="9">
        <f>IF($H85="","",$H85*(1-$U85))</f>
        <v>8.9999999999999993E-3</v>
      </c>
      <c r="T85" s="9">
        <f>IF($I85="","",$I85*(1-$U85))</f>
        <v>1E-3</v>
      </c>
      <c r="U85" s="16">
        <f>IFERROR(INDEX(BASE_CCLASSTRIB!$E:$E, MATCH(TEXT($D85,"000000"), BASE_CCLASSTRIB!$A:$A, 0))/100, 0)</f>
        <v>0</v>
      </c>
      <c r="V85" s="16">
        <f>IFERROR(INDEX(BASE_CCLASSTRIB!$F:$F, MATCH(TEXT($D85,"000000"), BASE_CCLASSTRIB!$A:$A, 0))/100, 0)</f>
        <v>0</v>
      </c>
    </row>
    <row r="86" spans="4:22" ht="32.25" customHeight="1">
      <c r="D86" s="40"/>
      <c r="E86" s="27" t="str">
        <f>IF(D86="","",LEFT(D86,3))</f>
        <v/>
      </c>
      <c r="F86" s="28" t="str">
        <f>IF(E86="","",IFERROR(VLOOKUP(E86,REGRAS_CST!$A$2:$B$200,2,FALSE),""))</f>
        <v/>
      </c>
      <c r="H86" s="29">
        <v>8.9999999999999993E-3</v>
      </c>
      <c r="I86" s="29">
        <v>1E-3</v>
      </c>
      <c r="J86" s="4"/>
      <c r="K86" s="21" t="str">
        <f>IF(E86="","",IFERROR(VLOOKUP(E86,REGRAS_CST!$A$2:$C$200,3,FALSE),""))</f>
        <v/>
      </c>
      <c r="L86" s="23" t="str">
        <f>IF($G86="", "", $G86*(1-$V86))</f>
        <v/>
      </c>
      <c r="M86" s="24" t="str">
        <f>IF(OR($L86="",$S86=""),"",$L86*$S86)</f>
        <v/>
      </c>
      <c r="N86" s="24" t="str">
        <f>IF(OR($L86="",$T86=""),"",$L86*$T86)</f>
        <v/>
      </c>
      <c r="O86" s="15" t="str">
        <f>IF(D86="","",
IF(AND(K86&lt;&gt;"SIM",V86&gt;0),"ERRO: % BC &gt; 0, mas NÃO permitida ❌",
IF(AND(K86="SIM",V86=0),"ATENÇÃO: BC permitida, mas % = 0 🔎",
"Base de cálculo aplicada corretamente ✅")))</f>
        <v/>
      </c>
      <c r="P86" s="31" t="str">
        <f>IF(D86="","",
IF(AND(Q86&lt;&gt;"SIM",U86&gt;0),"ERRO: % alíquota &gt; 0, mas NÃO permitida ❌",
IF(AND(Q86="SIM",U86=0),"ATENÇÃO: alíquota permitida, mas % = 0 🔎",
"Alíquota aplicada corretamente ✅")))</f>
        <v/>
      </c>
      <c r="Q86" s="8" t="str">
        <f>IF(E86="","",IFERROR(VLOOKUP(E86,REGRAS_CST!$A$2:$D$200,4,FALSE),""))</f>
        <v/>
      </c>
      <c r="R86" s="4"/>
      <c r="S86" s="9">
        <f>IF($H86="","",$H86*(1-$U86))</f>
        <v>8.9999999999999993E-3</v>
      </c>
      <c r="T86" s="9">
        <f>IF($I86="","",$I86*(1-$U86))</f>
        <v>1E-3</v>
      </c>
      <c r="U86" s="16">
        <f>IFERROR(INDEX(BASE_CCLASSTRIB!$E:$E, MATCH(TEXT($D86,"000000"), BASE_CCLASSTRIB!$A:$A, 0))/100, 0)</f>
        <v>0</v>
      </c>
      <c r="V86" s="16">
        <f>IFERROR(INDEX(BASE_CCLASSTRIB!$F:$F, MATCH(TEXT($D86,"000000"), BASE_CCLASSTRIB!$A:$A, 0))/100, 0)</f>
        <v>0</v>
      </c>
    </row>
    <row r="87" spans="4:22" ht="32.25" customHeight="1">
      <c r="D87" s="39"/>
      <c r="E87" s="27" t="str">
        <f>IF(D87="","",LEFT(D87,3))</f>
        <v/>
      </c>
      <c r="F87" s="28" t="str">
        <f>IF(E87="","",IFERROR(VLOOKUP(E87,REGRAS_CST!$A$2:$B$200,2,FALSE),""))</f>
        <v/>
      </c>
      <c r="H87" s="29">
        <v>8.9999999999999993E-3</v>
      </c>
      <c r="I87" s="29">
        <v>1E-3</v>
      </c>
      <c r="J87" s="4"/>
      <c r="K87" s="21" t="str">
        <f>IF(E87="","",IFERROR(VLOOKUP(E87,REGRAS_CST!$A$2:$C$200,3,FALSE),""))</f>
        <v/>
      </c>
      <c r="L87" s="23" t="str">
        <f>IF($G87="", "", $G87*(1-$V87))</f>
        <v/>
      </c>
      <c r="M87" s="24" t="str">
        <f>IF(OR($L87="",$S87=""),"",$L87*$S87)</f>
        <v/>
      </c>
      <c r="N87" s="24" t="str">
        <f>IF(OR($L87="",$T87=""),"",$L87*$T87)</f>
        <v/>
      </c>
      <c r="O87" s="15" t="str">
        <f>IF(D87="","",
IF(AND(K87&lt;&gt;"SIM",V87&gt;0),"ERRO: % BC &gt; 0, mas NÃO permitida ❌",
IF(AND(K87="SIM",V87=0),"ATENÇÃO: BC permitida, mas % = 0 🔎",
"Base de cálculo aplicada corretamente ✅")))</f>
        <v/>
      </c>
      <c r="P87" s="31" t="str">
        <f>IF(D87="","",
IF(AND(Q87&lt;&gt;"SIM",U87&gt;0),"ERRO: % alíquota &gt; 0, mas NÃO permitida ❌",
IF(AND(Q87="SIM",U87=0),"ATENÇÃO: alíquota permitida, mas % = 0 🔎",
"Alíquota aplicada corretamente ✅")))</f>
        <v/>
      </c>
      <c r="Q87" s="8" t="str">
        <f>IF(E87="","",IFERROR(VLOOKUP(E87,REGRAS_CST!$A$2:$D$200,4,FALSE),""))</f>
        <v/>
      </c>
      <c r="R87" s="4"/>
      <c r="S87" s="9">
        <f>IF($H87="","",$H87*(1-$U87))</f>
        <v>8.9999999999999993E-3</v>
      </c>
      <c r="T87" s="9">
        <f>IF($I87="","",$I87*(1-$U87))</f>
        <v>1E-3</v>
      </c>
      <c r="U87" s="16">
        <f>IFERROR(INDEX(BASE_CCLASSTRIB!$E:$E, MATCH(TEXT($D87,"000000"), BASE_CCLASSTRIB!$A:$A, 0))/100, 0)</f>
        <v>0</v>
      </c>
      <c r="V87" s="16">
        <f>IFERROR(INDEX(BASE_CCLASSTRIB!$F:$F, MATCH(TEXT($D87,"000000"), BASE_CCLASSTRIB!$A:$A, 0))/100, 0)</f>
        <v>0</v>
      </c>
    </row>
    <row r="88" spans="4:22" ht="32.25" customHeight="1">
      <c r="D88" s="39"/>
      <c r="E88" s="27" t="str">
        <f>IF(D88="","",LEFT(D88,3))</f>
        <v/>
      </c>
      <c r="F88" s="28" t="str">
        <f>IF(E88="","",IFERROR(VLOOKUP(E88,REGRAS_CST!$A$2:$B$200,2,FALSE),""))</f>
        <v/>
      </c>
      <c r="H88" s="29">
        <v>8.9999999999999993E-3</v>
      </c>
      <c r="I88" s="29">
        <v>1E-3</v>
      </c>
      <c r="J88" s="4"/>
      <c r="K88" s="21" t="str">
        <f>IF(E88="","",IFERROR(VLOOKUP(E88,REGRAS_CST!$A$2:$C$200,3,FALSE),""))</f>
        <v/>
      </c>
      <c r="L88" s="23" t="str">
        <f>IF($G88="", "", $G88*(1-$V88))</f>
        <v/>
      </c>
      <c r="M88" s="24" t="str">
        <f>IF(OR($L88="",$S88=""),"",$L88*$S88)</f>
        <v/>
      </c>
      <c r="N88" s="24" t="str">
        <f>IF(OR($L88="",$T88=""),"",$L88*$T88)</f>
        <v/>
      </c>
      <c r="O88" s="15" t="str">
        <f>IF(D88="","",
IF(AND(K88&lt;&gt;"SIM",V88&gt;0),"ERRO: % BC &gt; 0, mas NÃO permitida ❌",
IF(AND(K88="SIM",V88=0),"ATENÇÃO: BC permitida, mas % = 0 🔎",
"Base de cálculo aplicada corretamente ✅")))</f>
        <v/>
      </c>
      <c r="P88" s="31" t="str">
        <f>IF(D88="","",
IF(AND(Q88&lt;&gt;"SIM",U88&gt;0),"ERRO: % alíquota &gt; 0, mas NÃO permitida ❌",
IF(AND(Q88="SIM",U88=0),"ATENÇÃO: alíquota permitida, mas % = 0 🔎",
"Alíquota aplicada corretamente ✅")))</f>
        <v/>
      </c>
      <c r="Q88" s="8" t="str">
        <f>IF(E88="","",IFERROR(VLOOKUP(E88,REGRAS_CST!$A$2:$D$200,4,FALSE),""))</f>
        <v/>
      </c>
      <c r="R88" s="4"/>
      <c r="S88" s="9">
        <f>IF($H88="","",$H88*(1-$U88))</f>
        <v>8.9999999999999993E-3</v>
      </c>
      <c r="T88" s="9">
        <f>IF($I88="","",$I88*(1-$U88))</f>
        <v>1E-3</v>
      </c>
      <c r="U88" s="16">
        <f>IFERROR(INDEX(BASE_CCLASSTRIB!$E:$E, MATCH(TEXT($D88,"000000"), BASE_CCLASSTRIB!$A:$A, 0))/100, 0)</f>
        <v>0</v>
      </c>
      <c r="V88" s="16">
        <f>IFERROR(INDEX(BASE_CCLASSTRIB!$F:$F, MATCH(TEXT($D88,"000000"), BASE_CCLASSTRIB!$A:$A, 0))/100, 0)</f>
        <v>0</v>
      </c>
    </row>
    <row r="89" spans="4:22" ht="32.25" customHeight="1">
      <c r="D89" s="40"/>
      <c r="E89" s="27" t="str">
        <f>IF(D89="","",LEFT(D89,3))</f>
        <v/>
      </c>
      <c r="F89" s="28" t="str">
        <f>IF(E89="","",IFERROR(VLOOKUP(E89,REGRAS_CST!$A$2:$B$200,2,FALSE),""))</f>
        <v/>
      </c>
      <c r="H89" s="29">
        <v>8.9999999999999993E-3</v>
      </c>
      <c r="I89" s="29">
        <v>1E-3</v>
      </c>
      <c r="J89" s="4"/>
      <c r="K89" s="21" t="str">
        <f>IF(E89="","",IFERROR(VLOOKUP(E89,REGRAS_CST!$A$2:$C$200,3,FALSE),""))</f>
        <v/>
      </c>
      <c r="L89" s="23" t="str">
        <f>IF($G89="", "", $G89*(1-$V89))</f>
        <v/>
      </c>
      <c r="M89" s="24" t="str">
        <f>IF(OR($L89="",$S89=""),"",$L89*$S89)</f>
        <v/>
      </c>
      <c r="N89" s="24" t="str">
        <f>IF(OR($L89="",$T89=""),"",$L89*$T89)</f>
        <v/>
      </c>
      <c r="O89" s="15" t="str">
        <f>IF(D89="","",
IF(AND(K89&lt;&gt;"SIM",V89&gt;0),"ERRO: % BC &gt; 0, mas NÃO permitida ❌",
IF(AND(K89="SIM",V89=0),"ATENÇÃO: BC permitida, mas % = 0 🔎",
"Base de cálculo aplicada corretamente ✅")))</f>
        <v/>
      </c>
      <c r="P89" s="31" t="str">
        <f>IF(D89="","",
IF(AND(Q89&lt;&gt;"SIM",U89&gt;0),"ERRO: % alíquota &gt; 0, mas NÃO permitida ❌",
IF(AND(Q89="SIM",U89=0),"ATENÇÃO: alíquota permitida, mas % = 0 🔎",
"Alíquota aplicada corretamente ✅")))</f>
        <v/>
      </c>
      <c r="Q89" s="8" t="str">
        <f>IF(E89="","",IFERROR(VLOOKUP(E89,REGRAS_CST!$A$2:$D$200,4,FALSE),""))</f>
        <v/>
      </c>
      <c r="R89" s="4"/>
      <c r="S89" s="9">
        <f>IF($H89="","",$H89*(1-$U89))</f>
        <v>8.9999999999999993E-3</v>
      </c>
      <c r="T89" s="9">
        <f>IF($I89="","",$I89*(1-$U89))</f>
        <v>1E-3</v>
      </c>
      <c r="U89" s="16">
        <f>IFERROR(INDEX(BASE_CCLASSTRIB!$E:$E, MATCH(TEXT($D89,"000000"), BASE_CCLASSTRIB!$A:$A, 0))/100, 0)</f>
        <v>0</v>
      </c>
      <c r="V89" s="16">
        <f>IFERROR(INDEX(BASE_CCLASSTRIB!$F:$F, MATCH(TEXT($D89,"000000"), BASE_CCLASSTRIB!$A:$A, 0))/100, 0)</f>
        <v>0</v>
      </c>
    </row>
    <row r="90" spans="4:22" ht="32.25" customHeight="1">
      <c r="D90" s="40"/>
      <c r="E90" s="27" t="str">
        <f>IF(D90="","",LEFT(D90,3))</f>
        <v/>
      </c>
      <c r="F90" s="28" t="str">
        <f>IF(E90="","",IFERROR(VLOOKUP(E90,REGRAS_CST!$A$2:$B$200,2,FALSE),""))</f>
        <v/>
      </c>
      <c r="H90" s="29">
        <v>8.9999999999999993E-3</v>
      </c>
      <c r="I90" s="29">
        <v>1E-3</v>
      </c>
      <c r="J90" s="4"/>
      <c r="K90" s="21" t="str">
        <f>IF(E90="","",IFERROR(VLOOKUP(E90,REGRAS_CST!$A$2:$C$200,3,FALSE),""))</f>
        <v/>
      </c>
      <c r="L90" s="23" t="str">
        <f>IF($G90="", "", $G90*(1-$V90))</f>
        <v/>
      </c>
      <c r="M90" s="24" t="str">
        <f>IF(OR($L90="",$S90=""),"",$L90*$S90)</f>
        <v/>
      </c>
      <c r="N90" s="24" t="str">
        <f>IF(OR($L90="",$T90=""),"",$L90*$T90)</f>
        <v/>
      </c>
      <c r="O90" s="15" t="str">
        <f>IF(D90="","",
IF(AND(K90&lt;&gt;"SIM",V90&gt;0),"ERRO: % BC &gt; 0, mas NÃO permitida ❌",
IF(AND(K90="SIM",V90=0),"ATENÇÃO: BC permitida, mas % = 0 🔎",
"Base de cálculo aplicada corretamente ✅")))</f>
        <v/>
      </c>
      <c r="P90" s="31" t="str">
        <f>IF(D90="","",
IF(AND(Q90&lt;&gt;"SIM",U90&gt;0),"ERRO: % alíquota &gt; 0, mas NÃO permitida ❌",
IF(AND(Q90="SIM",U90=0),"ATENÇÃO: alíquota permitida, mas % = 0 🔎",
"Alíquota aplicada corretamente ✅")))</f>
        <v/>
      </c>
      <c r="Q90" s="8" t="str">
        <f>IF(E90="","",IFERROR(VLOOKUP(E90,REGRAS_CST!$A$2:$D$200,4,FALSE),""))</f>
        <v/>
      </c>
      <c r="R90" s="4"/>
      <c r="S90" s="9">
        <f>IF($H90="","",$H90*(1-$U90))</f>
        <v>8.9999999999999993E-3</v>
      </c>
      <c r="T90" s="9">
        <f>IF($I90="","",$I90*(1-$U90))</f>
        <v>1E-3</v>
      </c>
      <c r="U90" s="16">
        <f>IFERROR(INDEX(BASE_CCLASSTRIB!$E:$E, MATCH(TEXT($D90,"000000"), BASE_CCLASSTRIB!$A:$A, 0))/100, 0)</f>
        <v>0</v>
      </c>
      <c r="V90" s="16">
        <f>IFERROR(INDEX(BASE_CCLASSTRIB!$F:$F, MATCH(TEXT($D90,"000000"), BASE_CCLASSTRIB!$A:$A, 0))/100, 0)</f>
        <v>0</v>
      </c>
    </row>
    <row r="91" spans="4:22" ht="32.25" customHeight="1">
      <c r="D91" s="39"/>
      <c r="E91" s="27" t="str">
        <f>IF(D91="","",LEFT(D91,3))</f>
        <v/>
      </c>
      <c r="F91" s="28" t="str">
        <f>IF(E91="","",IFERROR(VLOOKUP(E91,REGRAS_CST!$A$2:$B$200,2,FALSE),""))</f>
        <v/>
      </c>
      <c r="H91" s="29">
        <v>8.9999999999999993E-3</v>
      </c>
      <c r="I91" s="29">
        <v>1E-3</v>
      </c>
      <c r="J91" s="4"/>
      <c r="K91" s="21" t="str">
        <f>IF(E91="","",IFERROR(VLOOKUP(E91,REGRAS_CST!$A$2:$C$200,3,FALSE),""))</f>
        <v/>
      </c>
      <c r="L91" s="23" t="str">
        <f>IF($G91="", "", $G91*(1-$V91))</f>
        <v/>
      </c>
      <c r="M91" s="24" t="str">
        <f>IF(OR($L91="",$S91=""),"",$L91*$S91)</f>
        <v/>
      </c>
      <c r="N91" s="24" t="str">
        <f>IF(OR($L91="",$T91=""),"",$L91*$T91)</f>
        <v/>
      </c>
      <c r="O91" s="15" t="str">
        <f>IF(D91="","",
IF(AND(K91&lt;&gt;"SIM",V91&gt;0),"ERRO: % BC &gt; 0, mas NÃO permitida ❌",
IF(AND(K91="SIM",V91=0),"ATENÇÃO: BC permitida, mas % = 0 🔎",
"Base de cálculo aplicada corretamente ✅")))</f>
        <v/>
      </c>
      <c r="P91" s="31" t="str">
        <f>IF(D91="","",
IF(AND(Q91&lt;&gt;"SIM",U91&gt;0),"ERRO: % alíquota &gt; 0, mas NÃO permitida ❌",
IF(AND(Q91="SIM",U91=0),"ATENÇÃO: alíquota permitida, mas % = 0 🔎",
"Alíquota aplicada corretamente ✅")))</f>
        <v/>
      </c>
      <c r="Q91" s="8" t="str">
        <f>IF(E91="","",IFERROR(VLOOKUP(E91,REGRAS_CST!$A$2:$D$200,4,FALSE),""))</f>
        <v/>
      </c>
      <c r="R91" s="4"/>
      <c r="S91" s="9">
        <f>IF($H91="","",$H91*(1-$U91))</f>
        <v>8.9999999999999993E-3</v>
      </c>
      <c r="T91" s="9">
        <f>IF($I91="","",$I91*(1-$U91))</f>
        <v>1E-3</v>
      </c>
      <c r="U91" s="16">
        <f>IFERROR(INDEX(BASE_CCLASSTRIB!$E:$E, MATCH(TEXT($D91,"000000"), BASE_CCLASSTRIB!$A:$A, 0))/100, 0)</f>
        <v>0</v>
      </c>
      <c r="V91" s="16">
        <f>IFERROR(INDEX(BASE_CCLASSTRIB!$F:$F, MATCH(TEXT($D91,"000000"), BASE_CCLASSTRIB!$A:$A, 0))/100, 0)</f>
        <v>0</v>
      </c>
    </row>
    <row r="92" spans="4:22" ht="32.25" customHeight="1">
      <c r="D92" s="39"/>
      <c r="E92" s="27" t="str">
        <f>IF(D92="","",LEFT(D92,3))</f>
        <v/>
      </c>
      <c r="F92" s="28" t="str">
        <f>IF(E92="","",IFERROR(VLOOKUP(E92,REGRAS_CST!$A$2:$B$200,2,FALSE),""))</f>
        <v/>
      </c>
      <c r="H92" s="29">
        <v>8.9999999999999993E-3</v>
      </c>
      <c r="I92" s="29">
        <v>1E-3</v>
      </c>
      <c r="J92" s="4"/>
      <c r="K92" s="21" t="str">
        <f>IF(E92="","",IFERROR(VLOOKUP(E92,REGRAS_CST!$A$2:$C$200,3,FALSE),""))</f>
        <v/>
      </c>
      <c r="L92" s="23" t="str">
        <f>IF($G92="", "", $G92*(1-$V92))</f>
        <v/>
      </c>
      <c r="M92" s="24" t="str">
        <f>IF(OR($L92="",$S92=""),"",$L92*$S92)</f>
        <v/>
      </c>
      <c r="N92" s="24" t="str">
        <f>IF(OR($L92="",$T92=""),"",$L92*$T92)</f>
        <v/>
      </c>
      <c r="O92" s="15" t="str">
        <f>IF(D92="","",
IF(AND(K92&lt;&gt;"SIM",V92&gt;0),"ERRO: % BC &gt; 0, mas NÃO permitida ❌",
IF(AND(K92="SIM",V92=0),"ATENÇÃO: BC permitida, mas % = 0 🔎",
"Base de cálculo aplicada corretamente ✅")))</f>
        <v/>
      </c>
      <c r="P92" s="31" t="str">
        <f>IF(D92="","",
IF(AND(Q92&lt;&gt;"SIM",U92&gt;0),"ERRO: % alíquota &gt; 0, mas NÃO permitida ❌",
IF(AND(Q92="SIM",U92=0),"ATENÇÃO: alíquota permitida, mas % = 0 🔎",
"Alíquota aplicada corretamente ✅")))</f>
        <v/>
      </c>
      <c r="Q92" s="8" t="str">
        <f>IF(E92="","",IFERROR(VLOOKUP(E92,REGRAS_CST!$A$2:$D$200,4,FALSE),""))</f>
        <v/>
      </c>
      <c r="R92" s="4"/>
      <c r="S92" s="9">
        <f>IF($H92="","",$H92*(1-$U92))</f>
        <v>8.9999999999999993E-3</v>
      </c>
      <c r="T92" s="9">
        <f>IF($I92="","",$I92*(1-$U92))</f>
        <v>1E-3</v>
      </c>
      <c r="U92" s="16">
        <f>IFERROR(INDEX(BASE_CCLASSTRIB!$E:$E, MATCH(TEXT($D92,"000000"), BASE_CCLASSTRIB!$A:$A, 0))/100, 0)</f>
        <v>0</v>
      </c>
      <c r="V92" s="16">
        <f>IFERROR(INDEX(BASE_CCLASSTRIB!$F:$F, MATCH(TEXT($D92,"000000"), BASE_CCLASSTRIB!$A:$A, 0))/100, 0)</f>
        <v>0</v>
      </c>
    </row>
    <row r="93" spans="4:22" ht="32.25" customHeight="1">
      <c r="D93" s="39"/>
      <c r="E93" s="27" t="str">
        <f>IF(D93="","",LEFT(D93,3))</f>
        <v/>
      </c>
      <c r="F93" s="28" t="str">
        <f>IF(E93="","",IFERROR(VLOOKUP(E93,REGRAS_CST!$A$2:$B$200,2,FALSE),""))</f>
        <v/>
      </c>
      <c r="H93" s="29">
        <v>8.9999999999999993E-3</v>
      </c>
      <c r="I93" s="29">
        <v>1E-3</v>
      </c>
      <c r="J93" s="4"/>
      <c r="K93" s="21" t="str">
        <f>IF(E93="","",IFERROR(VLOOKUP(E93,REGRAS_CST!$A$2:$C$200,3,FALSE),""))</f>
        <v/>
      </c>
      <c r="L93" s="23" t="str">
        <f>IF($G93="", "", $G93*(1-$V93))</f>
        <v/>
      </c>
      <c r="M93" s="24" t="str">
        <f>IF(OR($L93="",$S93=""),"",$L93*$S93)</f>
        <v/>
      </c>
      <c r="N93" s="24" t="str">
        <f>IF(OR($L93="",$T93=""),"",$L93*$T93)</f>
        <v/>
      </c>
      <c r="O93" s="15" t="str">
        <f>IF(D93="","",
IF(AND(K93&lt;&gt;"SIM",V93&gt;0),"ERRO: % BC &gt; 0, mas NÃO permitida ❌",
IF(AND(K93="SIM",V93=0),"ATENÇÃO: BC permitida, mas % = 0 🔎",
"Base de cálculo aplicada corretamente ✅")))</f>
        <v/>
      </c>
      <c r="P93" s="31" t="str">
        <f>IF(D93="","",
IF(AND(Q93&lt;&gt;"SIM",U93&gt;0),"ERRO: % alíquota &gt; 0, mas NÃO permitida ❌",
IF(AND(Q93="SIM",U93=0),"ATENÇÃO: alíquota permitida, mas % = 0 🔎",
"Alíquota aplicada corretamente ✅")))</f>
        <v/>
      </c>
      <c r="Q93" s="8" t="str">
        <f>IF(E93="","",IFERROR(VLOOKUP(E93,REGRAS_CST!$A$2:$D$200,4,FALSE),""))</f>
        <v/>
      </c>
      <c r="R93" s="4"/>
      <c r="S93" s="9">
        <f>IF($H93="","",$H93*(1-$U93))</f>
        <v>8.9999999999999993E-3</v>
      </c>
      <c r="T93" s="9">
        <f>IF($I93="","",$I93*(1-$U93))</f>
        <v>1E-3</v>
      </c>
      <c r="U93" s="16">
        <f>IFERROR(INDEX(BASE_CCLASSTRIB!$E:$E, MATCH(TEXT($D93,"000000"), BASE_CCLASSTRIB!$A:$A, 0))/100, 0)</f>
        <v>0</v>
      </c>
      <c r="V93" s="16">
        <f>IFERROR(INDEX(BASE_CCLASSTRIB!$F:$F, MATCH(TEXT($D93,"000000"), BASE_CCLASSTRIB!$A:$A, 0))/100, 0)</f>
        <v>0</v>
      </c>
    </row>
    <row r="94" spans="4:22" ht="32.25" customHeight="1">
      <c r="D94" s="39"/>
      <c r="E94" s="27" t="str">
        <f>IF(D94="","",LEFT(D94,3))</f>
        <v/>
      </c>
      <c r="F94" s="28" t="str">
        <f>IF(E94="","",IFERROR(VLOOKUP(E94,REGRAS_CST!$A$2:$B$200,2,FALSE),""))</f>
        <v/>
      </c>
      <c r="H94" s="29">
        <v>8.9999999999999993E-3</v>
      </c>
      <c r="I94" s="29">
        <v>1E-3</v>
      </c>
      <c r="J94" s="4"/>
      <c r="K94" s="21" t="str">
        <f>IF(E94="","",IFERROR(VLOOKUP(E94,REGRAS_CST!$A$2:$C$200,3,FALSE),""))</f>
        <v/>
      </c>
      <c r="L94" s="23" t="str">
        <f>IF($G94="", "", $G94*(1-$V94))</f>
        <v/>
      </c>
      <c r="M94" s="24" t="str">
        <f>IF(OR($L94="",$S94=""),"",$L94*$S94)</f>
        <v/>
      </c>
      <c r="N94" s="24" t="str">
        <f>IF(OR($L94="",$T94=""),"",$L94*$T94)</f>
        <v/>
      </c>
      <c r="O94" s="15" t="str">
        <f>IF(D94="","",
IF(AND(K94&lt;&gt;"SIM",V94&gt;0),"ERRO: % BC &gt; 0, mas NÃO permitida ❌",
IF(AND(K94="SIM",V94=0),"ATENÇÃO: BC permitida, mas % = 0 🔎",
"Base de cálculo aplicada corretamente ✅")))</f>
        <v/>
      </c>
      <c r="P94" s="31" t="str">
        <f>IF(D94="","",
IF(AND(Q94&lt;&gt;"SIM",U94&gt;0),"ERRO: % alíquota &gt; 0, mas NÃO permitida ❌",
IF(AND(Q94="SIM",U94=0),"ATENÇÃO: alíquota permitida, mas % = 0 🔎",
"Alíquota aplicada corretamente ✅")))</f>
        <v/>
      </c>
      <c r="Q94" s="8" t="str">
        <f>IF(E94="","",IFERROR(VLOOKUP(E94,REGRAS_CST!$A$2:$D$200,4,FALSE),""))</f>
        <v/>
      </c>
      <c r="R94" s="4"/>
      <c r="S94" s="9">
        <f>IF($H94="","",$H94*(1-$U94))</f>
        <v>8.9999999999999993E-3</v>
      </c>
      <c r="T94" s="9">
        <f>IF($I94="","",$I94*(1-$U94))</f>
        <v>1E-3</v>
      </c>
      <c r="U94" s="16">
        <f>IFERROR(INDEX(BASE_CCLASSTRIB!$E:$E, MATCH(TEXT($D94,"000000"), BASE_CCLASSTRIB!$A:$A, 0))/100, 0)</f>
        <v>0</v>
      </c>
      <c r="V94" s="16">
        <f>IFERROR(INDEX(BASE_CCLASSTRIB!$F:$F, MATCH(TEXT($D94,"000000"), BASE_CCLASSTRIB!$A:$A, 0))/100, 0)</f>
        <v>0</v>
      </c>
    </row>
    <row r="95" spans="4:22" ht="32.25" customHeight="1">
      <c r="D95" s="40"/>
      <c r="E95" s="27" t="str">
        <f>IF(D95="","",LEFT(D95,3))</f>
        <v/>
      </c>
      <c r="F95" s="28" t="str">
        <f>IF(E95="","",IFERROR(VLOOKUP(E95,REGRAS_CST!$A$2:$B$200,2,FALSE),""))</f>
        <v/>
      </c>
      <c r="H95" s="29">
        <v>8.9999999999999993E-3</v>
      </c>
      <c r="I95" s="29">
        <v>1E-3</v>
      </c>
      <c r="J95" s="4"/>
      <c r="K95" s="21" t="str">
        <f>IF(E95="","",IFERROR(VLOOKUP(E95,REGRAS_CST!$A$2:$C$200,3,FALSE),""))</f>
        <v/>
      </c>
      <c r="L95" s="23" t="str">
        <f>IF($G95="", "", $G95*(1-$V95))</f>
        <v/>
      </c>
      <c r="M95" s="24" t="str">
        <f>IF(OR($L95="",$S95=""),"",$L95*$S95)</f>
        <v/>
      </c>
      <c r="N95" s="24" t="str">
        <f>IF(OR($L95="",$T95=""),"",$L95*$T95)</f>
        <v/>
      </c>
      <c r="O95" s="15" t="str">
        <f>IF(D95="","",
IF(AND(K95&lt;&gt;"SIM",V95&gt;0),"ERRO: % BC &gt; 0, mas NÃO permitida ❌",
IF(AND(K95="SIM",V95=0),"ATENÇÃO: BC permitida, mas % = 0 🔎",
"Base de cálculo aplicada corretamente ✅")))</f>
        <v/>
      </c>
      <c r="P95" s="31" t="str">
        <f>IF(D95="","",
IF(AND(Q95&lt;&gt;"SIM",U95&gt;0),"ERRO: % alíquota &gt; 0, mas NÃO permitida ❌",
IF(AND(Q95="SIM",U95=0),"ATENÇÃO: alíquota permitida, mas % = 0 🔎",
"Alíquota aplicada corretamente ✅")))</f>
        <v/>
      </c>
      <c r="Q95" s="8" t="str">
        <f>IF(E95="","",IFERROR(VLOOKUP(E95,REGRAS_CST!$A$2:$D$200,4,FALSE),""))</f>
        <v/>
      </c>
      <c r="R95" s="4"/>
      <c r="S95" s="9">
        <f>IF($H95="","",$H95*(1-$U95))</f>
        <v>8.9999999999999993E-3</v>
      </c>
      <c r="T95" s="9">
        <f>IF($I95="","",$I95*(1-$U95))</f>
        <v>1E-3</v>
      </c>
      <c r="U95" s="16">
        <f>IFERROR(INDEX(BASE_CCLASSTRIB!$E:$E, MATCH(TEXT($D95,"000000"), BASE_CCLASSTRIB!$A:$A, 0))/100, 0)</f>
        <v>0</v>
      </c>
      <c r="V95" s="16">
        <f>IFERROR(INDEX(BASE_CCLASSTRIB!$F:$F, MATCH(TEXT($D95,"000000"), BASE_CCLASSTRIB!$A:$A, 0))/100, 0)</f>
        <v>0</v>
      </c>
    </row>
    <row r="96" spans="4:22" ht="32.25" customHeight="1">
      <c r="D96" s="39"/>
      <c r="E96" s="27" t="str">
        <f>IF(D96="","",LEFT(D96,3))</f>
        <v/>
      </c>
      <c r="F96" s="28" t="str">
        <f>IF(E96="","",IFERROR(VLOOKUP(E96,REGRAS_CST!$A$2:$B$200,2,FALSE),""))</f>
        <v/>
      </c>
      <c r="H96" s="29">
        <v>8.9999999999999993E-3</v>
      </c>
      <c r="I96" s="29">
        <v>1E-3</v>
      </c>
      <c r="J96" s="4"/>
      <c r="K96" s="21" t="str">
        <f>IF(E96="","",IFERROR(VLOOKUP(E96,REGRAS_CST!$A$2:$C$200,3,FALSE),""))</f>
        <v/>
      </c>
      <c r="L96" s="23" t="str">
        <f>IF($G96="", "", $G96*(1-$V96))</f>
        <v/>
      </c>
      <c r="M96" s="24" t="str">
        <f>IF(OR($L96="",$S96=""),"",$L96*$S96)</f>
        <v/>
      </c>
      <c r="N96" s="24" t="str">
        <f>IF(OR($L96="",$T96=""),"",$L96*$T96)</f>
        <v/>
      </c>
      <c r="O96" s="15" t="str">
        <f>IF(D96="","",
IF(AND(K96&lt;&gt;"SIM",V96&gt;0),"ERRO: % BC &gt; 0, mas NÃO permitida ❌",
IF(AND(K96="SIM",V96=0),"ATENÇÃO: BC permitida, mas % = 0 🔎",
"Base de cálculo aplicada corretamente ✅")))</f>
        <v/>
      </c>
      <c r="P96" s="31" t="str">
        <f>IF(D96="","",
IF(AND(Q96&lt;&gt;"SIM",U96&gt;0),"ERRO: % alíquota &gt; 0, mas NÃO permitida ❌",
IF(AND(Q96="SIM",U96=0),"ATENÇÃO: alíquota permitida, mas % = 0 🔎",
"Alíquota aplicada corretamente ✅")))</f>
        <v/>
      </c>
      <c r="Q96" s="8" t="str">
        <f>IF(E96="","",IFERROR(VLOOKUP(E96,REGRAS_CST!$A$2:$D$200,4,FALSE),""))</f>
        <v/>
      </c>
      <c r="R96" s="4"/>
      <c r="S96" s="9">
        <f>IF($H96="","",$H96*(1-$U96))</f>
        <v>8.9999999999999993E-3</v>
      </c>
      <c r="T96" s="9">
        <f>IF($I96="","",$I96*(1-$U96))</f>
        <v>1E-3</v>
      </c>
      <c r="U96" s="16">
        <f>IFERROR(INDEX(BASE_CCLASSTRIB!$E:$E, MATCH(TEXT($D96,"000000"), BASE_CCLASSTRIB!$A:$A, 0))/100, 0)</f>
        <v>0</v>
      </c>
      <c r="V96" s="16">
        <f>IFERROR(INDEX(BASE_CCLASSTRIB!$F:$F, MATCH(TEXT($D96,"000000"), BASE_CCLASSTRIB!$A:$A, 0))/100, 0)</f>
        <v>0</v>
      </c>
    </row>
    <row r="97" spans="4:22" ht="32.25" customHeight="1">
      <c r="D97" s="39"/>
      <c r="E97" s="27" t="str">
        <f>IF(D97="","",LEFT(D97,3))</f>
        <v/>
      </c>
      <c r="F97" s="28" t="str">
        <f>IF(E97="","",IFERROR(VLOOKUP(E97,REGRAS_CST!$A$2:$B$200,2,FALSE),""))</f>
        <v/>
      </c>
      <c r="H97" s="29">
        <v>8.9999999999999993E-3</v>
      </c>
      <c r="I97" s="29">
        <v>1E-3</v>
      </c>
      <c r="J97" s="4"/>
      <c r="K97" s="21" t="str">
        <f>IF(E97="","",IFERROR(VLOOKUP(E97,REGRAS_CST!$A$2:$C$200,3,FALSE),""))</f>
        <v/>
      </c>
      <c r="L97" s="23" t="str">
        <f>IF($G97="", "", $G97*(1-$V97))</f>
        <v/>
      </c>
      <c r="M97" s="24" t="str">
        <f>IF(OR($L97="",$S97=""),"",$L97*$S97)</f>
        <v/>
      </c>
      <c r="N97" s="24" t="str">
        <f>IF(OR($L97="",$T97=""),"",$L97*$T97)</f>
        <v/>
      </c>
      <c r="O97" s="15" t="str">
        <f>IF(D97="","",
IF(AND(K97&lt;&gt;"SIM",V97&gt;0),"ERRO: % BC &gt; 0, mas NÃO permitida ❌",
IF(AND(K97="SIM",V97=0),"ATENÇÃO: BC permitida, mas % = 0 🔎",
"Base de cálculo aplicada corretamente ✅")))</f>
        <v/>
      </c>
      <c r="P97" s="31" t="str">
        <f>IF(D97="","",
IF(AND(Q97&lt;&gt;"SIM",U97&gt;0),"ERRO: % alíquota &gt; 0, mas NÃO permitida ❌",
IF(AND(Q97="SIM",U97=0),"ATENÇÃO: alíquota permitida, mas % = 0 🔎",
"Alíquota aplicada corretamente ✅")))</f>
        <v/>
      </c>
      <c r="Q97" s="8" t="str">
        <f>IF(E97="","",IFERROR(VLOOKUP(E97,REGRAS_CST!$A$2:$D$200,4,FALSE),""))</f>
        <v/>
      </c>
      <c r="R97" s="4"/>
      <c r="S97" s="9">
        <f>IF($H97="","",$H97*(1-$U97))</f>
        <v>8.9999999999999993E-3</v>
      </c>
      <c r="T97" s="9">
        <f>IF($I97="","",$I97*(1-$U97))</f>
        <v>1E-3</v>
      </c>
      <c r="U97" s="16">
        <f>IFERROR(INDEX(BASE_CCLASSTRIB!$E:$E, MATCH(TEXT($D97,"000000"), BASE_CCLASSTRIB!$A:$A, 0))/100, 0)</f>
        <v>0</v>
      </c>
      <c r="V97" s="16">
        <f>IFERROR(INDEX(BASE_CCLASSTRIB!$F:$F, MATCH(TEXT($D97,"000000"), BASE_CCLASSTRIB!$A:$A, 0))/100, 0)</f>
        <v>0</v>
      </c>
    </row>
    <row r="98" spans="4:22" ht="32.25" customHeight="1">
      <c r="D98" s="39"/>
      <c r="E98" s="27" t="str">
        <f>IF(D98="","",LEFT(D98,3))</f>
        <v/>
      </c>
      <c r="F98" s="28" t="str">
        <f>IF(E98="","",IFERROR(VLOOKUP(E98,REGRAS_CST!$A$2:$B$200,2,FALSE),""))</f>
        <v/>
      </c>
      <c r="H98" s="29">
        <v>8.9999999999999993E-3</v>
      </c>
      <c r="I98" s="29">
        <v>1E-3</v>
      </c>
      <c r="J98" s="4"/>
      <c r="K98" s="21" t="str">
        <f>IF(E98="","",IFERROR(VLOOKUP(E98,REGRAS_CST!$A$2:$C$200,3,FALSE),""))</f>
        <v/>
      </c>
      <c r="L98" s="23" t="str">
        <f>IF($G98="", "", $G98*(1-$V98))</f>
        <v/>
      </c>
      <c r="M98" s="24" t="str">
        <f>IF(OR($L98="",$S98=""),"",$L98*$S98)</f>
        <v/>
      </c>
      <c r="N98" s="24" t="str">
        <f>IF(OR($L98="",$T98=""),"",$L98*$T98)</f>
        <v/>
      </c>
      <c r="O98" s="15" t="str">
        <f>IF(D98="","",
IF(AND(K98&lt;&gt;"SIM",V98&gt;0),"ERRO: % BC &gt; 0, mas NÃO permitida ❌",
IF(AND(K98="SIM",V98=0),"ATENÇÃO: BC permitida, mas % = 0 🔎",
"Base de cálculo aplicada corretamente ✅")))</f>
        <v/>
      </c>
      <c r="P98" s="31" t="str">
        <f>IF(D98="","",
IF(AND(Q98&lt;&gt;"SIM",U98&gt;0),"ERRO: % alíquota &gt; 0, mas NÃO permitida ❌",
IF(AND(Q98="SIM",U98=0),"ATENÇÃO: alíquota permitida, mas % = 0 🔎",
"Alíquota aplicada corretamente ✅")))</f>
        <v/>
      </c>
      <c r="Q98" s="8" t="str">
        <f>IF(E98="","",IFERROR(VLOOKUP(E98,REGRAS_CST!$A$2:$D$200,4,FALSE),""))</f>
        <v/>
      </c>
      <c r="R98" s="4"/>
      <c r="S98" s="9">
        <f>IF($H98="","",$H98*(1-$U98))</f>
        <v>8.9999999999999993E-3</v>
      </c>
      <c r="T98" s="9">
        <f>IF($I98="","",$I98*(1-$U98))</f>
        <v>1E-3</v>
      </c>
      <c r="U98" s="16">
        <f>IFERROR(INDEX(BASE_CCLASSTRIB!$E:$E, MATCH(TEXT($D98,"000000"), BASE_CCLASSTRIB!$A:$A, 0))/100, 0)</f>
        <v>0</v>
      </c>
      <c r="V98" s="16">
        <f>IFERROR(INDEX(BASE_CCLASSTRIB!$F:$F, MATCH(TEXT($D98,"000000"), BASE_CCLASSTRIB!$A:$A, 0))/100, 0)</f>
        <v>0</v>
      </c>
    </row>
    <row r="99" spans="4:22" ht="32.25" customHeight="1">
      <c r="D99" s="39"/>
      <c r="E99" s="27" t="str">
        <f>IF(D99="","",LEFT(D99,3))</f>
        <v/>
      </c>
      <c r="F99" s="28" t="str">
        <f>IF(E99="","",IFERROR(VLOOKUP(E99,REGRAS_CST!$A$2:$B$200,2,FALSE),""))</f>
        <v/>
      </c>
      <c r="H99" s="29">
        <v>8.9999999999999993E-3</v>
      </c>
      <c r="I99" s="29">
        <v>1E-3</v>
      </c>
      <c r="J99" s="4"/>
      <c r="K99" s="21" t="str">
        <f>IF(E99="","",IFERROR(VLOOKUP(E99,REGRAS_CST!$A$2:$C$200,3,FALSE),""))</f>
        <v/>
      </c>
      <c r="L99" s="23" t="str">
        <f>IF($G99="", "", $G99*(1-$V99))</f>
        <v/>
      </c>
      <c r="M99" s="24" t="str">
        <f>IF(OR($L99="",$S99=""),"",$L99*$S99)</f>
        <v/>
      </c>
      <c r="N99" s="24" t="str">
        <f>IF(OR($L99="",$T99=""),"",$L99*$T99)</f>
        <v/>
      </c>
      <c r="O99" s="15" t="str">
        <f>IF(D99="","",
IF(AND(K99&lt;&gt;"SIM",V99&gt;0),"ERRO: % BC &gt; 0, mas NÃO permitida ❌",
IF(AND(K99="SIM",V99=0),"ATENÇÃO: BC permitida, mas % = 0 🔎",
"Base de cálculo aplicada corretamente ✅")))</f>
        <v/>
      </c>
      <c r="P99" s="31" t="str">
        <f>IF(D99="","",
IF(AND(Q99&lt;&gt;"SIM",U99&gt;0),"ERRO: % alíquota &gt; 0, mas NÃO permitida ❌",
IF(AND(Q99="SIM",U99=0),"ATENÇÃO: alíquota permitida, mas % = 0 🔎",
"Alíquota aplicada corretamente ✅")))</f>
        <v/>
      </c>
      <c r="Q99" s="8" t="str">
        <f>IF(E99="","",IFERROR(VLOOKUP(E99,REGRAS_CST!$A$2:$D$200,4,FALSE),""))</f>
        <v/>
      </c>
      <c r="R99" s="4"/>
      <c r="S99" s="9">
        <f>IF($H99="","",$H99*(1-$U99))</f>
        <v>8.9999999999999993E-3</v>
      </c>
      <c r="T99" s="9">
        <f>IF($I99="","",$I99*(1-$U99))</f>
        <v>1E-3</v>
      </c>
      <c r="U99" s="16">
        <f>IFERROR(INDEX(BASE_CCLASSTRIB!$E:$E, MATCH(TEXT($D99,"000000"), BASE_CCLASSTRIB!$A:$A, 0))/100, 0)</f>
        <v>0</v>
      </c>
      <c r="V99" s="16">
        <f>IFERROR(INDEX(BASE_CCLASSTRIB!$F:$F, MATCH(TEXT($D99,"000000"), BASE_CCLASSTRIB!$A:$A, 0))/100, 0)</f>
        <v>0</v>
      </c>
    </row>
    <row r="100" spans="4:22" ht="32.25" customHeight="1">
      <c r="D100" s="39"/>
      <c r="E100" s="27" t="str">
        <f>IF(D100="","",LEFT(D100,3))</f>
        <v/>
      </c>
      <c r="F100" s="28" t="str">
        <f>IF(E100="","",IFERROR(VLOOKUP(E100,REGRAS_CST!$A$2:$B$200,2,FALSE),""))</f>
        <v/>
      </c>
      <c r="H100" s="29">
        <v>8.9999999999999993E-3</v>
      </c>
      <c r="I100" s="29">
        <v>1E-3</v>
      </c>
      <c r="J100" s="4"/>
      <c r="K100" s="21" t="str">
        <f>IF(E100="","",IFERROR(VLOOKUP(E100,REGRAS_CST!$A$2:$C$200,3,FALSE),""))</f>
        <v/>
      </c>
      <c r="L100" s="23" t="str">
        <f>IF($G100="", "", $G100*(1-$V100))</f>
        <v/>
      </c>
      <c r="M100" s="24" t="str">
        <f>IF(OR($L100="",$S100=""),"",$L100*$S100)</f>
        <v/>
      </c>
      <c r="N100" s="24" t="str">
        <f>IF(OR($L100="",$T100=""),"",$L100*$T100)</f>
        <v/>
      </c>
      <c r="O100" s="15" t="str">
        <f>IF(D100="","",
IF(AND(K100&lt;&gt;"SIM",V100&gt;0),"ERRO: % BC &gt; 0, mas NÃO permitida ❌",
IF(AND(K100="SIM",V100=0),"ATENÇÃO: BC permitida, mas % = 0 🔎",
"Base de cálculo aplicada corretamente ✅")))</f>
        <v/>
      </c>
      <c r="P100" s="31" t="str">
        <f>IF(D100="","",
IF(AND(Q100&lt;&gt;"SIM",U100&gt;0),"ERRO: % alíquota &gt; 0, mas NÃO permitida ❌",
IF(AND(Q100="SIM",U100=0),"ATENÇÃO: alíquota permitida, mas % = 0 🔎",
"Alíquota aplicada corretamente ✅")))</f>
        <v/>
      </c>
      <c r="Q100" s="8" t="str">
        <f>IF(E100="","",IFERROR(VLOOKUP(E100,REGRAS_CST!$A$2:$D$200,4,FALSE),""))</f>
        <v/>
      </c>
      <c r="R100" s="4"/>
      <c r="S100" s="9">
        <f>IF($H100="","",$H100*(1-$U100))</f>
        <v>8.9999999999999993E-3</v>
      </c>
      <c r="T100" s="9">
        <f>IF($I100="","",$I100*(1-$U100))</f>
        <v>1E-3</v>
      </c>
      <c r="U100" s="16">
        <f>IFERROR(INDEX(BASE_CCLASSTRIB!$E:$E, MATCH(TEXT($D100,"000000"), BASE_CCLASSTRIB!$A:$A, 0))/100, 0)</f>
        <v>0</v>
      </c>
      <c r="V100" s="16">
        <f>IFERROR(INDEX(BASE_CCLASSTRIB!$F:$F, MATCH(TEXT($D100,"000000"), BASE_CCLASSTRIB!$A:$A, 0))/100, 0)</f>
        <v>0</v>
      </c>
    </row>
    <row r="101" spans="4:22" ht="32.25" customHeight="1">
      <c r="D101" s="39"/>
      <c r="E101" s="27" t="str">
        <f>IF(D101="","",LEFT(D101,3))</f>
        <v/>
      </c>
      <c r="F101" s="28" t="str">
        <f>IF(E101="","",IFERROR(VLOOKUP(E101,REGRAS_CST!$A$2:$B$200,2,FALSE),""))</f>
        <v/>
      </c>
      <c r="H101" s="29">
        <v>8.9999999999999993E-3</v>
      </c>
      <c r="I101" s="29">
        <v>1E-3</v>
      </c>
      <c r="J101" s="4"/>
      <c r="K101" s="21" t="str">
        <f>IF(E101="","",IFERROR(VLOOKUP(E101,REGRAS_CST!$A$2:$C$200,3,FALSE),""))</f>
        <v/>
      </c>
      <c r="L101" s="23" t="str">
        <f>IF($G101="", "", $G101*(1-$V101))</f>
        <v/>
      </c>
      <c r="M101" s="24" t="str">
        <f>IF(OR($L101="",$S101=""),"",$L101*$S101)</f>
        <v/>
      </c>
      <c r="N101" s="24" t="str">
        <f>IF(OR($L101="",$T101=""),"",$L101*$T101)</f>
        <v/>
      </c>
      <c r="O101" s="15" t="str">
        <f>IF(D101="","",
IF(AND(K101&lt;&gt;"SIM",V101&gt;0),"ERRO: % BC &gt; 0, mas NÃO permitida ❌",
IF(AND(K101="SIM",V101=0),"ATENÇÃO: BC permitida, mas % = 0 🔎",
"Base de cálculo aplicada corretamente ✅")))</f>
        <v/>
      </c>
      <c r="P101" s="31" t="str">
        <f>IF(D101="","",
IF(AND(Q101&lt;&gt;"SIM",U101&gt;0),"ERRO: % alíquota &gt; 0, mas NÃO permitida ❌",
IF(AND(Q101="SIM",U101=0),"ATENÇÃO: alíquota permitida, mas % = 0 🔎",
"Alíquota aplicada corretamente ✅")))</f>
        <v/>
      </c>
      <c r="Q101" s="8" t="str">
        <f>IF(E101="","",IFERROR(VLOOKUP(E101,REGRAS_CST!$A$2:$D$200,4,FALSE),""))</f>
        <v/>
      </c>
      <c r="R101" s="4"/>
      <c r="S101" s="9">
        <f>IF($H101="","",$H101*(1-$U101))</f>
        <v>8.9999999999999993E-3</v>
      </c>
      <c r="T101" s="9">
        <f>IF($I101="","",$I101*(1-$U101))</f>
        <v>1E-3</v>
      </c>
      <c r="U101" s="16">
        <f>IFERROR(INDEX(BASE_CCLASSTRIB!$E:$E, MATCH(TEXT($D101,"000000"), BASE_CCLASSTRIB!$A:$A, 0))/100, 0)</f>
        <v>0</v>
      </c>
      <c r="V101" s="16">
        <f>IFERROR(INDEX(BASE_CCLASSTRIB!$F:$F, MATCH(TEXT($D101,"000000"), BASE_CCLASSTRIB!$A:$A, 0))/100, 0)</f>
        <v>0</v>
      </c>
    </row>
    <row r="102" spans="4:22" ht="32.25" customHeight="1">
      <c r="D102" s="40"/>
      <c r="E102" s="27" t="str">
        <f>IF(D102="","",LEFT(D102,3))</f>
        <v/>
      </c>
      <c r="F102" s="28" t="str">
        <f>IF(E102="","",IFERROR(VLOOKUP(E102,REGRAS_CST!$A$2:$B$200,2,FALSE),""))</f>
        <v/>
      </c>
      <c r="H102" s="29">
        <v>8.9999999999999993E-3</v>
      </c>
      <c r="I102" s="29">
        <v>1E-3</v>
      </c>
      <c r="J102" s="4"/>
      <c r="K102" s="21" t="str">
        <f>IF(E102="","",IFERROR(VLOOKUP(E102,REGRAS_CST!$A$2:$C$200,3,FALSE),""))</f>
        <v/>
      </c>
      <c r="L102" s="23" t="str">
        <f>IF($G102="", "", $G102*(1-$V102))</f>
        <v/>
      </c>
      <c r="M102" s="24" t="str">
        <f>IF(OR($L102="",$S102=""),"",$L102*$S102)</f>
        <v/>
      </c>
      <c r="N102" s="24" t="str">
        <f>IF(OR($L102="",$T102=""),"",$L102*$T102)</f>
        <v/>
      </c>
      <c r="O102" s="15" t="str">
        <f>IF(D102="","",
IF(AND(K102&lt;&gt;"SIM",V102&gt;0),"ERRO: % BC &gt; 0, mas NÃO permitida ❌",
IF(AND(K102="SIM",V102=0),"ATENÇÃO: BC permitida, mas % = 0 🔎",
"Base de cálculo aplicada corretamente ✅")))</f>
        <v/>
      </c>
      <c r="P102" s="31" t="str">
        <f>IF(D102="","",
IF(AND(Q102&lt;&gt;"SIM",U102&gt;0),"ERRO: % alíquota &gt; 0, mas NÃO permitida ❌",
IF(AND(Q102="SIM",U102=0),"ATENÇÃO: alíquota permitida, mas % = 0 🔎",
"Alíquota aplicada corretamente ✅")))</f>
        <v/>
      </c>
      <c r="Q102" s="8" t="str">
        <f>IF(E102="","",IFERROR(VLOOKUP(E102,REGRAS_CST!$A$2:$D$200,4,FALSE),""))</f>
        <v/>
      </c>
      <c r="R102" s="4"/>
      <c r="S102" s="9">
        <f>IF($H102="","",$H102*(1-$U102))</f>
        <v>8.9999999999999993E-3</v>
      </c>
      <c r="T102" s="9">
        <f>IF($I102="","",$I102*(1-$U102))</f>
        <v>1E-3</v>
      </c>
      <c r="U102" s="16">
        <f>IFERROR(INDEX(BASE_CCLASSTRIB!$E:$E, MATCH(TEXT($D102,"000000"), BASE_CCLASSTRIB!$A:$A, 0))/100, 0)</f>
        <v>0</v>
      </c>
      <c r="V102" s="16">
        <f>IFERROR(INDEX(BASE_CCLASSTRIB!$F:$F, MATCH(TEXT($D102,"000000"), BASE_CCLASSTRIB!$A:$A, 0))/100, 0)</f>
        <v>0</v>
      </c>
    </row>
    <row r="103" spans="4:22" ht="32.25" customHeight="1">
      <c r="D103" s="39"/>
      <c r="E103" s="27" t="str">
        <f>IF(D103="","",LEFT(D103,3))</f>
        <v/>
      </c>
      <c r="F103" s="28" t="str">
        <f>IF(E103="","",IFERROR(VLOOKUP(E103,REGRAS_CST!$A$2:$B$200,2,FALSE),""))</f>
        <v/>
      </c>
      <c r="H103" s="29">
        <v>8.9999999999999993E-3</v>
      </c>
      <c r="I103" s="29">
        <v>1E-3</v>
      </c>
      <c r="J103" s="4"/>
      <c r="K103" s="21" t="str">
        <f>IF(E103="","",IFERROR(VLOOKUP(E103,REGRAS_CST!$A$2:$C$200,3,FALSE),""))</f>
        <v/>
      </c>
      <c r="L103" s="23" t="str">
        <f>IF($G103="", "", $G103*(1-$V103))</f>
        <v/>
      </c>
      <c r="M103" s="24" t="str">
        <f>IF(OR($L103="",$S103=""),"",$L103*$S103)</f>
        <v/>
      </c>
      <c r="N103" s="24" t="str">
        <f>IF(OR($L103="",$T103=""),"",$L103*$T103)</f>
        <v/>
      </c>
      <c r="O103" s="15" t="str">
        <f>IF(D103="","",
IF(AND(K103&lt;&gt;"SIM",V103&gt;0),"ERRO: % BC &gt; 0, mas NÃO permitida ❌",
IF(AND(K103="SIM",V103=0),"ATENÇÃO: BC permitida, mas % = 0 🔎",
"Base de cálculo aplicada corretamente ✅")))</f>
        <v/>
      </c>
      <c r="P103" s="31" t="str">
        <f>IF(D103="","",
IF(AND(Q103&lt;&gt;"SIM",U103&gt;0),"ERRO: % alíquota &gt; 0, mas NÃO permitida ❌",
IF(AND(Q103="SIM",U103=0),"ATENÇÃO: alíquota permitida, mas % = 0 🔎",
"Alíquota aplicada corretamente ✅")))</f>
        <v/>
      </c>
      <c r="Q103" s="8" t="str">
        <f>IF(E103="","",IFERROR(VLOOKUP(E103,REGRAS_CST!$A$2:$D$200,4,FALSE),""))</f>
        <v/>
      </c>
      <c r="R103" s="4"/>
      <c r="S103" s="9">
        <f>IF($H103="","",$H103*(1-$U103))</f>
        <v>8.9999999999999993E-3</v>
      </c>
      <c r="T103" s="9">
        <f>IF($I103="","",$I103*(1-$U103))</f>
        <v>1E-3</v>
      </c>
      <c r="U103" s="16">
        <f>IFERROR(INDEX(BASE_CCLASSTRIB!$E:$E, MATCH(TEXT($D103,"000000"), BASE_CCLASSTRIB!$A:$A, 0))/100, 0)</f>
        <v>0</v>
      </c>
      <c r="V103" s="16">
        <f>IFERROR(INDEX(BASE_CCLASSTRIB!$F:$F, MATCH(TEXT($D103,"000000"), BASE_CCLASSTRIB!$A:$A, 0))/100, 0)</f>
        <v>0</v>
      </c>
    </row>
    <row r="104" spans="4:22" ht="32.25" customHeight="1">
      <c r="D104" s="39"/>
      <c r="E104" s="27" t="str">
        <f>IF(D104="","",LEFT(D104,3))</f>
        <v/>
      </c>
      <c r="F104" s="28" t="str">
        <f>IF(E104="","",IFERROR(VLOOKUP(E104,REGRAS_CST!$A$2:$B$200,2,FALSE),""))</f>
        <v/>
      </c>
      <c r="H104" s="29">
        <v>8.9999999999999993E-3</v>
      </c>
      <c r="I104" s="29">
        <v>1E-3</v>
      </c>
      <c r="J104" s="4"/>
      <c r="K104" s="21" t="str">
        <f>IF(E104="","",IFERROR(VLOOKUP(E104,REGRAS_CST!$A$2:$C$200,3,FALSE),""))</f>
        <v/>
      </c>
      <c r="L104" s="23" t="str">
        <f>IF($G104="", "", $G104*(1-$V104))</f>
        <v/>
      </c>
      <c r="M104" s="24" t="str">
        <f>IF(OR($L104="",$S104=""),"",$L104*$S104)</f>
        <v/>
      </c>
      <c r="N104" s="24" t="str">
        <f>IF(OR($L104="",$T104=""),"",$L104*$T104)</f>
        <v/>
      </c>
      <c r="O104" s="15" t="str">
        <f>IF(D104="","",
IF(AND(K104&lt;&gt;"SIM",V104&gt;0),"ERRO: % BC &gt; 0, mas NÃO permitida ❌",
IF(AND(K104="SIM",V104=0),"ATENÇÃO: BC permitida, mas % = 0 🔎",
"Base de cálculo aplicada corretamente ✅")))</f>
        <v/>
      </c>
      <c r="P104" s="31" t="str">
        <f>IF(D104="","",
IF(AND(Q104&lt;&gt;"SIM",U104&gt;0),"ERRO: % alíquota &gt; 0, mas NÃO permitida ❌",
IF(AND(Q104="SIM",U104=0),"ATENÇÃO: alíquota permitida, mas % = 0 🔎",
"Alíquota aplicada corretamente ✅")))</f>
        <v/>
      </c>
      <c r="Q104" s="8" t="str">
        <f>IF(E104="","",IFERROR(VLOOKUP(E104,REGRAS_CST!$A$2:$D$200,4,FALSE),""))</f>
        <v/>
      </c>
      <c r="R104" s="4"/>
      <c r="S104" s="9">
        <f>IF($H104="","",$H104*(1-$U104))</f>
        <v>8.9999999999999993E-3</v>
      </c>
      <c r="T104" s="9">
        <f>IF($I104="","",$I104*(1-$U104))</f>
        <v>1E-3</v>
      </c>
      <c r="U104" s="16">
        <f>IFERROR(INDEX(BASE_CCLASSTRIB!$E:$E, MATCH(TEXT($D104,"000000"), BASE_CCLASSTRIB!$A:$A, 0))/100, 0)</f>
        <v>0</v>
      </c>
      <c r="V104" s="16">
        <f>IFERROR(INDEX(BASE_CCLASSTRIB!$F:$F, MATCH(TEXT($D104,"000000"), BASE_CCLASSTRIB!$A:$A, 0))/100, 0)</f>
        <v>0</v>
      </c>
    </row>
    <row r="105" spans="4:22" ht="32.25" customHeight="1">
      <c r="D105" s="39"/>
      <c r="E105" s="27" t="str">
        <f>IF(D105="","",LEFT(D105,3))</f>
        <v/>
      </c>
      <c r="F105" s="28" t="str">
        <f>IF(E105="","",IFERROR(VLOOKUP(E105,REGRAS_CST!$A$2:$B$200,2,FALSE),""))</f>
        <v/>
      </c>
      <c r="H105" s="29">
        <v>8.9999999999999993E-3</v>
      </c>
      <c r="I105" s="29">
        <v>1E-3</v>
      </c>
      <c r="J105" s="4"/>
      <c r="K105" s="21" t="str">
        <f>IF(E105="","",IFERROR(VLOOKUP(E105,REGRAS_CST!$A$2:$C$200,3,FALSE),""))</f>
        <v/>
      </c>
      <c r="L105" s="23" t="str">
        <f>IF($G105="", "", $G105*(1-$V105))</f>
        <v/>
      </c>
      <c r="M105" s="24" t="str">
        <f>IF(OR($L105="",$S105=""),"",$L105*$S105)</f>
        <v/>
      </c>
      <c r="N105" s="24" t="str">
        <f>IF(OR($L105="",$T105=""),"",$L105*$T105)</f>
        <v/>
      </c>
      <c r="O105" s="15" t="str">
        <f>IF(D105="","",
IF(AND(K105&lt;&gt;"SIM",V105&gt;0),"ERRO: % BC &gt; 0, mas NÃO permitida ❌",
IF(AND(K105="SIM",V105=0),"ATENÇÃO: BC permitida, mas % = 0 🔎",
"Base de cálculo aplicada corretamente ✅")))</f>
        <v/>
      </c>
      <c r="P105" s="31" t="str">
        <f>IF(D105="","",
IF(AND(Q105&lt;&gt;"SIM",U105&gt;0),"ERRO: % alíquota &gt; 0, mas NÃO permitida ❌",
IF(AND(Q105="SIM",U105=0),"ATENÇÃO: alíquota permitida, mas % = 0 🔎",
"Alíquota aplicada corretamente ✅")))</f>
        <v/>
      </c>
      <c r="Q105" s="8" t="str">
        <f>IF(E105="","",IFERROR(VLOOKUP(E105,REGRAS_CST!$A$2:$D$200,4,FALSE),""))</f>
        <v/>
      </c>
      <c r="R105" s="4"/>
      <c r="S105" s="9">
        <f>IF($H105="","",$H105*(1-$U105))</f>
        <v>8.9999999999999993E-3</v>
      </c>
      <c r="T105" s="9">
        <f>IF($I105="","",$I105*(1-$U105))</f>
        <v>1E-3</v>
      </c>
      <c r="U105" s="16">
        <f>IFERROR(INDEX(BASE_CCLASSTRIB!$E:$E, MATCH(TEXT($D105,"000000"), BASE_CCLASSTRIB!$A:$A, 0))/100, 0)</f>
        <v>0</v>
      </c>
      <c r="V105" s="16">
        <f>IFERROR(INDEX(BASE_CCLASSTRIB!$F:$F, MATCH(TEXT($D105,"000000"), BASE_CCLASSTRIB!$A:$A, 0))/100, 0)</f>
        <v>0</v>
      </c>
    </row>
    <row r="106" spans="4:22" ht="32.25" customHeight="1">
      <c r="D106" s="40"/>
      <c r="E106" s="27" t="str">
        <f>IF(D106="","",LEFT(D106,3))</f>
        <v/>
      </c>
      <c r="F106" s="28" t="str">
        <f>IF(E106="","",IFERROR(VLOOKUP(E106,REGRAS_CST!$A$2:$B$200,2,FALSE),""))</f>
        <v/>
      </c>
      <c r="H106" s="29">
        <v>8.9999999999999993E-3</v>
      </c>
      <c r="I106" s="29">
        <v>1E-3</v>
      </c>
      <c r="J106" s="4"/>
      <c r="K106" s="21" t="str">
        <f>IF(E106="","",IFERROR(VLOOKUP(E106,REGRAS_CST!$A$2:$C$200,3,FALSE),""))</f>
        <v/>
      </c>
      <c r="L106" s="23" t="str">
        <f>IF($G106="", "", $G106*(1-$V106))</f>
        <v/>
      </c>
      <c r="M106" s="24" t="str">
        <f>IF(OR($L106="",$S106=""),"",$L106*$S106)</f>
        <v/>
      </c>
      <c r="N106" s="24" t="str">
        <f>IF(OR($L106="",$T106=""),"",$L106*$T106)</f>
        <v/>
      </c>
      <c r="O106" s="15" t="str">
        <f>IF(D106="","",
IF(AND(K106&lt;&gt;"SIM",V106&gt;0),"ERRO: % BC &gt; 0, mas NÃO permitida ❌",
IF(AND(K106="SIM",V106=0),"ATENÇÃO: BC permitida, mas % = 0 🔎",
"Base de cálculo aplicada corretamente ✅")))</f>
        <v/>
      </c>
      <c r="P106" s="31" t="str">
        <f>IF(D106="","",
IF(AND(Q106&lt;&gt;"SIM",U106&gt;0),"ERRO: % alíquota &gt; 0, mas NÃO permitida ❌",
IF(AND(Q106="SIM",U106=0),"ATENÇÃO: alíquota permitida, mas % = 0 🔎",
"Alíquota aplicada corretamente ✅")))</f>
        <v/>
      </c>
      <c r="Q106" s="8" t="str">
        <f>IF(E106="","",IFERROR(VLOOKUP(E106,REGRAS_CST!$A$2:$D$200,4,FALSE),""))</f>
        <v/>
      </c>
      <c r="R106" s="4"/>
      <c r="S106" s="9">
        <f>IF($H106="","",$H106*(1-$U106))</f>
        <v>8.9999999999999993E-3</v>
      </c>
      <c r="T106" s="9">
        <f>IF($I106="","",$I106*(1-$U106))</f>
        <v>1E-3</v>
      </c>
      <c r="U106" s="16">
        <f>IFERROR(INDEX(BASE_CCLASSTRIB!$E:$E, MATCH(TEXT($D106,"000000"), BASE_CCLASSTRIB!$A:$A, 0))/100, 0)</f>
        <v>0</v>
      </c>
      <c r="V106" s="16">
        <f>IFERROR(INDEX(BASE_CCLASSTRIB!$F:$F, MATCH(TEXT($D106,"000000"), BASE_CCLASSTRIB!$A:$A, 0))/100, 0)</f>
        <v>0</v>
      </c>
    </row>
    <row r="107" spans="4:22" ht="32.25" customHeight="1">
      <c r="D107" s="39"/>
      <c r="E107" s="27" t="str">
        <f>IF(D107="","",LEFT(D107,3))</f>
        <v/>
      </c>
      <c r="F107" s="28" t="str">
        <f>IF(E107="","",IFERROR(VLOOKUP(E107,REGRAS_CST!$A$2:$B$200,2,FALSE),""))</f>
        <v/>
      </c>
      <c r="H107" s="29">
        <v>8.9999999999999993E-3</v>
      </c>
      <c r="I107" s="29">
        <v>1E-3</v>
      </c>
      <c r="J107" s="4"/>
      <c r="K107" s="21" t="str">
        <f>IF(E107="","",IFERROR(VLOOKUP(E107,REGRAS_CST!$A$2:$C$200,3,FALSE),""))</f>
        <v/>
      </c>
      <c r="L107" s="23" t="str">
        <f>IF($G107="", "", $G107*(1-$V107))</f>
        <v/>
      </c>
      <c r="M107" s="24" t="str">
        <f>IF(OR($L107="",$S107=""),"",$L107*$S107)</f>
        <v/>
      </c>
      <c r="N107" s="24" t="str">
        <f>IF(OR($L107="",$T107=""),"",$L107*$T107)</f>
        <v/>
      </c>
      <c r="O107" s="15" t="str">
        <f>IF(D107="","",
IF(AND(K107&lt;&gt;"SIM",V107&gt;0),"ERRO: % BC &gt; 0, mas NÃO permitida ❌",
IF(AND(K107="SIM",V107=0),"ATENÇÃO: BC permitida, mas % = 0 🔎",
"Base de cálculo aplicada corretamente ✅")))</f>
        <v/>
      </c>
      <c r="P107" s="31" t="str">
        <f>IF(D107="","",
IF(AND(Q107&lt;&gt;"SIM",U107&gt;0),"ERRO: % alíquota &gt; 0, mas NÃO permitida ❌",
IF(AND(Q107="SIM",U107=0),"ATENÇÃO: alíquota permitida, mas % = 0 🔎",
"Alíquota aplicada corretamente ✅")))</f>
        <v/>
      </c>
      <c r="Q107" s="8" t="str">
        <f>IF(E107="","",IFERROR(VLOOKUP(E107,REGRAS_CST!$A$2:$D$200,4,FALSE),""))</f>
        <v/>
      </c>
      <c r="R107" s="4"/>
      <c r="S107" s="9">
        <f>IF($H107="","",$H107*(1-$U107))</f>
        <v>8.9999999999999993E-3</v>
      </c>
      <c r="T107" s="9">
        <f>IF($I107="","",$I107*(1-$U107))</f>
        <v>1E-3</v>
      </c>
      <c r="U107" s="16">
        <f>IFERROR(INDEX(BASE_CCLASSTRIB!$E:$E, MATCH(TEXT($D107,"000000"), BASE_CCLASSTRIB!$A:$A, 0))/100, 0)</f>
        <v>0</v>
      </c>
      <c r="V107" s="16">
        <f>IFERROR(INDEX(BASE_CCLASSTRIB!$F:$F, MATCH(TEXT($D107,"000000"), BASE_CCLASSTRIB!$A:$A, 0))/100, 0)</f>
        <v>0</v>
      </c>
    </row>
    <row r="108" spans="4:22" ht="32.25" customHeight="1">
      <c r="D108" s="40"/>
      <c r="E108" s="27" t="str">
        <f>IF(D108="","",LEFT(D108,3))</f>
        <v/>
      </c>
      <c r="F108" s="28" t="str">
        <f>IF(E108="","",IFERROR(VLOOKUP(E108,REGRAS_CST!$A$2:$B$200,2,FALSE),""))</f>
        <v/>
      </c>
      <c r="H108" s="29">
        <v>8.9999999999999993E-3</v>
      </c>
      <c r="I108" s="29">
        <v>1E-3</v>
      </c>
      <c r="J108" s="4"/>
      <c r="K108" s="21" t="str">
        <f>IF(E108="","",IFERROR(VLOOKUP(E108,REGRAS_CST!$A$2:$C$200,3,FALSE),""))</f>
        <v/>
      </c>
      <c r="L108" s="23" t="str">
        <f>IF($G108="", "", $G108*(1-$V108))</f>
        <v/>
      </c>
      <c r="M108" s="24" t="str">
        <f>IF(OR($L108="",$S108=""),"",$L108*$S108)</f>
        <v/>
      </c>
      <c r="N108" s="24" t="str">
        <f>IF(OR($L108="",$T108=""),"",$L108*$T108)</f>
        <v/>
      </c>
      <c r="O108" s="15" t="str">
        <f>IF(D108="","",
IF(AND(K108&lt;&gt;"SIM",V108&gt;0),"ERRO: % BC &gt; 0, mas NÃO permitida ❌",
IF(AND(K108="SIM",V108=0),"ATENÇÃO: BC permitida, mas % = 0 🔎",
"Base de cálculo aplicada corretamente ✅")))</f>
        <v/>
      </c>
      <c r="P108" s="31" t="str">
        <f>IF(D108="","",
IF(AND(Q108&lt;&gt;"SIM",U108&gt;0),"ERRO: % alíquota &gt; 0, mas NÃO permitida ❌",
IF(AND(Q108="SIM",U108=0),"ATENÇÃO: alíquota permitida, mas % = 0 🔎",
"Alíquota aplicada corretamente ✅")))</f>
        <v/>
      </c>
      <c r="Q108" s="8" t="str">
        <f>IF(E108="","",IFERROR(VLOOKUP(E108,REGRAS_CST!$A$2:$D$200,4,FALSE),""))</f>
        <v/>
      </c>
      <c r="R108" s="4"/>
      <c r="S108" s="9">
        <f>IF($H108="","",$H108*(1-$U108))</f>
        <v>8.9999999999999993E-3</v>
      </c>
      <c r="T108" s="9">
        <f>IF($I108="","",$I108*(1-$U108))</f>
        <v>1E-3</v>
      </c>
      <c r="U108" s="16">
        <f>IFERROR(INDEX(BASE_CCLASSTRIB!$E:$E, MATCH(TEXT($D108,"000000"), BASE_CCLASSTRIB!$A:$A, 0))/100, 0)</f>
        <v>0</v>
      </c>
      <c r="V108" s="16">
        <f>IFERROR(INDEX(BASE_CCLASSTRIB!$F:$F, MATCH(TEXT($D108,"000000"), BASE_CCLASSTRIB!$A:$A, 0))/100, 0)</f>
        <v>0</v>
      </c>
    </row>
    <row r="109" spans="4:22" ht="32.25" customHeight="1">
      <c r="D109" s="40"/>
      <c r="E109" s="27" t="str">
        <f>IF(D109="","",LEFT(D109,3))</f>
        <v/>
      </c>
      <c r="F109" s="28" t="str">
        <f>IF(E109="","",IFERROR(VLOOKUP(E109,REGRAS_CST!$A$2:$B$200,2,FALSE),""))</f>
        <v/>
      </c>
      <c r="H109" s="29">
        <v>8.9999999999999993E-3</v>
      </c>
      <c r="I109" s="29">
        <v>1E-3</v>
      </c>
      <c r="J109" s="4"/>
      <c r="K109" s="21" t="str">
        <f>IF(E109="","",IFERROR(VLOOKUP(E109,REGRAS_CST!$A$2:$C$200,3,FALSE),""))</f>
        <v/>
      </c>
      <c r="L109" s="23" t="str">
        <f>IF($G109="", "", $G109*(1-$V109))</f>
        <v/>
      </c>
      <c r="M109" s="24" t="str">
        <f>IF(OR($L109="",$S109=""),"",$L109*$S109)</f>
        <v/>
      </c>
      <c r="N109" s="24" t="str">
        <f>IF(OR($L109="",$T109=""),"",$L109*$T109)</f>
        <v/>
      </c>
      <c r="O109" s="15" t="str">
        <f>IF(D109="","",
IF(AND(K109&lt;&gt;"SIM",V109&gt;0),"ERRO: % BC &gt; 0, mas NÃO permitida ❌",
IF(AND(K109="SIM",V109=0),"ATENÇÃO: BC permitida, mas % = 0 🔎",
"Base de cálculo aplicada corretamente ✅")))</f>
        <v/>
      </c>
      <c r="P109" s="31" t="str">
        <f>IF(D109="","",
IF(AND(Q109&lt;&gt;"SIM",U109&gt;0),"ERRO: % alíquota &gt; 0, mas NÃO permitida ❌",
IF(AND(Q109="SIM",U109=0),"ATENÇÃO: alíquota permitida, mas % = 0 🔎",
"Alíquota aplicada corretamente ✅")))</f>
        <v/>
      </c>
      <c r="Q109" s="8" t="str">
        <f>IF(E109="","",IFERROR(VLOOKUP(E109,REGRAS_CST!$A$2:$D$200,4,FALSE),""))</f>
        <v/>
      </c>
      <c r="R109" s="4"/>
      <c r="S109" s="9">
        <f>IF($H109="","",$H109*(1-$U109))</f>
        <v>8.9999999999999993E-3</v>
      </c>
      <c r="T109" s="9">
        <f>IF($I109="","",$I109*(1-$U109))</f>
        <v>1E-3</v>
      </c>
      <c r="U109" s="16">
        <f>IFERROR(INDEX(BASE_CCLASSTRIB!$E:$E, MATCH(TEXT($D109,"000000"), BASE_CCLASSTRIB!$A:$A, 0))/100, 0)</f>
        <v>0</v>
      </c>
      <c r="V109" s="16">
        <f>IFERROR(INDEX(BASE_CCLASSTRIB!$F:$F, MATCH(TEXT($D109,"000000"), BASE_CCLASSTRIB!$A:$A, 0))/100, 0)</f>
        <v>0</v>
      </c>
    </row>
    <row r="110" spans="4:22" ht="32.25" customHeight="1">
      <c r="D110" s="40"/>
      <c r="E110" s="27" t="str">
        <f>IF(D110="","",LEFT(D110,3))</f>
        <v/>
      </c>
      <c r="F110" s="28" t="str">
        <f>IF(E110="","",IFERROR(VLOOKUP(E110,REGRAS_CST!$A$2:$B$200,2,FALSE),""))</f>
        <v/>
      </c>
      <c r="H110" s="29">
        <v>8.9999999999999993E-3</v>
      </c>
      <c r="I110" s="29">
        <v>1E-3</v>
      </c>
      <c r="J110" s="4"/>
      <c r="K110" s="21" t="str">
        <f>IF(E110="","",IFERROR(VLOOKUP(E110,REGRAS_CST!$A$2:$C$200,3,FALSE),""))</f>
        <v/>
      </c>
      <c r="L110" s="23" t="str">
        <f>IF($G110="", "", $G110*(1-$V110))</f>
        <v/>
      </c>
      <c r="M110" s="24" t="str">
        <f>IF(OR($L110="",$S110=""),"",$L110*$S110)</f>
        <v/>
      </c>
      <c r="N110" s="24" t="str">
        <f>IF(OR($L110="",$T110=""),"",$L110*$T110)</f>
        <v/>
      </c>
      <c r="O110" s="15" t="str">
        <f>IF(D110="","",
IF(AND(K110&lt;&gt;"SIM",V110&gt;0),"ERRO: % BC &gt; 0, mas NÃO permitida ❌",
IF(AND(K110="SIM",V110=0),"ATENÇÃO: BC permitida, mas % = 0 🔎",
"Base de cálculo aplicada corretamente ✅")))</f>
        <v/>
      </c>
      <c r="P110" s="31" t="str">
        <f>IF(D110="","",
IF(AND(Q110&lt;&gt;"SIM",U110&gt;0),"ERRO: % alíquota &gt; 0, mas NÃO permitida ❌",
IF(AND(Q110="SIM",U110=0),"ATENÇÃO: alíquota permitida, mas % = 0 🔎",
"Alíquota aplicada corretamente ✅")))</f>
        <v/>
      </c>
      <c r="Q110" s="8" t="str">
        <f>IF(E110="","",IFERROR(VLOOKUP(E110,REGRAS_CST!$A$2:$D$200,4,FALSE),""))</f>
        <v/>
      </c>
      <c r="R110" s="4"/>
      <c r="S110" s="9">
        <f>IF($H110="","",$H110*(1-$U110))</f>
        <v>8.9999999999999993E-3</v>
      </c>
      <c r="T110" s="9">
        <f>IF($I110="","",$I110*(1-$U110))</f>
        <v>1E-3</v>
      </c>
      <c r="U110" s="16">
        <f>IFERROR(INDEX(BASE_CCLASSTRIB!$E:$E, MATCH(TEXT($D110,"000000"), BASE_CCLASSTRIB!$A:$A, 0))/100, 0)</f>
        <v>0</v>
      </c>
      <c r="V110" s="16">
        <f>IFERROR(INDEX(BASE_CCLASSTRIB!$F:$F, MATCH(TEXT($D110,"000000"), BASE_CCLASSTRIB!$A:$A, 0))/100, 0)</f>
        <v>0</v>
      </c>
    </row>
    <row r="111" spans="4:22" ht="32.25" customHeight="1">
      <c r="D111" s="40"/>
      <c r="E111" s="27" t="str">
        <f>IF(D111="","",LEFT(D111,3))</f>
        <v/>
      </c>
      <c r="F111" s="28" t="str">
        <f>IF(E111="","",IFERROR(VLOOKUP(E111,REGRAS_CST!$A$2:$B$200,2,FALSE),""))</f>
        <v/>
      </c>
      <c r="H111" s="29">
        <v>8.9999999999999993E-3</v>
      </c>
      <c r="I111" s="29">
        <v>1E-3</v>
      </c>
      <c r="J111" s="4"/>
      <c r="K111" s="21" t="str">
        <f>IF(E111="","",IFERROR(VLOOKUP(E111,REGRAS_CST!$A$2:$C$200,3,FALSE),""))</f>
        <v/>
      </c>
      <c r="L111" s="23" t="str">
        <f>IF($G111="", "", $G111*(1-$V111))</f>
        <v/>
      </c>
      <c r="M111" s="24" t="str">
        <f>IF(OR($L111="",$S111=""),"",$L111*$S111)</f>
        <v/>
      </c>
      <c r="N111" s="24" t="str">
        <f>IF(OR($L111="",$T111=""),"",$L111*$T111)</f>
        <v/>
      </c>
      <c r="O111" s="15" t="str">
        <f>IF(D111="","",
IF(AND(K111&lt;&gt;"SIM",V111&gt;0),"ERRO: % BC &gt; 0, mas NÃO permitida ❌",
IF(AND(K111="SIM",V111=0),"ATENÇÃO: BC permitida, mas % = 0 🔎",
"Base de cálculo aplicada corretamente ✅")))</f>
        <v/>
      </c>
      <c r="P111" s="31" t="str">
        <f>IF(D111="","",
IF(AND(Q111&lt;&gt;"SIM",U111&gt;0),"ERRO: % alíquota &gt; 0, mas NÃO permitida ❌",
IF(AND(Q111="SIM",U111=0),"ATENÇÃO: alíquota permitida, mas % = 0 🔎",
"Alíquota aplicada corretamente ✅")))</f>
        <v/>
      </c>
      <c r="Q111" s="8" t="str">
        <f>IF(E111="","",IFERROR(VLOOKUP(E111,REGRAS_CST!$A$2:$D$200,4,FALSE),""))</f>
        <v/>
      </c>
      <c r="R111" s="4"/>
      <c r="S111" s="9">
        <f>IF($H111="","",$H111*(1-$U111))</f>
        <v>8.9999999999999993E-3</v>
      </c>
      <c r="T111" s="9">
        <f>IF($I111="","",$I111*(1-$U111))</f>
        <v>1E-3</v>
      </c>
      <c r="U111" s="16">
        <f>IFERROR(INDEX(BASE_CCLASSTRIB!$E:$E, MATCH(TEXT($D111,"000000"), BASE_CCLASSTRIB!$A:$A, 0))/100, 0)</f>
        <v>0</v>
      </c>
      <c r="V111" s="16">
        <f>IFERROR(INDEX(BASE_CCLASSTRIB!$F:$F, MATCH(TEXT($D111,"000000"), BASE_CCLASSTRIB!$A:$A, 0))/100, 0)</f>
        <v>0</v>
      </c>
    </row>
    <row r="112" spans="4:22" ht="32.25" customHeight="1">
      <c r="D112" s="39"/>
      <c r="E112" s="27" t="str">
        <f>IF(D112="","",LEFT(D112,3))</f>
        <v/>
      </c>
      <c r="F112" s="28" t="str">
        <f>IF(E112="","",IFERROR(VLOOKUP(E112,REGRAS_CST!$A$2:$B$200,2,FALSE),""))</f>
        <v/>
      </c>
      <c r="H112" s="29">
        <v>8.9999999999999993E-3</v>
      </c>
      <c r="I112" s="29">
        <v>1E-3</v>
      </c>
      <c r="J112" s="4"/>
      <c r="K112" s="21" t="str">
        <f>IF(E112="","",IFERROR(VLOOKUP(E112,REGRAS_CST!$A$2:$C$200,3,FALSE),""))</f>
        <v/>
      </c>
      <c r="L112" s="23" t="str">
        <f>IF($G112="", "", $G112*(1-$V112))</f>
        <v/>
      </c>
      <c r="M112" s="24" t="str">
        <f>IF(OR($L112="",$S112=""),"",$L112*$S112)</f>
        <v/>
      </c>
      <c r="N112" s="24" t="str">
        <f>IF(OR($L112="",$T112=""),"",$L112*$T112)</f>
        <v/>
      </c>
      <c r="O112" s="15" t="str">
        <f>IF(D112="","",
IF(AND(K112&lt;&gt;"SIM",V112&gt;0),"ERRO: % BC &gt; 0, mas NÃO permitida ❌",
IF(AND(K112="SIM",V112=0),"ATENÇÃO: BC permitida, mas % = 0 🔎",
"Base de cálculo aplicada corretamente ✅")))</f>
        <v/>
      </c>
      <c r="P112" s="31" t="str">
        <f>IF(D112="","",
IF(AND(Q112&lt;&gt;"SIM",U112&gt;0),"ERRO: % alíquota &gt; 0, mas NÃO permitida ❌",
IF(AND(Q112="SIM",U112=0),"ATENÇÃO: alíquota permitida, mas % = 0 🔎",
"Alíquota aplicada corretamente ✅")))</f>
        <v/>
      </c>
      <c r="Q112" s="8" t="str">
        <f>IF(E112="","",IFERROR(VLOOKUP(E112,REGRAS_CST!$A$2:$D$200,4,FALSE),""))</f>
        <v/>
      </c>
      <c r="R112" s="4"/>
      <c r="S112" s="9">
        <f>IF($H112="","",$H112*(1-$U112))</f>
        <v>8.9999999999999993E-3</v>
      </c>
      <c r="T112" s="9">
        <f>IF($I112="","",$I112*(1-$U112))</f>
        <v>1E-3</v>
      </c>
      <c r="U112" s="16">
        <f>IFERROR(INDEX(BASE_CCLASSTRIB!$E:$E, MATCH(TEXT($D112,"000000"), BASE_CCLASSTRIB!$A:$A, 0))/100, 0)</f>
        <v>0</v>
      </c>
      <c r="V112" s="16">
        <f>IFERROR(INDEX(BASE_CCLASSTRIB!$F:$F, MATCH(TEXT($D112,"000000"), BASE_CCLASSTRIB!$A:$A, 0))/100, 0)</f>
        <v>0</v>
      </c>
    </row>
    <row r="113" spans="4:22" ht="32.25" customHeight="1">
      <c r="D113" s="40"/>
      <c r="E113" s="27" t="str">
        <f>IF(D113="","",LEFT(D113,3))</f>
        <v/>
      </c>
      <c r="F113" s="28" t="str">
        <f>IF(E113="","",IFERROR(VLOOKUP(E113,REGRAS_CST!$A$2:$B$200,2,FALSE),""))</f>
        <v/>
      </c>
      <c r="H113" s="29">
        <v>8.9999999999999993E-3</v>
      </c>
      <c r="I113" s="29">
        <v>1E-3</v>
      </c>
      <c r="J113" s="4"/>
      <c r="K113" s="21" t="str">
        <f>IF(E113="","",IFERROR(VLOOKUP(E113,REGRAS_CST!$A$2:$C$200,3,FALSE),""))</f>
        <v/>
      </c>
      <c r="L113" s="23" t="str">
        <f>IF($G113="", "", $G113*(1-$V113))</f>
        <v/>
      </c>
      <c r="M113" s="24" t="str">
        <f>IF(OR($L113="",$S113=""),"",$L113*$S113)</f>
        <v/>
      </c>
      <c r="N113" s="24" t="str">
        <f>IF(OR($L113="",$T113=""),"",$L113*$T113)</f>
        <v/>
      </c>
      <c r="O113" s="15" t="str">
        <f>IF(D113="","",
IF(AND(K113&lt;&gt;"SIM",V113&gt;0),"ERRO: % BC &gt; 0, mas NÃO permitida ❌",
IF(AND(K113="SIM",V113=0),"ATENÇÃO: BC permitida, mas % = 0 🔎",
"Base de cálculo aplicada corretamente ✅")))</f>
        <v/>
      </c>
      <c r="P113" s="31" t="str">
        <f>IF(D113="","",
IF(AND(Q113&lt;&gt;"SIM",U113&gt;0),"ERRO: % alíquota &gt; 0, mas NÃO permitida ❌",
IF(AND(Q113="SIM",U113=0),"ATENÇÃO: alíquota permitida, mas % = 0 🔎",
"Alíquota aplicada corretamente ✅")))</f>
        <v/>
      </c>
      <c r="Q113" s="8" t="str">
        <f>IF(E113="","",IFERROR(VLOOKUP(E113,REGRAS_CST!$A$2:$D$200,4,FALSE),""))</f>
        <v/>
      </c>
      <c r="R113" s="4"/>
      <c r="S113" s="9">
        <f>IF($H113="","",$H113*(1-$U113))</f>
        <v>8.9999999999999993E-3</v>
      </c>
      <c r="T113" s="9">
        <f>IF($I113="","",$I113*(1-$U113))</f>
        <v>1E-3</v>
      </c>
      <c r="U113" s="16">
        <f>IFERROR(INDEX(BASE_CCLASSTRIB!$E:$E, MATCH(TEXT($D113,"000000"), BASE_CCLASSTRIB!$A:$A, 0))/100, 0)</f>
        <v>0</v>
      </c>
      <c r="V113" s="16">
        <f>IFERROR(INDEX(BASE_CCLASSTRIB!$F:$F, MATCH(TEXT($D113,"000000"), BASE_CCLASSTRIB!$A:$A, 0))/100, 0)</f>
        <v>0</v>
      </c>
    </row>
    <row r="114" spans="4:22" ht="32.25" customHeight="1">
      <c r="D114" s="40"/>
      <c r="E114" s="27" t="str">
        <f>IF(D114="","",LEFT(D114,3))</f>
        <v/>
      </c>
      <c r="F114" s="28" t="str">
        <f>IF(E114="","",IFERROR(VLOOKUP(E114,REGRAS_CST!$A$2:$B$200,2,FALSE),""))</f>
        <v/>
      </c>
      <c r="H114" s="29">
        <v>8.9999999999999993E-3</v>
      </c>
      <c r="I114" s="29">
        <v>1E-3</v>
      </c>
      <c r="J114" s="4"/>
      <c r="K114" s="21" t="str">
        <f>IF(E114="","",IFERROR(VLOOKUP(E114,REGRAS_CST!$A$2:$C$200,3,FALSE),""))</f>
        <v/>
      </c>
      <c r="L114" s="23" t="str">
        <f>IF($G114="", "", $G114*(1-$V114))</f>
        <v/>
      </c>
      <c r="M114" s="24" t="str">
        <f>IF(OR($L114="",$S114=""),"",$L114*$S114)</f>
        <v/>
      </c>
      <c r="N114" s="24" t="str">
        <f>IF(OR($L114="",$T114=""),"",$L114*$T114)</f>
        <v/>
      </c>
      <c r="O114" s="15" t="str">
        <f>IF(D114="","",
IF(AND(K114&lt;&gt;"SIM",V114&gt;0),"ERRO: % BC &gt; 0, mas NÃO permitida ❌",
IF(AND(K114="SIM",V114=0),"ATENÇÃO: BC permitida, mas % = 0 🔎",
"Base de cálculo aplicada corretamente ✅")))</f>
        <v/>
      </c>
      <c r="P114" s="31" t="str">
        <f>IF(D114="","",
IF(AND(Q114&lt;&gt;"SIM",U114&gt;0),"ERRO: % alíquota &gt; 0, mas NÃO permitida ❌",
IF(AND(Q114="SIM",U114=0),"ATENÇÃO: alíquota permitida, mas % = 0 🔎",
"Alíquota aplicada corretamente ✅")))</f>
        <v/>
      </c>
      <c r="Q114" s="8" t="str">
        <f>IF(E114="","",IFERROR(VLOOKUP(E114,REGRAS_CST!$A$2:$D$200,4,FALSE),""))</f>
        <v/>
      </c>
      <c r="R114" s="4"/>
      <c r="S114" s="9">
        <f>IF($H114="","",$H114*(1-$U114))</f>
        <v>8.9999999999999993E-3</v>
      </c>
      <c r="T114" s="9">
        <f>IF($I114="","",$I114*(1-$U114))</f>
        <v>1E-3</v>
      </c>
      <c r="U114" s="16">
        <f>IFERROR(INDEX(BASE_CCLASSTRIB!$E:$E, MATCH(TEXT($D114,"000000"), BASE_CCLASSTRIB!$A:$A, 0))/100, 0)</f>
        <v>0</v>
      </c>
      <c r="V114" s="16">
        <f>IFERROR(INDEX(BASE_CCLASSTRIB!$F:$F, MATCH(TEXT($D114,"000000"), BASE_CCLASSTRIB!$A:$A, 0))/100, 0)</f>
        <v>0</v>
      </c>
    </row>
    <row r="115" spans="4:22" ht="32.25" customHeight="1">
      <c r="D115" s="40"/>
      <c r="E115" s="27" t="str">
        <f>IF(D115="","",LEFT(D115,3))</f>
        <v/>
      </c>
      <c r="F115" s="28" t="str">
        <f>IF(E115="","",IFERROR(VLOOKUP(E115,REGRAS_CST!$A$2:$B$200,2,FALSE),""))</f>
        <v/>
      </c>
      <c r="H115" s="29">
        <v>8.9999999999999993E-3</v>
      </c>
      <c r="I115" s="29">
        <v>1E-3</v>
      </c>
      <c r="J115" s="4"/>
      <c r="K115" s="21" t="str">
        <f>IF(E115="","",IFERROR(VLOOKUP(E115,REGRAS_CST!$A$2:$C$200,3,FALSE),""))</f>
        <v/>
      </c>
      <c r="L115" s="23" t="str">
        <f>IF($G115="", "", $G115*(1-$V115))</f>
        <v/>
      </c>
      <c r="M115" s="24" t="str">
        <f>IF(OR($L115="",$S115=""),"",$L115*$S115)</f>
        <v/>
      </c>
      <c r="N115" s="24" t="str">
        <f>IF(OR($L115="",$T115=""),"",$L115*$T115)</f>
        <v/>
      </c>
      <c r="O115" s="15" t="str">
        <f>IF(D115="","",
IF(AND(K115&lt;&gt;"SIM",V115&gt;0),"ERRO: % BC &gt; 0, mas NÃO permitida ❌",
IF(AND(K115="SIM",V115=0),"ATENÇÃO: BC permitida, mas % = 0 🔎",
"Base de cálculo aplicada corretamente ✅")))</f>
        <v/>
      </c>
      <c r="P115" s="31" t="str">
        <f>IF(D115="","",
IF(AND(Q115&lt;&gt;"SIM",U115&gt;0),"ERRO: % alíquota &gt; 0, mas NÃO permitida ❌",
IF(AND(Q115="SIM",U115=0),"ATENÇÃO: alíquota permitida, mas % = 0 🔎",
"Alíquota aplicada corretamente ✅")))</f>
        <v/>
      </c>
      <c r="Q115" s="8" t="str">
        <f>IF(E115="","",IFERROR(VLOOKUP(E115,REGRAS_CST!$A$2:$D$200,4,FALSE),""))</f>
        <v/>
      </c>
      <c r="R115" s="4"/>
      <c r="S115" s="9">
        <f>IF($H115="","",$H115*(1-$U115))</f>
        <v>8.9999999999999993E-3</v>
      </c>
      <c r="T115" s="9">
        <f>IF($I115="","",$I115*(1-$U115))</f>
        <v>1E-3</v>
      </c>
      <c r="U115" s="16">
        <f>IFERROR(INDEX(BASE_CCLASSTRIB!$E:$E, MATCH(TEXT($D115,"000000"), BASE_CCLASSTRIB!$A:$A, 0))/100, 0)</f>
        <v>0</v>
      </c>
      <c r="V115" s="16">
        <f>IFERROR(INDEX(BASE_CCLASSTRIB!$F:$F, MATCH(TEXT($D115,"000000"), BASE_CCLASSTRIB!$A:$A, 0))/100, 0)</f>
        <v>0</v>
      </c>
    </row>
    <row r="116" spans="4:22" ht="32.25" customHeight="1">
      <c r="D116" s="40"/>
      <c r="E116" s="27" t="str">
        <f>IF(D116="","",LEFT(D116,3))</f>
        <v/>
      </c>
      <c r="F116" s="28" t="str">
        <f>IF(E116="","",IFERROR(VLOOKUP(E116,REGRAS_CST!$A$2:$B$200,2,FALSE),""))</f>
        <v/>
      </c>
      <c r="H116" s="29">
        <v>8.9999999999999993E-3</v>
      </c>
      <c r="I116" s="29">
        <v>1E-3</v>
      </c>
      <c r="J116" s="4"/>
      <c r="K116" s="21" t="str">
        <f>IF(E116="","",IFERROR(VLOOKUP(E116,REGRAS_CST!$A$2:$C$200,3,FALSE),""))</f>
        <v/>
      </c>
      <c r="L116" s="23" t="str">
        <f>IF($G116="", "", $G116*(1-$V116))</f>
        <v/>
      </c>
      <c r="M116" s="24" t="str">
        <f>IF(OR($L116="",$S116=""),"",$L116*$S116)</f>
        <v/>
      </c>
      <c r="N116" s="24" t="str">
        <f>IF(OR($L116="",$T116=""),"",$L116*$T116)</f>
        <v/>
      </c>
      <c r="O116" s="15" t="str">
        <f>IF(D116="","",
IF(AND(K116&lt;&gt;"SIM",V116&gt;0),"ERRO: % BC &gt; 0, mas NÃO permitida ❌",
IF(AND(K116="SIM",V116=0),"ATENÇÃO: BC permitida, mas % = 0 🔎",
"Base de cálculo aplicada corretamente ✅")))</f>
        <v/>
      </c>
      <c r="P116" s="31" t="str">
        <f>IF(D116="","",
IF(AND(Q116&lt;&gt;"SIM",U116&gt;0),"ERRO: % alíquota &gt; 0, mas NÃO permitida ❌",
IF(AND(Q116="SIM",U116=0),"ATENÇÃO: alíquota permitida, mas % = 0 🔎",
"Alíquota aplicada corretamente ✅")))</f>
        <v/>
      </c>
      <c r="Q116" s="8" t="str">
        <f>IF(E116="","",IFERROR(VLOOKUP(E116,REGRAS_CST!$A$2:$D$200,4,FALSE),""))</f>
        <v/>
      </c>
      <c r="R116" s="4"/>
      <c r="S116" s="9">
        <f>IF($H116="","",$H116*(1-$U116))</f>
        <v>8.9999999999999993E-3</v>
      </c>
      <c r="T116" s="9">
        <f>IF($I116="","",$I116*(1-$U116))</f>
        <v>1E-3</v>
      </c>
      <c r="U116" s="16">
        <f>IFERROR(INDEX(BASE_CCLASSTRIB!$E:$E, MATCH(TEXT($D116,"000000"), BASE_CCLASSTRIB!$A:$A, 0))/100, 0)</f>
        <v>0</v>
      </c>
      <c r="V116" s="16">
        <f>IFERROR(INDEX(BASE_CCLASSTRIB!$F:$F, MATCH(TEXT($D116,"000000"), BASE_CCLASSTRIB!$A:$A, 0))/100, 0)</f>
        <v>0</v>
      </c>
    </row>
    <row r="117" spans="4:22" ht="32.25" customHeight="1">
      <c r="D117" s="40"/>
      <c r="E117" s="27" t="str">
        <f>IF(D117="","",LEFT(D117,3))</f>
        <v/>
      </c>
      <c r="F117" s="28" t="str">
        <f>IF(E117="","",IFERROR(VLOOKUP(E117,REGRAS_CST!$A$2:$B$200,2,FALSE),""))</f>
        <v/>
      </c>
      <c r="H117" s="29">
        <v>8.9999999999999993E-3</v>
      </c>
      <c r="I117" s="29">
        <v>1E-3</v>
      </c>
      <c r="J117" s="4"/>
      <c r="K117" s="21" t="str">
        <f>IF(E117="","",IFERROR(VLOOKUP(E117,REGRAS_CST!$A$2:$C$200,3,FALSE),""))</f>
        <v/>
      </c>
      <c r="L117" s="23" t="str">
        <f>IF($G117="", "", $G117*(1-$V117))</f>
        <v/>
      </c>
      <c r="M117" s="24" t="str">
        <f>IF(OR($L117="",$S117=""),"",$L117*$S117)</f>
        <v/>
      </c>
      <c r="N117" s="24" t="str">
        <f>IF(OR($L117="",$T117=""),"",$L117*$T117)</f>
        <v/>
      </c>
      <c r="O117" s="15" t="str">
        <f>IF(D117="","",
IF(AND(K117&lt;&gt;"SIM",V117&gt;0),"ERRO: % BC &gt; 0, mas NÃO permitida ❌",
IF(AND(K117="SIM",V117=0),"ATENÇÃO: BC permitida, mas % = 0 🔎",
"Base de cálculo aplicada corretamente ✅")))</f>
        <v/>
      </c>
      <c r="P117" s="31" t="str">
        <f>IF(D117="","",
IF(AND(Q117&lt;&gt;"SIM",U117&gt;0),"ERRO: % alíquota &gt; 0, mas NÃO permitida ❌",
IF(AND(Q117="SIM",U117=0),"ATENÇÃO: alíquota permitida, mas % = 0 🔎",
"Alíquota aplicada corretamente ✅")))</f>
        <v/>
      </c>
      <c r="Q117" s="8" t="str">
        <f>IF(E117="","",IFERROR(VLOOKUP(E117,REGRAS_CST!$A$2:$D$200,4,FALSE),""))</f>
        <v/>
      </c>
      <c r="R117" s="4"/>
      <c r="S117" s="9">
        <f>IF($H117="","",$H117*(1-$U117))</f>
        <v>8.9999999999999993E-3</v>
      </c>
      <c r="T117" s="9">
        <f>IF($I117="","",$I117*(1-$U117))</f>
        <v>1E-3</v>
      </c>
      <c r="U117" s="16">
        <f>IFERROR(INDEX(BASE_CCLASSTRIB!$E:$E, MATCH(TEXT($D117,"000000"), BASE_CCLASSTRIB!$A:$A, 0))/100, 0)</f>
        <v>0</v>
      </c>
      <c r="V117" s="16">
        <f>IFERROR(INDEX(BASE_CCLASSTRIB!$F:$F, MATCH(TEXT($D117,"000000"), BASE_CCLASSTRIB!$A:$A, 0))/100, 0)</f>
        <v>0</v>
      </c>
    </row>
    <row r="118" spans="4:22" ht="32.25" customHeight="1">
      <c r="D118" s="39"/>
      <c r="E118" s="27" t="str">
        <f>IF(D118="","",LEFT(D118,3))</f>
        <v/>
      </c>
      <c r="F118" s="28" t="str">
        <f>IF(E118="","",IFERROR(VLOOKUP(E118,REGRAS_CST!$A$2:$B$200,2,FALSE),""))</f>
        <v/>
      </c>
      <c r="H118" s="29">
        <v>8.9999999999999993E-3</v>
      </c>
      <c r="I118" s="29">
        <v>1E-3</v>
      </c>
      <c r="J118" s="4"/>
      <c r="K118" s="21" t="str">
        <f>IF(E118="","",IFERROR(VLOOKUP(E118,REGRAS_CST!$A$2:$C$200,3,FALSE),""))</f>
        <v/>
      </c>
      <c r="L118" s="23" t="str">
        <f>IF($G118="", "", $G118*(1-$V118))</f>
        <v/>
      </c>
      <c r="M118" s="24" t="str">
        <f>IF(OR($L118="",$S118=""),"",$L118*$S118)</f>
        <v/>
      </c>
      <c r="N118" s="24" t="str">
        <f>IF(OR($L118="",$T118=""),"",$L118*$T118)</f>
        <v/>
      </c>
      <c r="O118" s="15" t="str">
        <f>IF(D118="","",
IF(AND(K118&lt;&gt;"SIM",V118&gt;0),"ERRO: % BC &gt; 0, mas NÃO permitida ❌",
IF(AND(K118="SIM",V118=0),"ATENÇÃO: BC permitida, mas % = 0 🔎",
"Base de cálculo aplicada corretamente ✅")))</f>
        <v/>
      </c>
      <c r="P118" s="31" t="str">
        <f>IF(D118="","",
IF(AND(Q118&lt;&gt;"SIM",U118&gt;0),"ERRO: % alíquota &gt; 0, mas NÃO permitida ❌",
IF(AND(Q118="SIM",U118=0),"ATENÇÃO: alíquota permitida, mas % = 0 🔎",
"Alíquota aplicada corretamente ✅")))</f>
        <v/>
      </c>
      <c r="Q118" s="8" t="str">
        <f>IF(E118="","",IFERROR(VLOOKUP(E118,REGRAS_CST!$A$2:$D$200,4,FALSE),""))</f>
        <v/>
      </c>
      <c r="R118" s="4"/>
      <c r="S118" s="9">
        <f>IF($H118="","",$H118*(1-$U118))</f>
        <v>8.9999999999999993E-3</v>
      </c>
      <c r="T118" s="9">
        <f>IF($I118="","",$I118*(1-$U118))</f>
        <v>1E-3</v>
      </c>
      <c r="U118" s="16">
        <f>IFERROR(INDEX(BASE_CCLASSTRIB!$E:$E, MATCH(TEXT($D118,"000000"), BASE_CCLASSTRIB!$A:$A, 0))/100, 0)</f>
        <v>0</v>
      </c>
      <c r="V118" s="16">
        <f>IFERROR(INDEX(BASE_CCLASSTRIB!$F:$F, MATCH(TEXT($D118,"000000"), BASE_CCLASSTRIB!$A:$A, 0))/100, 0)</f>
        <v>0</v>
      </c>
    </row>
    <row r="119" spans="4:22" ht="32.25" customHeight="1">
      <c r="D119" s="39"/>
      <c r="E119" s="27" t="str">
        <f>IF(D119="","",LEFT(D119,3))</f>
        <v/>
      </c>
      <c r="F119" s="28" t="str">
        <f>IF(E119="","",IFERROR(VLOOKUP(E119,REGRAS_CST!$A$2:$B$200,2,FALSE),""))</f>
        <v/>
      </c>
      <c r="H119" s="29">
        <v>8.9999999999999993E-3</v>
      </c>
      <c r="I119" s="29">
        <v>1E-3</v>
      </c>
      <c r="J119" s="4"/>
      <c r="K119" s="21" t="str">
        <f>IF(E119="","",IFERROR(VLOOKUP(E119,REGRAS_CST!$A$2:$C$200,3,FALSE),""))</f>
        <v/>
      </c>
      <c r="L119" s="23" t="str">
        <f>IF($G119="", "", $G119*(1-$V119))</f>
        <v/>
      </c>
      <c r="M119" s="24" t="str">
        <f>IF(OR($L119="",$S119=""),"",$L119*$S119)</f>
        <v/>
      </c>
      <c r="N119" s="24" t="str">
        <f>IF(OR($L119="",$T119=""),"",$L119*$T119)</f>
        <v/>
      </c>
      <c r="O119" s="15" t="str">
        <f>IF(D119="","",
IF(AND(K119&lt;&gt;"SIM",V119&gt;0),"ERRO: % BC &gt; 0, mas NÃO permitida ❌",
IF(AND(K119="SIM",V119=0),"ATENÇÃO: BC permitida, mas % = 0 🔎",
"Base de cálculo aplicada corretamente ✅")))</f>
        <v/>
      </c>
      <c r="P119" s="31" t="str">
        <f>IF(D119="","",
IF(AND(Q119&lt;&gt;"SIM",U119&gt;0),"ERRO: % alíquota &gt; 0, mas NÃO permitida ❌",
IF(AND(Q119="SIM",U119=0),"ATENÇÃO: alíquota permitida, mas % = 0 🔎",
"Alíquota aplicada corretamente ✅")))</f>
        <v/>
      </c>
      <c r="Q119" s="8" t="str">
        <f>IF(E119="","",IFERROR(VLOOKUP(E119,REGRAS_CST!$A$2:$D$200,4,FALSE),""))</f>
        <v/>
      </c>
      <c r="R119" s="4"/>
      <c r="S119" s="9">
        <f>IF($H119="","",$H119*(1-$U119))</f>
        <v>8.9999999999999993E-3</v>
      </c>
      <c r="T119" s="9">
        <f>IF($I119="","",$I119*(1-$U119))</f>
        <v>1E-3</v>
      </c>
      <c r="U119" s="16">
        <f>IFERROR(INDEX(BASE_CCLASSTRIB!$E:$E, MATCH(TEXT($D119,"000000"), BASE_CCLASSTRIB!$A:$A, 0))/100, 0)</f>
        <v>0</v>
      </c>
      <c r="V119" s="16">
        <f>IFERROR(INDEX(BASE_CCLASSTRIB!$F:$F, MATCH(TEXT($D119,"000000"), BASE_CCLASSTRIB!$A:$A, 0))/100, 0)</f>
        <v>0</v>
      </c>
    </row>
    <row r="120" spans="4:22" ht="32.25" customHeight="1">
      <c r="D120" s="40"/>
      <c r="E120" s="27" t="str">
        <f>IF(D120="","",LEFT(D120,3))</f>
        <v/>
      </c>
      <c r="F120" s="28" t="str">
        <f>IF(E120="","",IFERROR(VLOOKUP(E120,REGRAS_CST!$A$2:$B$200,2,FALSE),""))</f>
        <v/>
      </c>
      <c r="H120" s="29">
        <v>8.9999999999999993E-3</v>
      </c>
      <c r="I120" s="29">
        <v>1E-3</v>
      </c>
      <c r="J120" s="4"/>
      <c r="K120" s="21" t="str">
        <f>IF(E120="","",IFERROR(VLOOKUP(E120,REGRAS_CST!$A$2:$C$200,3,FALSE),""))</f>
        <v/>
      </c>
      <c r="L120" s="23" t="str">
        <f>IF($G120="", "", $G120*(1-$V120))</f>
        <v/>
      </c>
      <c r="M120" s="24" t="str">
        <f>IF(OR($L120="",$S120=""),"",$L120*$S120)</f>
        <v/>
      </c>
      <c r="N120" s="24" t="str">
        <f>IF(OR($L120="",$T120=""),"",$L120*$T120)</f>
        <v/>
      </c>
      <c r="O120" s="15" t="str">
        <f>IF(D120="","",
IF(AND(K120&lt;&gt;"SIM",V120&gt;0),"ERRO: % BC &gt; 0, mas NÃO permitida ❌",
IF(AND(K120="SIM",V120=0),"ATENÇÃO: BC permitida, mas % = 0 🔎",
"Base de cálculo aplicada corretamente ✅")))</f>
        <v/>
      </c>
      <c r="P120" s="31" t="str">
        <f>IF(D120="","",
IF(AND(Q120&lt;&gt;"SIM",U120&gt;0),"ERRO: % alíquota &gt; 0, mas NÃO permitida ❌",
IF(AND(Q120="SIM",U120=0),"ATENÇÃO: alíquota permitida, mas % = 0 🔎",
"Alíquota aplicada corretamente ✅")))</f>
        <v/>
      </c>
      <c r="Q120" s="8" t="str">
        <f>IF(E120="","",IFERROR(VLOOKUP(E120,REGRAS_CST!$A$2:$D$200,4,FALSE),""))</f>
        <v/>
      </c>
      <c r="R120" s="4"/>
      <c r="S120" s="9">
        <f>IF($H120="","",$H120*(1-$U120))</f>
        <v>8.9999999999999993E-3</v>
      </c>
      <c r="T120" s="9">
        <f>IF($I120="","",$I120*(1-$U120))</f>
        <v>1E-3</v>
      </c>
      <c r="U120" s="16">
        <f>IFERROR(INDEX(BASE_CCLASSTRIB!$E:$E, MATCH(TEXT($D120,"000000"), BASE_CCLASSTRIB!$A:$A, 0))/100, 0)</f>
        <v>0</v>
      </c>
      <c r="V120" s="16">
        <f>IFERROR(INDEX(BASE_CCLASSTRIB!$F:$F, MATCH(TEXT($D120,"000000"), BASE_CCLASSTRIB!$A:$A, 0))/100, 0)</f>
        <v>0</v>
      </c>
    </row>
    <row r="121" spans="4:22" ht="32.25" customHeight="1">
      <c r="D121" s="40"/>
      <c r="E121" s="27" t="str">
        <f>IF(D121="","",LEFT(D121,3))</f>
        <v/>
      </c>
      <c r="F121" s="28" t="str">
        <f>IF(E121="","",IFERROR(VLOOKUP(E121,REGRAS_CST!$A$2:$B$200,2,FALSE),""))</f>
        <v/>
      </c>
      <c r="H121" s="29">
        <v>8.9999999999999993E-3</v>
      </c>
      <c r="I121" s="29">
        <v>1E-3</v>
      </c>
      <c r="J121" s="4"/>
      <c r="K121" s="21" t="str">
        <f>IF(E121="","",IFERROR(VLOOKUP(E121,REGRAS_CST!$A$2:$C$200,3,FALSE),""))</f>
        <v/>
      </c>
      <c r="L121" s="23" t="str">
        <f>IF($G121="", "", $G121*(1-$V121))</f>
        <v/>
      </c>
      <c r="M121" s="24" t="str">
        <f>IF(OR($L121="",$S121=""),"",$L121*$S121)</f>
        <v/>
      </c>
      <c r="N121" s="24" t="str">
        <f>IF(OR($L121="",$T121=""),"",$L121*$T121)</f>
        <v/>
      </c>
      <c r="O121" s="15" t="str">
        <f>IF(D121="","",
IF(AND(K121&lt;&gt;"SIM",V121&gt;0),"ERRO: % BC &gt; 0, mas NÃO permitida ❌",
IF(AND(K121="SIM",V121=0),"ATENÇÃO: BC permitida, mas % = 0 🔎",
"Base de cálculo aplicada corretamente ✅")))</f>
        <v/>
      </c>
      <c r="P121" s="31" t="str">
        <f>IF(D121="","",
IF(AND(Q121&lt;&gt;"SIM",U121&gt;0),"ERRO: % alíquota &gt; 0, mas NÃO permitida ❌",
IF(AND(Q121="SIM",U121=0),"ATENÇÃO: alíquota permitida, mas % = 0 🔎",
"Alíquota aplicada corretamente ✅")))</f>
        <v/>
      </c>
      <c r="Q121" s="8" t="str">
        <f>IF(E121="","",IFERROR(VLOOKUP(E121,REGRAS_CST!$A$2:$D$200,4,FALSE),""))</f>
        <v/>
      </c>
      <c r="R121" s="4"/>
      <c r="S121" s="9">
        <f>IF($H121="","",$H121*(1-$U121))</f>
        <v>8.9999999999999993E-3</v>
      </c>
      <c r="T121" s="9">
        <f>IF($I121="","",$I121*(1-$U121))</f>
        <v>1E-3</v>
      </c>
      <c r="U121" s="16">
        <f>IFERROR(INDEX(BASE_CCLASSTRIB!$E:$E, MATCH(TEXT($D121,"000000"), BASE_CCLASSTRIB!$A:$A, 0))/100, 0)</f>
        <v>0</v>
      </c>
      <c r="V121" s="16">
        <f>IFERROR(INDEX(BASE_CCLASSTRIB!$F:$F, MATCH(TEXT($D121,"000000"), BASE_CCLASSTRIB!$A:$A, 0))/100, 0)</f>
        <v>0</v>
      </c>
    </row>
    <row r="122" spans="4:22" ht="32.25" customHeight="1">
      <c r="D122" s="40"/>
      <c r="E122" s="27" t="str">
        <f>IF(D122="","",LEFT(D122,3))</f>
        <v/>
      </c>
      <c r="F122" s="28" t="str">
        <f>IF(E122="","",IFERROR(VLOOKUP(E122,REGRAS_CST!$A$2:$B$200,2,FALSE),""))</f>
        <v/>
      </c>
      <c r="H122" s="29">
        <v>8.9999999999999993E-3</v>
      </c>
      <c r="I122" s="29">
        <v>1E-3</v>
      </c>
      <c r="J122" s="4"/>
      <c r="K122" s="21" t="str">
        <f>IF(E122="","",IFERROR(VLOOKUP(E122,REGRAS_CST!$A$2:$C$200,3,FALSE),""))</f>
        <v/>
      </c>
      <c r="L122" s="23" t="str">
        <f>IF($G122="", "", $G122*(1-$V122))</f>
        <v/>
      </c>
      <c r="M122" s="24" t="str">
        <f>IF(OR($L122="",$S122=""),"",$L122*$S122)</f>
        <v/>
      </c>
      <c r="N122" s="24" t="str">
        <f>IF(OR($L122="",$T122=""),"",$L122*$T122)</f>
        <v/>
      </c>
      <c r="O122" s="15" t="str">
        <f>IF(D122="","",
IF(AND(K122&lt;&gt;"SIM",V122&gt;0),"ERRO: % BC &gt; 0, mas NÃO permitida ❌",
IF(AND(K122="SIM",V122=0),"ATENÇÃO: BC permitida, mas % = 0 🔎",
"Base de cálculo aplicada corretamente ✅")))</f>
        <v/>
      </c>
      <c r="P122" s="31" t="str">
        <f>IF(D122="","",
IF(AND(Q122&lt;&gt;"SIM",U122&gt;0),"ERRO: % alíquota &gt; 0, mas NÃO permitida ❌",
IF(AND(Q122="SIM",U122=0),"ATENÇÃO: alíquota permitida, mas % = 0 🔎",
"Alíquota aplicada corretamente ✅")))</f>
        <v/>
      </c>
      <c r="Q122" s="8" t="str">
        <f>IF(E122="","",IFERROR(VLOOKUP(E122,REGRAS_CST!$A$2:$D$200,4,FALSE),""))</f>
        <v/>
      </c>
      <c r="R122" s="4"/>
      <c r="S122" s="9">
        <f>IF($H122="","",$H122*(1-$U122))</f>
        <v>8.9999999999999993E-3</v>
      </c>
      <c r="T122" s="9">
        <f>IF($I122="","",$I122*(1-$U122))</f>
        <v>1E-3</v>
      </c>
      <c r="U122" s="16">
        <f>IFERROR(INDEX(BASE_CCLASSTRIB!$E:$E, MATCH(TEXT($D122,"000000"), BASE_CCLASSTRIB!$A:$A, 0))/100, 0)</f>
        <v>0</v>
      </c>
      <c r="V122" s="16">
        <f>IFERROR(INDEX(BASE_CCLASSTRIB!$F:$F, MATCH(TEXT($D122,"000000"), BASE_CCLASSTRIB!$A:$A, 0))/100, 0)</f>
        <v>0</v>
      </c>
    </row>
    <row r="123" spans="4:22" ht="32.25" customHeight="1">
      <c r="D123" s="40"/>
      <c r="E123" s="27" t="str">
        <f>IF(D123="","",LEFT(D123,3))</f>
        <v/>
      </c>
      <c r="F123" s="28" t="str">
        <f>IF(E123="","",IFERROR(VLOOKUP(E123,REGRAS_CST!$A$2:$B$200,2,FALSE),""))</f>
        <v/>
      </c>
      <c r="H123" s="29">
        <v>8.9999999999999993E-3</v>
      </c>
      <c r="I123" s="29">
        <v>1E-3</v>
      </c>
      <c r="J123" s="4"/>
      <c r="K123" s="21" t="str">
        <f>IF(E123="","",IFERROR(VLOOKUP(E123,REGRAS_CST!$A$2:$C$200,3,FALSE),""))</f>
        <v/>
      </c>
      <c r="L123" s="23" t="str">
        <f>IF($G123="", "", $G123*(1-$V123))</f>
        <v/>
      </c>
      <c r="M123" s="24" t="str">
        <f>IF(OR($L123="",$S123=""),"",$L123*$S123)</f>
        <v/>
      </c>
      <c r="N123" s="24" t="str">
        <f>IF(OR($L123="",$T123=""),"",$L123*$T123)</f>
        <v/>
      </c>
      <c r="O123" s="15" t="str">
        <f>IF(D123="","",
IF(AND(K123&lt;&gt;"SIM",V123&gt;0),"ERRO: % BC &gt; 0, mas NÃO permitida ❌",
IF(AND(K123="SIM",V123=0),"ATENÇÃO: BC permitida, mas % = 0 🔎",
"Base de cálculo aplicada corretamente ✅")))</f>
        <v/>
      </c>
      <c r="P123" s="31" t="str">
        <f>IF(D123="","",
IF(AND(Q123&lt;&gt;"SIM",U123&gt;0),"ERRO: % alíquota &gt; 0, mas NÃO permitida ❌",
IF(AND(Q123="SIM",U123=0),"ATENÇÃO: alíquota permitida, mas % = 0 🔎",
"Alíquota aplicada corretamente ✅")))</f>
        <v/>
      </c>
      <c r="Q123" s="8" t="str">
        <f>IF(E123="","",IFERROR(VLOOKUP(E123,REGRAS_CST!$A$2:$D$200,4,FALSE),""))</f>
        <v/>
      </c>
      <c r="R123" s="4"/>
      <c r="S123" s="9">
        <f>IF($H123="","",$H123*(1-$U123))</f>
        <v>8.9999999999999993E-3</v>
      </c>
      <c r="T123" s="9">
        <f>IF($I123="","",$I123*(1-$U123))</f>
        <v>1E-3</v>
      </c>
      <c r="U123" s="16">
        <f>IFERROR(INDEX(BASE_CCLASSTRIB!$E:$E, MATCH(TEXT($D123,"000000"), BASE_CCLASSTRIB!$A:$A, 0))/100, 0)</f>
        <v>0</v>
      </c>
      <c r="V123" s="16">
        <f>IFERROR(INDEX(BASE_CCLASSTRIB!$F:$F, MATCH(TEXT($D123,"000000"), BASE_CCLASSTRIB!$A:$A, 0))/100, 0)</f>
        <v>0</v>
      </c>
    </row>
    <row r="124" spans="4:22" ht="32.25" customHeight="1">
      <c r="D124" s="39"/>
      <c r="E124" s="27" t="str">
        <f>IF(D124="","",LEFT(D124,3))</f>
        <v/>
      </c>
      <c r="F124" s="28" t="str">
        <f>IF(E124="","",IFERROR(VLOOKUP(E124,REGRAS_CST!$A$2:$B$200,2,FALSE),""))</f>
        <v/>
      </c>
      <c r="H124" s="29">
        <v>8.9999999999999993E-3</v>
      </c>
      <c r="I124" s="29">
        <v>1E-3</v>
      </c>
      <c r="J124" s="4"/>
      <c r="K124" s="21" t="str">
        <f>IF(E124="","",IFERROR(VLOOKUP(E124,REGRAS_CST!$A$2:$C$200,3,FALSE),""))</f>
        <v/>
      </c>
      <c r="L124" s="23" t="str">
        <f>IF($G124="", "", $G124*(1-$V124))</f>
        <v/>
      </c>
      <c r="M124" s="24" t="str">
        <f>IF(OR($L124="",$S124=""),"",$L124*$S124)</f>
        <v/>
      </c>
      <c r="N124" s="24" t="str">
        <f>IF(OR($L124="",$T124=""),"",$L124*$T124)</f>
        <v/>
      </c>
      <c r="O124" s="15" t="str">
        <f>IF(D124="","",
IF(AND(K124&lt;&gt;"SIM",V124&gt;0),"ERRO: % BC &gt; 0, mas NÃO permitida ❌",
IF(AND(K124="SIM",V124=0),"ATENÇÃO: BC permitida, mas % = 0 🔎",
"Base de cálculo aplicada corretamente ✅")))</f>
        <v/>
      </c>
      <c r="P124" s="31" t="str">
        <f>IF(D124="","",
IF(AND(Q124&lt;&gt;"SIM",U124&gt;0),"ERRO: % alíquota &gt; 0, mas NÃO permitida ❌",
IF(AND(Q124="SIM",U124=0),"ATENÇÃO: alíquota permitida, mas % = 0 🔎",
"Alíquota aplicada corretamente ✅")))</f>
        <v/>
      </c>
      <c r="Q124" s="8" t="str">
        <f>IF(E124="","",IFERROR(VLOOKUP(E124,REGRAS_CST!$A$2:$D$200,4,FALSE),""))</f>
        <v/>
      </c>
      <c r="R124" s="4"/>
      <c r="S124" s="9">
        <f>IF($H124="","",$H124*(1-$U124))</f>
        <v>8.9999999999999993E-3</v>
      </c>
      <c r="T124" s="9">
        <f>IF($I124="","",$I124*(1-$U124))</f>
        <v>1E-3</v>
      </c>
      <c r="U124" s="16">
        <f>IFERROR(INDEX(BASE_CCLASSTRIB!$E:$E, MATCH(TEXT($D124,"000000"), BASE_CCLASSTRIB!$A:$A, 0))/100, 0)</f>
        <v>0</v>
      </c>
      <c r="V124" s="16">
        <f>IFERROR(INDEX(BASE_CCLASSTRIB!$F:$F, MATCH(TEXT($D124,"000000"), BASE_CCLASSTRIB!$A:$A, 0))/100, 0)</f>
        <v>0</v>
      </c>
    </row>
    <row r="125" spans="4:22" ht="32.25" customHeight="1">
      <c r="D125" s="40"/>
      <c r="E125" s="27" t="str">
        <f>IF(D125="","",LEFT(D125,3))</f>
        <v/>
      </c>
      <c r="F125" s="28" t="str">
        <f>IF(E125="","",IFERROR(VLOOKUP(E125,REGRAS_CST!$A$2:$B$200,2,FALSE),""))</f>
        <v/>
      </c>
      <c r="H125" s="29">
        <v>8.9999999999999993E-3</v>
      </c>
      <c r="I125" s="29">
        <v>1E-3</v>
      </c>
      <c r="J125" s="4"/>
      <c r="K125" s="21" t="str">
        <f>IF(E125="","",IFERROR(VLOOKUP(E125,REGRAS_CST!$A$2:$C$200,3,FALSE),""))</f>
        <v/>
      </c>
      <c r="L125" s="23" t="str">
        <f>IF($G125="", "", $G125*(1-$V125))</f>
        <v/>
      </c>
      <c r="M125" s="24" t="str">
        <f>IF(OR($L125="",$S125=""),"",$L125*$S125)</f>
        <v/>
      </c>
      <c r="N125" s="24" t="str">
        <f>IF(OR($L125="",$T125=""),"",$L125*$T125)</f>
        <v/>
      </c>
      <c r="O125" s="15" t="str">
        <f>IF(D125="","",
IF(AND(K125&lt;&gt;"SIM",V125&gt;0),"ERRO: % BC &gt; 0, mas NÃO permitida ❌",
IF(AND(K125="SIM",V125=0),"ATENÇÃO: BC permitida, mas % = 0 🔎",
"Base de cálculo aplicada corretamente ✅")))</f>
        <v/>
      </c>
      <c r="P125" s="31" t="str">
        <f>IF(D125="","",
IF(AND(Q125&lt;&gt;"SIM",U125&gt;0),"ERRO: % alíquota &gt; 0, mas NÃO permitida ❌",
IF(AND(Q125="SIM",U125=0),"ATENÇÃO: alíquota permitida, mas % = 0 🔎",
"Alíquota aplicada corretamente ✅")))</f>
        <v/>
      </c>
      <c r="Q125" s="8" t="str">
        <f>IF(E125="","",IFERROR(VLOOKUP(E125,REGRAS_CST!$A$2:$D$200,4,FALSE),""))</f>
        <v/>
      </c>
      <c r="R125" s="4"/>
      <c r="S125" s="9">
        <f>IF($H125="","",$H125*(1-$U125))</f>
        <v>8.9999999999999993E-3</v>
      </c>
      <c r="T125" s="9">
        <f>IF($I125="","",$I125*(1-$U125))</f>
        <v>1E-3</v>
      </c>
      <c r="U125" s="16">
        <f>IFERROR(INDEX(BASE_CCLASSTRIB!$E:$E, MATCH(TEXT($D125,"000000"), BASE_CCLASSTRIB!$A:$A, 0))/100, 0)</f>
        <v>0</v>
      </c>
      <c r="V125" s="16">
        <f>IFERROR(INDEX(BASE_CCLASSTRIB!$F:$F, MATCH(TEXT($D125,"000000"), BASE_CCLASSTRIB!$A:$A, 0))/100, 0)</f>
        <v>0</v>
      </c>
    </row>
    <row r="126" spans="4:22" ht="32.25" customHeight="1">
      <c r="D126" s="39"/>
      <c r="E126" s="27" t="str">
        <f>IF(D126="","",LEFT(D126,3))</f>
        <v/>
      </c>
      <c r="F126" s="28" t="str">
        <f>IF(E126="","",IFERROR(VLOOKUP(E126,REGRAS_CST!$A$2:$B$200,2,FALSE),""))</f>
        <v/>
      </c>
      <c r="H126" s="29">
        <v>8.9999999999999993E-3</v>
      </c>
      <c r="I126" s="29">
        <v>1E-3</v>
      </c>
      <c r="J126" s="4"/>
      <c r="K126" s="21" t="str">
        <f>IF(E126="","",IFERROR(VLOOKUP(E126,REGRAS_CST!$A$2:$C$200,3,FALSE),""))</f>
        <v/>
      </c>
      <c r="L126" s="23" t="str">
        <f>IF($G126="", "", $G126*(1-$V126))</f>
        <v/>
      </c>
      <c r="M126" s="24" t="str">
        <f>IF(OR($L126="",$S126=""),"",$L126*$S126)</f>
        <v/>
      </c>
      <c r="N126" s="24" t="str">
        <f>IF(OR($L126="",$T126=""),"",$L126*$T126)</f>
        <v/>
      </c>
      <c r="O126" s="15" t="str">
        <f>IF(D126="","",
IF(AND(K126&lt;&gt;"SIM",V126&gt;0),"ERRO: % BC &gt; 0, mas NÃO permitida ❌",
IF(AND(K126="SIM",V126=0),"ATENÇÃO: BC permitida, mas % = 0 🔎",
"Base de cálculo aplicada corretamente ✅")))</f>
        <v/>
      </c>
      <c r="P126" s="31" t="str">
        <f>IF(D126="","",
IF(AND(Q126&lt;&gt;"SIM",U126&gt;0),"ERRO: % alíquota &gt; 0, mas NÃO permitida ❌",
IF(AND(Q126="SIM",U126=0),"ATENÇÃO: alíquota permitida, mas % = 0 🔎",
"Alíquota aplicada corretamente ✅")))</f>
        <v/>
      </c>
      <c r="Q126" s="8" t="str">
        <f>IF(E126="","",IFERROR(VLOOKUP(E126,REGRAS_CST!$A$2:$D$200,4,FALSE),""))</f>
        <v/>
      </c>
      <c r="R126" s="4"/>
      <c r="S126" s="9">
        <f>IF($H126="","",$H126*(1-$U126))</f>
        <v>8.9999999999999993E-3</v>
      </c>
      <c r="T126" s="9">
        <f>IF($I126="","",$I126*(1-$U126))</f>
        <v>1E-3</v>
      </c>
      <c r="U126" s="16">
        <f>IFERROR(INDEX(BASE_CCLASSTRIB!$E:$E, MATCH(TEXT($D126,"000000"), BASE_CCLASSTRIB!$A:$A, 0))/100, 0)</f>
        <v>0</v>
      </c>
      <c r="V126" s="16">
        <f>IFERROR(INDEX(BASE_CCLASSTRIB!$F:$F, MATCH(TEXT($D126,"000000"), BASE_CCLASSTRIB!$A:$A, 0))/100, 0)</f>
        <v>0</v>
      </c>
    </row>
    <row r="127" spans="4:22" ht="32.25" customHeight="1">
      <c r="D127" s="39"/>
      <c r="E127" s="27" t="str">
        <f>IF(D127="","",LEFT(D127,3))</f>
        <v/>
      </c>
      <c r="F127" s="28" t="str">
        <f>IF(E127="","",IFERROR(VLOOKUP(E127,REGRAS_CST!$A$2:$B$200,2,FALSE),""))</f>
        <v/>
      </c>
      <c r="H127" s="29">
        <v>8.9999999999999993E-3</v>
      </c>
      <c r="I127" s="29">
        <v>1E-3</v>
      </c>
      <c r="J127" s="4"/>
      <c r="K127" s="21" t="str">
        <f>IF(E127="","",IFERROR(VLOOKUP(E127,REGRAS_CST!$A$2:$C$200,3,FALSE),""))</f>
        <v/>
      </c>
      <c r="L127" s="23" t="str">
        <f>IF($G127="", "", $G127*(1-$V127))</f>
        <v/>
      </c>
      <c r="M127" s="24" t="str">
        <f>IF(OR($L127="",$S127=""),"",$L127*$S127)</f>
        <v/>
      </c>
      <c r="N127" s="24" t="str">
        <f>IF(OR($L127="",$T127=""),"",$L127*$T127)</f>
        <v/>
      </c>
      <c r="O127" s="15" t="str">
        <f>IF(D127="","",
IF(AND(K127&lt;&gt;"SIM",V127&gt;0),"ERRO: % BC &gt; 0, mas NÃO permitida ❌",
IF(AND(K127="SIM",V127=0),"ATENÇÃO: BC permitida, mas % = 0 🔎",
"Base de cálculo aplicada corretamente ✅")))</f>
        <v/>
      </c>
      <c r="P127" s="31" t="str">
        <f>IF(D127="","",
IF(AND(Q127&lt;&gt;"SIM",U127&gt;0),"ERRO: % alíquota &gt; 0, mas NÃO permitida ❌",
IF(AND(Q127="SIM",U127=0),"ATENÇÃO: alíquota permitida, mas % = 0 🔎",
"Alíquota aplicada corretamente ✅")))</f>
        <v/>
      </c>
      <c r="Q127" s="8" t="str">
        <f>IF(E127="","",IFERROR(VLOOKUP(E127,REGRAS_CST!$A$2:$D$200,4,FALSE),""))</f>
        <v/>
      </c>
      <c r="R127" s="4"/>
      <c r="S127" s="9">
        <f>IF($H127="","",$H127*(1-$U127))</f>
        <v>8.9999999999999993E-3</v>
      </c>
      <c r="T127" s="9">
        <f>IF($I127="","",$I127*(1-$U127))</f>
        <v>1E-3</v>
      </c>
      <c r="U127" s="16">
        <f>IFERROR(INDEX(BASE_CCLASSTRIB!$E:$E, MATCH(TEXT($D127,"000000"), BASE_CCLASSTRIB!$A:$A, 0))/100, 0)</f>
        <v>0</v>
      </c>
      <c r="V127" s="16">
        <f>IFERROR(INDEX(BASE_CCLASSTRIB!$F:$F, MATCH(TEXT($D127,"000000"), BASE_CCLASSTRIB!$A:$A, 0))/100, 0)</f>
        <v>0</v>
      </c>
    </row>
    <row r="128" spans="4:22" ht="32.25" customHeight="1">
      <c r="D128" s="39"/>
      <c r="E128" s="27" t="str">
        <f>IF(D128="","",LEFT(D128,3))</f>
        <v/>
      </c>
      <c r="F128" s="28" t="str">
        <f>IF(E128="","",IFERROR(VLOOKUP(E128,REGRAS_CST!$A$2:$B$200,2,FALSE),""))</f>
        <v/>
      </c>
      <c r="H128" s="29">
        <v>8.9999999999999993E-3</v>
      </c>
      <c r="I128" s="29">
        <v>1E-3</v>
      </c>
      <c r="J128" s="4"/>
      <c r="K128" s="21" t="str">
        <f>IF(E128="","",IFERROR(VLOOKUP(E128,REGRAS_CST!$A$2:$C$200,3,FALSE),""))</f>
        <v/>
      </c>
      <c r="L128" s="23" t="str">
        <f>IF($G128="", "", $G128*(1-$V128))</f>
        <v/>
      </c>
      <c r="M128" s="24" t="str">
        <f>IF(OR($L128="",$S128=""),"",$L128*$S128)</f>
        <v/>
      </c>
      <c r="N128" s="24" t="str">
        <f>IF(OR($L128="",$T128=""),"",$L128*$T128)</f>
        <v/>
      </c>
      <c r="O128" s="15" t="str">
        <f>IF(D128="","",
IF(AND(K128&lt;&gt;"SIM",V128&gt;0),"ERRO: % BC &gt; 0, mas NÃO permitida ❌",
IF(AND(K128="SIM",V128=0),"ATENÇÃO: BC permitida, mas % = 0 🔎",
"Base de cálculo aplicada corretamente ✅")))</f>
        <v/>
      </c>
      <c r="P128" s="31" t="str">
        <f>IF(D128="","",
IF(AND(Q128&lt;&gt;"SIM",U128&gt;0),"ERRO: % alíquota &gt; 0, mas NÃO permitida ❌",
IF(AND(Q128="SIM",U128=0),"ATENÇÃO: alíquota permitida, mas % = 0 🔎",
"Alíquota aplicada corretamente ✅")))</f>
        <v/>
      </c>
      <c r="Q128" s="8" t="str">
        <f>IF(E128="","",IFERROR(VLOOKUP(E128,REGRAS_CST!$A$2:$D$200,4,FALSE),""))</f>
        <v/>
      </c>
      <c r="R128" s="4"/>
      <c r="S128" s="9">
        <f>IF($H128="","",$H128*(1-$U128))</f>
        <v>8.9999999999999993E-3</v>
      </c>
      <c r="T128" s="9">
        <f>IF($I128="","",$I128*(1-$U128))</f>
        <v>1E-3</v>
      </c>
      <c r="U128" s="16">
        <f>IFERROR(INDEX(BASE_CCLASSTRIB!$E:$E, MATCH(TEXT($D128,"000000"), BASE_CCLASSTRIB!$A:$A, 0))/100, 0)</f>
        <v>0</v>
      </c>
      <c r="V128" s="16">
        <f>IFERROR(INDEX(BASE_CCLASSTRIB!$F:$F, MATCH(TEXT($D128,"000000"), BASE_CCLASSTRIB!$A:$A, 0))/100, 0)</f>
        <v>0</v>
      </c>
    </row>
    <row r="129" spans="4:22" ht="32.25" customHeight="1">
      <c r="D129" s="40"/>
      <c r="E129" s="27" t="str">
        <f>IF(D129="","",LEFT(D129,3))</f>
        <v/>
      </c>
      <c r="F129" s="28" t="str">
        <f>IF(E129="","",IFERROR(VLOOKUP(E129,REGRAS_CST!$A$2:$B$200,2,FALSE),""))</f>
        <v/>
      </c>
      <c r="H129" s="29">
        <v>8.9999999999999993E-3</v>
      </c>
      <c r="I129" s="29">
        <v>1E-3</v>
      </c>
      <c r="J129" s="4"/>
      <c r="K129" s="21" t="str">
        <f>IF(E129="","",IFERROR(VLOOKUP(E129,REGRAS_CST!$A$2:$C$200,3,FALSE),""))</f>
        <v/>
      </c>
      <c r="L129" s="23" t="str">
        <f>IF($G129="", "", $G129*(1-$V129))</f>
        <v/>
      </c>
      <c r="M129" s="24" t="str">
        <f>IF(OR($L129="",$S129=""),"",$L129*$S129)</f>
        <v/>
      </c>
      <c r="N129" s="24" t="str">
        <f>IF(OR($L129="",$T129=""),"",$L129*$T129)</f>
        <v/>
      </c>
      <c r="O129" s="15" t="str">
        <f>IF(D129="","",
IF(AND(K129&lt;&gt;"SIM",V129&gt;0),"ERRO: % BC &gt; 0, mas NÃO permitida ❌",
IF(AND(K129="SIM",V129=0),"ATENÇÃO: BC permitida, mas % = 0 🔎",
"Base de cálculo aplicada corretamente ✅")))</f>
        <v/>
      </c>
      <c r="P129" s="31" t="str">
        <f>IF(D129="","",
IF(AND(Q129&lt;&gt;"SIM",U129&gt;0),"ERRO: % alíquota &gt; 0, mas NÃO permitida ❌",
IF(AND(Q129="SIM",U129=0),"ATENÇÃO: alíquota permitida, mas % = 0 🔎",
"Alíquota aplicada corretamente ✅")))</f>
        <v/>
      </c>
      <c r="Q129" s="8" t="str">
        <f>IF(E129="","",IFERROR(VLOOKUP(E129,REGRAS_CST!$A$2:$D$200,4,FALSE),""))</f>
        <v/>
      </c>
      <c r="R129" s="4"/>
      <c r="S129" s="9">
        <f>IF($H129="","",$H129*(1-$U129))</f>
        <v>8.9999999999999993E-3</v>
      </c>
      <c r="T129" s="9">
        <f>IF($I129="","",$I129*(1-$U129))</f>
        <v>1E-3</v>
      </c>
      <c r="U129" s="16">
        <f>IFERROR(INDEX(BASE_CCLASSTRIB!$E:$E, MATCH(TEXT($D129,"000000"), BASE_CCLASSTRIB!$A:$A, 0))/100, 0)</f>
        <v>0</v>
      </c>
      <c r="V129" s="16">
        <f>IFERROR(INDEX(BASE_CCLASSTRIB!$F:$F, MATCH(TEXT($D129,"000000"), BASE_CCLASSTRIB!$A:$A, 0))/100, 0)</f>
        <v>0</v>
      </c>
    </row>
    <row r="130" spans="4:22" ht="32.25" customHeight="1">
      <c r="D130" s="40"/>
      <c r="E130" s="27" t="str">
        <f>IF(D130="","",LEFT(D130,3))</f>
        <v/>
      </c>
      <c r="F130" s="28" t="str">
        <f>IF(E130="","",IFERROR(VLOOKUP(E130,REGRAS_CST!$A$2:$B$200,2,FALSE),""))</f>
        <v/>
      </c>
      <c r="H130" s="29">
        <v>8.9999999999999993E-3</v>
      </c>
      <c r="I130" s="29">
        <v>1E-3</v>
      </c>
      <c r="J130" s="4"/>
      <c r="K130" s="21" t="str">
        <f>IF(E130="","",IFERROR(VLOOKUP(E130,REGRAS_CST!$A$2:$C$200,3,FALSE),""))</f>
        <v/>
      </c>
      <c r="L130" s="23" t="str">
        <f>IF($G130="", "", $G130*(1-$V130))</f>
        <v/>
      </c>
      <c r="M130" s="24" t="str">
        <f>IF(OR($L130="",$S130=""),"",$L130*$S130)</f>
        <v/>
      </c>
      <c r="N130" s="24" t="str">
        <f>IF(OR($L130="",$T130=""),"",$L130*$T130)</f>
        <v/>
      </c>
      <c r="O130" s="15" t="str">
        <f>IF(D130="","",
IF(AND(K130&lt;&gt;"SIM",V130&gt;0),"ERRO: % BC &gt; 0, mas NÃO permitida ❌",
IF(AND(K130="SIM",V130=0),"ATENÇÃO: BC permitida, mas % = 0 🔎",
"Base de cálculo aplicada corretamente ✅")))</f>
        <v/>
      </c>
      <c r="P130" s="31" t="str">
        <f>IF(D130="","",
IF(AND(Q130&lt;&gt;"SIM",U130&gt;0),"ERRO: % alíquota &gt; 0, mas NÃO permitida ❌",
IF(AND(Q130="SIM",U130=0),"ATENÇÃO: alíquota permitida, mas % = 0 🔎",
"Alíquota aplicada corretamente ✅")))</f>
        <v/>
      </c>
      <c r="Q130" s="8" t="str">
        <f>IF(E130="","",IFERROR(VLOOKUP(E130,REGRAS_CST!$A$2:$D$200,4,FALSE),""))</f>
        <v/>
      </c>
      <c r="R130" s="4"/>
      <c r="S130" s="9">
        <f>IF($H130="","",$H130*(1-$U130))</f>
        <v>8.9999999999999993E-3</v>
      </c>
      <c r="T130" s="9">
        <f>IF($I130="","",$I130*(1-$U130))</f>
        <v>1E-3</v>
      </c>
      <c r="U130" s="16">
        <f>IFERROR(INDEX(BASE_CCLASSTRIB!$E:$E, MATCH(TEXT($D130,"000000"), BASE_CCLASSTRIB!$A:$A, 0))/100, 0)</f>
        <v>0</v>
      </c>
      <c r="V130" s="16">
        <f>IFERROR(INDEX(BASE_CCLASSTRIB!$F:$F, MATCH(TEXT($D130,"000000"), BASE_CCLASSTRIB!$A:$A, 0))/100, 0)</f>
        <v>0</v>
      </c>
    </row>
    <row r="131" spans="4:22" ht="32.25" customHeight="1">
      <c r="D131" s="40"/>
      <c r="E131" s="27" t="str">
        <f>IF(D131="","",LEFT(D131,3))</f>
        <v/>
      </c>
      <c r="F131" s="28" t="str">
        <f>IF(E131="","",IFERROR(VLOOKUP(E131,REGRAS_CST!$A$2:$B$200,2,FALSE),""))</f>
        <v/>
      </c>
      <c r="H131" s="29">
        <v>8.9999999999999993E-3</v>
      </c>
      <c r="I131" s="29">
        <v>1E-3</v>
      </c>
      <c r="J131" s="4"/>
      <c r="K131" s="21" t="str">
        <f>IF(E131="","",IFERROR(VLOOKUP(E131,REGRAS_CST!$A$2:$C$200,3,FALSE),""))</f>
        <v/>
      </c>
      <c r="L131" s="23" t="str">
        <f>IF($G131="", "", $G131*(1-$V131))</f>
        <v/>
      </c>
      <c r="M131" s="24" t="str">
        <f>IF(OR($L131="",$S131=""),"",$L131*$S131)</f>
        <v/>
      </c>
      <c r="N131" s="24" t="str">
        <f>IF(OR($L131="",$T131=""),"",$L131*$T131)</f>
        <v/>
      </c>
      <c r="O131" s="15" t="str">
        <f>IF(D131="","",
IF(AND(K131&lt;&gt;"SIM",V131&gt;0),"ERRO: % BC &gt; 0, mas NÃO permitida ❌",
IF(AND(K131="SIM",V131=0),"ATENÇÃO: BC permitida, mas % = 0 🔎",
"Base de cálculo aplicada corretamente ✅")))</f>
        <v/>
      </c>
      <c r="P131" s="31" t="str">
        <f>IF(D131="","",
IF(AND(Q131&lt;&gt;"SIM",U131&gt;0),"ERRO: % alíquota &gt; 0, mas NÃO permitida ❌",
IF(AND(Q131="SIM",U131=0),"ATENÇÃO: alíquota permitida, mas % = 0 🔎",
"Alíquota aplicada corretamente ✅")))</f>
        <v/>
      </c>
      <c r="Q131" s="8" t="str">
        <f>IF(E131="","",IFERROR(VLOOKUP(E131,REGRAS_CST!$A$2:$D$200,4,FALSE),""))</f>
        <v/>
      </c>
      <c r="R131" s="4"/>
      <c r="S131" s="9">
        <f>IF($H131="","",$H131*(1-$U131))</f>
        <v>8.9999999999999993E-3</v>
      </c>
      <c r="T131" s="9">
        <f>IF($I131="","",$I131*(1-$U131))</f>
        <v>1E-3</v>
      </c>
      <c r="U131" s="16">
        <f>IFERROR(INDEX(BASE_CCLASSTRIB!$E:$E, MATCH(TEXT($D131,"000000"), BASE_CCLASSTRIB!$A:$A, 0))/100, 0)</f>
        <v>0</v>
      </c>
      <c r="V131" s="16">
        <f>IFERROR(INDEX(BASE_CCLASSTRIB!$F:$F, MATCH(TEXT($D131,"000000"), BASE_CCLASSTRIB!$A:$A, 0))/100, 0)</f>
        <v>0</v>
      </c>
    </row>
    <row r="132" spans="4:22" ht="32.25" customHeight="1">
      <c r="D132" s="39"/>
      <c r="E132" s="27" t="str">
        <f>IF(D132="","",LEFT(D132,3))</f>
        <v/>
      </c>
      <c r="F132" s="28" t="str">
        <f>IF(E132="","",IFERROR(VLOOKUP(E132,REGRAS_CST!$A$2:$B$200,2,FALSE),""))</f>
        <v/>
      </c>
      <c r="H132" s="29">
        <v>8.9999999999999993E-3</v>
      </c>
      <c r="I132" s="29">
        <v>1E-3</v>
      </c>
      <c r="J132" s="4"/>
      <c r="K132" s="21" t="str">
        <f>IF(E132="","",IFERROR(VLOOKUP(E132,REGRAS_CST!$A$2:$C$200,3,FALSE),""))</f>
        <v/>
      </c>
      <c r="L132" s="23" t="str">
        <f>IF($G132="", "", $G132*(1-$V132))</f>
        <v/>
      </c>
      <c r="M132" s="24" t="str">
        <f>IF(OR($L132="",$S132=""),"",$L132*$S132)</f>
        <v/>
      </c>
      <c r="N132" s="24" t="str">
        <f>IF(OR($L132="",$T132=""),"",$L132*$T132)</f>
        <v/>
      </c>
      <c r="O132" s="15" t="str">
        <f>IF(D132="","",
IF(AND(K132&lt;&gt;"SIM",V132&gt;0),"ERRO: % BC &gt; 0, mas NÃO permitida ❌",
IF(AND(K132="SIM",V132=0),"ATENÇÃO: BC permitida, mas % = 0 🔎",
"Base de cálculo aplicada corretamente ✅")))</f>
        <v/>
      </c>
      <c r="P132" s="31" t="str">
        <f>IF(D132="","",
IF(AND(Q132&lt;&gt;"SIM",U132&gt;0),"ERRO: % alíquota &gt; 0, mas NÃO permitida ❌",
IF(AND(Q132="SIM",U132=0),"ATENÇÃO: alíquota permitida, mas % = 0 🔎",
"Alíquota aplicada corretamente ✅")))</f>
        <v/>
      </c>
      <c r="Q132" s="8" t="str">
        <f>IF(E132="","",IFERROR(VLOOKUP(E132,REGRAS_CST!$A$2:$D$200,4,FALSE),""))</f>
        <v/>
      </c>
      <c r="R132" s="4"/>
      <c r="S132" s="9">
        <f>IF($H132="","",$H132*(1-$U132))</f>
        <v>8.9999999999999993E-3</v>
      </c>
      <c r="T132" s="9">
        <f>IF($I132="","",$I132*(1-$U132))</f>
        <v>1E-3</v>
      </c>
      <c r="U132" s="16">
        <f>IFERROR(INDEX(BASE_CCLASSTRIB!$E:$E, MATCH(TEXT($D132,"000000"), BASE_CCLASSTRIB!$A:$A, 0))/100, 0)</f>
        <v>0</v>
      </c>
      <c r="V132" s="16">
        <f>IFERROR(INDEX(BASE_CCLASSTRIB!$F:$F, MATCH(TEXT($D132,"000000"), BASE_CCLASSTRIB!$A:$A, 0))/100, 0)</f>
        <v>0</v>
      </c>
    </row>
    <row r="133" spans="4:22" ht="32.25" customHeight="1">
      <c r="D133" s="40"/>
      <c r="E133" s="27" t="str">
        <f>IF(D133="","",LEFT(D133,3))</f>
        <v/>
      </c>
      <c r="F133" s="28" t="str">
        <f>IF(E133="","",IFERROR(VLOOKUP(E133,REGRAS_CST!$A$2:$B$200,2,FALSE),""))</f>
        <v/>
      </c>
      <c r="H133" s="29">
        <v>8.9999999999999993E-3</v>
      </c>
      <c r="I133" s="29">
        <v>1E-3</v>
      </c>
      <c r="J133" s="4"/>
      <c r="K133" s="21" t="str">
        <f>IF(E133="","",IFERROR(VLOOKUP(E133,REGRAS_CST!$A$2:$C$200,3,FALSE),""))</f>
        <v/>
      </c>
      <c r="L133" s="23" t="str">
        <f>IF($G133="", "", $G133*(1-$V133))</f>
        <v/>
      </c>
      <c r="M133" s="24" t="str">
        <f>IF(OR($L133="",$S133=""),"",$L133*$S133)</f>
        <v/>
      </c>
      <c r="N133" s="24" t="str">
        <f>IF(OR($L133="",$T133=""),"",$L133*$T133)</f>
        <v/>
      </c>
      <c r="O133" s="15" t="str">
        <f>IF(D133="","",
IF(AND(K133&lt;&gt;"SIM",V133&gt;0),"ERRO: % BC &gt; 0, mas NÃO permitida ❌",
IF(AND(K133="SIM",V133=0),"ATENÇÃO: BC permitida, mas % = 0 🔎",
"Base de cálculo aplicada corretamente ✅")))</f>
        <v/>
      </c>
      <c r="P133" s="31" t="str">
        <f>IF(D133="","",
IF(AND(Q133&lt;&gt;"SIM",U133&gt;0),"ERRO: % alíquota &gt; 0, mas NÃO permitida ❌",
IF(AND(Q133="SIM",U133=0),"ATENÇÃO: alíquota permitida, mas % = 0 🔎",
"Alíquota aplicada corretamente ✅")))</f>
        <v/>
      </c>
      <c r="Q133" s="8" t="str">
        <f>IF(E133="","",IFERROR(VLOOKUP(E133,REGRAS_CST!$A$2:$D$200,4,FALSE),""))</f>
        <v/>
      </c>
      <c r="R133" s="4"/>
      <c r="S133" s="9">
        <f>IF($H133="","",$H133*(1-$U133))</f>
        <v>8.9999999999999993E-3</v>
      </c>
      <c r="T133" s="9">
        <f>IF($I133="","",$I133*(1-$U133))</f>
        <v>1E-3</v>
      </c>
      <c r="U133" s="16">
        <f>IFERROR(INDEX(BASE_CCLASSTRIB!$E:$E, MATCH(TEXT($D133,"000000"), BASE_CCLASSTRIB!$A:$A, 0))/100, 0)</f>
        <v>0</v>
      </c>
      <c r="V133" s="16">
        <f>IFERROR(INDEX(BASE_CCLASSTRIB!$F:$F, MATCH(TEXT($D133,"000000"), BASE_CCLASSTRIB!$A:$A, 0))/100, 0)</f>
        <v>0</v>
      </c>
    </row>
    <row r="134" spans="4:22" ht="32.25" customHeight="1">
      <c r="D134" s="40"/>
      <c r="E134" s="27" t="str">
        <f>IF(D134="","",LEFT(D134,3))</f>
        <v/>
      </c>
      <c r="F134" s="28" t="str">
        <f>IF(E134="","",IFERROR(VLOOKUP(E134,REGRAS_CST!$A$2:$B$200,2,FALSE),""))</f>
        <v/>
      </c>
      <c r="H134" s="29">
        <v>8.9999999999999993E-3</v>
      </c>
      <c r="I134" s="29">
        <v>1E-3</v>
      </c>
      <c r="J134" s="4"/>
      <c r="K134" s="21" t="str">
        <f>IF(E134="","",IFERROR(VLOOKUP(E134,REGRAS_CST!$A$2:$C$200,3,FALSE),""))</f>
        <v/>
      </c>
      <c r="L134" s="23" t="str">
        <f>IF($G134="", "", $G134*(1-$V134))</f>
        <v/>
      </c>
      <c r="M134" s="24" t="str">
        <f>IF(OR($L134="",$S134=""),"",$L134*$S134)</f>
        <v/>
      </c>
      <c r="N134" s="24" t="str">
        <f>IF(OR($L134="",$T134=""),"",$L134*$T134)</f>
        <v/>
      </c>
      <c r="O134" s="15" t="str">
        <f>IF(D134="","",
IF(AND(K134&lt;&gt;"SIM",V134&gt;0),"ERRO: % BC &gt; 0, mas NÃO permitida ❌",
IF(AND(K134="SIM",V134=0),"ATENÇÃO: BC permitida, mas % = 0 🔎",
"Base de cálculo aplicada corretamente ✅")))</f>
        <v/>
      </c>
      <c r="P134" s="31" t="str">
        <f>IF(D134="","",
IF(AND(Q134&lt;&gt;"SIM",U134&gt;0),"ERRO: % alíquota &gt; 0, mas NÃO permitida ❌",
IF(AND(Q134="SIM",U134=0),"ATENÇÃO: alíquota permitida, mas % = 0 🔎",
"Alíquota aplicada corretamente ✅")))</f>
        <v/>
      </c>
      <c r="Q134" s="8" t="str">
        <f>IF(E134="","",IFERROR(VLOOKUP(E134,REGRAS_CST!$A$2:$D$200,4,FALSE),""))</f>
        <v/>
      </c>
      <c r="R134" s="4"/>
      <c r="S134" s="9">
        <f>IF($H134="","",$H134*(1-$U134))</f>
        <v>8.9999999999999993E-3</v>
      </c>
      <c r="T134" s="9">
        <f>IF($I134="","",$I134*(1-$U134))</f>
        <v>1E-3</v>
      </c>
      <c r="U134" s="16">
        <f>IFERROR(INDEX(BASE_CCLASSTRIB!$E:$E, MATCH(TEXT($D134,"000000"), BASE_CCLASSTRIB!$A:$A, 0))/100, 0)</f>
        <v>0</v>
      </c>
      <c r="V134" s="16">
        <f>IFERROR(INDEX(BASE_CCLASSTRIB!$F:$F, MATCH(TEXT($D134,"000000"), BASE_CCLASSTRIB!$A:$A, 0))/100, 0)</f>
        <v>0</v>
      </c>
    </row>
    <row r="135" spans="4:22" ht="32.25" customHeight="1">
      <c r="D135" s="39"/>
      <c r="E135" s="27" t="str">
        <f>IF(D135="","",LEFT(D135,3))</f>
        <v/>
      </c>
      <c r="F135" s="28" t="str">
        <f>IF(E135="","",IFERROR(VLOOKUP(E135,REGRAS_CST!$A$2:$B$200,2,FALSE),""))</f>
        <v/>
      </c>
      <c r="H135" s="29">
        <v>8.9999999999999993E-3</v>
      </c>
      <c r="I135" s="29">
        <v>1E-3</v>
      </c>
      <c r="J135" s="4"/>
      <c r="K135" s="21" t="str">
        <f>IF(E135="","",IFERROR(VLOOKUP(E135,REGRAS_CST!$A$2:$C$200,3,FALSE),""))</f>
        <v/>
      </c>
      <c r="L135" s="23" t="str">
        <f>IF($G135="", "", $G135*(1-$V135))</f>
        <v/>
      </c>
      <c r="M135" s="24" t="str">
        <f>IF(OR($L135="",$S135=""),"",$L135*$S135)</f>
        <v/>
      </c>
      <c r="N135" s="24" t="str">
        <f>IF(OR($L135="",$T135=""),"",$L135*$T135)</f>
        <v/>
      </c>
      <c r="O135" s="15" t="str">
        <f>IF(D135="","",
IF(AND(K135&lt;&gt;"SIM",V135&gt;0),"ERRO: % BC &gt; 0, mas NÃO permitida ❌",
IF(AND(K135="SIM",V135=0),"ATENÇÃO: BC permitida, mas % = 0 🔎",
"Base de cálculo aplicada corretamente ✅")))</f>
        <v/>
      </c>
      <c r="P135" s="31" t="str">
        <f>IF(D135="","",
IF(AND(Q135&lt;&gt;"SIM",U135&gt;0),"ERRO: % alíquota &gt; 0, mas NÃO permitida ❌",
IF(AND(Q135="SIM",U135=0),"ATENÇÃO: alíquota permitida, mas % = 0 🔎",
"Alíquota aplicada corretamente ✅")))</f>
        <v/>
      </c>
      <c r="Q135" s="8" t="str">
        <f>IF(E135="","",IFERROR(VLOOKUP(E135,REGRAS_CST!$A$2:$D$200,4,FALSE),""))</f>
        <v/>
      </c>
      <c r="R135" s="4"/>
      <c r="S135" s="9">
        <f>IF($H135="","",$H135*(1-$U135))</f>
        <v>8.9999999999999993E-3</v>
      </c>
      <c r="T135" s="9">
        <f>IF($I135="","",$I135*(1-$U135))</f>
        <v>1E-3</v>
      </c>
      <c r="U135" s="16">
        <f>IFERROR(INDEX(BASE_CCLASSTRIB!$E:$E, MATCH(TEXT($D135,"000000"), BASE_CCLASSTRIB!$A:$A, 0))/100, 0)</f>
        <v>0</v>
      </c>
      <c r="V135" s="16">
        <f>IFERROR(INDEX(BASE_CCLASSTRIB!$F:$F, MATCH(TEXT($D135,"000000"), BASE_CCLASSTRIB!$A:$A, 0))/100, 0)</f>
        <v>0</v>
      </c>
    </row>
    <row r="136" spans="4:22" ht="32.25" customHeight="1">
      <c r="D136" s="40"/>
      <c r="E136" s="27" t="str">
        <f>IF(D136="","",LEFT(D136,3))</f>
        <v/>
      </c>
      <c r="F136" s="28" t="str">
        <f>IF(E136="","",IFERROR(VLOOKUP(E136,REGRAS_CST!$A$2:$B$200,2,FALSE),""))</f>
        <v/>
      </c>
      <c r="H136" s="29">
        <v>8.9999999999999993E-3</v>
      </c>
      <c r="I136" s="29">
        <v>1E-3</v>
      </c>
      <c r="J136" s="4"/>
      <c r="K136" s="21" t="str">
        <f>IF(E136="","",IFERROR(VLOOKUP(E136,REGRAS_CST!$A$2:$C$200,3,FALSE),""))</f>
        <v/>
      </c>
      <c r="L136" s="23" t="str">
        <f>IF($G136="", "", $G136*(1-$V136))</f>
        <v/>
      </c>
      <c r="M136" s="24" t="str">
        <f>IF(OR($L136="",$S136=""),"",$L136*$S136)</f>
        <v/>
      </c>
      <c r="N136" s="24" t="str">
        <f>IF(OR($L136="",$T136=""),"",$L136*$T136)</f>
        <v/>
      </c>
      <c r="O136" s="15" t="str">
        <f>IF(D136="","",
IF(AND(K136&lt;&gt;"SIM",V136&gt;0),"ERRO: % BC &gt; 0, mas NÃO permitida ❌",
IF(AND(K136="SIM",V136=0),"ATENÇÃO: BC permitida, mas % = 0 🔎",
"Base de cálculo aplicada corretamente ✅")))</f>
        <v/>
      </c>
      <c r="P136" s="31" t="str">
        <f>IF(D136="","",
IF(AND(Q136&lt;&gt;"SIM",U136&gt;0),"ERRO: % alíquota &gt; 0, mas NÃO permitida ❌",
IF(AND(Q136="SIM",U136=0),"ATENÇÃO: alíquota permitida, mas % = 0 🔎",
"Alíquota aplicada corretamente ✅")))</f>
        <v/>
      </c>
      <c r="Q136" s="8" t="str">
        <f>IF(E136="","",IFERROR(VLOOKUP(E136,REGRAS_CST!$A$2:$D$200,4,FALSE),""))</f>
        <v/>
      </c>
      <c r="R136" s="4"/>
      <c r="S136" s="9">
        <f>IF($H136="","",$H136*(1-$U136))</f>
        <v>8.9999999999999993E-3</v>
      </c>
      <c r="T136" s="9">
        <f>IF($I136="","",$I136*(1-$U136))</f>
        <v>1E-3</v>
      </c>
      <c r="U136" s="16">
        <f>IFERROR(INDEX(BASE_CCLASSTRIB!$E:$E, MATCH(TEXT($D136,"000000"), BASE_CCLASSTRIB!$A:$A, 0))/100, 0)</f>
        <v>0</v>
      </c>
      <c r="V136" s="16">
        <f>IFERROR(INDEX(BASE_CCLASSTRIB!$F:$F, MATCH(TEXT($D136,"000000"), BASE_CCLASSTRIB!$A:$A, 0))/100, 0)</f>
        <v>0</v>
      </c>
    </row>
    <row r="137" spans="4:22" ht="32.25" customHeight="1">
      <c r="D137" s="39"/>
      <c r="E137" s="27" t="str">
        <f>IF(D137="","",LEFT(D137,3))</f>
        <v/>
      </c>
      <c r="F137" s="28" t="str">
        <f>IF(E137="","",IFERROR(VLOOKUP(E137,REGRAS_CST!$A$2:$B$200,2,FALSE),""))</f>
        <v/>
      </c>
      <c r="H137" s="29">
        <v>8.9999999999999993E-3</v>
      </c>
      <c r="I137" s="29">
        <v>1E-3</v>
      </c>
      <c r="J137" s="4"/>
      <c r="K137" s="21" t="str">
        <f>IF(E137="","",IFERROR(VLOOKUP(E137,REGRAS_CST!$A$2:$C$200,3,FALSE),""))</f>
        <v/>
      </c>
      <c r="L137" s="23" t="str">
        <f>IF($G137="", "", $G137*(1-$V137))</f>
        <v/>
      </c>
      <c r="M137" s="24" t="str">
        <f>IF(OR($L137="",$S137=""),"",$L137*$S137)</f>
        <v/>
      </c>
      <c r="N137" s="24" t="str">
        <f>IF(OR($L137="",$T137=""),"",$L137*$T137)</f>
        <v/>
      </c>
      <c r="O137" s="15" t="str">
        <f>IF(D137="","",
IF(AND(K137&lt;&gt;"SIM",V137&gt;0),"ERRO: % BC &gt; 0, mas NÃO permitida ❌",
IF(AND(K137="SIM",V137=0),"ATENÇÃO: BC permitida, mas % = 0 🔎",
"Base de cálculo aplicada corretamente ✅")))</f>
        <v/>
      </c>
      <c r="P137" s="31" t="str">
        <f>IF(D137="","",
IF(AND(Q137&lt;&gt;"SIM",U137&gt;0),"ERRO: % alíquota &gt; 0, mas NÃO permitida ❌",
IF(AND(Q137="SIM",U137=0),"ATENÇÃO: alíquota permitida, mas % = 0 🔎",
"Alíquota aplicada corretamente ✅")))</f>
        <v/>
      </c>
      <c r="Q137" s="8" t="str">
        <f>IF(E137="","",IFERROR(VLOOKUP(E137,REGRAS_CST!$A$2:$D$200,4,FALSE),""))</f>
        <v/>
      </c>
      <c r="R137" s="4"/>
      <c r="S137" s="9">
        <f>IF($H137="","",$H137*(1-$U137))</f>
        <v>8.9999999999999993E-3</v>
      </c>
      <c r="T137" s="9">
        <f>IF($I137="","",$I137*(1-$U137))</f>
        <v>1E-3</v>
      </c>
      <c r="U137" s="16">
        <f>IFERROR(INDEX(BASE_CCLASSTRIB!$E:$E, MATCH(TEXT($D137,"000000"), BASE_CCLASSTRIB!$A:$A, 0))/100, 0)</f>
        <v>0</v>
      </c>
      <c r="V137" s="16">
        <f>IFERROR(INDEX(BASE_CCLASSTRIB!$F:$F, MATCH(TEXT($D137,"000000"), BASE_CCLASSTRIB!$A:$A, 0))/100, 0)</f>
        <v>0</v>
      </c>
    </row>
    <row r="138" spans="4:22" ht="32.25" customHeight="1">
      <c r="D138" s="40"/>
      <c r="E138" s="27" t="str">
        <f>IF(D138="","",LEFT(D138,3))</f>
        <v/>
      </c>
      <c r="F138" s="28" t="str">
        <f>IF(E138="","",IFERROR(VLOOKUP(E138,REGRAS_CST!$A$2:$B$200,2,FALSE),""))</f>
        <v/>
      </c>
      <c r="H138" s="29">
        <v>8.9999999999999993E-3</v>
      </c>
      <c r="I138" s="29">
        <v>1E-3</v>
      </c>
      <c r="J138" s="4"/>
      <c r="K138" s="21" t="str">
        <f>IF(E138="","",IFERROR(VLOOKUP(E138,REGRAS_CST!$A$2:$C$200,3,FALSE),""))</f>
        <v/>
      </c>
      <c r="L138" s="23" t="str">
        <f>IF($G138="", "", $G138*(1-$V138))</f>
        <v/>
      </c>
      <c r="M138" s="24" t="str">
        <f>IF(OR($L138="",$S138=""),"",$L138*$S138)</f>
        <v/>
      </c>
      <c r="N138" s="24" t="str">
        <f>IF(OR($L138="",$T138=""),"",$L138*$T138)</f>
        <v/>
      </c>
      <c r="O138" s="15" t="str">
        <f>IF(D138="","",
IF(AND(K138&lt;&gt;"SIM",V138&gt;0),"ERRO: % BC &gt; 0, mas NÃO permitida ❌",
IF(AND(K138="SIM",V138=0),"ATENÇÃO: BC permitida, mas % = 0 🔎",
"Base de cálculo aplicada corretamente ✅")))</f>
        <v/>
      </c>
      <c r="P138" s="31" t="str">
        <f>IF(D138="","",
IF(AND(Q138&lt;&gt;"SIM",U138&gt;0),"ERRO: % alíquota &gt; 0, mas NÃO permitida ❌",
IF(AND(Q138="SIM",U138=0),"ATENÇÃO: alíquota permitida, mas % = 0 🔎",
"Alíquota aplicada corretamente ✅")))</f>
        <v/>
      </c>
      <c r="Q138" s="8" t="str">
        <f>IF(E138="","",IFERROR(VLOOKUP(E138,REGRAS_CST!$A$2:$D$200,4,FALSE),""))</f>
        <v/>
      </c>
      <c r="R138" s="4"/>
      <c r="S138" s="9">
        <f>IF($H138="","",$H138*(1-$U138))</f>
        <v>8.9999999999999993E-3</v>
      </c>
      <c r="T138" s="9">
        <f>IF($I138="","",$I138*(1-$U138))</f>
        <v>1E-3</v>
      </c>
      <c r="U138" s="16">
        <f>IFERROR(INDEX(BASE_CCLASSTRIB!$E:$E, MATCH(TEXT($D138,"000000"), BASE_CCLASSTRIB!$A:$A, 0))/100, 0)</f>
        <v>0</v>
      </c>
      <c r="V138" s="16">
        <f>IFERROR(INDEX(BASE_CCLASSTRIB!$F:$F, MATCH(TEXT($D138,"000000"), BASE_CCLASSTRIB!$A:$A, 0))/100, 0)</f>
        <v>0</v>
      </c>
    </row>
    <row r="139" spans="4:22" ht="32.25" customHeight="1">
      <c r="D139" s="39"/>
      <c r="E139" s="27" t="str">
        <f>IF(D139="","",LEFT(D139,3))</f>
        <v/>
      </c>
      <c r="F139" s="28" t="str">
        <f>IF(E139="","",IFERROR(VLOOKUP(E139,REGRAS_CST!$A$2:$B$200,2,FALSE),""))</f>
        <v/>
      </c>
      <c r="H139" s="29">
        <v>8.9999999999999993E-3</v>
      </c>
      <c r="I139" s="29">
        <v>1E-3</v>
      </c>
      <c r="J139" s="4"/>
      <c r="K139" s="21" t="str">
        <f>IF(E139="","",IFERROR(VLOOKUP(E139,REGRAS_CST!$A$2:$C$200,3,FALSE),""))</f>
        <v/>
      </c>
      <c r="L139" s="23" t="str">
        <f>IF($G139="", "", $G139*(1-$V139))</f>
        <v/>
      </c>
      <c r="M139" s="24" t="str">
        <f>IF(OR($L139="",$S139=""),"",$L139*$S139)</f>
        <v/>
      </c>
      <c r="N139" s="24" t="str">
        <f>IF(OR($L139="",$T139=""),"",$L139*$T139)</f>
        <v/>
      </c>
      <c r="O139" s="15" t="str">
        <f>IF(D139="","",
IF(AND(K139&lt;&gt;"SIM",V139&gt;0),"ERRO: % BC &gt; 0, mas NÃO permitida ❌",
IF(AND(K139="SIM",V139=0),"ATENÇÃO: BC permitida, mas % = 0 🔎",
"Base de cálculo aplicada corretamente ✅")))</f>
        <v/>
      </c>
      <c r="P139" s="31" t="str">
        <f>IF(D139="","",
IF(AND(Q139&lt;&gt;"SIM",U139&gt;0),"ERRO: % alíquota &gt; 0, mas NÃO permitida ❌",
IF(AND(Q139="SIM",U139=0),"ATENÇÃO: alíquota permitida, mas % = 0 🔎",
"Alíquota aplicada corretamente ✅")))</f>
        <v/>
      </c>
      <c r="Q139" s="8" t="str">
        <f>IF(E139="","",IFERROR(VLOOKUP(E139,REGRAS_CST!$A$2:$D$200,4,FALSE),""))</f>
        <v/>
      </c>
      <c r="R139" s="4"/>
      <c r="S139" s="9">
        <f>IF($H139="","",$H139*(1-$U139))</f>
        <v>8.9999999999999993E-3</v>
      </c>
      <c r="T139" s="9">
        <f>IF($I139="","",$I139*(1-$U139))</f>
        <v>1E-3</v>
      </c>
      <c r="U139" s="16">
        <f>IFERROR(INDEX(BASE_CCLASSTRIB!$E:$E, MATCH(TEXT($D139,"000000"), BASE_CCLASSTRIB!$A:$A, 0))/100, 0)</f>
        <v>0</v>
      </c>
      <c r="V139" s="16">
        <f>IFERROR(INDEX(BASE_CCLASSTRIB!$F:$F, MATCH(TEXT($D139,"000000"), BASE_CCLASSTRIB!$A:$A, 0))/100, 0)</f>
        <v>0</v>
      </c>
    </row>
    <row r="140" spans="4:22" ht="32.25" customHeight="1">
      <c r="D140" s="39"/>
      <c r="E140" s="27" t="str">
        <f>IF(D140="","",LEFT(D140,3))</f>
        <v/>
      </c>
      <c r="F140" s="28" t="str">
        <f>IF(E140="","",IFERROR(VLOOKUP(E140,REGRAS_CST!$A$2:$B$200,2,FALSE),""))</f>
        <v/>
      </c>
      <c r="H140" s="29">
        <v>8.9999999999999993E-3</v>
      </c>
      <c r="I140" s="29">
        <v>1E-3</v>
      </c>
      <c r="J140" s="4"/>
      <c r="K140" s="21" t="str">
        <f>IF(E140="","",IFERROR(VLOOKUP(E140,REGRAS_CST!$A$2:$C$200,3,FALSE),""))</f>
        <v/>
      </c>
      <c r="L140" s="23" t="str">
        <f>IF($G140="", "", $G140*(1-$V140))</f>
        <v/>
      </c>
      <c r="M140" s="24" t="str">
        <f>IF(OR($L140="",$S140=""),"",$L140*$S140)</f>
        <v/>
      </c>
      <c r="N140" s="24" t="str">
        <f>IF(OR($L140="",$T140=""),"",$L140*$T140)</f>
        <v/>
      </c>
      <c r="O140" s="15" t="str">
        <f>IF(D140="","",
IF(AND(K140&lt;&gt;"SIM",V140&gt;0),"ERRO: % BC &gt; 0, mas NÃO permitida ❌",
IF(AND(K140="SIM",V140=0),"ATENÇÃO: BC permitida, mas % = 0 🔎",
"Base de cálculo aplicada corretamente ✅")))</f>
        <v/>
      </c>
      <c r="P140" s="31" t="str">
        <f>IF(D140="","",
IF(AND(Q140&lt;&gt;"SIM",U140&gt;0),"ERRO: % alíquota &gt; 0, mas NÃO permitida ❌",
IF(AND(Q140="SIM",U140=0),"ATENÇÃO: alíquota permitida, mas % = 0 🔎",
"Alíquota aplicada corretamente ✅")))</f>
        <v/>
      </c>
      <c r="Q140" s="8" t="str">
        <f>IF(E140="","",IFERROR(VLOOKUP(E140,REGRAS_CST!$A$2:$D$200,4,FALSE),""))</f>
        <v/>
      </c>
      <c r="R140" s="4"/>
      <c r="S140" s="9">
        <f>IF($H140="","",$H140*(1-$U140))</f>
        <v>8.9999999999999993E-3</v>
      </c>
      <c r="T140" s="9">
        <f>IF($I140="","",$I140*(1-$U140))</f>
        <v>1E-3</v>
      </c>
      <c r="U140" s="16">
        <f>IFERROR(INDEX(BASE_CCLASSTRIB!$E:$E, MATCH(TEXT($D140,"000000"), BASE_CCLASSTRIB!$A:$A, 0))/100, 0)</f>
        <v>0</v>
      </c>
      <c r="V140" s="16">
        <f>IFERROR(INDEX(BASE_CCLASSTRIB!$F:$F, MATCH(TEXT($D140,"000000"), BASE_CCLASSTRIB!$A:$A, 0))/100, 0)</f>
        <v>0</v>
      </c>
    </row>
    <row r="141" spans="4:22" ht="32.25" customHeight="1">
      <c r="D141" s="39"/>
      <c r="E141" s="27" t="str">
        <f>IF(D141="","",LEFT(D141,3))</f>
        <v/>
      </c>
      <c r="F141" s="28" t="str">
        <f>IF(E141="","",IFERROR(VLOOKUP(E141,REGRAS_CST!$A$2:$B$200,2,FALSE),""))</f>
        <v/>
      </c>
      <c r="H141" s="29">
        <v>8.9999999999999993E-3</v>
      </c>
      <c r="I141" s="29">
        <v>1E-3</v>
      </c>
      <c r="J141" s="4"/>
      <c r="K141" s="21" t="str">
        <f>IF(E141="","",IFERROR(VLOOKUP(E141,REGRAS_CST!$A$2:$C$200,3,FALSE),""))</f>
        <v/>
      </c>
      <c r="L141" s="23" t="str">
        <f>IF($G141="", "", $G141*(1-$V141))</f>
        <v/>
      </c>
      <c r="M141" s="24" t="str">
        <f>IF(OR($L141="",$S141=""),"",$L141*$S141)</f>
        <v/>
      </c>
      <c r="N141" s="24" t="str">
        <f>IF(OR($L141="",$T141=""),"",$L141*$T141)</f>
        <v/>
      </c>
      <c r="O141" s="15" t="str">
        <f>IF(D141="","",
IF(AND(K141&lt;&gt;"SIM",V141&gt;0),"ERRO: % BC &gt; 0, mas NÃO permitida ❌",
IF(AND(K141="SIM",V141=0),"ATENÇÃO: BC permitida, mas % = 0 🔎",
"Base de cálculo aplicada corretamente ✅")))</f>
        <v/>
      </c>
      <c r="P141" s="31" t="str">
        <f>IF(D141="","",
IF(AND(Q141&lt;&gt;"SIM",U141&gt;0),"ERRO: % alíquota &gt; 0, mas NÃO permitida ❌",
IF(AND(Q141="SIM",U141=0),"ATENÇÃO: alíquota permitida, mas % = 0 🔎",
"Alíquota aplicada corretamente ✅")))</f>
        <v/>
      </c>
      <c r="Q141" s="8" t="str">
        <f>IF(E141="","",IFERROR(VLOOKUP(E141,REGRAS_CST!$A$2:$D$200,4,FALSE),""))</f>
        <v/>
      </c>
      <c r="R141" s="4"/>
      <c r="S141" s="9">
        <f>IF($H141="","",$H141*(1-$U141))</f>
        <v>8.9999999999999993E-3</v>
      </c>
      <c r="T141" s="9">
        <f>IF($I141="","",$I141*(1-$U141))</f>
        <v>1E-3</v>
      </c>
      <c r="U141" s="16">
        <f>IFERROR(INDEX(BASE_CCLASSTRIB!$E:$E, MATCH(TEXT($D141,"000000"), BASE_CCLASSTRIB!$A:$A, 0))/100, 0)</f>
        <v>0</v>
      </c>
      <c r="V141" s="16">
        <f>IFERROR(INDEX(BASE_CCLASSTRIB!$F:$F, MATCH(TEXT($D141,"000000"), BASE_CCLASSTRIB!$A:$A, 0))/100, 0)</f>
        <v>0</v>
      </c>
    </row>
    <row r="142" spans="4:22" ht="32.25" customHeight="1">
      <c r="D142" s="39"/>
      <c r="E142" s="27" t="str">
        <f>IF(D142="","",LEFT(D142,3))</f>
        <v/>
      </c>
      <c r="F142" s="28" t="str">
        <f>IF(E142="","",IFERROR(VLOOKUP(E142,REGRAS_CST!$A$2:$B$200,2,FALSE),""))</f>
        <v/>
      </c>
      <c r="H142" s="29">
        <v>8.9999999999999993E-3</v>
      </c>
      <c r="I142" s="29">
        <v>1E-3</v>
      </c>
      <c r="J142" s="4"/>
      <c r="K142" s="21" t="str">
        <f>IF(E142="","",IFERROR(VLOOKUP(E142,REGRAS_CST!$A$2:$C$200,3,FALSE),""))</f>
        <v/>
      </c>
      <c r="L142" s="23" t="str">
        <f>IF($G142="", "", $G142*(1-$V142))</f>
        <v/>
      </c>
      <c r="M142" s="24" t="str">
        <f>IF(OR($L142="",$S142=""),"",$L142*$S142)</f>
        <v/>
      </c>
      <c r="N142" s="24" t="str">
        <f>IF(OR($L142="",$T142=""),"",$L142*$T142)</f>
        <v/>
      </c>
      <c r="O142" s="15" t="str">
        <f>IF(D142="","",
IF(AND(K142&lt;&gt;"SIM",V142&gt;0),"ERRO: % BC &gt; 0, mas NÃO permitida ❌",
IF(AND(K142="SIM",V142=0),"ATENÇÃO: BC permitida, mas % = 0 🔎",
"Base de cálculo aplicada corretamente ✅")))</f>
        <v/>
      </c>
      <c r="P142" s="31" t="str">
        <f>IF(D142="","",
IF(AND(Q142&lt;&gt;"SIM",U142&gt;0),"ERRO: % alíquota &gt; 0, mas NÃO permitida ❌",
IF(AND(Q142="SIM",U142=0),"ATENÇÃO: alíquota permitida, mas % = 0 🔎",
"Alíquota aplicada corretamente ✅")))</f>
        <v/>
      </c>
      <c r="Q142" s="8" t="str">
        <f>IF(E142="","",IFERROR(VLOOKUP(E142,REGRAS_CST!$A$2:$D$200,4,FALSE),""))</f>
        <v/>
      </c>
      <c r="R142" s="4"/>
      <c r="S142" s="9">
        <f>IF($H142="","",$H142*(1-$U142))</f>
        <v>8.9999999999999993E-3</v>
      </c>
      <c r="T142" s="9">
        <f>IF($I142="","",$I142*(1-$U142))</f>
        <v>1E-3</v>
      </c>
      <c r="U142" s="16">
        <f>IFERROR(INDEX(BASE_CCLASSTRIB!$E:$E, MATCH(TEXT($D142,"000000"), BASE_CCLASSTRIB!$A:$A, 0))/100, 0)</f>
        <v>0</v>
      </c>
      <c r="V142" s="16">
        <f>IFERROR(INDEX(BASE_CCLASSTRIB!$F:$F, MATCH(TEXT($D142,"000000"), BASE_CCLASSTRIB!$A:$A, 0))/100, 0)</f>
        <v>0</v>
      </c>
    </row>
    <row r="143" spans="4:22" ht="32.25" customHeight="1">
      <c r="D143" s="39"/>
      <c r="E143" s="27" t="str">
        <f>IF(D143="","",LEFT(D143,3))</f>
        <v/>
      </c>
      <c r="F143" s="28" t="str">
        <f>IF(E143="","",IFERROR(VLOOKUP(E143,REGRAS_CST!$A$2:$B$200,2,FALSE),""))</f>
        <v/>
      </c>
      <c r="H143" s="29">
        <v>8.9999999999999993E-3</v>
      </c>
      <c r="I143" s="29">
        <v>1E-3</v>
      </c>
      <c r="J143" s="4"/>
      <c r="K143" s="21" t="str">
        <f>IF(E143="","",IFERROR(VLOOKUP(E143,REGRAS_CST!$A$2:$C$200,3,FALSE),""))</f>
        <v/>
      </c>
      <c r="L143" s="23" t="str">
        <f>IF($G143="", "", $G143*(1-$V143))</f>
        <v/>
      </c>
      <c r="M143" s="24" t="str">
        <f>IF(OR($L143="",$S143=""),"",$L143*$S143)</f>
        <v/>
      </c>
      <c r="N143" s="24" t="str">
        <f>IF(OR($L143="",$T143=""),"",$L143*$T143)</f>
        <v/>
      </c>
      <c r="O143" s="15" t="str">
        <f>IF(D143="","",
IF(AND(K143&lt;&gt;"SIM",V143&gt;0),"ERRO: % BC &gt; 0, mas NÃO permitida ❌",
IF(AND(K143="SIM",V143=0),"ATENÇÃO: BC permitida, mas % = 0 🔎",
"Base de cálculo aplicada corretamente ✅")))</f>
        <v/>
      </c>
      <c r="P143" s="31" t="str">
        <f>IF(D143="","",
IF(AND(Q143&lt;&gt;"SIM",U143&gt;0),"ERRO: % alíquota &gt; 0, mas NÃO permitida ❌",
IF(AND(Q143="SIM",U143=0),"ATENÇÃO: alíquota permitida, mas % = 0 🔎",
"Alíquota aplicada corretamente ✅")))</f>
        <v/>
      </c>
      <c r="Q143" s="8" t="str">
        <f>IF(E143="","",IFERROR(VLOOKUP(E143,REGRAS_CST!$A$2:$D$200,4,FALSE),""))</f>
        <v/>
      </c>
      <c r="R143" s="4"/>
      <c r="S143" s="9">
        <f>IF($H143="","",$H143*(1-$U143))</f>
        <v>8.9999999999999993E-3</v>
      </c>
      <c r="T143" s="9">
        <f>IF($I143="","",$I143*(1-$U143))</f>
        <v>1E-3</v>
      </c>
      <c r="U143" s="16">
        <f>IFERROR(INDEX(BASE_CCLASSTRIB!$E:$E, MATCH(TEXT($D143,"000000"), BASE_CCLASSTRIB!$A:$A, 0))/100, 0)</f>
        <v>0</v>
      </c>
      <c r="V143" s="16">
        <f>IFERROR(INDEX(BASE_CCLASSTRIB!$F:$F, MATCH(TEXT($D143,"000000"), BASE_CCLASSTRIB!$A:$A, 0))/100, 0)</f>
        <v>0</v>
      </c>
    </row>
    <row r="144" spans="4:22" ht="32.25" customHeight="1">
      <c r="D144" s="40"/>
      <c r="E144" s="27" t="str">
        <f>IF(D144="","",LEFT(D144,3))</f>
        <v/>
      </c>
      <c r="F144" s="28" t="str">
        <f>IF(E144="","",IFERROR(VLOOKUP(E144,REGRAS_CST!$A$2:$B$200,2,FALSE),""))</f>
        <v/>
      </c>
      <c r="H144" s="29">
        <v>8.9999999999999993E-3</v>
      </c>
      <c r="I144" s="29">
        <v>1E-3</v>
      </c>
      <c r="J144" s="4"/>
      <c r="K144" s="21" t="str">
        <f>IF(E144="","",IFERROR(VLOOKUP(E144,REGRAS_CST!$A$2:$C$200,3,FALSE),""))</f>
        <v/>
      </c>
      <c r="L144" s="23" t="str">
        <f>IF($G144="", "", $G144*(1-$V144))</f>
        <v/>
      </c>
      <c r="M144" s="24" t="str">
        <f>IF(OR($L144="",$S144=""),"",$L144*$S144)</f>
        <v/>
      </c>
      <c r="N144" s="24" t="str">
        <f>IF(OR($L144="",$T144=""),"",$L144*$T144)</f>
        <v/>
      </c>
      <c r="O144" s="15" t="str">
        <f>IF(D144="","",
IF(AND(K144&lt;&gt;"SIM",V144&gt;0),"ERRO: % BC &gt; 0, mas NÃO permitida ❌",
IF(AND(K144="SIM",V144=0),"ATENÇÃO: BC permitida, mas % = 0 🔎",
"Base de cálculo aplicada corretamente ✅")))</f>
        <v/>
      </c>
      <c r="P144" s="31" t="str">
        <f>IF(D144="","",
IF(AND(Q144&lt;&gt;"SIM",U144&gt;0),"ERRO: % alíquota &gt; 0, mas NÃO permitida ❌",
IF(AND(Q144="SIM",U144=0),"ATENÇÃO: alíquota permitida, mas % = 0 🔎",
"Alíquota aplicada corretamente ✅")))</f>
        <v/>
      </c>
      <c r="Q144" s="8" t="str">
        <f>IF(E144="","",IFERROR(VLOOKUP(E144,REGRAS_CST!$A$2:$D$200,4,FALSE),""))</f>
        <v/>
      </c>
      <c r="R144" s="4"/>
      <c r="S144" s="9">
        <f>IF($H144="","",$H144*(1-$U144))</f>
        <v>8.9999999999999993E-3</v>
      </c>
      <c r="T144" s="9">
        <f>IF($I144="","",$I144*(1-$U144))</f>
        <v>1E-3</v>
      </c>
      <c r="U144" s="16">
        <f>IFERROR(INDEX(BASE_CCLASSTRIB!$E:$E, MATCH(TEXT($D144,"000000"), BASE_CCLASSTRIB!$A:$A, 0))/100, 0)</f>
        <v>0</v>
      </c>
      <c r="V144" s="16">
        <f>IFERROR(INDEX(BASE_CCLASSTRIB!$F:$F, MATCH(TEXT($D144,"000000"), BASE_CCLASSTRIB!$A:$A, 0))/100, 0)</f>
        <v>0</v>
      </c>
    </row>
    <row r="145" spans="4:22" ht="32.25" customHeight="1">
      <c r="D145" s="39"/>
      <c r="E145" s="27" t="str">
        <f>IF(D145="","",LEFT(D145,3))</f>
        <v/>
      </c>
      <c r="F145" s="28" t="str">
        <f>IF(E145="","",IFERROR(VLOOKUP(E145,REGRAS_CST!$A$2:$B$200,2,FALSE),""))</f>
        <v/>
      </c>
      <c r="H145" s="29">
        <v>8.9999999999999993E-3</v>
      </c>
      <c r="I145" s="29">
        <v>1E-3</v>
      </c>
      <c r="J145" s="4"/>
      <c r="K145" s="21" t="str">
        <f>IF(E145="","",IFERROR(VLOOKUP(E145,REGRAS_CST!$A$2:$C$200,3,FALSE),""))</f>
        <v/>
      </c>
      <c r="L145" s="23" t="str">
        <f>IF($G145="", "", $G145*(1-$V145))</f>
        <v/>
      </c>
      <c r="M145" s="24" t="str">
        <f>IF(OR($L145="",$S145=""),"",$L145*$S145)</f>
        <v/>
      </c>
      <c r="N145" s="24" t="str">
        <f>IF(OR($L145="",$T145=""),"",$L145*$T145)</f>
        <v/>
      </c>
      <c r="O145" s="15" t="str">
        <f>IF(D145="","",
IF(AND(K145&lt;&gt;"SIM",V145&gt;0),"ERRO: % BC &gt; 0, mas NÃO permitida ❌",
IF(AND(K145="SIM",V145=0),"ATENÇÃO: BC permitida, mas % = 0 🔎",
"Base de cálculo aplicada corretamente ✅")))</f>
        <v/>
      </c>
      <c r="P145" s="31" t="str">
        <f>IF(D145="","",
IF(AND(Q145&lt;&gt;"SIM",U145&gt;0),"ERRO: % alíquota &gt; 0, mas NÃO permitida ❌",
IF(AND(Q145="SIM",U145=0),"ATENÇÃO: alíquota permitida, mas % = 0 🔎",
"Alíquota aplicada corretamente ✅")))</f>
        <v/>
      </c>
      <c r="Q145" s="8" t="str">
        <f>IF(E145="","",IFERROR(VLOOKUP(E145,REGRAS_CST!$A$2:$D$200,4,FALSE),""))</f>
        <v/>
      </c>
      <c r="R145" s="4"/>
      <c r="S145" s="9">
        <f>IF($H145="","",$H145*(1-$U145))</f>
        <v>8.9999999999999993E-3</v>
      </c>
      <c r="T145" s="9">
        <f>IF($I145="","",$I145*(1-$U145))</f>
        <v>1E-3</v>
      </c>
      <c r="U145" s="16">
        <f>IFERROR(INDEX(BASE_CCLASSTRIB!$E:$E, MATCH(TEXT($D145,"000000"), BASE_CCLASSTRIB!$A:$A, 0))/100, 0)</f>
        <v>0</v>
      </c>
      <c r="V145" s="16">
        <f>IFERROR(INDEX(BASE_CCLASSTRIB!$F:$F, MATCH(TEXT($D145,"000000"), BASE_CCLASSTRIB!$A:$A, 0))/100, 0)</f>
        <v>0</v>
      </c>
    </row>
    <row r="146" spans="4:22" ht="32.25" customHeight="1">
      <c r="D146" s="40"/>
      <c r="E146" s="27" t="str">
        <f>IF(D146="","",LEFT(D146,3))</f>
        <v/>
      </c>
      <c r="F146" s="28" t="str">
        <f>IF(E146="","",IFERROR(VLOOKUP(E146,REGRAS_CST!$A$2:$B$200,2,FALSE),""))</f>
        <v/>
      </c>
      <c r="H146" s="29">
        <v>8.9999999999999993E-3</v>
      </c>
      <c r="I146" s="29">
        <v>1E-3</v>
      </c>
      <c r="J146" s="4"/>
      <c r="K146" s="21" t="str">
        <f>IF(E146="","",IFERROR(VLOOKUP(E146,REGRAS_CST!$A$2:$C$200,3,FALSE),""))</f>
        <v/>
      </c>
      <c r="L146" s="23" t="str">
        <f>IF($G146="", "", $G146*(1-$V146))</f>
        <v/>
      </c>
      <c r="M146" s="24" t="str">
        <f>IF(OR($L146="",$S146=""),"",$L146*$S146)</f>
        <v/>
      </c>
      <c r="N146" s="24" t="str">
        <f>IF(OR($L146="",$T146=""),"",$L146*$T146)</f>
        <v/>
      </c>
      <c r="O146" s="15" t="str">
        <f>IF(D146="","",
IF(AND(K146&lt;&gt;"SIM",V146&gt;0),"ERRO: % BC &gt; 0, mas NÃO permitida ❌",
IF(AND(K146="SIM",V146=0),"ATENÇÃO: BC permitida, mas % = 0 🔎",
"Base de cálculo aplicada corretamente ✅")))</f>
        <v/>
      </c>
      <c r="P146" s="31" t="str">
        <f>IF(D146="","",
IF(AND(Q146&lt;&gt;"SIM",U146&gt;0),"ERRO: % alíquota &gt; 0, mas NÃO permitida ❌",
IF(AND(Q146="SIM",U146=0),"ATENÇÃO: alíquota permitida, mas % = 0 🔎",
"Alíquota aplicada corretamente ✅")))</f>
        <v/>
      </c>
      <c r="Q146" s="8" t="str">
        <f>IF(E146="","",IFERROR(VLOOKUP(E146,REGRAS_CST!$A$2:$D$200,4,FALSE),""))</f>
        <v/>
      </c>
      <c r="R146" s="4"/>
      <c r="S146" s="9">
        <f>IF($H146="","",$H146*(1-$U146))</f>
        <v>8.9999999999999993E-3</v>
      </c>
      <c r="T146" s="9">
        <f>IF($I146="","",$I146*(1-$U146))</f>
        <v>1E-3</v>
      </c>
      <c r="U146" s="16">
        <f>IFERROR(INDEX(BASE_CCLASSTRIB!$E:$E, MATCH(TEXT($D146,"000000"), BASE_CCLASSTRIB!$A:$A, 0))/100, 0)</f>
        <v>0</v>
      </c>
      <c r="V146" s="16">
        <f>IFERROR(INDEX(BASE_CCLASSTRIB!$F:$F, MATCH(TEXT($D146,"000000"), BASE_CCLASSTRIB!$A:$A, 0))/100, 0)</f>
        <v>0</v>
      </c>
    </row>
    <row r="147" spans="4:22" ht="32.25" customHeight="1">
      <c r="D147" s="39"/>
      <c r="E147" s="27" t="str">
        <f>IF(D147="","",LEFT(D147,3))</f>
        <v/>
      </c>
      <c r="F147" s="28" t="str">
        <f>IF(E147="","",IFERROR(VLOOKUP(E147,REGRAS_CST!$A$2:$B$200,2,FALSE),""))</f>
        <v/>
      </c>
      <c r="H147" s="29">
        <v>8.9999999999999993E-3</v>
      </c>
      <c r="I147" s="29">
        <v>1E-3</v>
      </c>
      <c r="J147" s="4"/>
      <c r="K147" s="21" t="str">
        <f>IF(E147="","",IFERROR(VLOOKUP(E147,REGRAS_CST!$A$2:$C$200,3,FALSE),""))</f>
        <v/>
      </c>
      <c r="L147" s="23" t="str">
        <f>IF($G147="", "", $G147*(1-$V147))</f>
        <v/>
      </c>
      <c r="M147" s="24" t="str">
        <f>IF(OR($L147="",$S147=""),"",$L147*$S147)</f>
        <v/>
      </c>
      <c r="N147" s="24" t="str">
        <f>IF(OR($L147="",$T147=""),"",$L147*$T147)</f>
        <v/>
      </c>
      <c r="O147" s="15" t="str">
        <f>IF(D147="","",
IF(AND(K147&lt;&gt;"SIM",V147&gt;0),"ERRO: % BC &gt; 0, mas NÃO permitida ❌",
IF(AND(K147="SIM",V147=0),"ATENÇÃO: BC permitida, mas % = 0 🔎",
"Base de cálculo aplicada corretamente ✅")))</f>
        <v/>
      </c>
      <c r="P147" s="31" t="str">
        <f>IF(D147="","",
IF(AND(Q147&lt;&gt;"SIM",U147&gt;0),"ERRO: % alíquota &gt; 0, mas NÃO permitida ❌",
IF(AND(Q147="SIM",U147=0),"ATENÇÃO: alíquota permitida, mas % = 0 🔎",
"Alíquota aplicada corretamente ✅")))</f>
        <v/>
      </c>
      <c r="Q147" s="8" t="str">
        <f>IF(E147="","",IFERROR(VLOOKUP(E147,REGRAS_CST!$A$2:$D$200,4,FALSE),""))</f>
        <v/>
      </c>
      <c r="R147" s="4"/>
      <c r="S147" s="9">
        <f>IF($H147="","",$H147*(1-$U147))</f>
        <v>8.9999999999999993E-3</v>
      </c>
      <c r="T147" s="9">
        <f>IF($I147="","",$I147*(1-$U147))</f>
        <v>1E-3</v>
      </c>
      <c r="U147" s="16">
        <f>IFERROR(INDEX(BASE_CCLASSTRIB!$E:$E, MATCH(TEXT($D147,"000000"), BASE_CCLASSTRIB!$A:$A, 0))/100, 0)</f>
        <v>0</v>
      </c>
      <c r="V147" s="16">
        <f>IFERROR(INDEX(BASE_CCLASSTRIB!$F:$F, MATCH(TEXT($D147,"000000"), BASE_CCLASSTRIB!$A:$A, 0))/100, 0)</f>
        <v>0</v>
      </c>
    </row>
    <row r="148" spans="4:22" ht="32.25" customHeight="1">
      <c r="D148" s="39"/>
      <c r="E148" s="27" t="str">
        <f>IF(D148="","",LEFT(D148,3))</f>
        <v/>
      </c>
      <c r="F148" s="28" t="str">
        <f>IF(E148="","",IFERROR(VLOOKUP(E148,REGRAS_CST!$A$2:$B$200,2,FALSE),""))</f>
        <v/>
      </c>
      <c r="H148" s="29">
        <v>8.9999999999999993E-3</v>
      </c>
      <c r="I148" s="29">
        <v>1E-3</v>
      </c>
      <c r="J148" s="4"/>
      <c r="K148" s="21" t="str">
        <f>IF(E148="","",IFERROR(VLOOKUP(E148,REGRAS_CST!$A$2:$C$200,3,FALSE),""))</f>
        <v/>
      </c>
      <c r="L148" s="23" t="str">
        <f>IF($G148="", "", $G148*(1-$V148))</f>
        <v/>
      </c>
      <c r="M148" s="24" t="str">
        <f>IF(OR($L148="",$S148=""),"",$L148*$S148)</f>
        <v/>
      </c>
      <c r="N148" s="24" t="str">
        <f>IF(OR($L148="",$T148=""),"",$L148*$T148)</f>
        <v/>
      </c>
      <c r="O148" s="15" t="str">
        <f>IF(D148="","",
IF(AND(K148&lt;&gt;"SIM",V148&gt;0),"ERRO: % BC &gt; 0, mas NÃO permitida ❌",
IF(AND(K148="SIM",V148=0),"ATENÇÃO: BC permitida, mas % = 0 🔎",
"Base de cálculo aplicada corretamente ✅")))</f>
        <v/>
      </c>
      <c r="P148" s="31" t="str">
        <f>IF(D148="","",
IF(AND(Q148&lt;&gt;"SIM",U148&gt;0),"ERRO: % alíquota &gt; 0, mas NÃO permitida ❌",
IF(AND(Q148="SIM",U148=0),"ATENÇÃO: alíquota permitida, mas % = 0 🔎",
"Alíquota aplicada corretamente ✅")))</f>
        <v/>
      </c>
      <c r="Q148" s="8" t="str">
        <f>IF(E148="","",IFERROR(VLOOKUP(E148,REGRAS_CST!$A$2:$D$200,4,FALSE),""))</f>
        <v/>
      </c>
      <c r="R148" s="4"/>
      <c r="S148" s="9">
        <f>IF($H148="","",$H148*(1-$U148))</f>
        <v>8.9999999999999993E-3</v>
      </c>
      <c r="T148" s="9">
        <f>IF($I148="","",$I148*(1-$U148))</f>
        <v>1E-3</v>
      </c>
      <c r="U148" s="16">
        <f>IFERROR(INDEX(BASE_CCLASSTRIB!$E:$E, MATCH(TEXT($D148,"000000"), BASE_CCLASSTRIB!$A:$A, 0))/100, 0)</f>
        <v>0</v>
      </c>
      <c r="V148" s="16">
        <f>IFERROR(INDEX(BASE_CCLASSTRIB!$F:$F, MATCH(TEXT($D148,"000000"), BASE_CCLASSTRIB!$A:$A, 0))/100, 0)</f>
        <v>0</v>
      </c>
    </row>
    <row r="149" spans="4:22" ht="32.25" customHeight="1">
      <c r="D149" s="40"/>
      <c r="E149" s="27" t="str">
        <f>IF(D149="","",LEFT(D149,3))</f>
        <v/>
      </c>
      <c r="F149" s="28" t="str">
        <f>IF(E149="","",IFERROR(VLOOKUP(E149,REGRAS_CST!$A$2:$B$200,2,FALSE),""))</f>
        <v/>
      </c>
      <c r="H149" s="29">
        <v>8.9999999999999993E-3</v>
      </c>
      <c r="I149" s="29">
        <v>1E-3</v>
      </c>
      <c r="J149" s="4"/>
      <c r="K149" s="21" t="str">
        <f>IF(E149="","",IFERROR(VLOOKUP(E149,REGRAS_CST!$A$2:$C$200,3,FALSE),""))</f>
        <v/>
      </c>
      <c r="L149" s="23" t="str">
        <f>IF($G149="", "", $G149*(1-$V149))</f>
        <v/>
      </c>
      <c r="M149" s="24" t="str">
        <f>IF(OR($L149="",$S149=""),"",$L149*$S149)</f>
        <v/>
      </c>
      <c r="N149" s="24" t="str">
        <f>IF(OR($L149="",$T149=""),"",$L149*$T149)</f>
        <v/>
      </c>
      <c r="O149" s="15" t="str">
        <f>IF(D149="","",
IF(AND(K149&lt;&gt;"SIM",V149&gt;0),"ERRO: % BC &gt; 0, mas NÃO permitida ❌",
IF(AND(K149="SIM",V149=0),"ATENÇÃO: BC permitida, mas % = 0 🔎",
"Base de cálculo aplicada corretamente ✅")))</f>
        <v/>
      </c>
      <c r="P149" s="31" t="str">
        <f>IF(D149="","",
IF(AND(Q149&lt;&gt;"SIM",U149&gt;0),"ERRO: % alíquota &gt; 0, mas NÃO permitida ❌",
IF(AND(Q149="SIM",U149=0),"ATENÇÃO: alíquota permitida, mas % = 0 🔎",
"Alíquota aplicada corretamente ✅")))</f>
        <v/>
      </c>
      <c r="Q149" s="8" t="str">
        <f>IF(E149="","",IFERROR(VLOOKUP(E149,REGRAS_CST!$A$2:$D$200,4,FALSE),""))</f>
        <v/>
      </c>
      <c r="R149" s="4"/>
      <c r="S149" s="9">
        <f>IF($H149="","",$H149*(1-$U149))</f>
        <v>8.9999999999999993E-3</v>
      </c>
      <c r="T149" s="9">
        <f>IF($I149="","",$I149*(1-$U149))</f>
        <v>1E-3</v>
      </c>
      <c r="U149" s="16">
        <f>IFERROR(INDEX(BASE_CCLASSTRIB!$E:$E, MATCH(TEXT($D149,"000000"), BASE_CCLASSTRIB!$A:$A, 0))/100, 0)</f>
        <v>0</v>
      </c>
      <c r="V149" s="16">
        <f>IFERROR(INDEX(BASE_CCLASSTRIB!$F:$F, MATCH(TEXT($D149,"000000"), BASE_CCLASSTRIB!$A:$A, 0))/100, 0)</f>
        <v>0</v>
      </c>
    </row>
    <row r="150" spans="4:22" ht="32.25" customHeight="1">
      <c r="D150" s="39"/>
      <c r="E150" s="27" t="str">
        <f>IF(D150="","",LEFT(D150,3))</f>
        <v/>
      </c>
      <c r="F150" s="28" t="str">
        <f>IF(E150="","",IFERROR(VLOOKUP(E150,REGRAS_CST!$A$2:$B$200,2,FALSE),""))</f>
        <v/>
      </c>
      <c r="H150" s="29">
        <v>8.9999999999999993E-3</v>
      </c>
      <c r="I150" s="29">
        <v>1E-3</v>
      </c>
      <c r="J150" s="4"/>
      <c r="K150" s="21" t="str">
        <f>IF(E150="","",IFERROR(VLOOKUP(E150,REGRAS_CST!$A$2:$C$200,3,FALSE),""))</f>
        <v/>
      </c>
      <c r="L150" s="23" t="str">
        <f>IF($G150="", "", $G150*(1-$V150))</f>
        <v/>
      </c>
      <c r="M150" s="24" t="str">
        <f>IF(OR($L150="",$S150=""),"",$L150*$S150)</f>
        <v/>
      </c>
      <c r="N150" s="24" t="str">
        <f>IF(OR($L150="",$T150=""),"",$L150*$T150)</f>
        <v/>
      </c>
      <c r="O150" s="15" t="str">
        <f>IF(D150="","",
IF(AND(K150&lt;&gt;"SIM",V150&gt;0),"ERRO: % BC &gt; 0, mas NÃO permitida ❌",
IF(AND(K150="SIM",V150=0),"ATENÇÃO: BC permitida, mas % = 0 🔎",
"Base de cálculo aplicada corretamente ✅")))</f>
        <v/>
      </c>
      <c r="P150" s="31" t="str">
        <f>IF(D150="","",
IF(AND(Q150&lt;&gt;"SIM",U150&gt;0),"ERRO: % alíquota &gt; 0, mas NÃO permitida ❌",
IF(AND(Q150="SIM",U150=0),"ATENÇÃO: alíquota permitida, mas % = 0 🔎",
"Alíquota aplicada corretamente ✅")))</f>
        <v/>
      </c>
      <c r="Q150" s="8" t="str">
        <f>IF(E150="","",IFERROR(VLOOKUP(E150,REGRAS_CST!$A$2:$D$200,4,FALSE),""))</f>
        <v/>
      </c>
      <c r="R150" s="4"/>
      <c r="S150" s="9">
        <f>IF($H150="","",$H150*(1-$U150))</f>
        <v>8.9999999999999993E-3</v>
      </c>
      <c r="T150" s="9">
        <f>IF($I150="","",$I150*(1-$U150))</f>
        <v>1E-3</v>
      </c>
      <c r="U150" s="16">
        <f>IFERROR(INDEX(BASE_CCLASSTRIB!$E:$E, MATCH(TEXT($D150,"000000"), BASE_CCLASSTRIB!$A:$A, 0))/100, 0)</f>
        <v>0</v>
      </c>
      <c r="V150" s="16">
        <f>IFERROR(INDEX(BASE_CCLASSTRIB!$F:$F, MATCH(TEXT($D150,"000000"), BASE_CCLASSTRIB!$A:$A, 0))/100, 0)</f>
        <v>0</v>
      </c>
    </row>
    <row r="151" spans="4:22" ht="32.25" customHeight="1">
      <c r="D151" s="40"/>
      <c r="E151" s="27" t="str">
        <f>IF(D151="","",LEFT(D151,3))</f>
        <v/>
      </c>
      <c r="F151" s="28" t="str">
        <f>IF(E151="","",IFERROR(VLOOKUP(E151,REGRAS_CST!$A$2:$B$200,2,FALSE),""))</f>
        <v/>
      </c>
      <c r="H151" s="29">
        <v>8.9999999999999993E-3</v>
      </c>
      <c r="I151" s="29">
        <v>1E-3</v>
      </c>
      <c r="J151" s="4"/>
      <c r="K151" s="21" t="str">
        <f>IF(E151="","",IFERROR(VLOOKUP(E151,REGRAS_CST!$A$2:$C$200,3,FALSE),""))</f>
        <v/>
      </c>
      <c r="L151" s="23" t="str">
        <f>IF($G151="", "", $G151*(1-$V151))</f>
        <v/>
      </c>
      <c r="M151" s="24" t="str">
        <f>IF(OR($L151="",$S151=""),"",$L151*$S151)</f>
        <v/>
      </c>
      <c r="N151" s="24" t="str">
        <f>IF(OR($L151="",$T151=""),"",$L151*$T151)</f>
        <v/>
      </c>
      <c r="O151" s="15" t="str">
        <f>IF(D151="","",
IF(AND(K151&lt;&gt;"SIM",V151&gt;0),"ERRO: % BC &gt; 0, mas NÃO permitida ❌",
IF(AND(K151="SIM",V151=0),"ATENÇÃO: BC permitida, mas % = 0 🔎",
"Base de cálculo aplicada corretamente ✅")))</f>
        <v/>
      </c>
      <c r="P151" s="31" t="str">
        <f>IF(D151="","",
IF(AND(Q151&lt;&gt;"SIM",U151&gt;0),"ERRO: % alíquota &gt; 0, mas NÃO permitida ❌",
IF(AND(Q151="SIM",U151=0),"ATENÇÃO: alíquota permitida, mas % = 0 🔎",
"Alíquota aplicada corretamente ✅")))</f>
        <v/>
      </c>
      <c r="Q151" s="8" t="str">
        <f>IF(E151="","",IFERROR(VLOOKUP(E151,REGRAS_CST!$A$2:$D$200,4,FALSE),""))</f>
        <v/>
      </c>
      <c r="R151" s="4"/>
      <c r="S151" s="9">
        <f>IF($H151="","",$H151*(1-$U151))</f>
        <v>8.9999999999999993E-3</v>
      </c>
      <c r="T151" s="9">
        <f>IF($I151="","",$I151*(1-$U151))</f>
        <v>1E-3</v>
      </c>
      <c r="U151" s="16">
        <f>IFERROR(INDEX(BASE_CCLASSTRIB!$E:$E, MATCH(TEXT($D151,"000000"), BASE_CCLASSTRIB!$A:$A, 0))/100, 0)</f>
        <v>0</v>
      </c>
      <c r="V151" s="16">
        <f>IFERROR(INDEX(BASE_CCLASSTRIB!$F:$F, MATCH(TEXT($D151,"000000"), BASE_CCLASSTRIB!$A:$A, 0))/100, 0)</f>
        <v>0</v>
      </c>
    </row>
    <row r="152" spans="4:22" ht="32.25" customHeight="1">
      <c r="D152" s="39"/>
      <c r="E152" s="27" t="str">
        <f>IF(D152="","",LEFT(D152,3))</f>
        <v/>
      </c>
      <c r="F152" s="28" t="str">
        <f>IF(E152="","",IFERROR(VLOOKUP(E152,REGRAS_CST!$A$2:$B$200,2,FALSE),""))</f>
        <v/>
      </c>
      <c r="H152" s="29">
        <v>8.9999999999999993E-3</v>
      </c>
      <c r="I152" s="29">
        <v>1E-3</v>
      </c>
      <c r="J152" s="4"/>
      <c r="K152" s="21" t="str">
        <f>IF(E152="","",IFERROR(VLOOKUP(E152,REGRAS_CST!$A$2:$C$200,3,FALSE),""))</f>
        <v/>
      </c>
      <c r="L152" s="23" t="str">
        <f>IF($G152="", "", $G152*(1-$V152))</f>
        <v/>
      </c>
      <c r="M152" s="24" t="str">
        <f>IF(OR($L152="",$S152=""),"",$L152*$S152)</f>
        <v/>
      </c>
      <c r="N152" s="24" t="str">
        <f>IF(OR($L152="",$T152=""),"",$L152*$T152)</f>
        <v/>
      </c>
      <c r="O152" s="15" t="str">
        <f>IF(D152="","",
IF(AND(K152&lt;&gt;"SIM",V152&gt;0),"ERRO: % BC &gt; 0, mas NÃO permitida ❌",
IF(AND(K152="SIM",V152=0),"ATENÇÃO: BC permitida, mas % = 0 🔎",
"Base de cálculo aplicada corretamente ✅")))</f>
        <v/>
      </c>
      <c r="P152" s="31" t="str">
        <f>IF(D152="","",
IF(AND(Q152&lt;&gt;"SIM",U152&gt;0),"ERRO: % alíquota &gt; 0, mas NÃO permitida ❌",
IF(AND(Q152="SIM",U152=0),"ATENÇÃO: alíquota permitida, mas % = 0 🔎",
"Alíquota aplicada corretamente ✅")))</f>
        <v/>
      </c>
      <c r="Q152" s="8" t="str">
        <f>IF(E152="","",IFERROR(VLOOKUP(E152,REGRAS_CST!$A$2:$D$200,4,FALSE),""))</f>
        <v/>
      </c>
      <c r="R152" s="4"/>
      <c r="S152" s="9">
        <f>IF($H152="","",$H152*(1-$U152))</f>
        <v>8.9999999999999993E-3</v>
      </c>
      <c r="T152" s="9">
        <f>IF($I152="","",$I152*(1-$U152))</f>
        <v>1E-3</v>
      </c>
      <c r="U152" s="16">
        <f>IFERROR(INDEX(BASE_CCLASSTRIB!$E:$E, MATCH(TEXT($D152,"000000"), BASE_CCLASSTRIB!$A:$A, 0))/100, 0)</f>
        <v>0</v>
      </c>
      <c r="V152" s="16">
        <f>IFERROR(INDEX(BASE_CCLASSTRIB!$F:$F, MATCH(TEXT($D152,"000000"), BASE_CCLASSTRIB!$A:$A, 0))/100, 0)</f>
        <v>0</v>
      </c>
    </row>
    <row r="153" spans="4:22" ht="32.25" customHeight="1">
      <c r="D153" s="40"/>
      <c r="E153" s="27" t="str">
        <f>IF(D153="","",LEFT(D153,3))</f>
        <v/>
      </c>
      <c r="F153" s="28" t="str">
        <f>IF(E153="","",IFERROR(VLOOKUP(E153,REGRAS_CST!$A$2:$B$200,2,FALSE),""))</f>
        <v/>
      </c>
      <c r="H153" s="29">
        <v>8.9999999999999993E-3</v>
      </c>
      <c r="I153" s="29">
        <v>1E-3</v>
      </c>
      <c r="J153" s="4"/>
      <c r="K153" s="21" t="str">
        <f>IF(E153="","",IFERROR(VLOOKUP(E153,REGRAS_CST!$A$2:$C$200,3,FALSE),""))</f>
        <v/>
      </c>
      <c r="L153" s="23" t="str">
        <f>IF($G153="", "", $G153*(1-$V153))</f>
        <v/>
      </c>
      <c r="M153" s="24" t="str">
        <f>IF(OR($L153="",$S153=""),"",$L153*$S153)</f>
        <v/>
      </c>
      <c r="N153" s="24" t="str">
        <f>IF(OR($L153="",$T153=""),"",$L153*$T153)</f>
        <v/>
      </c>
      <c r="O153" s="15" t="str">
        <f>IF(D153="","",
IF(AND(K153&lt;&gt;"SIM",V153&gt;0),"ERRO: % BC &gt; 0, mas NÃO permitida ❌",
IF(AND(K153="SIM",V153=0),"ATENÇÃO: BC permitida, mas % = 0 🔎",
"Base de cálculo aplicada corretamente ✅")))</f>
        <v/>
      </c>
      <c r="P153" s="31" t="str">
        <f>IF(D153="","",
IF(AND(Q153&lt;&gt;"SIM",U153&gt;0),"ERRO: % alíquota &gt; 0, mas NÃO permitida ❌",
IF(AND(Q153="SIM",U153=0),"ATENÇÃO: alíquota permitida, mas % = 0 🔎",
"Alíquota aplicada corretamente ✅")))</f>
        <v/>
      </c>
      <c r="Q153" s="8" t="str">
        <f>IF(E153="","",IFERROR(VLOOKUP(E153,REGRAS_CST!$A$2:$D$200,4,FALSE),""))</f>
        <v/>
      </c>
      <c r="R153" s="4"/>
      <c r="S153" s="9">
        <f>IF($H153="","",$H153*(1-$U153))</f>
        <v>8.9999999999999993E-3</v>
      </c>
      <c r="T153" s="9">
        <f>IF($I153="","",$I153*(1-$U153))</f>
        <v>1E-3</v>
      </c>
      <c r="U153" s="16">
        <f>IFERROR(INDEX(BASE_CCLASSTRIB!$E:$E, MATCH(TEXT($D153,"000000"), BASE_CCLASSTRIB!$A:$A, 0))/100, 0)</f>
        <v>0</v>
      </c>
      <c r="V153" s="16">
        <f>IFERROR(INDEX(BASE_CCLASSTRIB!$F:$F, MATCH(TEXT($D153,"000000"), BASE_CCLASSTRIB!$A:$A, 0))/100, 0)</f>
        <v>0</v>
      </c>
    </row>
    <row r="154" spans="4:22" ht="32.25" customHeight="1">
      <c r="D154" s="40"/>
      <c r="E154" s="27" t="str">
        <f>IF(D154="","",LEFT(D154,3))</f>
        <v/>
      </c>
      <c r="F154" s="28" t="str">
        <f>IF(E154="","",IFERROR(VLOOKUP(E154,REGRAS_CST!$A$2:$B$200,2,FALSE),""))</f>
        <v/>
      </c>
      <c r="H154" s="29">
        <v>8.9999999999999993E-3</v>
      </c>
      <c r="I154" s="29">
        <v>1E-3</v>
      </c>
      <c r="J154" s="4"/>
      <c r="K154" s="21" t="str">
        <f>IF(E154="","",IFERROR(VLOOKUP(E154,REGRAS_CST!$A$2:$C$200,3,FALSE),""))</f>
        <v/>
      </c>
      <c r="L154" s="23" t="str">
        <f>IF($G154="", "", $G154*(1-$V154))</f>
        <v/>
      </c>
      <c r="M154" s="24" t="str">
        <f>IF(OR($L154="",$S154=""),"",$L154*$S154)</f>
        <v/>
      </c>
      <c r="N154" s="24" t="str">
        <f>IF(OR($L154="",$T154=""),"",$L154*$T154)</f>
        <v/>
      </c>
      <c r="O154" s="15" t="str">
        <f>IF(D154="","",
IF(AND(K154&lt;&gt;"SIM",V154&gt;0),"ERRO: % BC &gt; 0, mas NÃO permitida ❌",
IF(AND(K154="SIM",V154=0),"ATENÇÃO: BC permitida, mas % = 0 🔎",
"Base de cálculo aplicada corretamente ✅")))</f>
        <v/>
      </c>
      <c r="P154" s="31" t="str">
        <f>IF(D154="","",
IF(AND(Q154&lt;&gt;"SIM",U154&gt;0),"ERRO: % alíquota &gt; 0, mas NÃO permitida ❌",
IF(AND(Q154="SIM",U154=0),"ATENÇÃO: alíquota permitida, mas % = 0 🔎",
"Alíquota aplicada corretamente ✅")))</f>
        <v/>
      </c>
      <c r="Q154" s="8" t="str">
        <f>IF(E154="","",IFERROR(VLOOKUP(E154,REGRAS_CST!$A$2:$D$200,4,FALSE),""))</f>
        <v/>
      </c>
      <c r="R154" s="4"/>
      <c r="S154" s="9">
        <f>IF($H154="","",$H154*(1-$U154))</f>
        <v>8.9999999999999993E-3</v>
      </c>
      <c r="T154" s="9">
        <f>IF($I154="","",$I154*(1-$U154))</f>
        <v>1E-3</v>
      </c>
      <c r="U154" s="16">
        <f>IFERROR(INDEX(BASE_CCLASSTRIB!$E:$E, MATCH(TEXT($D154,"000000"), BASE_CCLASSTRIB!$A:$A, 0))/100, 0)</f>
        <v>0</v>
      </c>
      <c r="V154" s="16">
        <f>IFERROR(INDEX(BASE_CCLASSTRIB!$F:$F, MATCH(TEXT($D154,"000000"), BASE_CCLASSTRIB!$A:$A, 0))/100, 0)</f>
        <v>0</v>
      </c>
    </row>
    <row r="155" spans="4:22" ht="32.25" customHeight="1">
      <c r="D155" s="39"/>
      <c r="E155" s="27" t="str">
        <f>IF(D155="","",LEFT(D155,3))</f>
        <v/>
      </c>
      <c r="F155" s="28" t="str">
        <f>IF(E155="","",IFERROR(VLOOKUP(E155,REGRAS_CST!$A$2:$B$200,2,FALSE),""))</f>
        <v/>
      </c>
      <c r="H155" s="29">
        <v>8.9999999999999993E-3</v>
      </c>
      <c r="I155" s="29">
        <v>1E-3</v>
      </c>
      <c r="J155" s="4"/>
      <c r="K155" s="21" t="str">
        <f>IF(E155="","",IFERROR(VLOOKUP(E155,REGRAS_CST!$A$2:$C$200,3,FALSE),""))</f>
        <v/>
      </c>
      <c r="L155" s="23" t="str">
        <f>IF($G155="", "", $G155*(1-$V155))</f>
        <v/>
      </c>
      <c r="M155" s="24" t="str">
        <f>IF(OR($L155="",$S155=""),"",$L155*$S155)</f>
        <v/>
      </c>
      <c r="N155" s="24" t="str">
        <f>IF(OR($L155="",$T155=""),"",$L155*$T155)</f>
        <v/>
      </c>
      <c r="O155" s="15" t="str">
        <f>IF(D155="","",
IF(AND(K155&lt;&gt;"SIM",V155&gt;0),"ERRO: % BC &gt; 0, mas NÃO permitida ❌",
IF(AND(K155="SIM",V155=0),"ATENÇÃO: BC permitida, mas % = 0 🔎",
"Base de cálculo aplicada corretamente ✅")))</f>
        <v/>
      </c>
      <c r="P155" s="31" t="str">
        <f>IF(D155="","",
IF(AND(Q155&lt;&gt;"SIM",U155&gt;0),"ERRO: % alíquota &gt; 0, mas NÃO permitida ❌",
IF(AND(Q155="SIM",U155=0),"ATENÇÃO: alíquota permitida, mas % = 0 🔎",
"Alíquota aplicada corretamente ✅")))</f>
        <v/>
      </c>
      <c r="Q155" s="8" t="str">
        <f>IF(E155="","",IFERROR(VLOOKUP(E155,REGRAS_CST!$A$2:$D$200,4,FALSE),""))</f>
        <v/>
      </c>
      <c r="R155" s="4"/>
      <c r="S155" s="9">
        <f>IF($H155="","",$H155*(1-$U155))</f>
        <v>8.9999999999999993E-3</v>
      </c>
      <c r="T155" s="9">
        <f>IF($I155="","",$I155*(1-$U155))</f>
        <v>1E-3</v>
      </c>
      <c r="U155" s="16">
        <f>IFERROR(INDEX(BASE_CCLASSTRIB!$E:$E, MATCH(TEXT($D155,"000000"), BASE_CCLASSTRIB!$A:$A, 0))/100, 0)</f>
        <v>0</v>
      </c>
      <c r="V155" s="16">
        <f>IFERROR(INDEX(BASE_CCLASSTRIB!$F:$F, MATCH(TEXT($D155,"000000"), BASE_CCLASSTRIB!$A:$A, 0))/100, 0)</f>
        <v>0</v>
      </c>
    </row>
    <row r="156" spans="4:22" ht="32.25" customHeight="1">
      <c r="D156" s="39"/>
      <c r="E156" s="27" t="str">
        <f>IF(D156="","",LEFT(D156,3))</f>
        <v/>
      </c>
      <c r="F156" s="28" t="str">
        <f>IF(E156="","",IFERROR(VLOOKUP(E156,REGRAS_CST!$A$2:$B$200,2,FALSE),""))</f>
        <v/>
      </c>
      <c r="H156" s="29">
        <v>8.9999999999999993E-3</v>
      </c>
      <c r="I156" s="29">
        <v>1E-3</v>
      </c>
      <c r="J156" s="4"/>
      <c r="K156" s="21" t="str">
        <f>IF(E156="","",IFERROR(VLOOKUP(E156,REGRAS_CST!$A$2:$C$200,3,FALSE),""))</f>
        <v/>
      </c>
      <c r="L156" s="23" t="str">
        <f>IF($G156="", "", $G156*(1-$V156))</f>
        <v/>
      </c>
      <c r="M156" s="24" t="str">
        <f>IF(OR($L156="",$S156=""),"",$L156*$S156)</f>
        <v/>
      </c>
      <c r="N156" s="24" t="str">
        <f>IF(OR($L156="",$T156=""),"",$L156*$T156)</f>
        <v/>
      </c>
      <c r="O156" s="15" t="str">
        <f>IF(D156="","",
IF(AND(K156&lt;&gt;"SIM",V156&gt;0),"ERRO: % BC &gt; 0, mas NÃO permitida ❌",
IF(AND(K156="SIM",V156=0),"ATENÇÃO: BC permitida, mas % = 0 🔎",
"Base de cálculo aplicada corretamente ✅")))</f>
        <v/>
      </c>
      <c r="P156" s="31" t="str">
        <f>IF(D156="","",
IF(AND(Q156&lt;&gt;"SIM",U156&gt;0),"ERRO: % alíquota &gt; 0, mas NÃO permitida ❌",
IF(AND(Q156="SIM",U156=0),"ATENÇÃO: alíquota permitida, mas % = 0 🔎",
"Alíquota aplicada corretamente ✅")))</f>
        <v/>
      </c>
      <c r="Q156" s="8" t="str">
        <f>IF(E156="","",IFERROR(VLOOKUP(E156,REGRAS_CST!$A$2:$D$200,4,FALSE),""))</f>
        <v/>
      </c>
      <c r="R156" s="4"/>
      <c r="S156" s="9">
        <f>IF($H156="","",$H156*(1-$U156))</f>
        <v>8.9999999999999993E-3</v>
      </c>
      <c r="T156" s="9">
        <f>IF($I156="","",$I156*(1-$U156))</f>
        <v>1E-3</v>
      </c>
      <c r="U156" s="16">
        <f>IFERROR(INDEX(BASE_CCLASSTRIB!$E:$E, MATCH(TEXT($D156,"000000"), BASE_CCLASSTRIB!$A:$A, 0))/100, 0)</f>
        <v>0</v>
      </c>
      <c r="V156" s="16">
        <f>IFERROR(INDEX(BASE_CCLASSTRIB!$F:$F, MATCH(TEXT($D156,"000000"), BASE_CCLASSTRIB!$A:$A, 0))/100, 0)</f>
        <v>0</v>
      </c>
    </row>
    <row r="157" spans="4:22" ht="32.25" customHeight="1">
      <c r="D157" s="40"/>
      <c r="E157" s="27" t="str">
        <f>IF(D157="","",LEFT(D157,3))</f>
        <v/>
      </c>
      <c r="F157" s="28" t="str">
        <f>IF(E157="","",IFERROR(VLOOKUP(E157,REGRAS_CST!$A$2:$B$200,2,FALSE),""))</f>
        <v/>
      </c>
      <c r="H157" s="29">
        <v>8.9999999999999993E-3</v>
      </c>
      <c r="I157" s="29">
        <v>1E-3</v>
      </c>
      <c r="J157" s="4"/>
      <c r="K157" s="21" t="str">
        <f>IF(E157="","",IFERROR(VLOOKUP(E157,REGRAS_CST!$A$2:$C$200,3,FALSE),""))</f>
        <v/>
      </c>
      <c r="L157" s="23" t="str">
        <f>IF($G157="", "", $G157*(1-$V157))</f>
        <v/>
      </c>
      <c r="M157" s="24" t="str">
        <f>IF(OR($L157="",$S157=""),"",$L157*$S157)</f>
        <v/>
      </c>
      <c r="N157" s="24" t="str">
        <f>IF(OR($L157="",$T157=""),"",$L157*$T157)</f>
        <v/>
      </c>
      <c r="O157" s="15" t="str">
        <f>IF(D157="","",
IF(AND(K157&lt;&gt;"SIM",V157&gt;0),"ERRO: % BC &gt; 0, mas NÃO permitida ❌",
IF(AND(K157="SIM",V157=0),"ATENÇÃO: BC permitida, mas % = 0 🔎",
"Base de cálculo aplicada corretamente ✅")))</f>
        <v/>
      </c>
      <c r="P157" s="31" t="str">
        <f>IF(D157="","",
IF(AND(Q157&lt;&gt;"SIM",U157&gt;0),"ERRO: % alíquota &gt; 0, mas NÃO permitida ❌",
IF(AND(Q157="SIM",U157=0),"ATENÇÃO: alíquota permitida, mas % = 0 🔎",
"Alíquota aplicada corretamente ✅")))</f>
        <v/>
      </c>
      <c r="Q157" s="8" t="str">
        <f>IF(E157="","",IFERROR(VLOOKUP(E157,REGRAS_CST!$A$2:$D$200,4,FALSE),""))</f>
        <v/>
      </c>
      <c r="R157" s="4"/>
      <c r="S157" s="9">
        <f>IF($H157="","",$H157*(1-$U157))</f>
        <v>8.9999999999999993E-3</v>
      </c>
      <c r="T157" s="9">
        <f>IF($I157="","",$I157*(1-$U157))</f>
        <v>1E-3</v>
      </c>
      <c r="U157" s="16">
        <f>IFERROR(INDEX(BASE_CCLASSTRIB!$E:$E, MATCH(TEXT($D157,"000000"), BASE_CCLASSTRIB!$A:$A, 0))/100, 0)</f>
        <v>0</v>
      </c>
      <c r="V157" s="16">
        <f>IFERROR(INDEX(BASE_CCLASSTRIB!$F:$F, MATCH(TEXT($D157,"000000"), BASE_CCLASSTRIB!$A:$A, 0))/100, 0)</f>
        <v>0</v>
      </c>
    </row>
    <row r="158" spans="4:22" ht="32.25" customHeight="1">
      <c r="D158" s="40"/>
      <c r="E158" s="27" t="str">
        <f>IF(D158="","",LEFT(D158,3))</f>
        <v/>
      </c>
      <c r="F158" s="28" t="str">
        <f>IF(E158="","",IFERROR(VLOOKUP(E158,REGRAS_CST!$A$2:$B$200,2,FALSE),""))</f>
        <v/>
      </c>
      <c r="H158" s="29">
        <v>8.9999999999999993E-3</v>
      </c>
      <c r="I158" s="29">
        <v>1E-3</v>
      </c>
      <c r="J158" s="4"/>
      <c r="K158" s="21" t="str">
        <f>IF(E158="","",IFERROR(VLOOKUP(E158,REGRAS_CST!$A$2:$C$200,3,FALSE),""))</f>
        <v/>
      </c>
      <c r="L158" s="23" t="str">
        <f>IF($G158="", "", $G158*(1-$V158))</f>
        <v/>
      </c>
      <c r="M158" s="24" t="str">
        <f>IF(OR($L158="",$S158=""),"",$L158*$S158)</f>
        <v/>
      </c>
      <c r="N158" s="24" t="str">
        <f>IF(OR($L158="",$T158=""),"",$L158*$T158)</f>
        <v/>
      </c>
      <c r="O158" s="15" t="str">
        <f>IF(D158="","",
IF(AND(K158&lt;&gt;"SIM",V158&gt;0),"ERRO: % BC &gt; 0, mas NÃO permitida ❌",
IF(AND(K158="SIM",V158=0),"ATENÇÃO: BC permitida, mas % = 0 🔎",
"Base de cálculo aplicada corretamente ✅")))</f>
        <v/>
      </c>
      <c r="P158" s="31" t="str">
        <f>IF(D158="","",
IF(AND(Q158&lt;&gt;"SIM",U158&gt;0),"ERRO: % alíquota &gt; 0, mas NÃO permitida ❌",
IF(AND(Q158="SIM",U158=0),"ATENÇÃO: alíquota permitida, mas % = 0 🔎",
"Alíquota aplicada corretamente ✅")))</f>
        <v/>
      </c>
      <c r="Q158" s="8" t="str">
        <f>IF(E158="","",IFERROR(VLOOKUP(E158,REGRAS_CST!$A$2:$D$200,4,FALSE),""))</f>
        <v/>
      </c>
      <c r="R158" s="4"/>
      <c r="S158" s="9">
        <f>IF($H158="","",$H158*(1-$U158))</f>
        <v>8.9999999999999993E-3</v>
      </c>
      <c r="T158" s="9">
        <f>IF($I158="","",$I158*(1-$U158))</f>
        <v>1E-3</v>
      </c>
      <c r="U158" s="16">
        <f>IFERROR(INDEX(BASE_CCLASSTRIB!$E:$E, MATCH(TEXT($D158,"000000"), BASE_CCLASSTRIB!$A:$A, 0))/100, 0)</f>
        <v>0</v>
      </c>
      <c r="V158" s="16">
        <f>IFERROR(INDEX(BASE_CCLASSTRIB!$F:$F, MATCH(TEXT($D158,"000000"), BASE_CCLASSTRIB!$A:$A, 0))/100, 0)</f>
        <v>0</v>
      </c>
    </row>
    <row r="159" spans="4:22" ht="32.25" customHeight="1">
      <c r="D159" s="39"/>
      <c r="E159" s="27" t="str">
        <f>IF(D159="","",LEFT(D159,3))</f>
        <v/>
      </c>
      <c r="F159" s="28" t="str">
        <f>IF(E159="","",IFERROR(VLOOKUP(E159,REGRAS_CST!$A$2:$B$200,2,FALSE),""))</f>
        <v/>
      </c>
      <c r="H159" s="29">
        <v>8.9999999999999993E-3</v>
      </c>
      <c r="I159" s="29">
        <v>1E-3</v>
      </c>
      <c r="J159" s="4"/>
      <c r="K159" s="21" t="str">
        <f>IF(E159="","",IFERROR(VLOOKUP(E159,REGRAS_CST!$A$2:$C$200,3,FALSE),""))</f>
        <v/>
      </c>
      <c r="L159" s="23" t="str">
        <f>IF($G159="", "", $G159*(1-$V159))</f>
        <v/>
      </c>
      <c r="M159" s="24" t="str">
        <f>IF(OR($L159="",$S159=""),"",$L159*$S159)</f>
        <v/>
      </c>
      <c r="N159" s="24" t="str">
        <f>IF(OR($L159="",$T159=""),"",$L159*$T159)</f>
        <v/>
      </c>
      <c r="O159" s="15" t="str">
        <f>IF(D159="","",
IF(AND(K159&lt;&gt;"SIM",V159&gt;0),"ERRO: % BC &gt; 0, mas NÃO permitida ❌",
IF(AND(K159="SIM",V159=0),"ATENÇÃO: BC permitida, mas % = 0 🔎",
"Base de cálculo aplicada corretamente ✅")))</f>
        <v/>
      </c>
      <c r="P159" s="31" t="str">
        <f>IF(D159="","",
IF(AND(Q159&lt;&gt;"SIM",U159&gt;0),"ERRO: % alíquota &gt; 0, mas NÃO permitida ❌",
IF(AND(Q159="SIM",U159=0),"ATENÇÃO: alíquota permitida, mas % = 0 🔎",
"Alíquota aplicada corretamente ✅")))</f>
        <v/>
      </c>
      <c r="Q159" s="8" t="str">
        <f>IF(E159="","",IFERROR(VLOOKUP(E159,REGRAS_CST!$A$2:$D$200,4,FALSE),""))</f>
        <v/>
      </c>
      <c r="R159" s="4"/>
      <c r="S159" s="9">
        <f>IF($H159="","",$H159*(1-$U159))</f>
        <v>8.9999999999999993E-3</v>
      </c>
      <c r="T159" s="9">
        <f>IF($I159="","",$I159*(1-$U159))</f>
        <v>1E-3</v>
      </c>
      <c r="U159" s="16">
        <f>IFERROR(INDEX(BASE_CCLASSTRIB!$E:$E, MATCH(TEXT($D159,"000000"), BASE_CCLASSTRIB!$A:$A, 0))/100, 0)</f>
        <v>0</v>
      </c>
      <c r="V159" s="16">
        <f>IFERROR(INDEX(BASE_CCLASSTRIB!$F:$F, MATCH(TEXT($D159,"000000"), BASE_CCLASSTRIB!$A:$A, 0))/100, 0)</f>
        <v>0</v>
      </c>
    </row>
    <row r="160" spans="4:22" ht="32.25" customHeight="1">
      <c r="D160" s="40"/>
      <c r="E160" s="27" t="str">
        <f>IF(D160="","",LEFT(D160,3))</f>
        <v/>
      </c>
      <c r="F160" s="28" t="str">
        <f>IF(E160="","",IFERROR(VLOOKUP(E160,REGRAS_CST!$A$2:$B$200,2,FALSE),""))</f>
        <v/>
      </c>
      <c r="H160" s="29">
        <v>8.9999999999999993E-3</v>
      </c>
      <c r="I160" s="29">
        <v>1E-3</v>
      </c>
      <c r="J160" s="4"/>
      <c r="K160" s="21" t="str">
        <f>IF(E160="","",IFERROR(VLOOKUP(E160,REGRAS_CST!$A$2:$C$200,3,FALSE),""))</f>
        <v/>
      </c>
      <c r="L160" s="23" t="str">
        <f>IF($G160="", "", $G160*(1-$V160))</f>
        <v/>
      </c>
      <c r="M160" s="24" t="str">
        <f>IF(OR($L160="",$S160=""),"",$L160*$S160)</f>
        <v/>
      </c>
      <c r="N160" s="24" t="str">
        <f>IF(OR($L160="",$T160=""),"",$L160*$T160)</f>
        <v/>
      </c>
      <c r="O160" s="15" t="str">
        <f>IF(D160="","",
IF(AND(K160&lt;&gt;"SIM",V160&gt;0),"ERRO: % BC &gt; 0, mas NÃO permitida ❌",
IF(AND(K160="SIM",V160=0),"ATENÇÃO: BC permitida, mas % = 0 🔎",
"Base de cálculo aplicada corretamente ✅")))</f>
        <v/>
      </c>
      <c r="P160" s="31" t="str">
        <f>IF(D160="","",
IF(AND(Q160&lt;&gt;"SIM",U160&gt;0),"ERRO: % alíquota &gt; 0, mas NÃO permitida ❌",
IF(AND(Q160="SIM",U160=0),"ATENÇÃO: alíquota permitida, mas % = 0 🔎",
"Alíquota aplicada corretamente ✅")))</f>
        <v/>
      </c>
      <c r="Q160" s="8" t="str">
        <f>IF(E160="","",IFERROR(VLOOKUP(E160,REGRAS_CST!$A$2:$D$200,4,FALSE),""))</f>
        <v/>
      </c>
      <c r="R160" s="4"/>
      <c r="S160" s="9">
        <f>IF($H160="","",$H160*(1-$U160))</f>
        <v>8.9999999999999993E-3</v>
      </c>
      <c r="T160" s="9">
        <f>IF($I160="","",$I160*(1-$U160))</f>
        <v>1E-3</v>
      </c>
      <c r="U160" s="16">
        <f>IFERROR(INDEX(BASE_CCLASSTRIB!$E:$E, MATCH(TEXT($D160,"000000"), BASE_CCLASSTRIB!$A:$A, 0))/100, 0)</f>
        <v>0</v>
      </c>
      <c r="V160" s="16">
        <f>IFERROR(INDEX(BASE_CCLASSTRIB!$F:$F, MATCH(TEXT($D160,"000000"), BASE_CCLASSTRIB!$A:$A, 0))/100, 0)</f>
        <v>0</v>
      </c>
    </row>
    <row r="161" spans="4:22" ht="32.25" customHeight="1">
      <c r="D161" s="40"/>
      <c r="E161" s="27" t="str">
        <f>IF(D161="","",LEFT(D161,3))</f>
        <v/>
      </c>
      <c r="F161" s="28" t="str">
        <f>IF(E161="","",IFERROR(VLOOKUP(E161,REGRAS_CST!$A$2:$B$200,2,FALSE),""))</f>
        <v/>
      </c>
      <c r="H161" s="29">
        <v>8.9999999999999993E-3</v>
      </c>
      <c r="I161" s="29">
        <v>1E-3</v>
      </c>
      <c r="J161" s="4"/>
      <c r="K161" s="21" t="str">
        <f>IF(E161="","",IFERROR(VLOOKUP(E161,REGRAS_CST!$A$2:$C$200,3,FALSE),""))</f>
        <v/>
      </c>
      <c r="L161" s="23" t="str">
        <f>IF($G161="", "", $G161*(1-$V161))</f>
        <v/>
      </c>
      <c r="M161" s="24" t="str">
        <f>IF(OR($L161="",$S161=""),"",$L161*$S161)</f>
        <v/>
      </c>
      <c r="N161" s="24" t="str">
        <f>IF(OR($L161="",$T161=""),"",$L161*$T161)</f>
        <v/>
      </c>
      <c r="O161" s="15" t="str">
        <f>IF(D161="","",
IF(AND(K161&lt;&gt;"SIM",V161&gt;0),"ERRO: % BC &gt; 0, mas NÃO permitida ❌",
IF(AND(K161="SIM",V161=0),"ATENÇÃO: BC permitida, mas % = 0 🔎",
"Base de cálculo aplicada corretamente ✅")))</f>
        <v/>
      </c>
      <c r="P161" s="31" t="str">
        <f>IF(D161="","",
IF(AND(Q161&lt;&gt;"SIM",U161&gt;0),"ERRO: % alíquota &gt; 0, mas NÃO permitida ❌",
IF(AND(Q161="SIM",U161=0),"ATENÇÃO: alíquota permitida, mas % = 0 🔎",
"Alíquota aplicada corretamente ✅")))</f>
        <v/>
      </c>
      <c r="Q161" s="8" t="str">
        <f>IF(E161="","",IFERROR(VLOOKUP(E161,REGRAS_CST!$A$2:$D$200,4,FALSE),""))</f>
        <v/>
      </c>
      <c r="R161" s="4"/>
      <c r="S161" s="9">
        <f>IF($H161="","",$H161*(1-$U161))</f>
        <v>8.9999999999999993E-3</v>
      </c>
      <c r="T161" s="9">
        <f>IF($I161="","",$I161*(1-$U161))</f>
        <v>1E-3</v>
      </c>
      <c r="U161" s="16">
        <f>IFERROR(INDEX(BASE_CCLASSTRIB!$E:$E, MATCH(TEXT($D161,"000000"), BASE_CCLASSTRIB!$A:$A, 0))/100, 0)</f>
        <v>0</v>
      </c>
      <c r="V161" s="16">
        <f>IFERROR(INDEX(BASE_CCLASSTRIB!$F:$F, MATCH(TEXT($D161,"000000"), BASE_CCLASSTRIB!$A:$A, 0))/100, 0)</f>
        <v>0</v>
      </c>
    </row>
    <row r="162" spans="4:22" ht="32.25" customHeight="1">
      <c r="D162" s="39"/>
      <c r="E162" s="27" t="str">
        <f>IF(D162="","",LEFT(D162,3))</f>
        <v/>
      </c>
      <c r="F162" s="28" t="str">
        <f>IF(E162="","",IFERROR(VLOOKUP(E162,REGRAS_CST!$A$2:$B$200,2,FALSE),""))</f>
        <v/>
      </c>
      <c r="H162" s="29">
        <v>8.9999999999999993E-3</v>
      </c>
      <c r="I162" s="29">
        <v>1E-3</v>
      </c>
      <c r="J162" s="4"/>
      <c r="K162" s="21" t="str">
        <f>IF(E162="","",IFERROR(VLOOKUP(E162,REGRAS_CST!$A$2:$C$200,3,FALSE),""))</f>
        <v/>
      </c>
      <c r="L162" s="23" t="str">
        <f>IF($G162="", "", $G162*(1-$V162))</f>
        <v/>
      </c>
      <c r="M162" s="24" t="str">
        <f>IF(OR($L162="",$S162=""),"",$L162*$S162)</f>
        <v/>
      </c>
      <c r="N162" s="24" t="str">
        <f>IF(OR($L162="",$T162=""),"",$L162*$T162)</f>
        <v/>
      </c>
      <c r="O162" s="15" t="str">
        <f>IF(D162="","",
IF(AND(K162&lt;&gt;"SIM",V162&gt;0),"ERRO: % BC &gt; 0, mas NÃO permitida ❌",
IF(AND(K162="SIM",V162=0),"ATENÇÃO: BC permitida, mas % = 0 🔎",
"Base de cálculo aplicada corretamente ✅")))</f>
        <v/>
      </c>
      <c r="P162" s="31" t="str">
        <f>IF(D162="","",
IF(AND(Q162&lt;&gt;"SIM",U162&gt;0),"ERRO: % alíquota &gt; 0, mas NÃO permitida ❌",
IF(AND(Q162="SIM",U162=0),"ATENÇÃO: alíquota permitida, mas % = 0 🔎",
"Alíquota aplicada corretamente ✅")))</f>
        <v/>
      </c>
      <c r="Q162" s="8" t="str">
        <f>IF(E162="","",IFERROR(VLOOKUP(E162,REGRAS_CST!$A$2:$D$200,4,FALSE),""))</f>
        <v/>
      </c>
      <c r="R162" s="4"/>
      <c r="S162" s="9">
        <f>IF($H162="","",$H162*(1-$U162))</f>
        <v>8.9999999999999993E-3</v>
      </c>
      <c r="T162" s="9">
        <f>IF($I162="","",$I162*(1-$U162))</f>
        <v>1E-3</v>
      </c>
      <c r="U162" s="16">
        <f>IFERROR(INDEX(BASE_CCLASSTRIB!$E:$E, MATCH(TEXT($D162,"000000"), BASE_CCLASSTRIB!$A:$A, 0))/100, 0)</f>
        <v>0</v>
      </c>
      <c r="V162" s="16">
        <f>IFERROR(INDEX(BASE_CCLASSTRIB!$F:$F, MATCH(TEXT($D162,"000000"), BASE_CCLASSTRIB!$A:$A, 0))/100, 0)</f>
        <v>0</v>
      </c>
    </row>
    <row r="163" spans="4:22" ht="32.25" customHeight="1">
      <c r="D163" s="40"/>
      <c r="E163" s="27" t="str">
        <f>IF(D163="","",LEFT(D163,3))</f>
        <v/>
      </c>
      <c r="F163" s="28" t="str">
        <f>IF(E163="","",IFERROR(VLOOKUP(E163,REGRAS_CST!$A$2:$B$200,2,FALSE),""))</f>
        <v/>
      </c>
      <c r="H163" s="29">
        <v>8.9999999999999993E-3</v>
      </c>
      <c r="I163" s="29">
        <v>1E-3</v>
      </c>
      <c r="J163" s="4"/>
      <c r="K163" s="21" t="str">
        <f>IF(E163="","",IFERROR(VLOOKUP(E163,REGRAS_CST!$A$2:$C$200,3,FALSE),""))</f>
        <v/>
      </c>
      <c r="L163" s="23" t="str">
        <f>IF($G163="", "", $G163*(1-$V163))</f>
        <v/>
      </c>
      <c r="M163" s="24" t="str">
        <f>IF(OR($L163="",$S163=""),"",$L163*$S163)</f>
        <v/>
      </c>
      <c r="N163" s="24" t="str">
        <f>IF(OR($L163="",$T163=""),"",$L163*$T163)</f>
        <v/>
      </c>
      <c r="O163" s="15" t="str">
        <f>IF(D163="","",
IF(AND(K163&lt;&gt;"SIM",V163&gt;0),"ERRO: % BC &gt; 0, mas NÃO permitida ❌",
IF(AND(K163="SIM",V163=0),"ATENÇÃO: BC permitida, mas % = 0 🔎",
"Base de cálculo aplicada corretamente ✅")))</f>
        <v/>
      </c>
      <c r="P163" s="31" t="str">
        <f>IF(D163="","",
IF(AND(Q163&lt;&gt;"SIM",U163&gt;0),"ERRO: % alíquota &gt; 0, mas NÃO permitida ❌",
IF(AND(Q163="SIM",U163=0),"ATENÇÃO: alíquota permitida, mas % = 0 🔎",
"Alíquota aplicada corretamente ✅")))</f>
        <v/>
      </c>
      <c r="Q163" s="8" t="str">
        <f>IF(E163="","",IFERROR(VLOOKUP(E163,REGRAS_CST!$A$2:$D$200,4,FALSE),""))</f>
        <v/>
      </c>
      <c r="R163" s="4"/>
      <c r="S163" s="9">
        <f>IF($H163="","",$H163*(1-$U163))</f>
        <v>8.9999999999999993E-3</v>
      </c>
      <c r="T163" s="9">
        <f>IF($I163="","",$I163*(1-$U163))</f>
        <v>1E-3</v>
      </c>
      <c r="U163" s="16">
        <f>IFERROR(INDEX(BASE_CCLASSTRIB!$E:$E, MATCH(TEXT($D163,"000000"), BASE_CCLASSTRIB!$A:$A, 0))/100, 0)</f>
        <v>0</v>
      </c>
      <c r="V163" s="16">
        <f>IFERROR(INDEX(BASE_CCLASSTRIB!$F:$F, MATCH(TEXT($D163,"000000"), BASE_CCLASSTRIB!$A:$A, 0))/100, 0)</f>
        <v>0</v>
      </c>
    </row>
    <row r="164" spans="4:22" ht="32.25" customHeight="1">
      <c r="D164" s="39"/>
      <c r="E164" s="27" t="str">
        <f>IF(D164="","",LEFT(D164,3))</f>
        <v/>
      </c>
      <c r="F164" s="28" t="str">
        <f>IF(E164="","",IFERROR(VLOOKUP(E164,REGRAS_CST!$A$2:$B$200,2,FALSE),""))</f>
        <v/>
      </c>
      <c r="H164" s="29">
        <v>8.9999999999999993E-3</v>
      </c>
      <c r="I164" s="29">
        <v>1E-3</v>
      </c>
      <c r="J164" s="4"/>
      <c r="K164" s="21" t="str">
        <f>IF(E164="","",IFERROR(VLOOKUP(E164,REGRAS_CST!$A$2:$C$200,3,FALSE),""))</f>
        <v/>
      </c>
      <c r="L164" s="23" t="str">
        <f>IF($G164="", "", $G164*(1-$V164))</f>
        <v/>
      </c>
      <c r="M164" s="24" t="str">
        <f>IF(OR($L164="",$S164=""),"",$L164*$S164)</f>
        <v/>
      </c>
      <c r="N164" s="24" t="str">
        <f>IF(OR($L164="",$T164=""),"",$L164*$T164)</f>
        <v/>
      </c>
      <c r="O164" s="15" t="str">
        <f>IF(D164="","",
IF(AND(K164&lt;&gt;"SIM",V164&gt;0),"ERRO: % BC &gt; 0, mas NÃO permitida ❌",
IF(AND(K164="SIM",V164=0),"ATENÇÃO: BC permitida, mas % = 0 🔎",
"Base de cálculo aplicada corretamente ✅")))</f>
        <v/>
      </c>
      <c r="P164" s="31" t="str">
        <f>IF(D164="","",
IF(AND(Q164&lt;&gt;"SIM",U164&gt;0),"ERRO: % alíquota &gt; 0, mas NÃO permitida ❌",
IF(AND(Q164="SIM",U164=0),"ATENÇÃO: alíquota permitida, mas % = 0 🔎",
"Alíquota aplicada corretamente ✅")))</f>
        <v/>
      </c>
      <c r="Q164" s="8" t="str">
        <f>IF(E164="","",IFERROR(VLOOKUP(E164,REGRAS_CST!$A$2:$D$200,4,FALSE),""))</f>
        <v/>
      </c>
      <c r="R164" s="4"/>
      <c r="S164" s="9">
        <f>IF($H164="","",$H164*(1-$U164))</f>
        <v>8.9999999999999993E-3</v>
      </c>
      <c r="T164" s="9">
        <f>IF($I164="","",$I164*(1-$U164))</f>
        <v>1E-3</v>
      </c>
      <c r="U164" s="16">
        <f>IFERROR(INDEX(BASE_CCLASSTRIB!$E:$E, MATCH(TEXT($D164,"000000"), BASE_CCLASSTRIB!$A:$A, 0))/100, 0)</f>
        <v>0</v>
      </c>
      <c r="V164" s="16">
        <f>IFERROR(INDEX(BASE_CCLASSTRIB!$F:$F, MATCH(TEXT($D164,"000000"), BASE_CCLASSTRIB!$A:$A, 0))/100, 0)</f>
        <v>0</v>
      </c>
    </row>
    <row r="165" spans="4:22" ht="32.25" customHeight="1">
      <c r="D165" s="40"/>
      <c r="E165" s="27" t="str">
        <f>IF(D165="","",LEFT(D165,3))</f>
        <v/>
      </c>
      <c r="F165" s="28" t="str">
        <f>IF(E165="","",IFERROR(VLOOKUP(E165,REGRAS_CST!$A$2:$B$200,2,FALSE),""))</f>
        <v/>
      </c>
      <c r="H165" s="29">
        <v>8.9999999999999993E-3</v>
      </c>
      <c r="I165" s="29">
        <v>1E-3</v>
      </c>
      <c r="J165" s="4"/>
      <c r="K165" s="21" t="str">
        <f>IF(E165="","",IFERROR(VLOOKUP(E165,REGRAS_CST!$A$2:$C$200,3,FALSE),""))</f>
        <v/>
      </c>
      <c r="L165" s="23" t="str">
        <f>IF($G165="", "", $G165*(1-$V165))</f>
        <v/>
      </c>
      <c r="M165" s="24" t="str">
        <f>IF(OR($L165="",$S165=""),"",$L165*$S165)</f>
        <v/>
      </c>
      <c r="N165" s="24" t="str">
        <f>IF(OR($L165="",$T165=""),"",$L165*$T165)</f>
        <v/>
      </c>
      <c r="O165" s="15" t="str">
        <f>IF(D165="","",
IF(AND(K165&lt;&gt;"SIM",V165&gt;0),"ERRO: % BC &gt; 0, mas NÃO permitida ❌",
IF(AND(K165="SIM",V165=0),"ATENÇÃO: BC permitida, mas % = 0 🔎",
"Base de cálculo aplicada corretamente ✅")))</f>
        <v/>
      </c>
      <c r="P165" s="31" t="str">
        <f>IF(D165="","",
IF(AND(Q165&lt;&gt;"SIM",U165&gt;0),"ERRO: % alíquota &gt; 0, mas NÃO permitida ❌",
IF(AND(Q165="SIM",U165=0),"ATENÇÃO: alíquota permitida, mas % = 0 🔎",
"Alíquota aplicada corretamente ✅")))</f>
        <v/>
      </c>
      <c r="Q165" s="8" t="str">
        <f>IF(E165="","",IFERROR(VLOOKUP(E165,REGRAS_CST!$A$2:$D$200,4,FALSE),""))</f>
        <v/>
      </c>
      <c r="R165" s="4"/>
      <c r="S165" s="9">
        <f>IF($H165="","",$H165*(1-$U165))</f>
        <v>8.9999999999999993E-3</v>
      </c>
      <c r="T165" s="9">
        <f>IF($I165="","",$I165*(1-$U165))</f>
        <v>1E-3</v>
      </c>
      <c r="U165" s="16">
        <f>IFERROR(INDEX(BASE_CCLASSTRIB!$E:$E, MATCH(TEXT($D165,"000000"), BASE_CCLASSTRIB!$A:$A, 0))/100, 0)</f>
        <v>0</v>
      </c>
      <c r="V165" s="16">
        <f>IFERROR(INDEX(BASE_CCLASSTRIB!$F:$F, MATCH(TEXT($D165,"000000"), BASE_CCLASSTRIB!$A:$A, 0))/100, 0)</f>
        <v>0</v>
      </c>
    </row>
    <row r="166" spans="4:22" ht="32.25" customHeight="1">
      <c r="D166" s="40"/>
      <c r="E166" s="27" t="str">
        <f>IF(D166="","",LEFT(D166,3))</f>
        <v/>
      </c>
      <c r="F166" s="28" t="str">
        <f>IF(E166="","",IFERROR(VLOOKUP(E166,REGRAS_CST!$A$2:$B$200,2,FALSE),""))</f>
        <v/>
      </c>
      <c r="H166" s="29">
        <v>8.9999999999999993E-3</v>
      </c>
      <c r="I166" s="29">
        <v>1E-3</v>
      </c>
      <c r="J166" s="4"/>
      <c r="K166" s="21" t="str">
        <f>IF(E166="","",IFERROR(VLOOKUP(E166,REGRAS_CST!$A$2:$C$200,3,FALSE),""))</f>
        <v/>
      </c>
      <c r="L166" s="23" t="str">
        <f>IF($G166="", "", $G166*(1-$V166))</f>
        <v/>
      </c>
      <c r="M166" s="24" t="str">
        <f>IF(OR($L166="",$S166=""),"",$L166*$S166)</f>
        <v/>
      </c>
      <c r="N166" s="24" t="str">
        <f>IF(OR($L166="",$T166=""),"",$L166*$T166)</f>
        <v/>
      </c>
      <c r="O166" s="15" t="str">
        <f>IF(D166="","",
IF(AND(K166&lt;&gt;"SIM",V166&gt;0),"ERRO: % BC &gt; 0, mas NÃO permitida ❌",
IF(AND(K166="SIM",V166=0),"ATENÇÃO: BC permitida, mas % = 0 🔎",
"Base de cálculo aplicada corretamente ✅")))</f>
        <v/>
      </c>
      <c r="P166" s="31" t="str">
        <f>IF(D166="","",
IF(AND(Q166&lt;&gt;"SIM",U166&gt;0),"ERRO: % alíquota &gt; 0, mas NÃO permitida ❌",
IF(AND(Q166="SIM",U166=0),"ATENÇÃO: alíquota permitida, mas % = 0 🔎",
"Alíquota aplicada corretamente ✅")))</f>
        <v/>
      </c>
      <c r="Q166" s="8" t="str">
        <f>IF(E166="","",IFERROR(VLOOKUP(E166,REGRAS_CST!$A$2:$D$200,4,FALSE),""))</f>
        <v/>
      </c>
      <c r="R166" s="4"/>
      <c r="S166" s="9">
        <f>IF($H166="","",$H166*(1-$U166))</f>
        <v>8.9999999999999993E-3</v>
      </c>
      <c r="T166" s="9">
        <f>IF($I166="","",$I166*(1-$U166))</f>
        <v>1E-3</v>
      </c>
      <c r="U166" s="16">
        <f>IFERROR(INDEX(BASE_CCLASSTRIB!$E:$E, MATCH(TEXT($D166,"000000"), BASE_CCLASSTRIB!$A:$A, 0))/100, 0)</f>
        <v>0</v>
      </c>
      <c r="V166" s="16">
        <f>IFERROR(INDEX(BASE_CCLASSTRIB!$F:$F, MATCH(TEXT($D166,"000000"), BASE_CCLASSTRIB!$A:$A, 0))/100, 0)</f>
        <v>0</v>
      </c>
    </row>
    <row r="167" spans="4:22" ht="32.25" customHeight="1">
      <c r="D167" s="40"/>
      <c r="E167" s="27" t="str">
        <f>IF(D167="","",LEFT(D167,3))</f>
        <v/>
      </c>
      <c r="F167" s="28" t="str">
        <f>IF(E167="","",IFERROR(VLOOKUP(E167,REGRAS_CST!$A$2:$B$200,2,FALSE),""))</f>
        <v/>
      </c>
      <c r="H167" s="29">
        <v>8.9999999999999993E-3</v>
      </c>
      <c r="I167" s="29">
        <v>1E-3</v>
      </c>
      <c r="J167" s="4"/>
      <c r="K167" s="21" t="str">
        <f>IF(E167="","",IFERROR(VLOOKUP(E167,REGRAS_CST!$A$2:$C$200,3,FALSE),""))</f>
        <v/>
      </c>
      <c r="L167" s="23" t="str">
        <f>IF($G167="", "", $G167*(1-$V167))</f>
        <v/>
      </c>
      <c r="M167" s="24" t="str">
        <f>IF(OR($L167="",$S167=""),"",$L167*$S167)</f>
        <v/>
      </c>
      <c r="N167" s="24" t="str">
        <f>IF(OR($L167="",$T167=""),"",$L167*$T167)</f>
        <v/>
      </c>
      <c r="O167" s="15" t="str">
        <f>IF(D167="","",
IF(AND(K167&lt;&gt;"SIM",V167&gt;0),"ERRO: % BC &gt; 0, mas NÃO permitida ❌",
IF(AND(K167="SIM",V167=0),"ATENÇÃO: BC permitida, mas % = 0 🔎",
"Base de cálculo aplicada corretamente ✅")))</f>
        <v/>
      </c>
      <c r="P167" s="31" t="str">
        <f>IF(D167="","",
IF(AND(Q167&lt;&gt;"SIM",U167&gt;0),"ERRO: % alíquota &gt; 0, mas NÃO permitida ❌",
IF(AND(Q167="SIM",U167=0),"ATENÇÃO: alíquota permitida, mas % = 0 🔎",
"Alíquota aplicada corretamente ✅")))</f>
        <v/>
      </c>
      <c r="Q167" s="8" t="str">
        <f>IF(E167="","",IFERROR(VLOOKUP(E167,REGRAS_CST!$A$2:$D$200,4,FALSE),""))</f>
        <v/>
      </c>
      <c r="R167" s="4"/>
      <c r="S167" s="9">
        <f>IF($H167="","",$H167*(1-$U167))</f>
        <v>8.9999999999999993E-3</v>
      </c>
      <c r="T167" s="9">
        <f>IF($I167="","",$I167*(1-$U167))</f>
        <v>1E-3</v>
      </c>
      <c r="U167" s="16">
        <f>IFERROR(INDEX(BASE_CCLASSTRIB!$E:$E, MATCH(TEXT($D167,"000000"), BASE_CCLASSTRIB!$A:$A, 0))/100, 0)</f>
        <v>0</v>
      </c>
      <c r="V167" s="16">
        <f>IFERROR(INDEX(BASE_CCLASSTRIB!$F:$F, MATCH(TEXT($D167,"000000"), BASE_CCLASSTRIB!$A:$A, 0))/100, 0)</f>
        <v>0</v>
      </c>
    </row>
    <row r="168" spans="4:22" ht="32.25" customHeight="1">
      <c r="D168" s="39"/>
      <c r="E168" s="27" t="str">
        <f>IF(D168="","",LEFT(D168,3))</f>
        <v/>
      </c>
      <c r="F168" s="28" t="str">
        <f>IF(E168="","",IFERROR(VLOOKUP(E168,REGRAS_CST!$A$2:$B$200,2,FALSE),""))</f>
        <v/>
      </c>
      <c r="H168" s="29">
        <v>8.9999999999999993E-3</v>
      </c>
      <c r="I168" s="29">
        <v>1E-3</v>
      </c>
      <c r="J168" s="4"/>
      <c r="K168" s="21" t="str">
        <f>IF(E168="","",IFERROR(VLOOKUP(E168,REGRAS_CST!$A$2:$C$200,3,FALSE),""))</f>
        <v/>
      </c>
      <c r="L168" s="23" t="str">
        <f>IF($G168="", "", $G168*(1-$V168))</f>
        <v/>
      </c>
      <c r="M168" s="24" t="str">
        <f>IF(OR($L168="",$S168=""),"",$L168*$S168)</f>
        <v/>
      </c>
      <c r="N168" s="24" t="str">
        <f>IF(OR($L168="",$T168=""),"",$L168*$T168)</f>
        <v/>
      </c>
      <c r="O168" s="15" t="str">
        <f>IF(D168="","",
IF(AND(K168&lt;&gt;"SIM",V168&gt;0),"ERRO: % BC &gt; 0, mas NÃO permitida ❌",
IF(AND(K168="SIM",V168=0),"ATENÇÃO: BC permitida, mas % = 0 🔎",
"Base de cálculo aplicada corretamente ✅")))</f>
        <v/>
      </c>
      <c r="P168" s="31" t="str">
        <f>IF(D168="","",
IF(AND(Q168&lt;&gt;"SIM",U168&gt;0),"ERRO: % alíquota &gt; 0, mas NÃO permitida ❌",
IF(AND(Q168="SIM",U168=0),"ATENÇÃO: alíquota permitida, mas % = 0 🔎",
"Alíquota aplicada corretamente ✅")))</f>
        <v/>
      </c>
      <c r="Q168" s="8" t="str">
        <f>IF(E168="","",IFERROR(VLOOKUP(E168,REGRAS_CST!$A$2:$D$200,4,FALSE),""))</f>
        <v/>
      </c>
      <c r="R168" s="4"/>
      <c r="S168" s="9">
        <f>IF($H168="","",$H168*(1-$U168))</f>
        <v>8.9999999999999993E-3</v>
      </c>
      <c r="T168" s="9">
        <f>IF($I168="","",$I168*(1-$U168))</f>
        <v>1E-3</v>
      </c>
      <c r="U168" s="16">
        <f>IFERROR(INDEX(BASE_CCLASSTRIB!$E:$E, MATCH(TEXT($D168,"000000"), BASE_CCLASSTRIB!$A:$A, 0))/100, 0)</f>
        <v>0</v>
      </c>
      <c r="V168" s="16">
        <f>IFERROR(INDEX(BASE_CCLASSTRIB!$F:$F, MATCH(TEXT($D168,"000000"), BASE_CCLASSTRIB!$A:$A, 0))/100, 0)</f>
        <v>0</v>
      </c>
    </row>
    <row r="169" spans="4:22" ht="32.25" customHeight="1">
      <c r="D169" s="39"/>
      <c r="E169" s="27" t="str">
        <f>IF(D169="","",LEFT(D169,3))</f>
        <v/>
      </c>
      <c r="F169" s="28" t="str">
        <f>IF(E169="","",IFERROR(VLOOKUP(E169,REGRAS_CST!$A$2:$B$200,2,FALSE),""))</f>
        <v/>
      </c>
      <c r="H169" s="29">
        <v>8.9999999999999993E-3</v>
      </c>
      <c r="I169" s="29">
        <v>1E-3</v>
      </c>
      <c r="J169" s="4"/>
      <c r="K169" s="21" t="str">
        <f>IF(E169="","",IFERROR(VLOOKUP(E169,REGRAS_CST!$A$2:$C$200,3,FALSE),""))</f>
        <v/>
      </c>
      <c r="L169" s="23" t="str">
        <f>IF($G169="", "", $G169*(1-$V169))</f>
        <v/>
      </c>
      <c r="M169" s="24" t="str">
        <f>IF(OR($L169="",$S169=""),"",$L169*$S169)</f>
        <v/>
      </c>
      <c r="N169" s="24" t="str">
        <f>IF(OR($L169="",$T169=""),"",$L169*$T169)</f>
        <v/>
      </c>
      <c r="O169" s="15" t="str">
        <f>IF(D169="","",
IF(AND(K169&lt;&gt;"SIM",V169&gt;0),"ERRO: % BC &gt; 0, mas NÃO permitida ❌",
IF(AND(K169="SIM",V169=0),"ATENÇÃO: BC permitida, mas % = 0 🔎",
"Base de cálculo aplicada corretamente ✅")))</f>
        <v/>
      </c>
      <c r="P169" s="31" t="str">
        <f>IF(D169="","",
IF(AND(Q169&lt;&gt;"SIM",U169&gt;0),"ERRO: % alíquota &gt; 0, mas NÃO permitida ❌",
IF(AND(Q169="SIM",U169=0),"ATENÇÃO: alíquota permitida, mas % = 0 🔎",
"Alíquota aplicada corretamente ✅")))</f>
        <v/>
      </c>
      <c r="Q169" s="8" t="str">
        <f>IF(E169="","",IFERROR(VLOOKUP(E169,REGRAS_CST!$A$2:$D$200,4,FALSE),""))</f>
        <v/>
      </c>
      <c r="R169" s="4"/>
      <c r="S169" s="9">
        <f>IF($H169="","",$H169*(1-$U169))</f>
        <v>8.9999999999999993E-3</v>
      </c>
      <c r="T169" s="9">
        <f>IF($I169="","",$I169*(1-$U169))</f>
        <v>1E-3</v>
      </c>
      <c r="U169" s="16">
        <f>IFERROR(INDEX(BASE_CCLASSTRIB!$E:$E, MATCH(TEXT($D169,"000000"), BASE_CCLASSTRIB!$A:$A, 0))/100, 0)</f>
        <v>0</v>
      </c>
      <c r="V169" s="16">
        <f>IFERROR(INDEX(BASE_CCLASSTRIB!$F:$F, MATCH(TEXT($D169,"000000"), BASE_CCLASSTRIB!$A:$A, 0))/100, 0)</f>
        <v>0</v>
      </c>
    </row>
    <row r="170" spans="4:22" ht="32.25" customHeight="1">
      <c r="D170" s="39"/>
      <c r="E170" s="27" t="str">
        <f>IF(D170="","",LEFT(D170,3))</f>
        <v/>
      </c>
      <c r="F170" s="28" t="str">
        <f>IF(E170="","",IFERROR(VLOOKUP(E170,REGRAS_CST!$A$2:$B$200,2,FALSE),""))</f>
        <v/>
      </c>
      <c r="H170" s="29">
        <v>8.9999999999999993E-3</v>
      </c>
      <c r="I170" s="29">
        <v>1E-3</v>
      </c>
      <c r="J170" s="4"/>
      <c r="K170" s="21" t="str">
        <f>IF(E170="","",IFERROR(VLOOKUP(E170,REGRAS_CST!$A$2:$C$200,3,FALSE),""))</f>
        <v/>
      </c>
      <c r="L170" s="23" t="str">
        <f>IF($G170="", "", $G170*(1-$V170))</f>
        <v/>
      </c>
      <c r="M170" s="24" t="str">
        <f>IF(OR($L170="",$S170=""),"",$L170*$S170)</f>
        <v/>
      </c>
      <c r="N170" s="24" t="str">
        <f>IF(OR($L170="",$T170=""),"",$L170*$T170)</f>
        <v/>
      </c>
      <c r="O170" s="15" t="str">
        <f>IF(D170="","",
IF(AND(K170&lt;&gt;"SIM",V170&gt;0),"ERRO: % BC &gt; 0, mas NÃO permitida ❌",
IF(AND(K170="SIM",V170=0),"ATENÇÃO: BC permitida, mas % = 0 🔎",
"Base de cálculo aplicada corretamente ✅")))</f>
        <v/>
      </c>
      <c r="P170" s="31" t="str">
        <f>IF(D170="","",
IF(AND(Q170&lt;&gt;"SIM",U170&gt;0),"ERRO: % alíquota &gt; 0, mas NÃO permitida ❌",
IF(AND(Q170="SIM",U170=0),"ATENÇÃO: alíquota permitida, mas % = 0 🔎",
"Alíquota aplicada corretamente ✅")))</f>
        <v/>
      </c>
      <c r="Q170" s="8" t="str">
        <f>IF(E170="","",IFERROR(VLOOKUP(E170,REGRAS_CST!$A$2:$D$200,4,FALSE),""))</f>
        <v/>
      </c>
      <c r="R170" s="4"/>
      <c r="S170" s="9">
        <f>IF($H170="","",$H170*(1-$U170))</f>
        <v>8.9999999999999993E-3</v>
      </c>
      <c r="T170" s="9">
        <f>IF($I170="","",$I170*(1-$U170))</f>
        <v>1E-3</v>
      </c>
      <c r="U170" s="16">
        <f>IFERROR(INDEX(BASE_CCLASSTRIB!$E:$E, MATCH(TEXT($D170,"000000"), BASE_CCLASSTRIB!$A:$A, 0))/100, 0)</f>
        <v>0</v>
      </c>
      <c r="V170" s="16">
        <f>IFERROR(INDEX(BASE_CCLASSTRIB!$F:$F, MATCH(TEXT($D170,"000000"), BASE_CCLASSTRIB!$A:$A, 0))/100, 0)</f>
        <v>0</v>
      </c>
    </row>
    <row r="171" spans="4:22" ht="32.25" customHeight="1">
      <c r="D171" s="39"/>
      <c r="E171" s="27" t="str">
        <f>IF(D171="","",LEFT(D171,3))</f>
        <v/>
      </c>
      <c r="F171" s="28" t="str">
        <f>IF(E171="","",IFERROR(VLOOKUP(E171,REGRAS_CST!$A$2:$B$200,2,FALSE),""))</f>
        <v/>
      </c>
      <c r="H171" s="29">
        <v>8.9999999999999993E-3</v>
      </c>
      <c r="I171" s="29">
        <v>1E-3</v>
      </c>
      <c r="J171" s="4"/>
      <c r="K171" s="21" t="str">
        <f>IF(E171="","",IFERROR(VLOOKUP(E171,REGRAS_CST!$A$2:$C$200,3,FALSE),""))</f>
        <v/>
      </c>
      <c r="L171" s="23" t="str">
        <f>IF($G171="", "", $G171*(1-$V171))</f>
        <v/>
      </c>
      <c r="M171" s="24" t="str">
        <f>IF(OR($L171="",$S171=""),"",$L171*$S171)</f>
        <v/>
      </c>
      <c r="N171" s="24" t="str">
        <f>IF(OR($L171="",$T171=""),"",$L171*$T171)</f>
        <v/>
      </c>
      <c r="O171" s="15" t="str">
        <f>IF(D171="","",
IF(AND(K171&lt;&gt;"SIM",V171&gt;0),"ERRO: % BC &gt; 0, mas NÃO permitida ❌",
IF(AND(K171="SIM",V171=0),"ATENÇÃO: BC permitida, mas % = 0 🔎",
"Base de cálculo aplicada corretamente ✅")))</f>
        <v/>
      </c>
      <c r="P171" s="31" t="str">
        <f>IF(D171="","",
IF(AND(Q171&lt;&gt;"SIM",U171&gt;0),"ERRO: % alíquota &gt; 0, mas NÃO permitida ❌",
IF(AND(Q171="SIM",U171=0),"ATENÇÃO: alíquota permitida, mas % = 0 🔎",
"Alíquota aplicada corretamente ✅")))</f>
        <v/>
      </c>
      <c r="Q171" s="8" t="str">
        <f>IF(E171="","",IFERROR(VLOOKUP(E171,REGRAS_CST!$A$2:$D$200,4,FALSE),""))</f>
        <v/>
      </c>
      <c r="R171" s="4"/>
      <c r="S171" s="9">
        <f>IF($H171="","",$H171*(1-$U171))</f>
        <v>8.9999999999999993E-3</v>
      </c>
      <c r="T171" s="9">
        <f>IF($I171="","",$I171*(1-$U171))</f>
        <v>1E-3</v>
      </c>
      <c r="U171" s="16">
        <f>IFERROR(INDEX(BASE_CCLASSTRIB!$E:$E, MATCH(TEXT($D171,"000000"), BASE_CCLASSTRIB!$A:$A, 0))/100, 0)</f>
        <v>0</v>
      </c>
      <c r="V171" s="16">
        <f>IFERROR(INDEX(BASE_CCLASSTRIB!$F:$F, MATCH(TEXT($D171,"000000"), BASE_CCLASSTRIB!$A:$A, 0))/100, 0)</f>
        <v>0</v>
      </c>
    </row>
    <row r="172" spans="4:22" ht="32.25" customHeight="1">
      <c r="D172" s="40"/>
      <c r="E172" s="27" t="str">
        <f>IF(D172="","",LEFT(D172,3))</f>
        <v/>
      </c>
      <c r="F172" s="28" t="str">
        <f>IF(E172="","",IFERROR(VLOOKUP(E172,REGRAS_CST!$A$2:$B$200,2,FALSE),""))</f>
        <v/>
      </c>
      <c r="H172" s="29">
        <v>8.9999999999999993E-3</v>
      </c>
      <c r="I172" s="29">
        <v>1E-3</v>
      </c>
      <c r="J172" s="4"/>
      <c r="K172" s="21" t="str">
        <f>IF(E172="","",IFERROR(VLOOKUP(E172,REGRAS_CST!$A$2:$C$200,3,FALSE),""))</f>
        <v/>
      </c>
      <c r="L172" s="23" t="str">
        <f>IF($G172="", "", $G172*(1-$V172))</f>
        <v/>
      </c>
      <c r="M172" s="24" t="str">
        <f>IF(OR($L172="",$S172=""),"",$L172*$S172)</f>
        <v/>
      </c>
      <c r="N172" s="24" t="str">
        <f>IF(OR($L172="",$T172=""),"",$L172*$T172)</f>
        <v/>
      </c>
      <c r="O172" s="15" t="str">
        <f>IF(D172="","",
IF(AND(K172&lt;&gt;"SIM",V172&gt;0),"ERRO: % BC &gt; 0, mas NÃO permitida ❌",
IF(AND(K172="SIM",V172=0),"ATENÇÃO: BC permitida, mas % = 0 🔎",
"Base de cálculo aplicada corretamente ✅")))</f>
        <v/>
      </c>
      <c r="P172" s="31" t="str">
        <f>IF(D172="","",
IF(AND(Q172&lt;&gt;"SIM",U172&gt;0),"ERRO: % alíquota &gt; 0, mas NÃO permitida ❌",
IF(AND(Q172="SIM",U172=0),"ATENÇÃO: alíquota permitida, mas % = 0 🔎",
"Alíquota aplicada corretamente ✅")))</f>
        <v/>
      </c>
      <c r="Q172" s="8" t="str">
        <f>IF(E172="","",IFERROR(VLOOKUP(E172,REGRAS_CST!$A$2:$D$200,4,FALSE),""))</f>
        <v/>
      </c>
      <c r="R172" s="4"/>
      <c r="S172" s="9">
        <f>IF($H172="","",$H172*(1-$U172))</f>
        <v>8.9999999999999993E-3</v>
      </c>
      <c r="T172" s="9">
        <f>IF($I172="","",$I172*(1-$U172))</f>
        <v>1E-3</v>
      </c>
      <c r="U172" s="16">
        <f>IFERROR(INDEX(BASE_CCLASSTRIB!$E:$E, MATCH(TEXT($D172,"000000"), BASE_CCLASSTRIB!$A:$A, 0))/100, 0)</f>
        <v>0</v>
      </c>
      <c r="V172" s="16">
        <f>IFERROR(INDEX(BASE_CCLASSTRIB!$F:$F, MATCH(TEXT($D172,"000000"), BASE_CCLASSTRIB!$A:$A, 0))/100, 0)</f>
        <v>0</v>
      </c>
    </row>
    <row r="173" spans="4:22" ht="32.25" customHeight="1">
      <c r="D173" s="39"/>
      <c r="E173" s="27" t="str">
        <f>IF(D173="","",LEFT(D173,3))</f>
        <v/>
      </c>
      <c r="F173" s="28" t="str">
        <f>IF(E173="","",IFERROR(VLOOKUP(E173,REGRAS_CST!$A$2:$B$200,2,FALSE),""))</f>
        <v/>
      </c>
      <c r="H173" s="29">
        <v>8.9999999999999993E-3</v>
      </c>
      <c r="I173" s="29">
        <v>1E-3</v>
      </c>
      <c r="J173" s="4"/>
      <c r="K173" s="21" t="str">
        <f>IF(E173="","",IFERROR(VLOOKUP(E173,REGRAS_CST!$A$2:$C$200,3,FALSE),""))</f>
        <v/>
      </c>
      <c r="L173" s="23" t="str">
        <f>IF($G173="", "", $G173*(1-$V173))</f>
        <v/>
      </c>
      <c r="M173" s="24" t="str">
        <f>IF(OR($L173="",$S173=""),"",$L173*$S173)</f>
        <v/>
      </c>
      <c r="N173" s="24" t="str">
        <f>IF(OR($L173="",$T173=""),"",$L173*$T173)</f>
        <v/>
      </c>
      <c r="O173" s="15" t="str">
        <f>IF(D173="","",
IF(AND(K173&lt;&gt;"SIM",V173&gt;0),"ERRO: % BC &gt; 0, mas NÃO permitida ❌",
IF(AND(K173="SIM",V173=0),"ATENÇÃO: BC permitida, mas % = 0 🔎",
"Base de cálculo aplicada corretamente ✅")))</f>
        <v/>
      </c>
      <c r="P173" s="31" t="str">
        <f>IF(D173="","",
IF(AND(Q173&lt;&gt;"SIM",U173&gt;0),"ERRO: % alíquota &gt; 0, mas NÃO permitida ❌",
IF(AND(Q173="SIM",U173=0),"ATENÇÃO: alíquota permitida, mas % = 0 🔎",
"Alíquota aplicada corretamente ✅")))</f>
        <v/>
      </c>
      <c r="Q173" s="8" t="str">
        <f>IF(E173="","",IFERROR(VLOOKUP(E173,REGRAS_CST!$A$2:$D$200,4,FALSE),""))</f>
        <v/>
      </c>
      <c r="R173" s="4"/>
      <c r="S173" s="9">
        <f>IF($H173="","",$H173*(1-$U173))</f>
        <v>8.9999999999999993E-3</v>
      </c>
      <c r="T173" s="9">
        <f>IF($I173="","",$I173*(1-$U173))</f>
        <v>1E-3</v>
      </c>
      <c r="U173" s="16">
        <f>IFERROR(INDEX(BASE_CCLASSTRIB!$E:$E, MATCH(TEXT($D173,"000000"), BASE_CCLASSTRIB!$A:$A, 0))/100, 0)</f>
        <v>0</v>
      </c>
      <c r="V173" s="16">
        <f>IFERROR(INDEX(BASE_CCLASSTRIB!$F:$F, MATCH(TEXT($D173,"000000"), BASE_CCLASSTRIB!$A:$A, 0))/100, 0)</f>
        <v>0</v>
      </c>
    </row>
    <row r="174" spans="4:22" ht="32.25" customHeight="1">
      <c r="D174" s="39"/>
      <c r="E174" s="27" t="str">
        <f>IF(D174="","",LEFT(D174,3))</f>
        <v/>
      </c>
      <c r="F174" s="28" t="str">
        <f>IF(E174="","",IFERROR(VLOOKUP(E174,REGRAS_CST!$A$2:$B$200,2,FALSE),""))</f>
        <v/>
      </c>
      <c r="H174" s="29">
        <v>8.9999999999999993E-3</v>
      </c>
      <c r="I174" s="29">
        <v>1E-3</v>
      </c>
      <c r="J174" s="4"/>
      <c r="K174" s="21" t="str">
        <f>IF(E174="","",IFERROR(VLOOKUP(E174,REGRAS_CST!$A$2:$C$200,3,FALSE),""))</f>
        <v/>
      </c>
      <c r="L174" s="23" t="str">
        <f>IF($G174="", "", $G174*(1-$V174))</f>
        <v/>
      </c>
      <c r="M174" s="24" t="str">
        <f>IF(OR($L174="",$S174=""),"",$L174*$S174)</f>
        <v/>
      </c>
      <c r="N174" s="24" t="str">
        <f>IF(OR($L174="",$T174=""),"",$L174*$T174)</f>
        <v/>
      </c>
      <c r="O174" s="15" t="str">
        <f>IF(D174="","",
IF(AND(K174&lt;&gt;"SIM",V174&gt;0),"ERRO: % BC &gt; 0, mas NÃO permitida ❌",
IF(AND(K174="SIM",V174=0),"ATENÇÃO: BC permitida, mas % = 0 🔎",
"Base de cálculo aplicada corretamente ✅")))</f>
        <v/>
      </c>
      <c r="P174" s="31" t="str">
        <f>IF(D174="","",
IF(AND(Q174&lt;&gt;"SIM",U174&gt;0),"ERRO: % alíquota &gt; 0, mas NÃO permitida ❌",
IF(AND(Q174="SIM",U174=0),"ATENÇÃO: alíquota permitida, mas % = 0 🔎",
"Alíquota aplicada corretamente ✅")))</f>
        <v/>
      </c>
      <c r="Q174" s="8" t="str">
        <f>IF(E174="","",IFERROR(VLOOKUP(E174,REGRAS_CST!$A$2:$D$200,4,FALSE),""))</f>
        <v/>
      </c>
      <c r="R174" s="4"/>
      <c r="S174" s="9">
        <f>IF($H174="","",$H174*(1-$U174))</f>
        <v>8.9999999999999993E-3</v>
      </c>
      <c r="T174" s="9">
        <f>IF($I174="","",$I174*(1-$U174))</f>
        <v>1E-3</v>
      </c>
      <c r="U174" s="16">
        <f>IFERROR(INDEX(BASE_CCLASSTRIB!$E:$E, MATCH(TEXT($D174,"000000"), BASE_CCLASSTRIB!$A:$A, 0))/100, 0)</f>
        <v>0</v>
      </c>
      <c r="V174" s="16">
        <f>IFERROR(INDEX(BASE_CCLASSTRIB!$F:$F, MATCH(TEXT($D174,"000000"), BASE_CCLASSTRIB!$A:$A, 0))/100, 0)</f>
        <v>0</v>
      </c>
    </row>
    <row r="175" spans="4:22" ht="32.25" customHeight="1">
      <c r="D175" s="40"/>
      <c r="E175" s="27" t="str">
        <f>IF(D175="","",LEFT(D175,3))</f>
        <v/>
      </c>
      <c r="F175" s="28" t="str">
        <f>IF(E175="","",IFERROR(VLOOKUP(E175,REGRAS_CST!$A$2:$B$200,2,FALSE),""))</f>
        <v/>
      </c>
      <c r="H175" s="29">
        <v>8.9999999999999993E-3</v>
      </c>
      <c r="I175" s="29">
        <v>1E-3</v>
      </c>
      <c r="J175" s="4"/>
      <c r="K175" s="21" t="str">
        <f>IF(E175="","",IFERROR(VLOOKUP(E175,REGRAS_CST!$A$2:$C$200,3,FALSE),""))</f>
        <v/>
      </c>
      <c r="L175" s="23" t="str">
        <f>IF($G175="", "", $G175*(1-$V175))</f>
        <v/>
      </c>
      <c r="M175" s="24" t="str">
        <f>IF(OR($L175="",$S175=""),"",$L175*$S175)</f>
        <v/>
      </c>
      <c r="N175" s="24" t="str">
        <f>IF(OR($L175="",$T175=""),"",$L175*$T175)</f>
        <v/>
      </c>
      <c r="O175" s="15" t="str">
        <f>IF(D175="","",
IF(AND(K175&lt;&gt;"SIM",V175&gt;0),"ERRO: % BC &gt; 0, mas NÃO permitida ❌",
IF(AND(K175="SIM",V175=0),"ATENÇÃO: BC permitida, mas % = 0 🔎",
"Base de cálculo aplicada corretamente ✅")))</f>
        <v/>
      </c>
      <c r="P175" s="31" t="str">
        <f>IF(D175="","",
IF(AND(Q175&lt;&gt;"SIM",U175&gt;0),"ERRO: % alíquota &gt; 0, mas NÃO permitida ❌",
IF(AND(Q175="SIM",U175=0),"ATENÇÃO: alíquota permitida, mas % = 0 🔎",
"Alíquota aplicada corretamente ✅")))</f>
        <v/>
      </c>
      <c r="Q175" s="8" t="str">
        <f>IF(E175="","",IFERROR(VLOOKUP(E175,REGRAS_CST!$A$2:$D$200,4,FALSE),""))</f>
        <v/>
      </c>
      <c r="R175" s="4"/>
      <c r="S175" s="9">
        <f>IF($H175="","",$H175*(1-$U175))</f>
        <v>8.9999999999999993E-3</v>
      </c>
      <c r="T175" s="9">
        <f>IF($I175="","",$I175*(1-$U175))</f>
        <v>1E-3</v>
      </c>
      <c r="U175" s="16">
        <f>IFERROR(INDEX(BASE_CCLASSTRIB!$E:$E, MATCH(TEXT($D175,"000000"), BASE_CCLASSTRIB!$A:$A, 0))/100, 0)</f>
        <v>0</v>
      </c>
      <c r="V175" s="16">
        <f>IFERROR(INDEX(BASE_CCLASSTRIB!$F:$F, MATCH(TEXT($D175,"000000"), BASE_CCLASSTRIB!$A:$A, 0))/100, 0)</f>
        <v>0</v>
      </c>
    </row>
    <row r="176" spans="4:22" ht="32.25" customHeight="1">
      <c r="D176" s="40"/>
      <c r="E176" s="27" t="str">
        <f>IF(D176="","",LEFT(D176,3))</f>
        <v/>
      </c>
      <c r="F176" s="28" t="str">
        <f>IF(E176="","",IFERROR(VLOOKUP(E176,REGRAS_CST!$A$2:$B$200,2,FALSE),""))</f>
        <v/>
      </c>
      <c r="H176" s="29">
        <v>8.9999999999999993E-3</v>
      </c>
      <c r="I176" s="29">
        <v>1E-3</v>
      </c>
      <c r="J176" s="4"/>
      <c r="K176" s="21" t="str">
        <f>IF(E176="","",IFERROR(VLOOKUP(E176,REGRAS_CST!$A$2:$C$200,3,FALSE),""))</f>
        <v/>
      </c>
      <c r="L176" s="23" t="str">
        <f>IF($G176="", "", $G176*(1-$V176))</f>
        <v/>
      </c>
      <c r="M176" s="24" t="str">
        <f>IF(OR($L176="",$S176=""),"",$L176*$S176)</f>
        <v/>
      </c>
      <c r="N176" s="24" t="str">
        <f>IF(OR($L176="",$T176=""),"",$L176*$T176)</f>
        <v/>
      </c>
      <c r="O176" s="15" t="str">
        <f>IF(D176="","",
IF(AND(K176&lt;&gt;"SIM",V176&gt;0),"ERRO: % BC &gt; 0, mas NÃO permitida ❌",
IF(AND(K176="SIM",V176=0),"ATENÇÃO: BC permitida, mas % = 0 🔎",
"Base de cálculo aplicada corretamente ✅")))</f>
        <v/>
      </c>
      <c r="P176" s="31" t="str">
        <f>IF(D176="","",
IF(AND(Q176&lt;&gt;"SIM",U176&gt;0),"ERRO: % alíquota &gt; 0, mas NÃO permitida ❌",
IF(AND(Q176="SIM",U176=0),"ATENÇÃO: alíquota permitida, mas % = 0 🔎",
"Alíquota aplicada corretamente ✅")))</f>
        <v/>
      </c>
      <c r="Q176" s="8" t="str">
        <f>IF(E176="","",IFERROR(VLOOKUP(E176,REGRAS_CST!$A$2:$D$200,4,FALSE),""))</f>
        <v/>
      </c>
      <c r="R176" s="4"/>
      <c r="S176" s="9">
        <f>IF($H176="","",$H176*(1-$U176))</f>
        <v>8.9999999999999993E-3</v>
      </c>
      <c r="T176" s="9">
        <f>IF($I176="","",$I176*(1-$U176))</f>
        <v>1E-3</v>
      </c>
      <c r="U176" s="16">
        <f>IFERROR(INDEX(BASE_CCLASSTRIB!$E:$E, MATCH(TEXT($D176,"000000"), BASE_CCLASSTRIB!$A:$A, 0))/100, 0)</f>
        <v>0</v>
      </c>
      <c r="V176" s="16">
        <f>IFERROR(INDEX(BASE_CCLASSTRIB!$F:$F, MATCH(TEXT($D176,"000000"), BASE_CCLASSTRIB!$A:$A, 0))/100, 0)</f>
        <v>0</v>
      </c>
    </row>
    <row r="177" spans="4:22" ht="32.25" customHeight="1">
      <c r="D177" s="39"/>
      <c r="E177" s="27" t="str">
        <f>IF(D177="","",LEFT(D177,3))</f>
        <v/>
      </c>
      <c r="F177" s="28" t="str">
        <f>IF(E177="","",IFERROR(VLOOKUP(E177,REGRAS_CST!$A$2:$B$200,2,FALSE),""))</f>
        <v/>
      </c>
      <c r="H177" s="29">
        <v>8.9999999999999993E-3</v>
      </c>
      <c r="I177" s="29">
        <v>1E-3</v>
      </c>
      <c r="J177" s="4"/>
      <c r="K177" s="21" t="str">
        <f>IF(E177="","",IFERROR(VLOOKUP(E177,REGRAS_CST!$A$2:$C$200,3,FALSE),""))</f>
        <v/>
      </c>
      <c r="L177" s="23" t="str">
        <f>IF($G177="", "", $G177*(1-$V177))</f>
        <v/>
      </c>
      <c r="M177" s="24" t="str">
        <f>IF(OR($L177="",$S177=""),"",$L177*$S177)</f>
        <v/>
      </c>
      <c r="N177" s="24" t="str">
        <f>IF(OR($L177="",$T177=""),"",$L177*$T177)</f>
        <v/>
      </c>
      <c r="O177" s="15" t="str">
        <f>IF(D177="","",
IF(AND(K177&lt;&gt;"SIM",V177&gt;0),"ERRO: % BC &gt; 0, mas NÃO permitida ❌",
IF(AND(K177="SIM",V177=0),"ATENÇÃO: BC permitida, mas % = 0 🔎",
"Base de cálculo aplicada corretamente ✅")))</f>
        <v/>
      </c>
      <c r="P177" s="31" t="str">
        <f>IF(D177="","",
IF(AND(Q177&lt;&gt;"SIM",U177&gt;0),"ERRO: % alíquota &gt; 0, mas NÃO permitida ❌",
IF(AND(Q177="SIM",U177=0),"ATENÇÃO: alíquota permitida, mas % = 0 🔎",
"Alíquota aplicada corretamente ✅")))</f>
        <v/>
      </c>
      <c r="Q177" s="8" t="str">
        <f>IF(E177="","",IFERROR(VLOOKUP(E177,REGRAS_CST!$A$2:$D$200,4,FALSE),""))</f>
        <v/>
      </c>
      <c r="R177" s="4"/>
      <c r="S177" s="9">
        <f>IF($H177="","",$H177*(1-$U177))</f>
        <v>8.9999999999999993E-3</v>
      </c>
      <c r="T177" s="9">
        <f>IF($I177="","",$I177*(1-$U177))</f>
        <v>1E-3</v>
      </c>
      <c r="U177" s="16">
        <f>IFERROR(INDEX(BASE_CCLASSTRIB!$E:$E, MATCH(TEXT($D177,"000000"), BASE_CCLASSTRIB!$A:$A, 0))/100, 0)</f>
        <v>0</v>
      </c>
      <c r="V177" s="16">
        <f>IFERROR(INDEX(BASE_CCLASSTRIB!$F:$F, MATCH(TEXT($D177,"000000"), BASE_CCLASSTRIB!$A:$A, 0))/100, 0)</f>
        <v>0</v>
      </c>
    </row>
    <row r="178" spans="4:22" ht="32.25" customHeight="1">
      <c r="D178" s="40"/>
      <c r="E178" s="27" t="str">
        <f>IF(D178="","",LEFT(D178,3))</f>
        <v/>
      </c>
      <c r="F178" s="28" t="str">
        <f>IF(E178="","",IFERROR(VLOOKUP(E178,REGRAS_CST!$A$2:$B$200,2,FALSE),""))</f>
        <v/>
      </c>
      <c r="H178" s="29">
        <v>8.9999999999999993E-3</v>
      </c>
      <c r="I178" s="29">
        <v>1E-3</v>
      </c>
      <c r="J178" s="4"/>
      <c r="K178" s="21" t="str">
        <f>IF(E178="","",IFERROR(VLOOKUP(E178,REGRAS_CST!$A$2:$C$200,3,FALSE),""))</f>
        <v/>
      </c>
      <c r="L178" s="23" t="str">
        <f>IF($G178="", "", $G178*(1-$V178))</f>
        <v/>
      </c>
      <c r="M178" s="24" t="str">
        <f>IF(OR($L178="",$S178=""),"",$L178*$S178)</f>
        <v/>
      </c>
      <c r="N178" s="24" t="str">
        <f>IF(OR($L178="",$T178=""),"",$L178*$T178)</f>
        <v/>
      </c>
      <c r="O178" s="15" t="str">
        <f>IF(D178="","",
IF(AND(K178&lt;&gt;"SIM",V178&gt;0),"ERRO: % BC &gt; 0, mas NÃO permitida ❌",
IF(AND(K178="SIM",V178=0),"ATENÇÃO: BC permitida, mas % = 0 🔎",
"Base de cálculo aplicada corretamente ✅")))</f>
        <v/>
      </c>
      <c r="P178" s="31" t="str">
        <f>IF(D178="","",
IF(AND(Q178&lt;&gt;"SIM",U178&gt;0),"ERRO: % alíquota &gt; 0, mas NÃO permitida ❌",
IF(AND(Q178="SIM",U178=0),"ATENÇÃO: alíquota permitida, mas % = 0 🔎",
"Alíquota aplicada corretamente ✅")))</f>
        <v/>
      </c>
      <c r="Q178" s="8" t="str">
        <f>IF(E178="","",IFERROR(VLOOKUP(E178,REGRAS_CST!$A$2:$D$200,4,FALSE),""))</f>
        <v/>
      </c>
      <c r="R178" s="4"/>
      <c r="S178" s="9">
        <f>IF($H178="","",$H178*(1-$U178))</f>
        <v>8.9999999999999993E-3</v>
      </c>
      <c r="T178" s="9">
        <f>IF($I178="","",$I178*(1-$U178))</f>
        <v>1E-3</v>
      </c>
      <c r="U178" s="16">
        <f>IFERROR(INDEX(BASE_CCLASSTRIB!$E:$E, MATCH(TEXT($D178,"000000"), BASE_CCLASSTRIB!$A:$A, 0))/100, 0)</f>
        <v>0</v>
      </c>
      <c r="V178" s="16">
        <f>IFERROR(INDEX(BASE_CCLASSTRIB!$F:$F, MATCH(TEXT($D178,"000000"), BASE_CCLASSTRIB!$A:$A, 0))/100, 0)</f>
        <v>0</v>
      </c>
    </row>
    <row r="179" spans="4:22" ht="32.25" customHeight="1">
      <c r="D179" s="40"/>
      <c r="E179" s="27" t="str">
        <f>IF(D179="","",LEFT(D179,3))</f>
        <v/>
      </c>
      <c r="F179" s="28" t="str">
        <f>IF(E179="","",IFERROR(VLOOKUP(E179,REGRAS_CST!$A$2:$B$200,2,FALSE),""))</f>
        <v/>
      </c>
      <c r="H179" s="29">
        <v>8.9999999999999993E-3</v>
      </c>
      <c r="I179" s="29">
        <v>1E-3</v>
      </c>
      <c r="J179" s="4"/>
      <c r="K179" s="21" t="str">
        <f>IF(E179="","",IFERROR(VLOOKUP(E179,REGRAS_CST!$A$2:$C$200,3,FALSE),""))</f>
        <v/>
      </c>
      <c r="L179" s="23" t="str">
        <f>IF($G179="", "", $G179*(1-$V179))</f>
        <v/>
      </c>
      <c r="M179" s="24" t="str">
        <f>IF(OR($L179="",$S179=""),"",$L179*$S179)</f>
        <v/>
      </c>
      <c r="N179" s="24" t="str">
        <f>IF(OR($L179="",$T179=""),"",$L179*$T179)</f>
        <v/>
      </c>
      <c r="O179" s="15" t="str">
        <f>IF(D179="","",
IF(AND(K179&lt;&gt;"SIM",V179&gt;0),"ERRO: % BC &gt; 0, mas NÃO permitida ❌",
IF(AND(K179="SIM",V179=0),"ATENÇÃO: BC permitida, mas % = 0 🔎",
"Base de cálculo aplicada corretamente ✅")))</f>
        <v/>
      </c>
      <c r="P179" s="31" t="str">
        <f>IF(D179="","",
IF(AND(Q179&lt;&gt;"SIM",U179&gt;0),"ERRO: % alíquota &gt; 0, mas NÃO permitida ❌",
IF(AND(Q179="SIM",U179=0),"ATENÇÃO: alíquota permitida, mas % = 0 🔎",
"Alíquota aplicada corretamente ✅")))</f>
        <v/>
      </c>
      <c r="Q179" s="8" t="str">
        <f>IF(E179="","",IFERROR(VLOOKUP(E179,REGRAS_CST!$A$2:$D$200,4,FALSE),""))</f>
        <v/>
      </c>
      <c r="R179" s="4"/>
      <c r="S179" s="9">
        <f>IF($H179="","",$H179*(1-$U179))</f>
        <v>8.9999999999999993E-3</v>
      </c>
      <c r="T179" s="9">
        <f>IF($I179="","",$I179*(1-$U179))</f>
        <v>1E-3</v>
      </c>
      <c r="U179" s="16">
        <f>IFERROR(INDEX(BASE_CCLASSTRIB!$E:$E, MATCH(TEXT($D179,"000000"), BASE_CCLASSTRIB!$A:$A, 0))/100, 0)</f>
        <v>0</v>
      </c>
      <c r="V179" s="16">
        <f>IFERROR(INDEX(BASE_CCLASSTRIB!$F:$F, MATCH(TEXT($D179,"000000"), BASE_CCLASSTRIB!$A:$A, 0))/100, 0)</f>
        <v>0</v>
      </c>
    </row>
    <row r="180" spans="4:22" ht="32.25" customHeight="1">
      <c r="D180" s="40"/>
      <c r="E180" s="27" t="str">
        <f>IF(D180="","",LEFT(D180,3))</f>
        <v/>
      </c>
      <c r="F180" s="28" t="str">
        <f>IF(E180="","",IFERROR(VLOOKUP(E180,REGRAS_CST!$A$2:$B$200,2,FALSE),""))</f>
        <v/>
      </c>
      <c r="H180" s="29">
        <v>8.9999999999999993E-3</v>
      </c>
      <c r="I180" s="29">
        <v>1E-3</v>
      </c>
      <c r="J180" s="4"/>
      <c r="K180" s="21" t="str">
        <f>IF(E180="","",IFERROR(VLOOKUP(E180,REGRAS_CST!$A$2:$C$200,3,FALSE),""))</f>
        <v/>
      </c>
      <c r="L180" s="23" t="str">
        <f>IF($G180="", "", $G180*(1-$V180))</f>
        <v/>
      </c>
      <c r="M180" s="24" t="str">
        <f>IF(OR($L180="",$S180=""),"",$L180*$S180)</f>
        <v/>
      </c>
      <c r="N180" s="24" t="str">
        <f>IF(OR($L180="",$T180=""),"",$L180*$T180)</f>
        <v/>
      </c>
      <c r="O180" s="15" t="str">
        <f>IF(D180="","",
IF(AND(K180&lt;&gt;"SIM",V180&gt;0),"ERRO: % BC &gt; 0, mas NÃO permitida ❌",
IF(AND(K180="SIM",V180=0),"ATENÇÃO: BC permitida, mas % = 0 🔎",
"Base de cálculo aplicada corretamente ✅")))</f>
        <v/>
      </c>
      <c r="P180" s="31" t="str">
        <f>IF(D180="","",
IF(AND(Q180&lt;&gt;"SIM",U180&gt;0),"ERRO: % alíquota &gt; 0, mas NÃO permitida ❌",
IF(AND(Q180="SIM",U180=0),"ATENÇÃO: alíquota permitida, mas % = 0 🔎",
"Alíquota aplicada corretamente ✅")))</f>
        <v/>
      </c>
      <c r="Q180" s="8" t="str">
        <f>IF(E180="","",IFERROR(VLOOKUP(E180,REGRAS_CST!$A$2:$D$200,4,FALSE),""))</f>
        <v/>
      </c>
      <c r="R180" s="4"/>
      <c r="S180" s="9">
        <f>IF($H180="","",$H180*(1-$U180))</f>
        <v>8.9999999999999993E-3</v>
      </c>
      <c r="T180" s="9">
        <f>IF($I180="","",$I180*(1-$U180))</f>
        <v>1E-3</v>
      </c>
      <c r="U180" s="16">
        <f>IFERROR(INDEX(BASE_CCLASSTRIB!$E:$E, MATCH(TEXT($D180,"000000"), BASE_CCLASSTRIB!$A:$A, 0))/100, 0)</f>
        <v>0</v>
      </c>
      <c r="V180" s="16">
        <f>IFERROR(INDEX(BASE_CCLASSTRIB!$F:$F, MATCH(TEXT($D180,"000000"), BASE_CCLASSTRIB!$A:$A, 0))/100, 0)</f>
        <v>0</v>
      </c>
    </row>
    <row r="181" spans="4:22" ht="32.25" customHeight="1">
      <c r="D181" s="39"/>
      <c r="E181" s="27" t="str">
        <f>IF(D181="","",LEFT(D181,3))</f>
        <v/>
      </c>
      <c r="F181" s="28" t="str">
        <f>IF(E181="","",IFERROR(VLOOKUP(E181,REGRAS_CST!$A$2:$B$200,2,FALSE),""))</f>
        <v/>
      </c>
      <c r="H181" s="29">
        <v>8.9999999999999993E-3</v>
      </c>
      <c r="I181" s="29">
        <v>1E-3</v>
      </c>
      <c r="J181" s="4"/>
      <c r="K181" s="21" t="str">
        <f>IF(E181="","",IFERROR(VLOOKUP(E181,REGRAS_CST!$A$2:$C$200,3,FALSE),""))</f>
        <v/>
      </c>
      <c r="L181" s="23" t="str">
        <f>IF($G181="", "", $G181*(1-$V181))</f>
        <v/>
      </c>
      <c r="M181" s="24" t="str">
        <f>IF(OR($L181="",$S181=""),"",$L181*$S181)</f>
        <v/>
      </c>
      <c r="N181" s="24" t="str">
        <f>IF(OR($L181="",$T181=""),"",$L181*$T181)</f>
        <v/>
      </c>
      <c r="O181" s="15" t="str">
        <f>IF(D181="","",
IF(AND(K181&lt;&gt;"SIM",V181&gt;0),"ERRO: % BC &gt; 0, mas NÃO permitida ❌",
IF(AND(K181="SIM",V181=0),"ATENÇÃO: BC permitida, mas % = 0 🔎",
"Base de cálculo aplicada corretamente ✅")))</f>
        <v/>
      </c>
      <c r="P181" s="31" t="str">
        <f>IF(D181="","",
IF(AND(Q181&lt;&gt;"SIM",U181&gt;0),"ERRO: % alíquota &gt; 0, mas NÃO permitida ❌",
IF(AND(Q181="SIM",U181=0),"ATENÇÃO: alíquota permitida, mas % = 0 🔎",
"Alíquota aplicada corretamente ✅")))</f>
        <v/>
      </c>
      <c r="Q181" s="8" t="str">
        <f>IF(E181="","",IFERROR(VLOOKUP(E181,REGRAS_CST!$A$2:$D$200,4,FALSE),""))</f>
        <v/>
      </c>
      <c r="R181" s="4"/>
      <c r="S181" s="9">
        <f>IF($H181="","",$H181*(1-$U181))</f>
        <v>8.9999999999999993E-3</v>
      </c>
      <c r="T181" s="9">
        <f>IF($I181="","",$I181*(1-$U181))</f>
        <v>1E-3</v>
      </c>
      <c r="U181" s="16">
        <f>IFERROR(INDEX(BASE_CCLASSTRIB!$E:$E, MATCH(TEXT($D181,"000000"), BASE_CCLASSTRIB!$A:$A, 0))/100, 0)</f>
        <v>0</v>
      </c>
      <c r="V181" s="16">
        <f>IFERROR(INDEX(BASE_CCLASSTRIB!$F:$F, MATCH(TEXT($D181,"000000"), BASE_CCLASSTRIB!$A:$A, 0))/100, 0)</f>
        <v>0</v>
      </c>
    </row>
    <row r="182" spans="4:22" ht="32.25" customHeight="1">
      <c r="D182" s="40"/>
      <c r="E182" s="27" t="str">
        <f>IF(D182="","",LEFT(D182,3))</f>
        <v/>
      </c>
      <c r="F182" s="28" t="str">
        <f>IF(E182="","",IFERROR(VLOOKUP(E182,REGRAS_CST!$A$2:$B$200,2,FALSE),""))</f>
        <v/>
      </c>
      <c r="H182" s="29">
        <v>8.9999999999999993E-3</v>
      </c>
      <c r="I182" s="29">
        <v>1E-3</v>
      </c>
      <c r="J182" s="4"/>
      <c r="K182" s="21" t="str">
        <f>IF(E182="","",IFERROR(VLOOKUP(E182,REGRAS_CST!$A$2:$C$200,3,FALSE),""))</f>
        <v/>
      </c>
      <c r="L182" s="23" t="str">
        <f>IF($G182="", "", $G182*(1-$V182))</f>
        <v/>
      </c>
      <c r="M182" s="24" t="str">
        <f>IF(OR($L182="",$S182=""),"",$L182*$S182)</f>
        <v/>
      </c>
      <c r="N182" s="24" t="str">
        <f>IF(OR($L182="",$T182=""),"",$L182*$T182)</f>
        <v/>
      </c>
      <c r="O182" s="15" t="str">
        <f>IF(D182="","",
IF(AND(K182&lt;&gt;"SIM",V182&gt;0),"ERRO: % BC &gt; 0, mas NÃO permitida ❌",
IF(AND(K182="SIM",V182=0),"ATENÇÃO: BC permitida, mas % = 0 🔎",
"Base de cálculo aplicada corretamente ✅")))</f>
        <v/>
      </c>
      <c r="P182" s="31" t="str">
        <f>IF(D182="","",
IF(AND(Q182&lt;&gt;"SIM",U182&gt;0),"ERRO: % alíquota &gt; 0, mas NÃO permitida ❌",
IF(AND(Q182="SIM",U182=0),"ATENÇÃO: alíquota permitida, mas % = 0 🔎",
"Alíquota aplicada corretamente ✅")))</f>
        <v/>
      </c>
      <c r="Q182" s="8" t="str">
        <f>IF(E182="","",IFERROR(VLOOKUP(E182,REGRAS_CST!$A$2:$D$200,4,FALSE),""))</f>
        <v/>
      </c>
      <c r="R182" s="4"/>
      <c r="S182" s="9">
        <f>IF($H182="","",$H182*(1-$U182))</f>
        <v>8.9999999999999993E-3</v>
      </c>
      <c r="T182" s="9">
        <f>IF($I182="","",$I182*(1-$U182))</f>
        <v>1E-3</v>
      </c>
      <c r="U182" s="16">
        <f>IFERROR(INDEX(BASE_CCLASSTRIB!$E:$E, MATCH(TEXT($D182,"000000"), BASE_CCLASSTRIB!$A:$A, 0))/100, 0)</f>
        <v>0</v>
      </c>
      <c r="V182" s="16">
        <f>IFERROR(INDEX(BASE_CCLASSTRIB!$F:$F, MATCH(TEXT($D182,"000000"), BASE_CCLASSTRIB!$A:$A, 0))/100, 0)</f>
        <v>0</v>
      </c>
    </row>
    <row r="183" spans="4:22" ht="32.25" customHeight="1">
      <c r="D183" s="40"/>
      <c r="E183" s="27" t="str">
        <f>IF(D183="","",LEFT(D183,3))</f>
        <v/>
      </c>
      <c r="F183" s="28" t="str">
        <f>IF(E183="","",IFERROR(VLOOKUP(E183,REGRAS_CST!$A$2:$B$200,2,FALSE),""))</f>
        <v/>
      </c>
      <c r="H183" s="29">
        <v>8.9999999999999993E-3</v>
      </c>
      <c r="I183" s="29">
        <v>1E-3</v>
      </c>
      <c r="J183" s="4"/>
      <c r="K183" s="21" t="str">
        <f>IF(E183="","",IFERROR(VLOOKUP(E183,REGRAS_CST!$A$2:$C$200,3,FALSE),""))</f>
        <v/>
      </c>
      <c r="L183" s="23" t="str">
        <f>IF($G183="", "", $G183*(1-$V183))</f>
        <v/>
      </c>
      <c r="M183" s="24" t="str">
        <f>IF(OR($L183="",$S183=""),"",$L183*$S183)</f>
        <v/>
      </c>
      <c r="N183" s="24" t="str">
        <f>IF(OR($L183="",$T183=""),"",$L183*$T183)</f>
        <v/>
      </c>
      <c r="O183" s="15" t="str">
        <f>IF(D183="","",
IF(AND(K183&lt;&gt;"SIM",V183&gt;0),"ERRO: % BC &gt; 0, mas NÃO permitida ❌",
IF(AND(K183="SIM",V183=0),"ATENÇÃO: BC permitida, mas % = 0 🔎",
"Base de cálculo aplicada corretamente ✅")))</f>
        <v/>
      </c>
      <c r="P183" s="31" t="str">
        <f>IF(D183="","",
IF(AND(Q183&lt;&gt;"SIM",U183&gt;0),"ERRO: % alíquota &gt; 0, mas NÃO permitida ❌",
IF(AND(Q183="SIM",U183=0),"ATENÇÃO: alíquota permitida, mas % = 0 🔎",
"Alíquota aplicada corretamente ✅")))</f>
        <v/>
      </c>
      <c r="Q183" s="8" t="str">
        <f>IF(E183="","",IFERROR(VLOOKUP(E183,REGRAS_CST!$A$2:$D$200,4,FALSE),""))</f>
        <v/>
      </c>
      <c r="R183" s="4"/>
      <c r="S183" s="9">
        <f>IF($H183="","",$H183*(1-$U183))</f>
        <v>8.9999999999999993E-3</v>
      </c>
      <c r="T183" s="9">
        <f>IF($I183="","",$I183*(1-$U183))</f>
        <v>1E-3</v>
      </c>
      <c r="U183" s="16">
        <f>IFERROR(INDEX(BASE_CCLASSTRIB!$E:$E, MATCH(TEXT($D183,"000000"), BASE_CCLASSTRIB!$A:$A, 0))/100, 0)</f>
        <v>0</v>
      </c>
      <c r="V183" s="16">
        <f>IFERROR(INDEX(BASE_CCLASSTRIB!$F:$F, MATCH(TEXT($D183,"000000"), BASE_CCLASSTRIB!$A:$A, 0))/100, 0)</f>
        <v>0</v>
      </c>
    </row>
    <row r="184" spans="4:22" ht="32.25" customHeight="1">
      <c r="D184" s="40"/>
      <c r="E184" s="27" t="str">
        <f>IF(D184="","",LEFT(D184,3))</f>
        <v/>
      </c>
      <c r="F184" s="28" t="str">
        <f>IF(E184="","",IFERROR(VLOOKUP(E184,REGRAS_CST!$A$2:$B$200,2,FALSE),""))</f>
        <v/>
      </c>
      <c r="H184" s="29">
        <v>8.9999999999999993E-3</v>
      </c>
      <c r="I184" s="29">
        <v>1E-3</v>
      </c>
      <c r="J184" s="4"/>
      <c r="K184" s="21" t="str">
        <f>IF(E184="","",IFERROR(VLOOKUP(E184,REGRAS_CST!$A$2:$C$200,3,FALSE),""))</f>
        <v/>
      </c>
      <c r="L184" s="23" t="str">
        <f>IF($G184="", "", $G184*(1-$V184))</f>
        <v/>
      </c>
      <c r="M184" s="24" t="str">
        <f>IF(OR($L184="",$S184=""),"",$L184*$S184)</f>
        <v/>
      </c>
      <c r="N184" s="24" t="str">
        <f>IF(OR($L184="",$T184=""),"",$L184*$T184)</f>
        <v/>
      </c>
      <c r="O184" s="15" t="str">
        <f>IF(D184="","",
IF(AND(K184&lt;&gt;"SIM",V184&gt;0),"ERRO: % BC &gt; 0, mas NÃO permitida ❌",
IF(AND(K184="SIM",V184=0),"ATENÇÃO: BC permitida, mas % = 0 🔎",
"Base de cálculo aplicada corretamente ✅")))</f>
        <v/>
      </c>
      <c r="P184" s="31" t="str">
        <f>IF(D184="","",
IF(AND(Q184&lt;&gt;"SIM",U184&gt;0),"ERRO: % alíquota &gt; 0, mas NÃO permitida ❌",
IF(AND(Q184="SIM",U184=0),"ATENÇÃO: alíquota permitida, mas % = 0 🔎",
"Alíquota aplicada corretamente ✅")))</f>
        <v/>
      </c>
      <c r="Q184" s="8" t="str">
        <f>IF(E184="","",IFERROR(VLOOKUP(E184,REGRAS_CST!$A$2:$D$200,4,FALSE),""))</f>
        <v/>
      </c>
      <c r="R184" s="4"/>
      <c r="S184" s="9">
        <f>IF($H184="","",$H184*(1-$U184))</f>
        <v>8.9999999999999993E-3</v>
      </c>
      <c r="T184" s="9">
        <f>IF($I184="","",$I184*(1-$U184))</f>
        <v>1E-3</v>
      </c>
      <c r="U184" s="16">
        <f>IFERROR(INDEX(BASE_CCLASSTRIB!$E:$E, MATCH(TEXT($D184,"000000"), BASE_CCLASSTRIB!$A:$A, 0))/100, 0)</f>
        <v>0</v>
      </c>
      <c r="V184" s="16">
        <f>IFERROR(INDEX(BASE_CCLASSTRIB!$F:$F, MATCH(TEXT($D184,"000000"), BASE_CCLASSTRIB!$A:$A, 0))/100, 0)</f>
        <v>0</v>
      </c>
    </row>
    <row r="185" spans="4:22" ht="32.25" customHeight="1">
      <c r="D185" s="40"/>
      <c r="E185" s="27" t="str">
        <f>IF(D185="","",LEFT(D185,3))</f>
        <v/>
      </c>
      <c r="F185" s="28" t="str">
        <f>IF(E185="","",IFERROR(VLOOKUP(E185,REGRAS_CST!$A$2:$B$200,2,FALSE),""))</f>
        <v/>
      </c>
      <c r="H185" s="29">
        <v>8.9999999999999993E-3</v>
      </c>
      <c r="I185" s="29">
        <v>1E-3</v>
      </c>
      <c r="J185" s="4"/>
      <c r="K185" s="21" t="str">
        <f>IF(E185="","",IFERROR(VLOOKUP(E185,REGRAS_CST!$A$2:$C$200,3,FALSE),""))</f>
        <v/>
      </c>
      <c r="L185" s="23" t="str">
        <f>IF($G185="", "", $G185*(1-$V185))</f>
        <v/>
      </c>
      <c r="M185" s="24" t="str">
        <f>IF(OR($L185="",$S185=""),"",$L185*$S185)</f>
        <v/>
      </c>
      <c r="N185" s="24" t="str">
        <f>IF(OR($L185="",$T185=""),"",$L185*$T185)</f>
        <v/>
      </c>
      <c r="O185" s="15" t="str">
        <f>IF(D185="","",
IF(AND(K185&lt;&gt;"SIM",V185&gt;0),"ERRO: % BC &gt; 0, mas NÃO permitida ❌",
IF(AND(K185="SIM",V185=0),"ATENÇÃO: BC permitida, mas % = 0 🔎",
"Base de cálculo aplicada corretamente ✅")))</f>
        <v/>
      </c>
      <c r="P185" s="31" t="str">
        <f>IF(D185="","",
IF(AND(Q185&lt;&gt;"SIM",U185&gt;0),"ERRO: % alíquota &gt; 0, mas NÃO permitida ❌",
IF(AND(Q185="SIM",U185=0),"ATENÇÃO: alíquota permitida, mas % = 0 🔎",
"Alíquota aplicada corretamente ✅")))</f>
        <v/>
      </c>
      <c r="Q185" s="8" t="str">
        <f>IF(E185="","",IFERROR(VLOOKUP(E185,REGRAS_CST!$A$2:$D$200,4,FALSE),""))</f>
        <v/>
      </c>
      <c r="R185" s="4"/>
      <c r="S185" s="9">
        <f>IF($H185="","",$H185*(1-$U185))</f>
        <v>8.9999999999999993E-3</v>
      </c>
      <c r="T185" s="9">
        <f>IF($I185="","",$I185*(1-$U185))</f>
        <v>1E-3</v>
      </c>
      <c r="U185" s="16">
        <f>IFERROR(INDEX(BASE_CCLASSTRIB!$E:$E, MATCH(TEXT($D185,"000000"), BASE_CCLASSTRIB!$A:$A, 0))/100, 0)</f>
        <v>0</v>
      </c>
      <c r="V185" s="16">
        <f>IFERROR(INDEX(BASE_CCLASSTRIB!$F:$F, MATCH(TEXT($D185,"000000"), BASE_CCLASSTRIB!$A:$A, 0))/100, 0)</f>
        <v>0</v>
      </c>
    </row>
    <row r="186" spans="4:22" ht="32.25" customHeight="1">
      <c r="D186" s="39"/>
      <c r="E186" s="27" t="str">
        <f>IF(D186="","",LEFT(D186,3))</f>
        <v/>
      </c>
      <c r="F186" s="28" t="str">
        <f>IF(E186="","",IFERROR(VLOOKUP(E186,REGRAS_CST!$A$2:$B$200,2,FALSE),""))</f>
        <v/>
      </c>
      <c r="H186" s="29">
        <v>8.9999999999999993E-3</v>
      </c>
      <c r="I186" s="29">
        <v>1E-3</v>
      </c>
      <c r="J186" s="4"/>
      <c r="K186" s="21" t="str">
        <f>IF(E186="","",IFERROR(VLOOKUP(E186,REGRAS_CST!$A$2:$C$200,3,FALSE),""))</f>
        <v/>
      </c>
      <c r="L186" s="23" t="str">
        <f>IF($G186="", "", $G186*(1-$V186))</f>
        <v/>
      </c>
      <c r="M186" s="24" t="str">
        <f>IF(OR($L186="",$S186=""),"",$L186*$S186)</f>
        <v/>
      </c>
      <c r="N186" s="24" t="str">
        <f>IF(OR($L186="",$T186=""),"",$L186*$T186)</f>
        <v/>
      </c>
      <c r="O186" s="15" t="str">
        <f>IF(D186="","",
IF(AND(K186&lt;&gt;"SIM",V186&gt;0),"ERRO: % BC &gt; 0, mas NÃO permitida ❌",
IF(AND(K186="SIM",V186=0),"ATENÇÃO: BC permitida, mas % = 0 🔎",
"Base de cálculo aplicada corretamente ✅")))</f>
        <v/>
      </c>
      <c r="P186" s="31" t="str">
        <f>IF(D186="","",
IF(AND(Q186&lt;&gt;"SIM",U186&gt;0),"ERRO: % alíquota &gt; 0, mas NÃO permitida ❌",
IF(AND(Q186="SIM",U186=0),"ATENÇÃO: alíquota permitida, mas % = 0 🔎",
"Alíquota aplicada corretamente ✅")))</f>
        <v/>
      </c>
      <c r="Q186" s="8" t="str">
        <f>IF(E186="","",IFERROR(VLOOKUP(E186,REGRAS_CST!$A$2:$D$200,4,FALSE),""))</f>
        <v/>
      </c>
      <c r="R186" s="4"/>
      <c r="S186" s="9">
        <f>IF($H186="","",$H186*(1-$U186))</f>
        <v>8.9999999999999993E-3</v>
      </c>
      <c r="T186" s="9">
        <f>IF($I186="","",$I186*(1-$U186))</f>
        <v>1E-3</v>
      </c>
      <c r="U186" s="16">
        <f>IFERROR(INDEX(BASE_CCLASSTRIB!$E:$E, MATCH(TEXT($D186,"000000"), BASE_CCLASSTRIB!$A:$A, 0))/100, 0)</f>
        <v>0</v>
      </c>
      <c r="V186" s="16">
        <f>IFERROR(INDEX(BASE_CCLASSTRIB!$F:$F, MATCH(TEXT($D186,"000000"), BASE_CCLASSTRIB!$A:$A, 0))/100, 0)</f>
        <v>0</v>
      </c>
    </row>
    <row r="187" spans="4:22" ht="32.25" customHeight="1">
      <c r="D187" s="39"/>
      <c r="E187" s="27" t="str">
        <f>IF(D187="","",LEFT(D187,3))</f>
        <v/>
      </c>
      <c r="F187" s="28" t="str">
        <f>IF(E187="","",IFERROR(VLOOKUP(E187,REGRAS_CST!$A$2:$B$200,2,FALSE),""))</f>
        <v/>
      </c>
      <c r="H187" s="29">
        <v>8.9999999999999993E-3</v>
      </c>
      <c r="I187" s="29">
        <v>1E-3</v>
      </c>
      <c r="J187" s="4"/>
      <c r="K187" s="21" t="str">
        <f>IF(E187="","",IFERROR(VLOOKUP(E187,REGRAS_CST!$A$2:$C$200,3,FALSE),""))</f>
        <v/>
      </c>
      <c r="L187" s="23" t="str">
        <f>IF($G187="", "", $G187*(1-$V187))</f>
        <v/>
      </c>
      <c r="M187" s="24" t="str">
        <f>IF(OR($L187="",$S187=""),"",$L187*$S187)</f>
        <v/>
      </c>
      <c r="N187" s="24" t="str">
        <f>IF(OR($L187="",$T187=""),"",$L187*$T187)</f>
        <v/>
      </c>
      <c r="O187" s="15" t="str">
        <f>IF(D187="","",
IF(AND(K187&lt;&gt;"SIM",V187&gt;0),"ERRO: % BC &gt; 0, mas NÃO permitida ❌",
IF(AND(K187="SIM",V187=0),"ATENÇÃO: BC permitida, mas % = 0 🔎",
"Base de cálculo aplicada corretamente ✅")))</f>
        <v/>
      </c>
      <c r="P187" s="31" t="str">
        <f>IF(D187="","",
IF(AND(Q187&lt;&gt;"SIM",U187&gt;0),"ERRO: % alíquota &gt; 0, mas NÃO permitida ❌",
IF(AND(Q187="SIM",U187=0),"ATENÇÃO: alíquota permitida, mas % = 0 🔎",
"Alíquota aplicada corretamente ✅")))</f>
        <v/>
      </c>
      <c r="Q187" s="8" t="str">
        <f>IF(E187="","",IFERROR(VLOOKUP(E187,REGRAS_CST!$A$2:$D$200,4,FALSE),""))</f>
        <v/>
      </c>
      <c r="R187" s="4"/>
      <c r="S187" s="9">
        <f>IF($H187="","",$H187*(1-$U187))</f>
        <v>8.9999999999999993E-3</v>
      </c>
      <c r="T187" s="9">
        <f>IF($I187="","",$I187*(1-$U187))</f>
        <v>1E-3</v>
      </c>
      <c r="U187" s="16">
        <f>IFERROR(INDEX(BASE_CCLASSTRIB!$E:$E, MATCH(TEXT($D187,"000000"), BASE_CCLASSTRIB!$A:$A, 0))/100, 0)</f>
        <v>0</v>
      </c>
      <c r="V187" s="16">
        <f>IFERROR(INDEX(BASE_CCLASSTRIB!$F:$F, MATCH(TEXT($D187,"000000"), BASE_CCLASSTRIB!$A:$A, 0))/100, 0)</f>
        <v>0</v>
      </c>
    </row>
    <row r="188" spans="4:22" ht="32.25" customHeight="1">
      <c r="D188" s="39"/>
      <c r="E188" s="27" t="str">
        <f>IF(D188="","",LEFT(D188,3))</f>
        <v/>
      </c>
      <c r="F188" s="28" t="str">
        <f>IF(E188="","",IFERROR(VLOOKUP(E188,REGRAS_CST!$A$2:$B$200,2,FALSE),""))</f>
        <v/>
      </c>
      <c r="H188" s="29">
        <v>8.9999999999999993E-3</v>
      </c>
      <c r="I188" s="29">
        <v>1E-3</v>
      </c>
      <c r="J188" s="4"/>
      <c r="K188" s="21" t="str">
        <f>IF(E188="","",IFERROR(VLOOKUP(E188,REGRAS_CST!$A$2:$C$200,3,FALSE),""))</f>
        <v/>
      </c>
      <c r="L188" s="23" t="str">
        <f>IF($G188="", "", $G188*(1-$V188))</f>
        <v/>
      </c>
      <c r="M188" s="24" t="str">
        <f>IF(OR($L188="",$S188=""),"",$L188*$S188)</f>
        <v/>
      </c>
      <c r="N188" s="24" t="str">
        <f>IF(OR($L188="",$T188=""),"",$L188*$T188)</f>
        <v/>
      </c>
      <c r="O188" s="15" t="str">
        <f>IF(D188="","",
IF(AND(K188&lt;&gt;"SIM",V188&gt;0),"ERRO: % BC &gt; 0, mas NÃO permitida ❌",
IF(AND(K188="SIM",V188=0),"ATENÇÃO: BC permitida, mas % = 0 🔎",
"Base de cálculo aplicada corretamente ✅")))</f>
        <v/>
      </c>
      <c r="P188" s="31" t="str">
        <f>IF(D188="","",
IF(AND(Q188&lt;&gt;"SIM",U188&gt;0),"ERRO: % alíquota &gt; 0, mas NÃO permitida ❌",
IF(AND(Q188="SIM",U188=0),"ATENÇÃO: alíquota permitida, mas % = 0 🔎",
"Alíquota aplicada corretamente ✅")))</f>
        <v/>
      </c>
      <c r="Q188" s="8" t="str">
        <f>IF(E188="","",IFERROR(VLOOKUP(E188,REGRAS_CST!$A$2:$D$200,4,FALSE),""))</f>
        <v/>
      </c>
      <c r="R188" s="4"/>
      <c r="S188" s="9">
        <f>IF($H188="","",$H188*(1-$U188))</f>
        <v>8.9999999999999993E-3</v>
      </c>
      <c r="T188" s="9">
        <f>IF($I188="","",$I188*(1-$U188))</f>
        <v>1E-3</v>
      </c>
      <c r="U188" s="16">
        <f>IFERROR(INDEX(BASE_CCLASSTRIB!$E:$E, MATCH(TEXT($D188,"000000"), BASE_CCLASSTRIB!$A:$A, 0))/100, 0)</f>
        <v>0</v>
      </c>
      <c r="V188" s="16">
        <f>IFERROR(INDEX(BASE_CCLASSTRIB!$F:$F, MATCH(TEXT($D188,"000000"), BASE_CCLASSTRIB!$A:$A, 0))/100, 0)</f>
        <v>0</v>
      </c>
    </row>
    <row r="189" spans="4:22" ht="32.25" customHeight="1">
      <c r="D189" s="39"/>
      <c r="E189" s="27" t="str">
        <f>IF(D189="","",LEFT(D189,3))</f>
        <v/>
      </c>
      <c r="F189" s="28" t="str">
        <f>IF(E189="","",IFERROR(VLOOKUP(E189,REGRAS_CST!$A$2:$B$200,2,FALSE),""))</f>
        <v/>
      </c>
      <c r="H189" s="29">
        <v>8.9999999999999993E-3</v>
      </c>
      <c r="I189" s="29">
        <v>1E-3</v>
      </c>
      <c r="J189" s="4"/>
      <c r="K189" s="21" t="str">
        <f>IF(E189="","",IFERROR(VLOOKUP(E189,REGRAS_CST!$A$2:$C$200,3,FALSE),""))</f>
        <v/>
      </c>
      <c r="L189" s="23" t="str">
        <f>IF($G189="", "", $G189*(1-$V189))</f>
        <v/>
      </c>
      <c r="M189" s="24" t="str">
        <f>IF(OR($L189="",$S189=""),"",$L189*$S189)</f>
        <v/>
      </c>
      <c r="N189" s="24" t="str">
        <f>IF(OR($L189="",$T189=""),"",$L189*$T189)</f>
        <v/>
      </c>
      <c r="O189" s="15" t="str">
        <f>IF(D189="","",
IF(AND(K189&lt;&gt;"SIM",V189&gt;0),"ERRO: % BC &gt; 0, mas NÃO permitida ❌",
IF(AND(K189="SIM",V189=0),"ATENÇÃO: BC permitida, mas % = 0 🔎",
"Base de cálculo aplicada corretamente ✅")))</f>
        <v/>
      </c>
      <c r="P189" s="31" t="str">
        <f>IF(D189="","",
IF(AND(Q189&lt;&gt;"SIM",U189&gt;0),"ERRO: % alíquota &gt; 0, mas NÃO permitida ❌",
IF(AND(Q189="SIM",U189=0),"ATENÇÃO: alíquota permitida, mas % = 0 🔎",
"Alíquota aplicada corretamente ✅")))</f>
        <v/>
      </c>
      <c r="Q189" s="8" t="str">
        <f>IF(E189="","",IFERROR(VLOOKUP(E189,REGRAS_CST!$A$2:$D$200,4,FALSE),""))</f>
        <v/>
      </c>
      <c r="R189" s="4"/>
      <c r="S189" s="9">
        <f>IF($H189="","",$H189*(1-$U189))</f>
        <v>8.9999999999999993E-3</v>
      </c>
      <c r="T189" s="9">
        <f>IF($I189="","",$I189*(1-$U189))</f>
        <v>1E-3</v>
      </c>
      <c r="U189" s="16">
        <f>IFERROR(INDEX(BASE_CCLASSTRIB!$E:$E, MATCH(TEXT($D189,"000000"), BASE_CCLASSTRIB!$A:$A, 0))/100, 0)</f>
        <v>0</v>
      </c>
      <c r="V189" s="16">
        <f>IFERROR(INDEX(BASE_CCLASSTRIB!$F:$F, MATCH(TEXT($D189,"000000"), BASE_CCLASSTRIB!$A:$A, 0))/100, 0)</f>
        <v>0</v>
      </c>
    </row>
    <row r="190" spans="4:22" ht="32.25" customHeight="1">
      <c r="D190" s="40"/>
      <c r="E190" s="27" t="str">
        <f>IF(D190="","",LEFT(D190,3))</f>
        <v/>
      </c>
      <c r="F190" s="28" t="str">
        <f>IF(E190="","",IFERROR(VLOOKUP(E190,REGRAS_CST!$A$2:$B$200,2,FALSE),""))</f>
        <v/>
      </c>
      <c r="H190" s="29">
        <v>8.9999999999999993E-3</v>
      </c>
      <c r="I190" s="29">
        <v>1E-3</v>
      </c>
      <c r="J190" s="4"/>
      <c r="K190" s="21" t="str">
        <f>IF(E190="","",IFERROR(VLOOKUP(E190,REGRAS_CST!$A$2:$C$200,3,FALSE),""))</f>
        <v/>
      </c>
      <c r="L190" s="23" t="str">
        <f>IF($G190="", "", $G190*(1-$V190))</f>
        <v/>
      </c>
      <c r="M190" s="24" t="str">
        <f>IF(OR($L190="",$S190=""),"",$L190*$S190)</f>
        <v/>
      </c>
      <c r="N190" s="24" t="str">
        <f>IF(OR($L190="",$T190=""),"",$L190*$T190)</f>
        <v/>
      </c>
      <c r="O190" s="15" t="str">
        <f>IF(D190="","",
IF(AND(K190&lt;&gt;"SIM",V190&gt;0),"ERRO: % BC &gt; 0, mas NÃO permitida ❌",
IF(AND(K190="SIM",V190=0),"ATENÇÃO: BC permitida, mas % = 0 🔎",
"Base de cálculo aplicada corretamente ✅")))</f>
        <v/>
      </c>
      <c r="P190" s="31" t="str">
        <f>IF(D190="","",
IF(AND(Q190&lt;&gt;"SIM",U190&gt;0),"ERRO: % alíquota &gt; 0, mas NÃO permitida ❌",
IF(AND(Q190="SIM",U190=0),"ATENÇÃO: alíquota permitida, mas % = 0 🔎",
"Alíquota aplicada corretamente ✅")))</f>
        <v/>
      </c>
      <c r="Q190" s="8" t="str">
        <f>IF(E190="","",IFERROR(VLOOKUP(E190,REGRAS_CST!$A$2:$D$200,4,FALSE),""))</f>
        <v/>
      </c>
      <c r="R190" s="4"/>
      <c r="S190" s="9">
        <f>IF($H190="","",$H190*(1-$U190))</f>
        <v>8.9999999999999993E-3</v>
      </c>
      <c r="T190" s="9">
        <f>IF($I190="","",$I190*(1-$U190))</f>
        <v>1E-3</v>
      </c>
      <c r="U190" s="16">
        <f>IFERROR(INDEX(BASE_CCLASSTRIB!$E:$E, MATCH(TEXT($D190,"000000"), BASE_CCLASSTRIB!$A:$A, 0))/100, 0)</f>
        <v>0</v>
      </c>
      <c r="V190" s="16">
        <f>IFERROR(INDEX(BASE_CCLASSTRIB!$F:$F, MATCH(TEXT($D190,"000000"), BASE_CCLASSTRIB!$A:$A, 0))/100, 0)</f>
        <v>0</v>
      </c>
    </row>
    <row r="191" spans="4:22" ht="32.25" customHeight="1">
      <c r="D191" s="40"/>
      <c r="E191" s="27" t="str">
        <f>IF(D191="","",LEFT(D191,3))</f>
        <v/>
      </c>
      <c r="F191" s="28" t="str">
        <f>IF(E191="","",IFERROR(VLOOKUP(E191,REGRAS_CST!$A$2:$B$200,2,FALSE),""))</f>
        <v/>
      </c>
      <c r="H191" s="29">
        <v>8.9999999999999993E-3</v>
      </c>
      <c r="I191" s="29">
        <v>1E-3</v>
      </c>
      <c r="J191" s="4"/>
      <c r="K191" s="21" t="str">
        <f>IF(E191="","",IFERROR(VLOOKUP(E191,REGRAS_CST!$A$2:$C$200,3,FALSE),""))</f>
        <v/>
      </c>
      <c r="L191" s="23" t="str">
        <f>IF($G191="", "", $G191*(1-$V191))</f>
        <v/>
      </c>
      <c r="M191" s="24" t="str">
        <f>IF(OR($L191="",$S191=""),"",$L191*$S191)</f>
        <v/>
      </c>
      <c r="N191" s="24" t="str">
        <f>IF(OR($L191="",$T191=""),"",$L191*$T191)</f>
        <v/>
      </c>
      <c r="O191" s="15" t="str">
        <f>IF(D191="","",
IF(AND(K191&lt;&gt;"SIM",V191&gt;0),"ERRO: % BC &gt; 0, mas NÃO permitida ❌",
IF(AND(K191="SIM",V191=0),"ATENÇÃO: BC permitida, mas % = 0 🔎",
"Base de cálculo aplicada corretamente ✅")))</f>
        <v/>
      </c>
      <c r="P191" s="31" t="str">
        <f>IF(D191="","",
IF(AND(Q191&lt;&gt;"SIM",U191&gt;0),"ERRO: % alíquota &gt; 0, mas NÃO permitida ❌",
IF(AND(Q191="SIM",U191=0),"ATENÇÃO: alíquota permitida, mas % = 0 🔎",
"Alíquota aplicada corretamente ✅")))</f>
        <v/>
      </c>
      <c r="Q191" s="8" t="str">
        <f>IF(E191="","",IFERROR(VLOOKUP(E191,REGRAS_CST!$A$2:$D$200,4,FALSE),""))</f>
        <v/>
      </c>
      <c r="R191" s="4"/>
      <c r="S191" s="9">
        <f>IF($H191="","",$H191*(1-$U191))</f>
        <v>8.9999999999999993E-3</v>
      </c>
      <c r="T191" s="9">
        <f>IF($I191="","",$I191*(1-$U191))</f>
        <v>1E-3</v>
      </c>
      <c r="U191" s="16">
        <f>IFERROR(INDEX(BASE_CCLASSTRIB!$E:$E, MATCH(TEXT($D191,"000000"), BASE_CCLASSTRIB!$A:$A, 0))/100, 0)</f>
        <v>0</v>
      </c>
      <c r="V191" s="16">
        <f>IFERROR(INDEX(BASE_CCLASSTRIB!$F:$F, MATCH(TEXT($D191,"000000"), BASE_CCLASSTRIB!$A:$A, 0))/100, 0)</f>
        <v>0</v>
      </c>
    </row>
    <row r="192" spans="4:22" ht="32.25" customHeight="1">
      <c r="D192" s="39"/>
      <c r="E192" s="27" t="str">
        <f>IF(D192="","",LEFT(D192,3))</f>
        <v/>
      </c>
      <c r="F192" s="28" t="str">
        <f>IF(E192="","",IFERROR(VLOOKUP(E192,REGRAS_CST!$A$2:$B$200,2,FALSE),""))</f>
        <v/>
      </c>
      <c r="H192" s="29">
        <v>8.9999999999999993E-3</v>
      </c>
      <c r="I192" s="29">
        <v>1E-3</v>
      </c>
      <c r="J192" s="4"/>
      <c r="K192" s="21" t="str">
        <f>IF(E192="","",IFERROR(VLOOKUP(E192,REGRAS_CST!$A$2:$C$200,3,FALSE),""))</f>
        <v/>
      </c>
      <c r="L192" s="23" t="str">
        <f>IF($G192="", "", $G192*(1-$V192))</f>
        <v/>
      </c>
      <c r="M192" s="24" t="str">
        <f>IF(OR($L192="",$S192=""),"",$L192*$S192)</f>
        <v/>
      </c>
      <c r="N192" s="24" t="str">
        <f>IF(OR($L192="",$T192=""),"",$L192*$T192)</f>
        <v/>
      </c>
      <c r="O192" s="15" t="str">
        <f>IF(D192="","",
IF(AND(K192&lt;&gt;"SIM",V192&gt;0),"ERRO: % BC &gt; 0, mas NÃO permitida ❌",
IF(AND(K192="SIM",V192=0),"ATENÇÃO: BC permitida, mas % = 0 🔎",
"Base de cálculo aplicada corretamente ✅")))</f>
        <v/>
      </c>
      <c r="P192" s="31" t="str">
        <f>IF(D192="","",
IF(AND(Q192&lt;&gt;"SIM",U192&gt;0),"ERRO: % alíquota &gt; 0, mas NÃO permitida ❌",
IF(AND(Q192="SIM",U192=0),"ATENÇÃO: alíquota permitida, mas % = 0 🔎",
"Alíquota aplicada corretamente ✅")))</f>
        <v/>
      </c>
      <c r="Q192" s="8" t="str">
        <f>IF(E192="","",IFERROR(VLOOKUP(E192,REGRAS_CST!$A$2:$D$200,4,FALSE),""))</f>
        <v/>
      </c>
      <c r="R192" s="4"/>
      <c r="S192" s="9">
        <f>IF($H192="","",$H192*(1-$U192))</f>
        <v>8.9999999999999993E-3</v>
      </c>
      <c r="T192" s="9">
        <f>IF($I192="","",$I192*(1-$U192))</f>
        <v>1E-3</v>
      </c>
      <c r="U192" s="16">
        <f>IFERROR(INDEX(BASE_CCLASSTRIB!$E:$E, MATCH(TEXT($D192,"000000"), BASE_CCLASSTRIB!$A:$A, 0))/100, 0)</f>
        <v>0</v>
      </c>
      <c r="V192" s="16">
        <f>IFERROR(INDEX(BASE_CCLASSTRIB!$F:$F, MATCH(TEXT($D192,"000000"), BASE_CCLASSTRIB!$A:$A, 0))/100, 0)</f>
        <v>0</v>
      </c>
    </row>
    <row r="193" spans="4:22" ht="32.25" customHeight="1">
      <c r="D193" s="39"/>
      <c r="E193" s="27" t="str">
        <f>IF(D193="","",LEFT(D193,3))</f>
        <v/>
      </c>
      <c r="F193" s="28" t="str">
        <f>IF(E193="","",IFERROR(VLOOKUP(E193,REGRAS_CST!$A$2:$B$200,2,FALSE),""))</f>
        <v/>
      </c>
      <c r="H193" s="29">
        <v>8.9999999999999993E-3</v>
      </c>
      <c r="I193" s="29">
        <v>1E-3</v>
      </c>
      <c r="J193" s="4"/>
      <c r="K193" s="21" t="str">
        <f>IF(E193="","",IFERROR(VLOOKUP(E193,REGRAS_CST!$A$2:$C$200,3,FALSE),""))</f>
        <v/>
      </c>
      <c r="L193" s="23" t="str">
        <f>IF($G193="", "", $G193*(1-$V193))</f>
        <v/>
      </c>
      <c r="M193" s="24" t="str">
        <f>IF(OR($L193="",$S193=""),"",$L193*$S193)</f>
        <v/>
      </c>
      <c r="N193" s="24" t="str">
        <f>IF(OR($L193="",$T193=""),"",$L193*$T193)</f>
        <v/>
      </c>
      <c r="O193" s="15" t="str">
        <f>IF(D193="","",
IF(AND(K193&lt;&gt;"SIM",V193&gt;0),"ERRO: % BC &gt; 0, mas NÃO permitida ❌",
IF(AND(K193="SIM",V193=0),"ATENÇÃO: BC permitida, mas % = 0 🔎",
"Base de cálculo aplicada corretamente ✅")))</f>
        <v/>
      </c>
      <c r="P193" s="31" t="str">
        <f>IF(D193="","",
IF(AND(Q193&lt;&gt;"SIM",U193&gt;0),"ERRO: % alíquota &gt; 0, mas NÃO permitida ❌",
IF(AND(Q193="SIM",U193=0),"ATENÇÃO: alíquota permitida, mas % = 0 🔎",
"Alíquota aplicada corretamente ✅")))</f>
        <v/>
      </c>
      <c r="Q193" s="8" t="str">
        <f>IF(E193="","",IFERROR(VLOOKUP(E193,REGRAS_CST!$A$2:$D$200,4,FALSE),""))</f>
        <v/>
      </c>
      <c r="R193" s="4"/>
      <c r="S193" s="9">
        <f>IF($H193="","",$H193*(1-$U193))</f>
        <v>8.9999999999999993E-3</v>
      </c>
      <c r="T193" s="9">
        <f>IF($I193="","",$I193*(1-$U193))</f>
        <v>1E-3</v>
      </c>
      <c r="U193" s="16">
        <f>IFERROR(INDEX(BASE_CCLASSTRIB!$E:$E, MATCH(TEXT($D193,"000000"), BASE_CCLASSTRIB!$A:$A, 0))/100, 0)</f>
        <v>0</v>
      </c>
      <c r="V193" s="16">
        <f>IFERROR(INDEX(BASE_CCLASSTRIB!$F:$F, MATCH(TEXT($D193,"000000"), BASE_CCLASSTRIB!$A:$A, 0))/100, 0)</f>
        <v>0</v>
      </c>
    </row>
    <row r="194" spans="4:22" ht="32.25" customHeight="1">
      <c r="D194" s="40"/>
      <c r="E194" s="27" t="str">
        <f>IF(D194="","",LEFT(D194,3))</f>
        <v/>
      </c>
      <c r="F194" s="28" t="str">
        <f>IF(E194="","",IFERROR(VLOOKUP(E194,REGRAS_CST!$A$2:$B$200,2,FALSE),""))</f>
        <v/>
      </c>
      <c r="H194" s="29">
        <v>8.9999999999999993E-3</v>
      </c>
      <c r="I194" s="29">
        <v>1E-3</v>
      </c>
      <c r="J194" s="4"/>
      <c r="K194" s="21" t="str">
        <f>IF(E194="","",IFERROR(VLOOKUP(E194,REGRAS_CST!$A$2:$C$200,3,FALSE),""))</f>
        <v/>
      </c>
      <c r="L194" s="23" t="str">
        <f>IF($G194="", "", $G194*(1-$V194))</f>
        <v/>
      </c>
      <c r="M194" s="24" t="str">
        <f>IF(OR($L194="",$S194=""),"",$L194*$S194)</f>
        <v/>
      </c>
      <c r="N194" s="24" t="str">
        <f>IF(OR($L194="",$T194=""),"",$L194*$T194)</f>
        <v/>
      </c>
      <c r="O194" s="15" t="str">
        <f>IF(D194="","",
IF(AND(K194&lt;&gt;"SIM",V194&gt;0),"ERRO: % BC &gt; 0, mas NÃO permitida ❌",
IF(AND(K194="SIM",V194=0),"ATENÇÃO: BC permitida, mas % = 0 🔎",
"Base de cálculo aplicada corretamente ✅")))</f>
        <v/>
      </c>
      <c r="P194" s="31" t="str">
        <f>IF(D194="","",
IF(AND(Q194&lt;&gt;"SIM",U194&gt;0),"ERRO: % alíquota &gt; 0, mas NÃO permitida ❌",
IF(AND(Q194="SIM",U194=0),"ATENÇÃO: alíquota permitida, mas % = 0 🔎",
"Alíquota aplicada corretamente ✅")))</f>
        <v/>
      </c>
      <c r="Q194" s="8" t="str">
        <f>IF(E194="","",IFERROR(VLOOKUP(E194,REGRAS_CST!$A$2:$D$200,4,FALSE),""))</f>
        <v/>
      </c>
      <c r="R194" s="4"/>
      <c r="S194" s="9">
        <f>IF($H194="","",$H194*(1-$U194))</f>
        <v>8.9999999999999993E-3</v>
      </c>
      <c r="T194" s="9">
        <f>IF($I194="","",$I194*(1-$U194))</f>
        <v>1E-3</v>
      </c>
      <c r="U194" s="16">
        <f>IFERROR(INDEX(BASE_CCLASSTRIB!$E:$E, MATCH(TEXT($D194,"000000"), BASE_CCLASSTRIB!$A:$A, 0))/100, 0)</f>
        <v>0</v>
      </c>
      <c r="V194" s="16">
        <f>IFERROR(INDEX(BASE_CCLASSTRIB!$F:$F, MATCH(TEXT($D194,"000000"), BASE_CCLASSTRIB!$A:$A, 0))/100, 0)</f>
        <v>0</v>
      </c>
    </row>
    <row r="195" spans="4:22" ht="32.25" customHeight="1">
      <c r="D195" s="40"/>
      <c r="E195" s="27" t="str">
        <f>IF(D195="","",LEFT(D195,3))</f>
        <v/>
      </c>
      <c r="F195" s="28" t="str">
        <f>IF(E195="","",IFERROR(VLOOKUP(E195,REGRAS_CST!$A$2:$B$200,2,FALSE),""))</f>
        <v/>
      </c>
      <c r="H195" s="29">
        <v>8.9999999999999993E-3</v>
      </c>
      <c r="I195" s="29">
        <v>1E-3</v>
      </c>
      <c r="J195" s="4"/>
      <c r="K195" s="21" t="str">
        <f>IF(E195="","",IFERROR(VLOOKUP(E195,REGRAS_CST!$A$2:$C$200,3,FALSE),""))</f>
        <v/>
      </c>
      <c r="L195" s="23" t="str">
        <f>IF($G195="", "", $G195*(1-$V195))</f>
        <v/>
      </c>
      <c r="M195" s="24" t="str">
        <f>IF(OR($L195="",$S195=""),"",$L195*$S195)</f>
        <v/>
      </c>
      <c r="N195" s="24" t="str">
        <f>IF(OR($L195="",$T195=""),"",$L195*$T195)</f>
        <v/>
      </c>
      <c r="O195" s="15" t="str">
        <f>IF(D195="","",
IF(AND(K195&lt;&gt;"SIM",V195&gt;0),"ERRO: % BC &gt; 0, mas NÃO permitida ❌",
IF(AND(K195="SIM",V195=0),"ATENÇÃO: BC permitida, mas % = 0 🔎",
"Base de cálculo aplicada corretamente ✅")))</f>
        <v/>
      </c>
      <c r="P195" s="31" t="str">
        <f>IF(D195="","",
IF(AND(Q195&lt;&gt;"SIM",U195&gt;0),"ERRO: % alíquota &gt; 0, mas NÃO permitida ❌",
IF(AND(Q195="SIM",U195=0),"ATENÇÃO: alíquota permitida, mas % = 0 🔎",
"Alíquota aplicada corretamente ✅")))</f>
        <v/>
      </c>
      <c r="Q195" s="8" t="str">
        <f>IF(E195="","",IFERROR(VLOOKUP(E195,REGRAS_CST!$A$2:$D$200,4,FALSE),""))</f>
        <v/>
      </c>
      <c r="R195" s="4"/>
      <c r="S195" s="9">
        <f>IF($H195="","",$H195*(1-$U195))</f>
        <v>8.9999999999999993E-3</v>
      </c>
      <c r="T195" s="9">
        <f>IF($I195="","",$I195*(1-$U195))</f>
        <v>1E-3</v>
      </c>
      <c r="U195" s="16">
        <f>IFERROR(INDEX(BASE_CCLASSTRIB!$E:$E, MATCH(TEXT($D195,"000000"), BASE_CCLASSTRIB!$A:$A, 0))/100, 0)</f>
        <v>0</v>
      </c>
      <c r="V195" s="16">
        <f>IFERROR(INDEX(BASE_CCLASSTRIB!$F:$F, MATCH(TEXT($D195,"000000"), BASE_CCLASSTRIB!$A:$A, 0))/100, 0)</f>
        <v>0</v>
      </c>
    </row>
    <row r="196" spans="4:22" ht="32.25" customHeight="1">
      <c r="D196" s="39"/>
      <c r="E196" s="27" t="str">
        <f>IF(D196="","",LEFT(D196,3))</f>
        <v/>
      </c>
      <c r="F196" s="28" t="str">
        <f>IF(E196="","",IFERROR(VLOOKUP(E196,REGRAS_CST!$A$2:$B$200,2,FALSE),""))</f>
        <v/>
      </c>
      <c r="H196" s="29">
        <v>8.9999999999999993E-3</v>
      </c>
      <c r="I196" s="29">
        <v>1E-3</v>
      </c>
      <c r="J196" s="4"/>
      <c r="K196" s="21" t="str">
        <f>IF(E196="","",IFERROR(VLOOKUP(E196,REGRAS_CST!$A$2:$C$200,3,FALSE),""))</f>
        <v/>
      </c>
      <c r="L196" s="23" t="str">
        <f>IF($G196="", "", $G196*(1-$V196))</f>
        <v/>
      </c>
      <c r="M196" s="24" t="str">
        <f>IF(OR($L196="",$S196=""),"",$L196*$S196)</f>
        <v/>
      </c>
      <c r="N196" s="24" t="str">
        <f>IF(OR($L196="",$T196=""),"",$L196*$T196)</f>
        <v/>
      </c>
      <c r="O196" s="15" t="str">
        <f>IF(D196="","",
IF(AND(K196&lt;&gt;"SIM",V196&gt;0),"ERRO: % BC &gt; 0, mas NÃO permitida ❌",
IF(AND(K196="SIM",V196=0),"ATENÇÃO: BC permitida, mas % = 0 🔎",
"Base de cálculo aplicada corretamente ✅")))</f>
        <v/>
      </c>
      <c r="P196" s="31" t="str">
        <f>IF(D196="","",
IF(AND(Q196&lt;&gt;"SIM",U196&gt;0),"ERRO: % alíquota &gt; 0, mas NÃO permitida ❌",
IF(AND(Q196="SIM",U196=0),"ATENÇÃO: alíquota permitida, mas % = 0 🔎",
"Alíquota aplicada corretamente ✅")))</f>
        <v/>
      </c>
      <c r="Q196" s="8" t="str">
        <f>IF(E196="","",IFERROR(VLOOKUP(E196,REGRAS_CST!$A$2:$D$200,4,FALSE),""))</f>
        <v/>
      </c>
      <c r="R196" s="4"/>
      <c r="S196" s="9">
        <f>IF($H196="","",$H196*(1-$U196))</f>
        <v>8.9999999999999993E-3</v>
      </c>
      <c r="T196" s="9">
        <f>IF($I196="","",$I196*(1-$U196))</f>
        <v>1E-3</v>
      </c>
      <c r="U196" s="16">
        <f>IFERROR(INDEX(BASE_CCLASSTRIB!$E:$E, MATCH(TEXT($D196,"000000"), BASE_CCLASSTRIB!$A:$A, 0))/100, 0)</f>
        <v>0</v>
      </c>
      <c r="V196" s="16">
        <f>IFERROR(INDEX(BASE_CCLASSTRIB!$F:$F, MATCH(TEXT($D196,"000000"), BASE_CCLASSTRIB!$A:$A, 0))/100, 0)</f>
        <v>0</v>
      </c>
    </row>
    <row r="197" spans="4:22" ht="32.25" customHeight="1">
      <c r="D197" s="40"/>
      <c r="E197" s="27" t="str">
        <f>IF(D197="","",LEFT(D197,3))</f>
        <v/>
      </c>
      <c r="F197" s="28" t="str">
        <f>IF(E197="","",IFERROR(VLOOKUP(E197,REGRAS_CST!$A$2:$B$200,2,FALSE),""))</f>
        <v/>
      </c>
      <c r="H197" s="29">
        <v>8.9999999999999993E-3</v>
      </c>
      <c r="I197" s="29">
        <v>1E-3</v>
      </c>
      <c r="J197" s="4"/>
      <c r="K197" s="21" t="str">
        <f>IF(E197="","",IFERROR(VLOOKUP(E197,REGRAS_CST!$A$2:$C$200,3,FALSE),""))</f>
        <v/>
      </c>
      <c r="L197" s="23" t="str">
        <f>IF($G197="", "", $G197*(1-$V197))</f>
        <v/>
      </c>
      <c r="M197" s="24" t="str">
        <f>IF(OR($L197="",$S197=""),"",$L197*$S197)</f>
        <v/>
      </c>
      <c r="N197" s="24" t="str">
        <f>IF(OR($L197="",$T197=""),"",$L197*$T197)</f>
        <v/>
      </c>
      <c r="O197" s="15" t="str">
        <f>IF(D197="","",
IF(AND(K197&lt;&gt;"SIM",V197&gt;0),"ERRO: % BC &gt; 0, mas NÃO permitida ❌",
IF(AND(K197="SIM",V197=0),"ATENÇÃO: BC permitida, mas % = 0 🔎",
"Base de cálculo aplicada corretamente ✅")))</f>
        <v/>
      </c>
      <c r="P197" s="31" t="str">
        <f>IF(D197="","",
IF(AND(Q197&lt;&gt;"SIM",U197&gt;0),"ERRO: % alíquota &gt; 0, mas NÃO permitida ❌",
IF(AND(Q197="SIM",U197=0),"ATENÇÃO: alíquota permitida, mas % = 0 🔎",
"Alíquota aplicada corretamente ✅")))</f>
        <v/>
      </c>
      <c r="Q197" s="8" t="str">
        <f>IF(E197="","",IFERROR(VLOOKUP(E197,REGRAS_CST!$A$2:$D$200,4,FALSE),""))</f>
        <v/>
      </c>
      <c r="R197" s="4"/>
      <c r="S197" s="9">
        <f>IF($H197="","",$H197*(1-$U197))</f>
        <v>8.9999999999999993E-3</v>
      </c>
      <c r="T197" s="9">
        <f>IF($I197="","",$I197*(1-$U197))</f>
        <v>1E-3</v>
      </c>
      <c r="U197" s="16">
        <f>IFERROR(INDEX(BASE_CCLASSTRIB!$E:$E, MATCH(TEXT($D197,"000000"), BASE_CCLASSTRIB!$A:$A, 0))/100, 0)</f>
        <v>0</v>
      </c>
      <c r="V197" s="16">
        <f>IFERROR(INDEX(BASE_CCLASSTRIB!$F:$F, MATCH(TEXT($D197,"000000"), BASE_CCLASSTRIB!$A:$A, 0))/100, 0)</f>
        <v>0</v>
      </c>
    </row>
    <row r="198" spans="4:22" ht="32.25" customHeight="1">
      <c r="D198" s="39"/>
      <c r="E198" s="27" t="str">
        <f>IF(D198="","",LEFT(D198,3))</f>
        <v/>
      </c>
      <c r="F198" s="28" t="str">
        <f>IF(E198="","",IFERROR(VLOOKUP(E198,REGRAS_CST!$A$2:$B$200,2,FALSE),""))</f>
        <v/>
      </c>
      <c r="H198" s="29">
        <v>8.9999999999999993E-3</v>
      </c>
      <c r="I198" s="29">
        <v>1E-3</v>
      </c>
      <c r="J198" s="4"/>
      <c r="K198" s="21" t="str">
        <f>IF(E198="","",IFERROR(VLOOKUP(E198,REGRAS_CST!$A$2:$C$200,3,FALSE),""))</f>
        <v/>
      </c>
      <c r="L198" s="23" t="str">
        <f>IF($G198="", "", $G198*(1-$V198))</f>
        <v/>
      </c>
      <c r="M198" s="24" t="str">
        <f>IF(OR($L198="",$S198=""),"",$L198*$S198)</f>
        <v/>
      </c>
      <c r="N198" s="24" t="str">
        <f>IF(OR($L198="",$T198=""),"",$L198*$T198)</f>
        <v/>
      </c>
      <c r="O198" s="15" t="str">
        <f>IF(D198="","",
IF(AND(K198&lt;&gt;"SIM",V198&gt;0),"ERRO: % BC &gt; 0, mas NÃO permitida ❌",
IF(AND(K198="SIM",V198=0),"ATENÇÃO: BC permitida, mas % = 0 🔎",
"Base de cálculo aplicada corretamente ✅")))</f>
        <v/>
      </c>
      <c r="P198" s="31" t="str">
        <f>IF(D198="","",
IF(AND(Q198&lt;&gt;"SIM",U198&gt;0),"ERRO: % alíquota &gt; 0, mas NÃO permitida ❌",
IF(AND(Q198="SIM",U198=0),"ATENÇÃO: alíquota permitida, mas % = 0 🔎",
"Alíquota aplicada corretamente ✅")))</f>
        <v/>
      </c>
      <c r="Q198" s="8" t="str">
        <f>IF(E198="","",IFERROR(VLOOKUP(E198,REGRAS_CST!$A$2:$D$200,4,FALSE),""))</f>
        <v/>
      </c>
      <c r="R198" s="4"/>
      <c r="S198" s="9">
        <f>IF($H198="","",$H198*(1-$U198))</f>
        <v>8.9999999999999993E-3</v>
      </c>
      <c r="T198" s="9">
        <f>IF($I198="","",$I198*(1-$U198))</f>
        <v>1E-3</v>
      </c>
      <c r="U198" s="16">
        <f>IFERROR(INDEX(BASE_CCLASSTRIB!$E:$E, MATCH(TEXT($D198,"000000"), BASE_CCLASSTRIB!$A:$A, 0))/100, 0)</f>
        <v>0</v>
      </c>
      <c r="V198" s="16">
        <f>IFERROR(INDEX(BASE_CCLASSTRIB!$F:$F, MATCH(TEXT($D198,"000000"), BASE_CCLASSTRIB!$A:$A, 0))/100, 0)</f>
        <v>0</v>
      </c>
    </row>
    <row r="199" spans="4:22" ht="32.25" customHeight="1">
      <c r="D199" s="40"/>
      <c r="E199" s="27" t="str">
        <f>IF(D199="","",LEFT(D199,3))</f>
        <v/>
      </c>
      <c r="F199" s="28" t="str">
        <f>IF(E199="","",IFERROR(VLOOKUP(E199,REGRAS_CST!$A$2:$B$200,2,FALSE),""))</f>
        <v/>
      </c>
      <c r="H199" s="29">
        <v>8.9999999999999993E-3</v>
      </c>
      <c r="I199" s="29">
        <v>1E-3</v>
      </c>
      <c r="J199" s="4"/>
      <c r="K199" s="21" t="str">
        <f>IF(E199="","",IFERROR(VLOOKUP(E199,REGRAS_CST!$A$2:$C$200,3,FALSE),""))</f>
        <v/>
      </c>
      <c r="L199" s="23" t="str">
        <f>IF($G199="", "", $G199*(1-$V199))</f>
        <v/>
      </c>
      <c r="M199" s="24" t="str">
        <f>IF(OR($L199="",$S199=""),"",$L199*$S199)</f>
        <v/>
      </c>
      <c r="N199" s="24" t="str">
        <f>IF(OR($L199="",$T199=""),"",$L199*$T199)</f>
        <v/>
      </c>
      <c r="O199" s="15" t="str">
        <f>IF(D199="","",
IF(AND(K199&lt;&gt;"SIM",V199&gt;0),"ERRO: % BC &gt; 0, mas NÃO permitida ❌",
IF(AND(K199="SIM",V199=0),"ATENÇÃO: BC permitida, mas % = 0 🔎",
"Base de cálculo aplicada corretamente ✅")))</f>
        <v/>
      </c>
      <c r="P199" s="31" t="str">
        <f>IF(D199="","",
IF(AND(Q199&lt;&gt;"SIM",U199&gt;0),"ERRO: % alíquota &gt; 0, mas NÃO permitida ❌",
IF(AND(Q199="SIM",U199=0),"ATENÇÃO: alíquota permitida, mas % = 0 🔎",
"Alíquota aplicada corretamente ✅")))</f>
        <v/>
      </c>
      <c r="Q199" s="8" t="str">
        <f>IF(E199="","",IFERROR(VLOOKUP(E199,REGRAS_CST!$A$2:$D$200,4,FALSE),""))</f>
        <v/>
      </c>
      <c r="R199" s="4"/>
      <c r="S199" s="9">
        <f>IF($H199="","",$H199*(1-$U199))</f>
        <v>8.9999999999999993E-3</v>
      </c>
      <c r="T199" s="9">
        <f>IF($I199="","",$I199*(1-$U199))</f>
        <v>1E-3</v>
      </c>
      <c r="U199" s="16">
        <f>IFERROR(INDEX(BASE_CCLASSTRIB!$E:$E, MATCH(TEXT($D199,"000000"), BASE_CCLASSTRIB!$A:$A, 0))/100, 0)</f>
        <v>0</v>
      </c>
      <c r="V199" s="16">
        <f>IFERROR(INDEX(BASE_CCLASSTRIB!$F:$F, MATCH(TEXT($D199,"000000"), BASE_CCLASSTRIB!$A:$A, 0))/100, 0)</f>
        <v>0</v>
      </c>
    </row>
    <row r="200" spans="4:22" ht="32.25" customHeight="1">
      <c r="D200" s="40"/>
      <c r="E200" s="27" t="str">
        <f>IF(D200="","",LEFT(D200,3))</f>
        <v/>
      </c>
      <c r="F200" s="28" t="str">
        <f>IF(E200="","",IFERROR(VLOOKUP(E200,REGRAS_CST!$A$2:$B$200,2,FALSE),""))</f>
        <v/>
      </c>
      <c r="H200" s="29">
        <v>8.9999999999999993E-3</v>
      </c>
      <c r="I200" s="29">
        <v>1E-3</v>
      </c>
      <c r="J200" s="4"/>
      <c r="K200" s="21" t="str">
        <f>IF(E200="","",IFERROR(VLOOKUP(E200,REGRAS_CST!$A$2:$C$200,3,FALSE),""))</f>
        <v/>
      </c>
      <c r="L200" s="23" t="str">
        <f>IF($G200="", "", $G200*(1-$V200))</f>
        <v/>
      </c>
      <c r="M200" s="24" t="str">
        <f>IF(OR($L200="",$S200=""),"",$L200*$S200)</f>
        <v/>
      </c>
      <c r="N200" s="24" t="str">
        <f>IF(OR($L200="",$T200=""),"",$L200*$T200)</f>
        <v/>
      </c>
      <c r="O200" s="15" t="str">
        <f>IF(D200="","",
IF(AND(K200&lt;&gt;"SIM",V200&gt;0),"ERRO: % BC &gt; 0, mas NÃO permitida ❌",
IF(AND(K200="SIM",V200=0),"ATENÇÃO: BC permitida, mas % = 0 🔎",
"Base de cálculo aplicada corretamente ✅")))</f>
        <v/>
      </c>
      <c r="P200" s="31" t="str">
        <f>IF(D200="","",
IF(AND(Q200&lt;&gt;"SIM",U200&gt;0),"ERRO: % alíquota &gt; 0, mas NÃO permitida ❌",
IF(AND(Q200="SIM",U200=0),"ATENÇÃO: alíquota permitida, mas % = 0 🔎",
"Alíquota aplicada corretamente ✅")))</f>
        <v/>
      </c>
      <c r="Q200" s="8" t="str">
        <f>IF(E200="","",IFERROR(VLOOKUP(E200,REGRAS_CST!$A$2:$D$200,4,FALSE),""))</f>
        <v/>
      </c>
      <c r="R200" s="4"/>
      <c r="S200" s="9">
        <f>IF($H200="","",$H200*(1-$U200))</f>
        <v>8.9999999999999993E-3</v>
      </c>
      <c r="T200" s="9">
        <f>IF($I200="","",$I200*(1-$U200))</f>
        <v>1E-3</v>
      </c>
      <c r="U200" s="16">
        <f>IFERROR(INDEX(BASE_CCLASSTRIB!$E:$E, MATCH(TEXT($D200,"000000"), BASE_CCLASSTRIB!$A:$A, 0))/100, 0)</f>
        <v>0</v>
      </c>
      <c r="V200" s="16">
        <f>IFERROR(INDEX(BASE_CCLASSTRIB!$F:$F, MATCH(TEXT($D200,"000000"), BASE_CCLASSTRIB!$A:$A, 0))/100, 0)</f>
        <v>0</v>
      </c>
    </row>
    <row r="201" spans="4:22" ht="32.25" customHeight="1">
      <c r="D201" s="39"/>
      <c r="E201" s="27" t="str">
        <f>IF(D201="","",LEFT(D201,3))</f>
        <v/>
      </c>
      <c r="F201" s="28" t="str">
        <f>IF(E201="","",IFERROR(VLOOKUP(E201,REGRAS_CST!$A$2:$B$200,2,FALSE),""))</f>
        <v/>
      </c>
      <c r="H201" s="29">
        <v>8.9999999999999993E-3</v>
      </c>
      <c r="I201" s="29">
        <v>1E-3</v>
      </c>
      <c r="J201" s="4"/>
      <c r="K201" s="21" t="str">
        <f>IF(E201="","",IFERROR(VLOOKUP(E201,REGRAS_CST!$A$2:$C$200,3,FALSE),""))</f>
        <v/>
      </c>
      <c r="L201" s="23" t="str">
        <f>IF($G201="", "", $G201*(1-$V201))</f>
        <v/>
      </c>
      <c r="M201" s="24" t="str">
        <f>IF(OR($L201="",$S201=""),"",$L201*$S201)</f>
        <v/>
      </c>
      <c r="N201" s="24" t="str">
        <f>IF(OR($L201="",$T201=""),"",$L201*$T201)</f>
        <v/>
      </c>
      <c r="O201" s="15" t="str">
        <f>IF(D201="","",
IF(AND(K201&lt;&gt;"SIM",V201&gt;0),"ERRO: % BC &gt; 0, mas NÃO permitida ❌",
IF(AND(K201="SIM",V201=0),"ATENÇÃO: BC permitida, mas % = 0 🔎",
"Base de cálculo aplicada corretamente ✅")))</f>
        <v/>
      </c>
      <c r="P201" s="31" t="str">
        <f>IF(D201="","",
IF(AND(Q201&lt;&gt;"SIM",U201&gt;0),"ERRO: % alíquota &gt; 0, mas NÃO permitida ❌",
IF(AND(Q201="SIM",U201=0),"ATENÇÃO: alíquota permitida, mas % = 0 🔎",
"Alíquota aplicada corretamente ✅")))</f>
        <v/>
      </c>
      <c r="Q201" s="8" t="str">
        <f>IF(E201="","",IFERROR(VLOOKUP(E201,REGRAS_CST!$A$2:$D$200,4,FALSE),""))</f>
        <v/>
      </c>
      <c r="R201" s="4"/>
      <c r="S201" s="9">
        <f>IF($H201="","",$H201*(1-$U201))</f>
        <v>8.9999999999999993E-3</v>
      </c>
      <c r="T201" s="9">
        <f>IF($I201="","",$I201*(1-$U201))</f>
        <v>1E-3</v>
      </c>
      <c r="U201" s="16">
        <f>IFERROR(INDEX(BASE_CCLASSTRIB!$E:$E, MATCH(TEXT($D201,"000000"), BASE_CCLASSTRIB!$A:$A, 0))/100, 0)</f>
        <v>0</v>
      </c>
      <c r="V201" s="16">
        <f>IFERROR(INDEX(BASE_CCLASSTRIB!$F:$F, MATCH(TEXT($D201,"000000"), BASE_CCLASSTRIB!$A:$A, 0))/100, 0)</f>
        <v>0</v>
      </c>
    </row>
    <row r="202" spans="4:22" ht="32.25" customHeight="1">
      <c r="D202" s="40"/>
      <c r="E202" s="27" t="str">
        <f>IF(D202="","",LEFT(D202,3))</f>
        <v/>
      </c>
      <c r="F202" s="28" t="str">
        <f>IF(E202="","",IFERROR(VLOOKUP(E202,REGRAS_CST!$A$2:$B$200,2,FALSE),""))</f>
        <v/>
      </c>
      <c r="H202" s="29">
        <v>8.9999999999999993E-3</v>
      </c>
      <c r="I202" s="29">
        <v>1E-3</v>
      </c>
      <c r="K202" s="21" t="str">
        <f>IF(E202="","",IFERROR(VLOOKUP(E202,REGRAS_CST!$A$2:$C$200,3,FALSE),""))</f>
        <v/>
      </c>
      <c r="L202" s="23" t="str">
        <f>IF($G202="", "", $G202*(1-$V202))</f>
        <v/>
      </c>
      <c r="M202" s="24" t="str">
        <f>IF(OR($L202="",$S202=""),"",$L202*$S202)</f>
        <v/>
      </c>
      <c r="N202" s="24" t="str">
        <f>IF(OR($L202="",$T202=""),"",$L202*$T202)</f>
        <v/>
      </c>
      <c r="O202" s="15" t="str">
        <f>IF(D202="","",
IF(AND(K202&lt;&gt;"SIM",V202&gt;0),"ERRO: % BC &gt; 0, mas NÃO permitida ❌",
IF(AND(K202="SIM",V202=0),"ATENÇÃO: BC permitida, mas % = 0 🔎",
"Base de cálculo aplicada corretamente ✅")))</f>
        <v/>
      </c>
      <c r="P202" s="31" t="str">
        <f>IF(D202="","",
IF(AND(Q202&lt;&gt;"SIM",U202&gt;0),"ERRO: % alíquota &gt; 0, mas NÃO permitida ❌",
IF(AND(Q202="SIM",U202=0),"ATENÇÃO: alíquota permitida, mas % = 0 🔎",
"Alíquota aplicada corretamente ✅")))</f>
        <v/>
      </c>
      <c r="Q202" s="8" t="str">
        <f>IF(E202="","",IFERROR(VLOOKUP(E202,REGRAS_CST!$A$2:$D$200,4,FALSE),""))</f>
        <v/>
      </c>
      <c r="S202" s="9">
        <f>IF($H202="","",$H202*(1-$U202))</f>
        <v>8.9999999999999993E-3</v>
      </c>
      <c r="T202" s="9">
        <f>IF($I202="","",$I202*(1-$U202))</f>
        <v>1E-3</v>
      </c>
      <c r="U202" s="16">
        <f>IFERROR(INDEX(BASE_CCLASSTRIB!$E:$E, MATCH(TEXT($D202,"000000"), BASE_CCLASSTRIB!$A:$A, 0))/100, 0)</f>
        <v>0</v>
      </c>
      <c r="V202" s="16">
        <f>IFERROR(INDEX(BASE_CCLASSTRIB!$F:$F, MATCH(TEXT($D202,"000000"), BASE_CCLASSTRIB!$A:$A, 0))/100, 0)</f>
        <v>0</v>
      </c>
    </row>
    <row r="203" spans="4:22" ht="32.25" customHeight="1">
      <c r="D203" s="40"/>
      <c r="E203" s="27" t="str">
        <f>IF(D203="","",LEFT(D203,3))</f>
        <v/>
      </c>
      <c r="F203" s="28" t="str">
        <f>IF(E203="","",IFERROR(VLOOKUP(E203,REGRAS_CST!$A$2:$B$200,2,FALSE),""))</f>
        <v/>
      </c>
      <c r="H203" s="29">
        <v>8.9999999999999993E-3</v>
      </c>
      <c r="I203" s="29">
        <v>1E-3</v>
      </c>
      <c r="K203" s="21" t="str">
        <f>IF(E203="","",IFERROR(VLOOKUP(E203,REGRAS_CST!$A$2:$C$200,3,FALSE),""))</f>
        <v/>
      </c>
      <c r="L203" s="23" t="str">
        <f>IF($G203="", "", $G203*(1-$V203))</f>
        <v/>
      </c>
      <c r="M203" s="24" t="str">
        <f>IF(OR($L203="",$S203=""),"",$L203*$S203)</f>
        <v/>
      </c>
      <c r="N203" s="24" t="str">
        <f>IF(OR($L203="",$T203=""),"",$L203*$T203)</f>
        <v/>
      </c>
      <c r="O203" s="15" t="str">
        <f>IF(D203="","",
IF(AND(K203&lt;&gt;"SIM",V203&gt;0),"ERRO: % BC &gt; 0, mas NÃO permitida ❌",
IF(AND(K203="SIM",V203=0),"ATENÇÃO: BC permitida, mas % = 0 🔎",
"Base de cálculo aplicada corretamente ✅")))</f>
        <v/>
      </c>
      <c r="P203" s="31" t="str">
        <f>IF(D203="","",
IF(AND(Q203&lt;&gt;"SIM",U203&gt;0),"ERRO: % alíquota &gt; 0, mas NÃO permitida ❌",
IF(AND(Q203="SIM",U203=0),"ATENÇÃO: alíquota permitida, mas % = 0 🔎",
"Alíquota aplicada corretamente ✅")))</f>
        <v/>
      </c>
      <c r="Q203" s="8" t="str">
        <f>IF(E203="","",IFERROR(VLOOKUP(E203,REGRAS_CST!$A$2:$D$200,4,FALSE),""))</f>
        <v/>
      </c>
      <c r="S203" s="9">
        <f>IF($H203="","",$H203*(1-$U203))</f>
        <v>8.9999999999999993E-3</v>
      </c>
      <c r="T203" s="9">
        <f>IF($I203="","",$I203*(1-$U203))</f>
        <v>1E-3</v>
      </c>
      <c r="U203" s="16">
        <f>IFERROR(INDEX(BASE_CCLASSTRIB!$E:$E, MATCH(TEXT($D203,"000000"), BASE_CCLASSTRIB!$A:$A, 0))/100, 0)</f>
        <v>0</v>
      </c>
      <c r="V203" s="16">
        <f>IFERROR(INDEX(BASE_CCLASSTRIB!$F:$F, MATCH(TEXT($D203,"000000"), BASE_CCLASSTRIB!$A:$A, 0))/100, 0)</f>
        <v>0</v>
      </c>
    </row>
    <row r="204" spans="4:22" ht="32.25" customHeight="1">
      <c r="D204" s="40"/>
      <c r="E204" s="27" t="str">
        <f>IF(D204="","",LEFT(D204,3))</f>
        <v/>
      </c>
      <c r="F204" s="28" t="str">
        <f>IF(E204="","",IFERROR(VLOOKUP(E204,REGRAS_CST!$A$2:$B$200,2,FALSE),""))</f>
        <v/>
      </c>
      <c r="H204" s="29">
        <v>8.9999999999999993E-3</v>
      </c>
      <c r="I204" s="29">
        <v>1E-3</v>
      </c>
      <c r="K204" s="21" t="str">
        <f>IF(E204="","",IFERROR(VLOOKUP(E204,REGRAS_CST!$A$2:$C$200,3,FALSE),""))</f>
        <v/>
      </c>
      <c r="L204" s="23" t="str">
        <f>IF($G204="", "", $G204*(1-$V204))</f>
        <v/>
      </c>
      <c r="M204" s="24" t="str">
        <f>IF(OR($L204="",$S204=""),"",$L204*$S204)</f>
        <v/>
      </c>
      <c r="N204" s="24" t="str">
        <f>IF(OR($L204="",$T204=""),"",$L204*$T204)</f>
        <v/>
      </c>
      <c r="O204" s="15" t="str">
        <f>IF(D204="","",
IF(AND(K204&lt;&gt;"SIM",V204&gt;0),"ERRO: % BC &gt; 0, mas NÃO permitida ❌",
IF(AND(K204="SIM",V204=0),"ATENÇÃO: BC permitida, mas % = 0 🔎",
"Base de cálculo aplicada corretamente ✅")))</f>
        <v/>
      </c>
      <c r="P204" s="31" t="str">
        <f>IF(D204="","",
IF(AND(Q204&lt;&gt;"SIM",U204&gt;0),"ERRO: % alíquota &gt; 0, mas NÃO permitida ❌",
IF(AND(Q204="SIM",U204=0),"ATENÇÃO: alíquota permitida, mas % = 0 🔎",
"Alíquota aplicada corretamente ✅")))</f>
        <v/>
      </c>
      <c r="Q204" s="8" t="str">
        <f>IF(E204="","",IFERROR(VLOOKUP(E204,REGRAS_CST!$A$2:$D$200,4,FALSE),""))</f>
        <v/>
      </c>
      <c r="S204" s="9">
        <f>IF($H204="","",$H204*(1-$U204))</f>
        <v>8.9999999999999993E-3</v>
      </c>
      <c r="T204" s="9">
        <f>IF($I204="","",$I204*(1-$U204))</f>
        <v>1E-3</v>
      </c>
      <c r="U204" s="16">
        <f>IFERROR(INDEX(BASE_CCLASSTRIB!$E:$E, MATCH(TEXT($D204,"000000"), BASE_CCLASSTRIB!$A:$A, 0))/100, 0)</f>
        <v>0</v>
      </c>
      <c r="V204" s="16">
        <f>IFERROR(INDEX(BASE_CCLASSTRIB!$F:$F, MATCH(TEXT($D204,"000000"), BASE_CCLASSTRIB!$A:$A, 0))/100, 0)</f>
        <v>0</v>
      </c>
    </row>
    <row r="205" spans="4:22" ht="32.25" customHeight="1">
      <c r="D205" s="40"/>
      <c r="E205" s="27" t="str">
        <f>IF(D205="","",LEFT(D205,3))</f>
        <v/>
      </c>
      <c r="F205" s="28" t="str">
        <f>IF(E205="","",IFERROR(VLOOKUP(E205,REGRAS_CST!$A$2:$B$200,2,FALSE),""))</f>
        <v/>
      </c>
      <c r="H205" s="29">
        <v>8.9999999999999993E-3</v>
      </c>
      <c r="I205" s="29">
        <v>1E-3</v>
      </c>
      <c r="K205" s="21" t="str">
        <f>IF(E205="","",IFERROR(VLOOKUP(E205,REGRAS_CST!$A$2:$C$200,3,FALSE),""))</f>
        <v/>
      </c>
      <c r="L205" s="23" t="str">
        <f>IF($G205="", "", $G205*(1-$V205))</f>
        <v/>
      </c>
      <c r="M205" s="24" t="str">
        <f>IF(OR($L205="",$S205=""),"",$L205*$S205)</f>
        <v/>
      </c>
      <c r="N205" s="24" t="str">
        <f>IF(OR($L205="",$T205=""),"",$L205*$T205)</f>
        <v/>
      </c>
      <c r="O205" s="15" t="str">
        <f>IF(D205="","",
IF(AND(K205&lt;&gt;"SIM",V205&gt;0),"ERRO: % BC &gt; 0, mas NÃO permitida ❌",
IF(AND(K205="SIM",V205=0),"ATENÇÃO: BC permitida, mas % = 0 🔎",
"Base de cálculo aplicada corretamente ✅")))</f>
        <v/>
      </c>
      <c r="P205" s="31" t="str">
        <f>IF(D205="","",
IF(AND(Q205&lt;&gt;"SIM",U205&gt;0),"ERRO: % alíquota &gt; 0, mas NÃO permitida ❌",
IF(AND(Q205="SIM",U205=0),"ATENÇÃO: alíquota permitida, mas % = 0 🔎",
"Alíquota aplicada corretamente ✅")))</f>
        <v/>
      </c>
      <c r="Q205" s="8" t="str">
        <f>IF(E205="","",IFERROR(VLOOKUP(E205,REGRAS_CST!$A$2:$D$200,4,FALSE),""))</f>
        <v/>
      </c>
      <c r="S205" s="9">
        <f>IF($H205="","",$H205*(1-$U205))</f>
        <v>8.9999999999999993E-3</v>
      </c>
      <c r="T205" s="9">
        <f>IF($I205="","",$I205*(1-$U205))</f>
        <v>1E-3</v>
      </c>
      <c r="U205" s="16">
        <f>IFERROR(INDEX(BASE_CCLASSTRIB!$E:$E, MATCH(TEXT($D205,"000000"), BASE_CCLASSTRIB!$A:$A, 0))/100, 0)</f>
        <v>0</v>
      </c>
      <c r="V205" s="16">
        <f>IFERROR(INDEX(BASE_CCLASSTRIB!$F:$F, MATCH(TEXT($D205,"000000"), BASE_CCLASSTRIB!$A:$A, 0))/100, 0)</f>
        <v>0</v>
      </c>
    </row>
    <row r="206" spans="4:22" ht="32.25" customHeight="1">
      <c r="D206" s="39"/>
      <c r="E206" s="27" t="str">
        <f>IF(D206="","",LEFT(D206,3))</f>
        <v/>
      </c>
      <c r="F206" s="28" t="str">
        <f>IF(E206="","",IFERROR(VLOOKUP(E206,REGRAS_CST!$A$2:$B$200,2,FALSE),""))</f>
        <v/>
      </c>
      <c r="H206" s="29">
        <v>8.9999999999999993E-3</v>
      </c>
      <c r="I206" s="29">
        <v>1E-3</v>
      </c>
      <c r="K206" s="21" t="str">
        <f>IF(E206="","",IFERROR(VLOOKUP(E206,REGRAS_CST!$A$2:$C$200,3,FALSE),""))</f>
        <v/>
      </c>
      <c r="L206" s="23" t="str">
        <f>IF($G206="", "", $G206*(1-$V206))</f>
        <v/>
      </c>
      <c r="M206" s="24" t="str">
        <f>IF(OR($L206="",$S206=""),"",$L206*$S206)</f>
        <v/>
      </c>
      <c r="N206" s="24" t="str">
        <f>IF(OR($L206="",$T206=""),"",$L206*$T206)</f>
        <v/>
      </c>
      <c r="O206" s="15" t="str">
        <f>IF(D206="","",
IF(AND(K206&lt;&gt;"SIM",V206&gt;0),"ERRO: % BC &gt; 0, mas NÃO permitida ❌",
IF(AND(K206="SIM",V206=0),"ATENÇÃO: BC permitida, mas % = 0 🔎",
"Base de cálculo aplicada corretamente ✅")))</f>
        <v/>
      </c>
      <c r="P206" s="31" t="str">
        <f>IF(D206="","",
IF(AND(Q206&lt;&gt;"SIM",U206&gt;0),"ERRO: % alíquota &gt; 0, mas NÃO permitida ❌",
IF(AND(Q206="SIM",U206=0),"ATENÇÃO: alíquota permitida, mas % = 0 🔎",
"Alíquota aplicada corretamente ✅")))</f>
        <v/>
      </c>
      <c r="Q206" s="8" t="str">
        <f>IF(E206="","",IFERROR(VLOOKUP(E206,REGRAS_CST!$A$2:$D$200,4,FALSE),""))</f>
        <v/>
      </c>
      <c r="S206" s="9">
        <f>IF($H206="","",$H206*(1-$U206))</f>
        <v>8.9999999999999993E-3</v>
      </c>
      <c r="T206" s="9">
        <f>IF($I206="","",$I206*(1-$U206))</f>
        <v>1E-3</v>
      </c>
      <c r="U206" s="16">
        <f>IFERROR(INDEX(BASE_CCLASSTRIB!$E:$E, MATCH(TEXT($D206,"000000"), BASE_CCLASSTRIB!$A:$A, 0))/100, 0)</f>
        <v>0</v>
      </c>
      <c r="V206" s="16">
        <f>IFERROR(INDEX(BASE_CCLASSTRIB!$F:$F, MATCH(TEXT($D206,"000000"), BASE_CCLASSTRIB!$A:$A, 0))/100, 0)</f>
        <v>0</v>
      </c>
    </row>
    <row r="207" spans="4:22" ht="32.25" customHeight="1">
      <c r="D207" s="40"/>
      <c r="E207" s="27" t="str">
        <f>IF(D207="","",LEFT(D207,3))</f>
        <v/>
      </c>
      <c r="F207" s="28" t="str">
        <f>IF(E207="","",IFERROR(VLOOKUP(E207,REGRAS_CST!$A$2:$B$200,2,FALSE),""))</f>
        <v/>
      </c>
      <c r="H207" s="29">
        <v>8.9999999999999993E-3</v>
      </c>
      <c r="I207" s="29">
        <v>1E-3</v>
      </c>
      <c r="K207" s="21" t="str">
        <f>IF(E207="","",IFERROR(VLOOKUP(E207,REGRAS_CST!$A$2:$C$200,3,FALSE),""))</f>
        <v/>
      </c>
      <c r="L207" s="23" t="str">
        <f>IF($G207="", "", $G207*(1-$V207))</f>
        <v/>
      </c>
      <c r="M207" s="24" t="str">
        <f>IF(OR($L207="",$S207=""),"",$L207*$S207)</f>
        <v/>
      </c>
      <c r="N207" s="24" t="str">
        <f>IF(OR($L207="",$T207=""),"",$L207*$T207)</f>
        <v/>
      </c>
      <c r="O207" s="15" t="str">
        <f>IF(D207="","",
IF(AND(K207&lt;&gt;"SIM",V207&gt;0),"ERRO: % BC &gt; 0, mas NÃO permitida ❌",
IF(AND(K207="SIM",V207=0),"ATENÇÃO: BC permitida, mas % = 0 🔎",
"Base de cálculo aplicada corretamente ✅")))</f>
        <v/>
      </c>
      <c r="P207" s="31" t="str">
        <f>IF(D207="","",
IF(AND(Q207&lt;&gt;"SIM",U207&gt;0),"ERRO: % alíquota &gt; 0, mas NÃO permitida ❌",
IF(AND(Q207="SIM",U207=0),"ATENÇÃO: alíquota permitida, mas % = 0 🔎",
"Alíquota aplicada corretamente ✅")))</f>
        <v/>
      </c>
      <c r="Q207" s="8" t="str">
        <f>IF(E207="","",IFERROR(VLOOKUP(E207,REGRAS_CST!$A$2:$D$200,4,FALSE),""))</f>
        <v/>
      </c>
      <c r="S207" s="9">
        <f>IF($H207="","",$H207*(1-$U207))</f>
        <v>8.9999999999999993E-3</v>
      </c>
      <c r="T207" s="9">
        <f>IF($I207="","",$I207*(1-$U207))</f>
        <v>1E-3</v>
      </c>
      <c r="U207" s="16">
        <f>IFERROR(INDEX(BASE_CCLASSTRIB!$E:$E, MATCH(TEXT($D207,"000000"), BASE_CCLASSTRIB!$A:$A, 0))/100, 0)</f>
        <v>0</v>
      </c>
      <c r="V207" s="16">
        <f>IFERROR(INDEX(BASE_CCLASSTRIB!$F:$F, MATCH(TEXT($D207,"000000"), BASE_CCLASSTRIB!$A:$A, 0))/100, 0)</f>
        <v>0</v>
      </c>
    </row>
    <row r="208" spans="4:22" ht="32.25" customHeight="1">
      <c r="D208" s="39"/>
      <c r="E208" s="27" t="str">
        <f>IF(D208="","",LEFT(D208,3))</f>
        <v/>
      </c>
      <c r="F208" s="28" t="str">
        <f>IF(E208="","",IFERROR(VLOOKUP(E208,REGRAS_CST!$A$2:$B$200,2,FALSE),""))</f>
        <v/>
      </c>
      <c r="H208" s="29">
        <v>8.9999999999999993E-3</v>
      </c>
      <c r="I208" s="29">
        <v>1E-3</v>
      </c>
      <c r="K208" s="21" t="str">
        <f>IF(E208="","",IFERROR(VLOOKUP(E208,REGRAS_CST!$A$2:$C$200,3,FALSE),""))</f>
        <v/>
      </c>
      <c r="L208" s="23" t="str">
        <f>IF($G208="", "", $G208*(1-$V208))</f>
        <v/>
      </c>
      <c r="M208" s="24" t="str">
        <f>IF(OR($L208="",$S208=""),"",$L208*$S208)</f>
        <v/>
      </c>
      <c r="N208" s="24" t="str">
        <f>IF(OR($L208="",$T208=""),"",$L208*$T208)</f>
        <v/>
      </c>
      <c r="O208" s="15" t="str">
        <f>IF(D208="","",
IF(AND(K208&lt;&gt;"SIM",V208&gt;0),"ERRO: % BC &gt; 0, mas NÃO permitida ❌",
IF(AND(K208="SIM",V208=0),"ATENÇÃO: BC permitida, mas % = 0 🔎",
"Base de cálculo aplicada corretamente ✅")))</f>
        <v/>
      </c>
      <c r="P208" s="31" t="str">
        <f>IF(D208="","",
IF(AND(Q208&lt;&gt;"SIM",U208&gt;0),"ERRO: % alíquota &gt; 0, mas NÃO permitida ❌",
IF(AND(Q208="SIM",U208=0),"ATENÇÃO: alíquota permitida, mas % = 0 🔎",
"Alíquota aplicada corretamente ✅")))</f>
        <v/>
      </c>
      <c r="Q208" s="8" t="str">
        <f>IF(E208="","",IFERROR(VLOOKUP(E208,REGRAS_CST!$A$2:$D$200,4,FALSE),""))</f>
        <v/>
      </c>
      <c r="S208" s="9">
        <f>IF($H208="","",$H208*(1-$U208))</f>
        <v>8.9999999999999993E-3</v>
      </c>
      <c r="T208" s="9">
        <f>IF($I208="","",$I208*(1-$U208))</f>
        <v>1E-3</v>
      </c>
      <c r="U208" s="16">
        <f>IFERROR(INDEX(BASE_CCLASSTRIB!$E:$E, MATCH(TEXT($D208,"000000"), BASE_CCLASSTRIB!$A:$A, 0))/100, 0)</f>
        <v>0</v>
      </c>
      <c r="V208" s="16">
        <f>IFERROR(INDEX(BASE_CCLASSTRIB!$F:$F, MATCH(TEXT($D208,"000000"), BASE_CCLASSTRIB!$A:$A, 0))/100, 0)</f>
        <v>0</v>
      </c>
    </row>
    <row r="209" spans="4:22" ht="32.25" customHeight="1">
      <c r="D209" s="40"/>
      <c r="E209" s="27" t="str">
        <f>IF(D209="","",LEFT(D209,3))</f>
        <v/>
      </c>
      <c r="F209" s="28" t="str">
        <f>IF(E209="","",IFERROR(VLOOKUP(E209,REGRAS_CST!$A$2:$B$200,2,FALSE),""))</f>
        <v/>
      </c>
      <c r="H209" s="29">
        <v>8.9999999999999993E-3</v>
      </c>
      <c r="I209" s="29">
        <v>1E-3</v>
      </c>
      <c r="K209" s="21" t="str">
        <f>IF(E209="","",IFERROR(VLOOKUP(E209,REGRAS_CST!$A$2:$C$200,3,FALSE),""))</f>
        <v/>
      </c>
      <c r="L209" s="23" t="str">
        <f>IF($G209="", "", $G209*(1-$V209))</f>
        <v/>
      </c>
      <c r="M209" s="24" t="str">
        <f>IF(OR($L209="",$S209=""),"",$L209*$S209)</f>
        <v/>
      </c>
      <c r="N209" s="24" t="str">
        <f>IF(OR($L209="",$T209=""),"",$L209*$T209)</f>
        <v/>
      </c>
      <c r="O209" s="15" t="str">
        <f>IF(D209="","",
IF(AND(K209&lt;&gt;"SIM",V209&gt;0),"ERRO: % BC &gt; 0, mas NÃO permitida ❌",
IF(AND(K209="SIM",V209=0),"ATENÇÃO: BC permitida, mas % = 0 🔎",
"Base de cálculo aplicada corretamente ✅")))</f>
        <v/>
      </c>
      <c r="P209" s="31" t="str">
        <f>IF(D209="","",
IF(AND(Q209&lt;&gt;"SIM",U209&gt;0),"ERRO: % alíquota &gt; 0, mas NÃO permitida ❌",
IF(AND(Q209="SIM",U209=0),"ATENÇÃO: alíquota permitida, mas % = 0 🔎",
"Alíquota aplicada corretamente ✅")))</f>
        <v/>
      </c>
      <c r="Q209" s="8" t="str">
        <f>IF(E209="","",IFERROR(VLOOKUP(E209,REGRAS_CST!$A$2:$D$200,4,FALSE),""))</f>
        <v/>
      </c>
      <c r="S209" s="9">
        <f>IF($H209="","",$H209*(1-$U209))</f>
        <v>8.9999999999999993E-3</v>
      </c>
      <c r="T209" s="9">
        <f>IF($I209="","",$I209*(1-$U209))</f>
        <v>1E-3</v>
      </c>
      <c r="U209" s="16">
        <f>IFERROR(INDEX(BASE_CCLASSTRIB!$E:$E, MATCH(TEXT($D209,"000000"), BASE_CCLASSTRIB!$A:$A, 0))/100, 0)</f>
        <v>0</v>
      </c>
      <c r="V209" s="16">
        <f>IFERROR(INDEX(BASE_CCLASSTRIB!$F:$F, MATCH(TEXT($D209,"000000"), BASE_CCLASSTRIB!$A:$A, 0))/100, 0)</f>
        <v>0</v>
      </c>
    </row>
    <row r="210" spans="4:22" ht="32.25" customHeight="1">
      <c r="D210" s="40"/>
      <c r="E210" s="27" t="str">
        <f>IF(D210="","",LEFT(D210,3))</f>
        <v/>
      </c>
      <c r="F210" s="28" t="str">
        <f>IF(E210="","",IFERROR(VLOOKUP(E210,REGRAS_CST!$A$2:$B$200,2,FALSE),""))</f>
        <v/>
      </c>
      <c r="H210" s="29">
        <v>8.9999999999999993E-3</v>
      </c>
      <c r="I210" s="29">
        <v>1E-3</v>
      </c>
      <c r="K210" s="21" t="str">
        <f>IF(E210="","",IFERROR(VLOOKUP(E210,REGRAS_CST!$A$2:$C$200,3,FALSE),""))</f>
        <v/>
      </c>
      <c r="L210" s="23" t="str">
        <f>IF($G210="", "", $G210*(1-$V210))</f>
        <v/>
      </c>
      <c r="M210" s="24" t="str">
        <f>IF(OR($L210="",$S210=""),"",$L210*$S210)</f>
        <v/>
      </c>
      <c r="N210" s="24" t="str">
        <f>IF(OR($L210="",$T210=""),"",$L210*$T210)</f>
        <v/>
      </c>
      <c r="O210" s="15" t="str">
        <f>IF(D210="","",
IF(AND(K210&lt;&gt;"SIM",V210&gt;0),"ERRO: % BC &gt; 0, mas NÃO permitida ❌",
IF(AND(K210="SIM",V210=0),"ATENÇÃO: BC permitida, mas % = 0 🔎",
"Base de cálculo aplicada corretamente ✅")))</f>
        <v/>
      </c>
      <c r="P210" s="31" t="str">
        <f>IF(D210="","",
IF(AND(Q210&lt;&gt;"SIM",U210&gt;0),"ERRO: % alíquota &gt; 0, mas NÃO permitida ❌",
IF(AND(Q210="SIM",U210=0),"ATENÇÃO: alíquota permitida, mas % = 0 🔎",
"Alíquota aplicada corretamente ✅")))</f>
        <v/>
      </c>
      <c r="Q210" s="8" t="str">
        <f>IF(E210="","",IFERROR(VLOOKUP(E210,REGRAS_CST!$A$2:$D$200,4,FALSE),""))</f>
        <v/>
      </c>
      <c r="S210" s="9">
        <f>IF($H210="","",$H210*(1-$U210))</f>
        <v>8.9999999999999993E-3</v>
      </c>
      <c r="T210" s="9">
        <f>IF($I210="","",$I210*(1-$U210))</f>
        <v>1E-3</v>
      </c>
      <c r="U210" s="16">
        <f>IFERROR(INDEX(BASE_CCLASSTRIB!$E:$E, MATCH(TEXT($D210,"000000"), BASE_CCLASSTRIB!$A:$A, 0))/100, 0)</f>
        <v>0</v>
      </c>
      <c r="V210" s="16">
        <f>IFERROR(INDEX(BASE_CCLASSTRIB!$F:$F, MATCH(TEXT($D210,"000000"), BASE_CCLASSTRIB!$A:$A, 0))/100, 0)</f>
        <v>0</v>
      </c>
    </row>
    <row r="211" spans="4:22" ht="32.25" customHeight="1">
      <c r="D211" s="39"/>
      <c r="E211" s="27" t="str">
        <f>IF(D211="","",LEFT(D211,3))</f>
        <v/>
      </c>
      <c r="F211" s="28" t="str">
        <f>IF(E211="","",IFERROR(VLOOKUP(E211,REGRAS_CST!$A$2:$B$200,2,FALSE),""))</f>
        <v/>
      </c>
      <c r="H211" s="29">
        <v>8.9999999999999993E-3</v>
      </c>
      <c r="I211" s="29">
        <v>1E-3</v>
      </c>
      <c r="K211" s="21" t="str">
        <f>IF(E211="","",IFERROR(VLOOKUP(E211,REGRAS_CST!$A$2:$C$200,3,FALSE),""))</f>
        <v/>
      </c>
      <c r="L211" s="23" t="str">
        <f>IF($G211="", "", $G211*(1-$V211))</f>
        <v/>
      </c>
      <c r="M211" s="24" t="str">
        <f>IF(OR($L211="",$S211=""),"",$L211*$S211)</f>
        <v/>
      </c>
      <c r="N211" s="24" t="str">
        <f>IF(OR($L211="",$T211=""),"",$L211*$T211)</f>
        <v/>
      </c>
      <c r="O211" s="15" t="str">
        <f>IF(D211="","",
IF(AND(K211&lt;&gt;"SIM",V211&gt;0),"ERRO: % BC &gt; 0, mas NÃO permitida ❌",
IF(AND(K211="SIM",V211=0),"ATENÇÃO: BC permitida, mas % = 0 🔎",
"Base de cálculo aplicada corretamente ✅")))</f>
        <v/>
      </c>
      <c r="P211" s="31" t="str">
        <f>IF(D211="","",
IF(AND(Q211&lt;&gt;"SIM",U211&gt;0),"ERRO: % alíquota &gt; 0, mas NÃO permitida ❌",
IF(AND(Q211="SIM",U211=0),"ATENÇÃO: alíquota permitida, mas % = 0 🔎",
"Alíquota aplicada corretamente ✅")))</f>
        <v/>
      </c>
      <c r="Q211" s="8" t="str">
        <f>IF(E211="","",IFERROR(VLOOKUP(E211,REGRAS_CST!$A$2:$D$200,4,FALSE),""))</f>
        <v/>
      </c>
      <c r="S211" s="9">
        <f>IF($H211="","",$H211*(1-$U211))</f>
        <v>8.9999999999999993E-3</v>
      </c>
      <c r="T211" s="9">
        <f>IF($I211="","",$I211*(1-$U211))</f>
        <v>1E-3</v>
      </c>
      <c r="U211" s="16">
        <f>IFERROR(INDEX(BASE_CCLASSTRIB!$E:$E, MATCH(TEXT($D211,"000000"), BASE_CCLASSTRIB!$A:$A, 0))/100, 0)</f>
        <v>0</v>
      </c>
      <c r="V211" s="16">
        <f>IFERROR(INDEX(BASE_CCLASSTRIB!$F:$F, MATCH(TEXT($D211,"000000"), BASE_CCLASSTRIB!$A:$A, 0))/100, 0)</f>
        <v>0</v>
      </c>
    </row>
    <row r="212" spans="4:22" ht="32.25" customHeight="1">
      <c r="D212" s="39"/>
      <c r="E212" s="27" t="str">
        <f>IF(D212="","",LEFT(D212,3))</f>
        <v/>
      </c>
      <c r="F212" s="28" t="str">
        <f>IF(E212="","",IFERROR(VLOOKUP(E212,REGRAS_CST!$A$2:$B$200,2,FALSE),""))</f>
        <v/>
      </c>
      <c r="H212" s="29">
        <v>8.9999999999999993E-3</v>
      </c>
      <c r="I212" s="29">
        <v>1E-3</v>
      </c>
      <c r="K212" s="21" t="str">
        <f>IF(E212="","",IFERROR(VLOOKUP(E212,REGRAS_CST!$A$2:$C$200,3,FALSE),""))</f>
        <v/>
      </c>
      <c r="L212" s="23" t="str">
        <f>IF($G212="", "", $G212*(1-$V212))</f>
        <v/>
      </c>
      <c r="M212" s="24" t="str">
        <f>IF(OR($L212="",$S212=""),"",$L212*$S212)</f>
        <v/>
      </c>
      <c r="N212" s="24" t="str">
        <f>IF(OR($L212="",$T212=""),"",$L212*$T212)</f>
        <v/>
      </c>
      <c r="O212" s="15" t="str">
        <f>IF(D212="","",
IF(AND(K212&lt;&gt;"SIM",V212&gt;0),"ERRO: % BC &gt; 0, mas NÃO permitida ❌",
IF(AND(K212="SIM",V212=0),"ATENÇÃO: BC permitida, mas % = 0 🔎",
"Base de cálculo aplicada corretamente ✅")))</f>
        <v/>
      </c>
      <c r="P212" s="31" t="str">
        <f>IF(D212="","",
IF(AND(Q212&lt;&gt;"SIM",U212&gt;0),"ERRO: % alíquota &gt; 0, mas NÃO permitida ❌",
IF(AND(Q212="SIM",U212=0),"ATENÇÃO: alíquota permitida, mas % = 0 🔎",
"Alíquota aplicada corretamente ✅")))</f>
        <v/>
      </c>
      <c r="Q212" s="8" t="str">
        <f>IF(E212="","",IFERROR(VLOOKUP(E212,REGRAS_CST!$A$2:$D$200,4,FALSE),""))</f>
        <v/>
      </c>
      <c r="S212" s="9">
        <f>IF($H212="","",$H212*(1-$U212))</f>
        <v>8.9999999999999993E-3</v>
      </c>
      <c r="T212" s="9">
        <f>IF($I212="","",$I212*(1-$U212))</f>
        <v>1E-3</v>
      </c>
      <c r="U212" s="16">
        <f>IFERROR(INDEX(BASE_CCLASSTRIB!$E:$E, MATCH(TEXT($D212,"000000"), BASE_CCLASSTRIB!$A:$A, 0))/100, 0)</f>
        <v>0</v>
      </c>
      <c r="V212" s="16">
        <f>IFERROR(INDEX(BASE_CCLASSTRIB!$F:$F, MATCH(TEXT($D212,"000000"), BASE_CCLASSTRIB!$A:$A, 0))/100, 0)</f>
        <v>0</v>
      </c>
    </row>
    <row r="213" spans="4:22" ht="32.25" customHeight="1">
      <c r="D213" s="40"/>
      <c r="E213" s="27" t="str">
        <f>IF(D213="","",LEFT(D213,3))</f>
        <v/>
      </c>
      <c r="F213" s="28" t="str">
        <f>IF(E213="","",IFERROR(VLOOKUP(E213,REGRAS_CST!$A$2:$B$200,2,FALSE),""))</f>
        <v/>
      </c>
      <c r="H213" s="29">
        <v>8.9999999999999993E-3</v>
      </c>
      <c r="I213" s="29">
        <v>1E-3</v>
      </c>
      <c r="K213" s="21" t="str">
        <f>IF(E213="","",IFERROR(VLOOKUP(E213,REGRAS_CST!$A$2:$C$200,3,FALSE),""))</f>
        <v/>
      </c>
      <c r="L213" s="23" t="str">
        <f>IF($G213="", "", $G213*(1-$V213))</f>
        <v/>
      </c>
      <c r="M213" s="24" t="str">
        <f>IF(OR($L213="",$S213=""),"",$L213*$S213)</f>
        <v/>
      </c>
      <c r="N213" s="24" t="str">
        <f>IF(OR($L213="",$T213=""),"",$L213*$T213)</f>
        <v/>
      </c>
      <c r="O213" s="15" t="str">
        <f>IF(D213="","",
IF(AND(K213&lt;&gt;"SIM",V213&gt;0),"ERRO: % BC &gt; 0, mas NÃO permitida ❌",
IF(AND(K213="SIM",V213=0),"ATENÇÃO: BC permitida, mas % = 0 🔎",
"Base de cálculo aplicada corretamente ✅")))</f>
        <v/>
      </c>
      <c r="P213" s="31" t="str">
        <f>IF(D213="","",
IF(AND(Q213&lt;&gt;"SIM",U213&gt;0),"ERRO: % alíquota &gt; 0, mas NÃO permitida ❌",
IF(AND(Q213="SIM",U213=0),"ATENÇÃO: alíquota permitida, mas % = 0 🔎",
"Alíquota aplicada corretamente ✅")))</f>
        <v/>
      </c>
      <c r="Q213" s="8" t="str">
        <f>IF(E213="","",IFERROR(VLOOKUP(E213,REGRAS_CST!$A$2:$D$200,4,FALSE),""))</f>
        <v/>
      </c>
      <c r="S213" s="9">
        <f>IF($H213="","",$H213*(1-$U213))</f>
        <v>8.9999999999999993E-3</v>
      </c>
      <c r="T213" s="9">
        <f>IF($I213="","",$I213*(1-$U213))</f>
        <v>1E-3</v>
      </c>
      <c r="U213" s="16">
        <f>IFERROR(INDEX(BASE_CCLASSTRIB!$E:$E, MATCH(TEXT($D213,"000000"), BASE_CCLASSTRIB!$A:$A, 0))/100, 0)</f>
        <v>0</v>
      </c>
      <c r="V213" s="16">
        <f>IFERROR(INDEX(BASE_CCLASSTRIB!$F:$F, MATCH(TEXT($D213,"000000"), BASE_CCLASSTRIB!$A:$A, 0))/100, 0)</f>
        <v>0</v>
      </c>
    </row>
    <row r="214" spans="4:22" ht="32.25" customHeight="1">
      <c r="D214" s="39"/>
      <c r="E214" s="27" t="str">
        <f>IF(D214="","",LEFT(D214,3))</f>
        <v/>
      </c>
      <c r="F214" s="28" t="str">
        <f>IF(E214="","",IFERROR(VLOOKUP(E214,REGRAS_CST!$A$2:$B$200,2,FALSE),""))</f>
        <v/>
      </c>
      <c r="H214" s="29">
        <v>8.9999999999999993E-3</v>
      </c>
      <c r="I214" s="29">
        <v>1E-3</v>
      </c>
      <c r="K214" s="21" t="str">
        <f>IF(E214="","",IFERROR(VLOOKUP(E214,REGRAS_CST!$A$2:$C$200,3,FALSE),""))</f>
        <v/>
      </c>
      <c r="L214" s="23" t="str">
        <f>IF($G214="", "", $G214*(1-$V214))</f>
        <v/>
      </c>
      <c r="M214" s="24" t="str">
        <f>IF(OR($L214="",$S214=""),"",$L214*$S214)</f>
        <v/>
      </c>
      <c r="N214" s="24" t="str">
        <f>IF(OR($L214="",$T214=""),"",$L214*$T214)</f>
        <v/>
      </c>
      <c r="O214" s="15" t="str">
        <f>IF(D214="","",
IF(AND(K214&lt;&gt;"SIM",V214&gt;0),"ERRO: % BC &gt; 0, mas NÃO permitida ❌",
IF(AND(K214="SIM",V214=0),"ATENÇÃO: BC permitida, mas % = 0 🔎",
"Base de cálculo aplicada corretamente ✅")))</f>
        <v/>
      </c>
      <c r="P214" s="31" t="str">
        <f>IF(D214="","",
IF(AND(Q214&lt;&gt;"SIM",U214&gt;0),"ERRO: % alíquota &gt; 0, mas NÃO permitida ❌",
IF(AND(Q214="SIM",U214=0),"ATENÇÃO: alíquota permitida, mas % = 0 🔎",
"Alíquota aplicada corretamente ✅")))</f>
        <v/>
      </c>
      <c r="Q214" s="8" t="str">
        <f>IF(E214="","",IFERROR(VLOOKUP(E214,REGRAS_CST!$A$2:$D$200,4,FALSE),""))</f>
        <v/>
      </c>
      <c r="S214" s="9">
        <f>IF($H214="","",$H214*(1-$U214))</f>
        <v>8.9999999999999993E-3</v>
      </c>
      <c r="T214" s="9">
        <f>IF($I214="","",$I214*(1-$U214))</f>
        <v>1E-3</v>
      </c>
      <c r="U214" s="16">
        <f>IFERROR(INDEX(BASE_CCLASSTRIB!$E:$E, MATCH(TEXT($D214,"000000"), BASE_CCLASSTRIB!$A:$A, 0))/100, 0)</f>
        <v>0</v>
      </c>
      <c r="V214" s="16">
        <f>IFERROR(INDEX(BASE_CCLASSTRIB!$F:$F, MATCH(TEXT($D214,"000000"), BASE_CCLASSTRIB!$A:$A, 0))/100, 0)</f>
        <v>0</v>
      </c>
    </row>
    <row r="215" spans="4:22" ht="32.25" customHeight="1">
      <c r="D215" s="39"/>
      <c r="E215" s="27" t="str">
        <f>IF(D215="","",LEFT(D215,3))</f>
        <v/>
      </c>
      <c r="F215" s="28" t="str">
        <f>IF(E215="","",IFERROR(VLOOKUP(E215,REGRAS_CST!$A$2:$B$200,2,FALSE),""))</f>
        <v/>
      </c>
      <c r="H215" s="29">
        <v>8.9999999999999993E-3</v>
      </c>
      <c r="I215" s="29">
        <v>1E-3</v>
      </c>
      <c r="K215" s="21" t="str">
        <f>IF(E215="","",IFERROR(VLOOKUP(E215,REGRAS_CST!$A$2:$C$200,3,FALSE),""))</f>
        <v/>
      </c>
      <c r="L215" s="23" t="str">
        <f>IF($G215="", "", $G215*(1-$V215))</f>
        <v/>
      </c>
      <c r="M215" s="24" t="str">
        <f>IF(OR($L215="",$S215=""),"",$L215*$S215)</f>
        <v/>
      </c>
      <c r="N215" s="24" t="str">
        <f>IF(OR($L215="",$T215=""),"",$L215*$T215)</f>
        <v/>
      </c>
      <c r="O215" s="15" t="str">
        <f>IF(D215="","",
IF(AND(K215&lt;&gt;"SIM",V215&gt;0),"ERRO: % BC &gt; 0, mas NÃO permitida ❌",
IF(AND(K215="SIM",V215=0),"ATENÇÃO: BC permitida, mas % = 0 🔎",
"Base de cálculo aplicada corretamente ✅")))</f>
        <v/>
      </c>
      <c r="P215" s="31" t="str">
        <f>IF(D215="","",
IF(AND(Q215&lt;&gt;"SIM",U215&gt;0),"ERRO: % alíquota &gt; 0, mas NÃO permitida ❌",
IF(AND(Q215="SIM",U215=0),"ATENÇÃO: alíquota permitida, mas % = 0 🔎",
"Alíquota aplicada corretamente ✅")))</f>
        <v/>
      </c>
      <c r="Q215" s="8" t="str">
        <f>IF(E215="","",IFERROR(VLOOKUP(E215,REGRAS_CST!$A$2:$D$200,4,FALSE),""))</f>
        <v/>
      </c>
      <c r="S215" s="9">
        <f>IF($H215="","",$H215*(1-$U215))</f>
        <v>8.9999999999999993E-3</v>
      </c>
      <c r="T215" s="9">
        <f>IF($I215="","",$I215*(1-$U215))</f>
        <v>1E-3</v>
      </c>
      <c r="U215" s="16">
        <f>IFERROR(INDEX(BASE_CCLASSTRIB!$E:$E, MATCH(TEXT($D215,"000000"), BASE_CCLASSTRIB!$A:$A, 0))/100, 0)</f>
        <v>0</v>
      </c>
      <c r="V215" s="16">
        <f>IFERROR(INDEX(BASE_CCLASSTRIB!$F:$F, MATCH(TEXT($D215,"000000"), BASE_CCLASSTRIB!$A:$A, 0))/100, 0)</f>
        <v>0</v>
      </c>
    </row>
    <row r="216" spans="4:22" ht="32.25" customHeight="1">
      <c r="D216" s="40"/>
      <c r="E216" s="27" t="str">
        <f>IF(D216="","",LEFT(D216,3))</f>
        <v/>
      </c>
      <c r="F216" s="28" t="str">
        <f>IF(E216="","",IFERROR(VLOOKUP(E216,REGRAS_CST!$A$2:$B$200,2,FALSE),""))</f>
        <v/>
      </c>
      <c r="H216" s="29">
        <v>8.9999999999999993E-3</v>
      </c>
      <c r="I216" s="29">
        <v>1E-3</v>
      </c>
      <c r="K216" s="21" t="str">
        <f>IF(E216="","",IFERROR(VLOOKUP(E216,REGRAS_CST!$A$2:$C$200,3,FALSE),""))</f>
        <v/>
      </c>
      <c r="L216" s="23" t="str">
        <f>IF($G216="", "", $G216*(1-$V216))</f>
        <v/>
      </c>
      <c r="M216" s="24" t="str">
        <f>IF(OR($L216="",$S216=""),"",$L216*$S216)</f>
        <v/>
      </c>
      <c r="N216" s="24" t="str">
        <f>IF(OR($L216="",$T216=""),"",$L216*$T216)</f>
        <v/>
      </c>
      <c r="O216" s="15" t="str">
        <f>IF(D216="","",
IF(AND(K216&lt;&gt;"SIM",V216&gt;0),"ERRO: % BC &gt; 0, mas NÃO permitida ❌",
IF(AND(K216="SIM",V216=0),"ATENÇÃO: BC permitida, mas % = 0 🔎",
"Base de cálculo aplicada corretamente ✅")))</f>
        <v/>
      </c>
      <c r="P216" s="31" t="str">
        <f>IF(D216="","",
IF(AND(Q216&lt;&gt;"SIM",U216&gt;0),"ERRO: % alíquota &gt; 0, mas NÃO permitida ❌",
IF(AND(Q216="SIM",U216=0),"ATENÇÃO: alíquota permitida, mas % = 0 🔎",
"Alíquota aplicada corretamente ✅")))</f>
        <v/>
      </c>
      <c r="Q216" s="8" t="str">
        <f>IF(E216="","",IFERROR(VLOOKUP(E216,REGRAS_CST!$A$2:$D$200,4,FALSE),""))</f>
        <v/>
      </c>
      <c r="S216" s="9">
        <f>IF($H216="","",$H216*(1-$U216))</f>
        <v>8.9999999999999993E-3</v>
      </c>
      <c r="T216" s="9">
        <f>IF($I216="","",$I216*(1-$U216))</f>
        <v>1E-3</v>
      </c>
      <c r="U216" s="16">
        <f>IFERROR(INDEX(BASE_CCLASSTRIB!$E:$E, MATCH(TEXT($D216,"000000"), BASE_CCLASSTRIB!$A:$A, 0))/100, 0)</f>
        <v>0</v>
      </c>
      <c r="V216" s="16">
        <f>IFERROR(INDEX(BASE_CCLASSTRIB!$F:$F, MATCH(TEXT($D216,"000000"), BASE_CCLASSTRIB!$A:$A, 0))/100, 0)</f>
        <v>0</v>
      </c>
    </row>
    <row r="217" spans="4:22" ht="32.25" customHeight="1">
      <c r="D217" s="40"/>
      <c r="E217" s="27" t="str">
        <f>IF(D217="","",LEFT(D217,3))</f>
        <v/>
      </c>
      <c r="F217" s="28" t="str">
        <f>IF(E217="","",IFERROR(VLOOKUP(E217,REGRAS_CST!$A$2:$B$200,2,FALSE),""))</f>
        <v/>
      </c>
      <c r="H217" s="29">
        <v>8.9999999999999993E-3</v>
      </c>
      <c r="I217" s="29">
        <v>1E-3</v>
      </c>
      <c r="K217" s="21" t="str">
        <f>IF(E217="","",IFERROR(VLOOKUP(E217,REGRAS_CST!$A$2:$C$200,3,FALSE),""))</f>
        <v/>
      </c>
      <c r="L217" s="23" t="str">
        <f>IF($G217="", "", $G217*(1-$V217))</f>
        <v/>
      </c>
      <c r="M217" s="24" t="str">
        <f>IF(OR($L217="",$S217=""),"",$L217*$S217)</f>
        <v/>
      </c>
      <c r="N217" s="24" t="str">
        <f>IF(OR($L217="",$T217=""),"",$L217*$T217)</f>
        <v/>
      </c>
      <c r="O217" s="15" t="str">
        <f>IF(D217="","",
IF(AND(K217&lt;&gt;"SIM",V217&gt;0),"ERRO: % BC &gt; 0, mas NÃO permitida ❌",
IF(AND(K217="SIM",V217=0),"ATENÇÃO: BC permitida, mas % = 0 🔎",
"Base de cálculo aplicada corretamente ✅")))</f>
        <v/>
      </c>
      <c r="P217" s="31" t="str">
        <f>IF(D217="","",
IF(AND(Q217&lt;&gt;"SIM",U217&gt;0),"ERRO: % alíquota &gt; 0, mas NÃO permitida ❌",
IF(AND(Q217="SIM",U217=0),"ATENÇÃO: alíquota permitida, mas % = 0 🔎",
"Alíquota aplicada corretamente ✅")))</f>
        <v/>
      </c>
      <c r="Q217" s="8" t="str">
        <f>IF(E217="","",IFERROR(VLOOKUP(E217,REGRAS_CST!$A$2:$D$200,4,FALSE),""))</f>
        <v/>
      </c>
      <c r="S217" s="9">
        <f>IF($H217="","",$H217*(1-$U217))</f>
        <v>8.9999999999999993E-3</v>
      </c>
      <c r="T217" s="9">
        <f>IF($I217="","",$I217*(1-$U217))</f>
        <v>1E-3</v>
      </c>
      <c r="U217" s="16">
        <f>IFERROR(INDEX(BASE_CCLASSTRIB!$E:$E, MATCH(TEXT($D217,"000000"), BASE_CCLASSTRIB!$A:$A, 0))/100, 0)</f>
        <v>0</v>
      </c>
      <c r="V217" s="16">
        <f>IFERROR(INDEX(BASE_CCLASSTRIB!$F:$F, MATCH(TEXT($D217,"000000"), BASE_CCLASSTRIB!$A:$A, 0))/100, 0)</f>
        <v>0</v>
      </c>
    </row>
    <row r="218" spans="4:22" ht="32.25" customHeight="1">
      <c r="D218" s="40"/>
      <c r="E218" s="27" t="str">
        <f>IF(D218="","",LEFT(D218,3))</f>
        <v/>
      </c>
      <c r="F218" s="28" t="str">
        <f>IF(E218="","",IFERROR(VLOOKUP(E218,REGRAS_CST!$A$2:$B$200,2,FALSE),""))</f>
        <v/>
      </c>
      <c r="H218" s="29">
        <v>8.9999999999999993E-3</v>
      </c>
      <c r="I218" s="29">
        <v>1E-3</v>
      </c>
      <c r="K218" s="21" t="str">
        <f>IF(E218="","",IFERROR(VLOOKUP(E218,REGRAS_CST!$A$2:$C$200,3,FALSE),""))</f>
        <v/>
      </c>
      <c r="L218" s="23" t="str">
        <f>IF($G218="", "", $G218*(1-$V218))</f>
        <v/>
      </c>
      <c r="M218" s="24" t="str">
        <f>IF(OR($L218="",$S218=""),"",$L218*$S218)</f>
        <v/>
      </c>
      <c r="N218" s="24" t="str">
        <f>IF(OR($L218="",$T218=""),"",$L218*$T218)</f>
        <v/>
      </c>
      <c r="O218" s="15" t="str">
        <f>IF(D218="","",
IF(AND(K218&lt;&gt;"SIM",V218&gt;0),"ERRO: % BC &gt; 0, mas NÃO permitida ❌",
IF(AND(K218="SIM",V218=0),"ATENÇÃO: BC permitida, mas % = 0 🔎",
"Base de cálculo aplicada corretamente ✅")))</f>
        <v/>
      </c>
      <c r="P218" s="31" t="str">
        <f>IF(D218="","",
IF(AND(Q218&lt;&gt;"SIM",U218&gt;0),"ERRO: % alíquota &gt; 0, mas NÃO permitida ❌",
IF(AND(Q218="SIM",U218=0),"ATENÇÃO: alíquota permitida, mas % = 0 🔎",
"Alíquota aplicada corretamente ✅")))</f>
        <v/>
      </c>
      <c r="Q218" s="8" t="str">
        <f>IF(E218="","",IFERROR(VLOOKUP(E218,REGRAS_CST!$A$2:$D$200,4,FALSE),""))</f>
        <v/>
      </c>
      <c r="S218" s="9">
        <f>IF($H218="","",$H218*(1-$U218))</f>
        <v>8.9999999999999993E-3</v>
      </c>
      <c r="T218" s="9">
        <f>IF($I218="","",$I218*(1-$U218))</f>
        <v>1E-3</v>
      </c>
      <c r="U218" s="16">
        <f>IFERROR(INDEX(BASE_CCLASSTRIB!$E:$E, MATCH(TEXT($D218,"000000"), BASE_CCLASSTRIB!$A:$A, 0))/100, 0)</f>
        <v>0</v>
      </c>
      <c r="V218" s="16">
        <f>IFERROR(INDEX(BASE_CCLASSTRIB!$F:$F, MATCH(TEXT($D218,"000000"), BASE_CCLASSTRIB!$A:$A, 0))/100, 0)</f>
        <v>0</v>
      </c>
    </row>
    <row r="219" spans="4:22" ht="32.25" customHeight="1">
      <c r="D219" s="40"/>
      <c r="E219" s="27" t="str">
        <f>IF(D219="","",LEFT(D219,3))</f>
        <v/>
      </c>
      <c r="F219" s="28" t="str">
        <f>IF(E219="","",IFERROR(VLOOKUP(E219,REGRAS_CST!$A$2:$B$200,2,FALSE),""))</f>
        <v/>
      </c>
      <c r="H219" s="29">
        <v>8.9999999999999993E-3</v>
      </c>
      <c r="I219" s="29">
        <v>1E-3</v>
      </c>
      <c r="K219" s="21" t="str">
        <f>IF(E219="","",IFERROR(VLOOKUP(E219,REGRAS_CST!$A$2:$C$200,3,FALSE),""))</f>
        <v/>
      </c>
      <c r="L219" s="23" t="str">
        <f>IF($G219="", "", $G219*(1-$V219))</f>
        <v/>
      </c>
      <c r="M219" s="24" t="str">
        <f>IF(OR($L219="",$S219=""),"",$L219*$S219)</f>
        <v/>
      </c>
      <c r="N219" s="24" t="str">
        <f>IF(OR($L219="",$T219=""),"",$L219*$T219)</f>
        <v/>
      </c>
      <c r="O219" s="15" t="str">
        <f>IF(D219="","",
IF(AND(K219&lt;&gt;"SIM",V219&gt;0),"ERRO: % BC &gt; 0, mas NÃO permitida ❌",
IF(AND(K219="SIM",V219=0),"ATENÇÃO: BC permitida, mas % = 0 🔎",
"Base de cálculo aplicada corretamente ✅")))</f>
        <v/>
      </c>
      <c r="P219" s="31" t="str">
        <f>IF(D219="","",
IF(AND(Q219&lt;&gt;"SIM",U219&gt;0),"ERRO: % alíquota &gt; 0, mas NÃO permitida ❌",
IF(AND(Q219="SIM",U219=0),"ATENÇÃO: alíquota permitida, mas % = 0 🔎",
"Alíquota aplicada corretamente ✅")))</f>
        <v/>
      </c>
      <c r="Q219" s="8" t="str">
        <f>IF(E219="","",IFERROR(VLOOKUP(E219,REGRAS_CST!$A$2:$D$200,4,FALSE),""))</f>
        <v/>
      </c>
      <c r="S219" s="9">
        <f>IF($H219="","",$H219*(1-$U219))</f>
        <v>8.9999999999999993E-3</v>
      </c>
      <c r="T219" s="9">
        <f>IF($I219="","",$I219*(1-$U219))</f>
        <v>1E-3</v>
      </c>
      <c r="U219" s="16">
        <f>IFERROR(INDEX(BASE_CCLASSTRIB!$E:$E, MATCH(TEXT($D219,"000000"), BASE_CCLASSTRIB!$A:$A, 0))/100, 0)</f>
        <v>0</v>
      </c>
      <c r="V219" s="16">
        <f>IFERROR(INDEX(BASE_CCLASSTRIB!$F:$F, MATCH(TEXT($D219,"000000"), BASE_CCLASSTRIB!$A:$A, 0))/100, 0)</f>
        <v>0</v>
      </c>
    </row>
    <row r="220" spans="4:22" ht="32.25" customHeight="1">
      <c r="D220" s="40"/>
      <c r="E220" s="27" t="str">
        <f>IF(D220="","",LEFT(D220,3))</f>
        <v/>
      </c>
      <c r="F220" s="28" t="str">
        <f>IF(E220="","",IFERROR(VLOOKUP(E220,REGRAS_CST!$A$2:$B$200,2,FALSE),""))</f>
        <v/>
      </c>
      <c r="H220" s="29">
        <v>8.9999999999999993E-3</v>
      </c>
      <c r="I220" s="29">
        <v>1E-3</v>
      </c>
      <c r="K220" s="21" t="str">
        <f>IF(E220="","",IFERROR(VLOOKUP(E220,REGRAS_CST!$A$2:$C$200,3,FALSE),""))</f>
        <v/>
      </c>
      <c r="L220" s="23" t="str">
        <f>IF($G220="", "", $G220*(1-$V220))</f>
        <v/>
      </c>
      <c r="M220" s="24" t="str">
        <f>IF(OR($L220="",$S220=""),"",$L220*$S220)</f>
        <v/>
      </c>
      <c r="N220" s="24" t="str">
        <f>IF(OR($L220="",$T220=""),"",$L220*$T220)</f>
        <v/>
      </c>
      <c r="O220" s="15" t="str">
        <f>IF(D220="","",
IF(AND(K220&lt;&gt;"SIM",V220&gt;0),"ERRO: % BC &gt; 0, mas NÃO permitida ❌",
IF(AND(K220="SIM",V220=0),"ATENÇÃO: BC permitida, mas % = 0 🔎",
"Base de cálculo aplicada corretamente ✅")))</f>
        <v/>
      </c>
      <c r="P220" s="31" t="str">
        <f>IF(D220="","",
IF(AND(Q220&lt;&gt;"SIM",U220&gt;0),"ERRO: % alíquota &gt; 0, mas NÃO permitida ❌",
IF(AND(Q220="SIM",U220=0),"ATENÇÃO: alíquota permitida, mas % = 0 🔎",
"Alíquota aplicada corretamente ✅")))</f>
        <v/>
      </c>
      <c r="Q220" s="8" t="str">
        <f>IF(E220="","",IFERROR(VLOOKUP(E220,REGRAS_CST!$A$2:$D$200,4,FALSE),""))</f>
        <v/>
      </c>
      <c r="S220" s="9">
        <f>IF($H220="","",$H220*(1-$U220))</f>
        <v>8.9999999999999993E-3</v>
      </c>
      <c r="T220" s="9">
        <f>IF($I220="","",$I220*(1-$U220))</f>
        <v>1E-3</v>
      </c>
      <c r="U220" s="16">
        <f>IFERROR(INDEX(BASE_CCLASSTRIB!$E:$E, MATCH(TEXT($D220,"000000"), BASE_CCLASSTRIB!$A:$A, 0))/100, 0)</f>
        <v>0</v>
      </c>
      <c r="V220" s="16">
        <f>IFERROR(INDEX(BASE_CCLASSTRIB!$F:$F, MATCH(TEXT($D220,"000000"), BASE_CCLASSTRIB!$A:$A, 0))/100, 0)</f>
        <v>0</v>
      </c>
    </row>
    <row r="221" spans="4:22" ht="32.25" customHeight="1">
      <c r="D221" s="40"/>
      <c r="E221" s="27" t="str">
        <f>IF(D221="","",LEFT(D221,3))</f>
        <v/>
      </c>
      <c r="F221" s="28" t="str">
        <f>IF(E221="","",IFERROR(VLOOKUP(E221,REGRAS_CST!$A$2:$B$200,2,FALSE),""))</f>
        <v/>
      </c>
      <c r="H221" s="29">
        <v>8.9999999999999993E-3</v>
      </c>
      <c r="I221" s="29">
        <v>1E-3</v>
      </c>
      <c r="K221" s="21" t="str">
        <f>IF(E221="","",IFERROR(VLOOKUP(E221,REGRAS_CST!$A$2:$C$200,3,FALSE),""))</f>
        <v/>
      </c>
      <c r="L221" s="23" t="str">
        <f>IF($G221="", "", $G221*(1-$V221))</f>
        <v/>
      </c>
      <c r="M221" s="24" t="str">
        <f>IF(OR($L221="",$S221=""),"",$L221*$S221)</f>
        <v/>
      </c>
      <c r="N221" s="24" t="str">
        <f>IF(OR($L221="",$T221=""),"",$L221*$T221)</f>
        <v/>
      </c>
      <c r="O221" s="15" t="str">
        <f>IF(D221="","",
IF(AND(K221&lt;&gt;"SIM",V221&gt;0),"ERRO: % BC &gt; 0, mas NÃO permitida ❌",
IF(AND(K221="SIM",V221=0),"ATENÇÃO: BC permitida, mas % = 0 🔎",
"Base de cálculo aplicada corretamente ✅")))</f>
        <v/>
      </c>
      <c r="P221" s="31" t="str">
        <f>IF(D221="","",
IF(AND(Q221&lt;&gt;"SIM",U221&gt;0),"ERRO: % alíquota &gt; 0, mas NÃO permitida ❌",
IF(AND(Q221="SIM",U221=0),"ATENÇÃO: alíquota permitida, mas % = 0 🔎",
"Alíquota aplicada corretamente ✅")))</f>
        <v/>
      </c>
      <c r="Q221" s="8" t="str">
        <f>IF(E221="","",IFERROR(VLOOKUP(E221,REGRAS_CST!$A$2:$D$200,4,FALSE),""))</f>
        <v/>
      </c>
      <c r="S221" s="9">
        <f>IF($H221="","",$H221*(1-$U221))</f>
        <v>8.9999999999999993E-3</v>
      </c>
      <c r="T221" s="9">
        <f>IF($I221="","",$I221*(1-$U221))</f>
        <v>1E-3</v>
      </c>
      <c r="U221" s="16">
        <f>IFERROR(INDEX(BASE_CCLASSTRIB!$E:$E, MATCH(TEXT($D221,"000000"), BASE_CCLASSTRIB!$A:$A, 0))/100, 0)</f>
        <v>0</v>
      </c>
      <c r="V221" s="16">
        <f>IFERROR(INDEX(BASE_CCLASSTRIB!$F:$F, MATCH(TEXT($D221,"000000"), BASE_CCLASSTRIB!$A:$A, 0))/100, 0)</f>
        <v>0</v>
      </c>
    </row>
    <row r="222" spans="4:22" ht="32.25" customHeight="1">
      <c r="D222" s="40"/>
      <c r="E222" s="27" t="str">
        <f>IF(D222="","",LEFT(D222,3))</f>
        <v/>
      </c>
      <c r="F222" s="28" t="str">
        <f>IF(E222="","",IFERROR(VLOOKUP(E222,REGRAS_CST!$A$2:$B$200,2,FALSE),""))</f>
        <v/>
      </c>
      <c r="H222" s="29">
        <v>8.9999999999999993E-3</v>
      </c>
      <c r="I222" s="29">
        <v>1E-3</v>
      </c>
      <c r="K222" s="21" t="str">
        <f>IF(E222="","",IFERROR(VLOOKUP(E222,REGRAS_CST!$A$2:$C$200,3,FALSE),""))</f>
        <v/>
      </c>
      <c r="L222" s="23" t="str">
        <f>IF($G222="", "", $G222*(1-$V222))</f>
        <v/>
      </c>
      <c r="M222" s="24" t="str">
        <f>IF(OR($L222="",$S222=""),"",$L222*$S222)</f>
        <v/>
      </c>
      <c r="N222" s="24" t="str">
        <f>IF(OR($L222="",$T222=""),"",$L222*$T222)</f>
        <v/>
      </c>
      <c r="O222" s="15" t="str">
        <f>IF(D222="","",
IF(AND(K222&lt;&gt;"SIM",V222&gt;0),"ERRO: % BC &gt; 0, mas NÃO permitida ❌",
IF(AND(K222="SIM",V222=0),"ATENÇÃO: BC permitida, mas % = 0 🔎",
"Base de cálculo aplicada corretamente ✅")))</f>
        <v/>
      </c>
      <c r="P222" s="31" t="str">
        <f>IF(D222="","",
IF(AND(Q222&lt;&gt;"SIM",U222&gt;0),"ERRO: % alíquota &gt; 0, mas NÃO permitida ❌",
IF(AND(Q222="SIM",U222=0),"ATENÇÃO: alíquota permitida, mas % = 0 🔎",
"Alíquota aplicada corretamente ✅")))</f>
        <v/>
      </c>
      <c r="Q222" s="8" t="str">
        <f>IF(E222="","",IFERROR(VLOOKUP(E222,REGRAS_CST!$A$2:$D$200,4,FALSE),""))</f>
        <v/>
      </c>
      <c r="S222" s="9">
        <f>IF($H222="","",$H222*(1-$U222))</f>
        <v>8.9999999999999993E-3</v>
      </c>
      <c r="T222" s="9">
        <f>IF($I222="","",$I222*(1-$U222))</f>
        <v>1E-3</v>
      </c>
      <c r="U222" s="16">
        <f>IFERROR(INDEX(BASE_CCLASSTRIB!$E:$E, MATCH(TEXT($D222,"000000"), BASE_CCLASSTRIB!$A:$A, 0))/100, 0)</f>
        <v>0</v>
      </c>
      <c r="V222" s="16">
        <f>IFERROR(INDEX(BASE_CCLASSTRIB!$F:$F, MATCH(TEXT($D222,"000000"), BASE_CCLASSTRIB!$A:$A, 0))/100, 0)</f>
        <v>0</v>
      </c>
    </row>
    <row r="223" spans="4:22" ht="32.25" customHeight="1">
      <c r="D223" s="40"/>
      <c r="E223" s="27" t="str">
        <f>IF(D223="","",LEFT(D223,3))</f>
        <v/>
      </c>
      <c r="F223" s="28" t="str">
        <f>IF(E223="","",IFERROR(VLOOKUP(E223,REGRAS_CST!$A$2:$B$200,2,FALSE),""))</f>
        <v/>
      </c>
      <c r="H223" s="29">
        <v>8.9999999999999993E-3</v>
      </c>
      <c r="I223" s="29">
        <v>1E-3</v>
      </c>
      <c r="K223" s="21" t="str">
        <f>IF(E223="","",IFERROR(VLOOKUP(E223,REGRAS_CST!$A$2:$C$200,3,FALSE),""))</f>
        <v/>
      </c>
      <c r="L223" s="23" t="str">
        <f>IF($G223="", "", $G223*(1-$V223))</f>
        <v/>
      </c>
      <c r="M223" s="24" t="str">
        <f>IF(OR($L223="",$S223=""),"",$L223*$S223)</f>
        <v/>
      </c>
      <c r="N223" s="24" t="str">
        <f>IF(OR($L223="",$T223=""),"",$L223*$T223)</f>
        <v/>
      </c>
      <c r="O223" s="15" t="str">
        <f>IF(D223="","",
IF(AND(K223&lt;&gt;"SIM",V223&gt;0),"ERRO: % BC &gt; 0, mas NÃO permitida ❌",
IF(AND(K223="SIM",V223=0),"ATENÇÃO: BC permitida, mas % = 0 🔎",
"Base de cálculo aplicada corretamente ✅")))</f>
        <v/>
      </c>
      <c r="P223" s="31" t="str">
        <f>IF(D223="","",
IF(AND(Q223&lt;&gt;"SIM",U223&gt;0),"ERRO: % alíquota &gt; 0, mas NÃO permitida ❌",
IF(AND(Q223="SIM",U223=0),"ATENÇÃO: alíquota permitida, mas % = 0 🔎",
"Alíquota aplicada corretamente ✅")))</f>
        <v/>
      </c>
      <c r="Q223" s="8" t="str">
        <f>IF(E223="","",IFERROR(VLOOKUP(E223,REGRAS_CST!$A$2:$D$200,4,FALSE),""))</f>
        <v/>
      </c>
      <c r="S223" s="9">
        <f>IF($H223="","",$H223*(1-$U223))</f>
        <v>8.9999999999999993E-3</v>
      </c>
      <c r="T223" s="9">
        <f>IF($I223="","",$I223*(1-$U223))</f>
        <v>1E-3</v>
      </c>
      <c r="U223" s="16">
        <f>IFERROR(INDEX(BASE_CCLASSTRIB!$E:$E, MATCH(TEXT($D223,"000000"), BASE_CCLASSTRIB!$A:$A, 0))/100, 0)</f>
        <v>0</v>
      </c>
      <c r="V223" s="16">
        <f>IFERROR(INDEX(BASE_CCLASSTRIB!$F:$F, MATCH(TEXT($D223,"000000"), BASE_CCLASSTRIB!$A:$A, 0))/100, 0)</f>
        <v>0</v>
      </c>
    </row>
    <row r="224" spans="4:22" ht="32.25" customHeight="1">
      <c r="D224" s="40"/>
      <c r="E224" s="27" t="str">
        <f>IF(D224="","",LEFT(D224,3))</f>
        <v/>
      </c>
      <c r="F224" s="28" t="str">
        <f>IF(E224="","",IFERROR(VLOOKUP(E224,REGRAS_CST!$A$2:$B$200,2,FALSE),""))</f>
        <v/>
      </c>
      <c r="H224" s="29">
        <v>8.9999999999999993E-3</v>
      </c>
      <c r="I224" s="29">
        <v>1E-3</v>
      </c>
      <c r="K224" s="21" t="str">
        <f>IF(E224="","",IFERROR(VLOOKUP(E224,REGRAS_CST!$A$2:$C$200,3,FALSE),""))</f>
        <v/>
      </c>
      <c r="L224" s="23" t="str">
        <f>IF($G224="", "", $G224*(1-$V224))</f>
        <v/>
      </c>
      <c r="M224" s="24" t="str">
        <f>IF(OR($L224="",$S224=""),"",$L224*$S224)</f>
        <v/>
      </c>
      <c r="N224" s="24" t="str">
        <f>IF(OR($L224="",$T224=""),"",$L224*$T224)</f>
        <v/>
      </c>
      <c r="O224" s="15" t="str">
        <f>IF(D224="","",
IF(AND(K224&lt;&gt;"SIM",V224&gt;0),"ERRO: % BC &gt; 0, mas NÃO permitida ❌",
IF(AND(K224="SIM",V224=0),"ATENÇÃO: BC permitida, mas % = 0 🔎",
"Base de cálculo aplicada corretamente ✅")))</f>
        <v/>
      </c>
      <c r="P224" s="31" t="str">
        <f>IF(D224="","",
IF(AND(Q224&lt;&gt;"SIM",U224&gt;0),"ERRO: % alíquota &gt; 0, mas NÃO permitida ❌",
IF(AND(Q224="SIM",U224=0),"ATENÇÃO: alíquota permitida, mas % = 0 🔎",
"Alíquota aplicada corretamente ✅")))</f>
        <v/>
      </c>
      <c r="Q224" s="8" t="str">
        <f>IF(E224="","",IFERROR(VLOOKUP(E224,REGRAS_CST!$A$2:$D$200,4,FALSE),""))</f>
        <v/>
      </c>
      <c r="S224" s="9">
        <f>IF($H224="","",$H224*(1-$U224))</f>
        <v>8.9999999999999993E-3</v>
      </c>
      <c r="T224" s="9">
        <f>IF($I224="","",$I224*(1-$U224))</f>
        <v>1E-3</v>
      </c>
      <c r="U224" s="16">
        <f>IFERROR(INDEX(BASE_CCLASSTRIB!$E:$E, MATCH(TEXT($D224,"000000"), BASE_CCLASSTRIB!$A:$A, 0))/100, 0)</f>
        <v>0</v>
      </c>
      <c r="V224" s="16">
        <f>IFERROR(INDEX(BASE_CCLASSTRIB!$F:$F, MATCH(TEXT($D224,"000000"), BASE_CCLASSTRIB!$A:$A, 0))/100, 0)</f>
        <v>0</v>
      </c>
    </row>
    <row r="225" spans="4:22" ht="32.25" customHeight="1">
      <c r="D225" s="40"/>
      <c r="E225" s="27" t="str">
        <f>IF(D225="","",LEFT(D225,3))</f>
        <v/>
      </c>
      <c r="F225" s="28" t="str">
        <f>IF(E225="","",IFERROR(VLOOKUP(E225,REGRAS_CST!$A$2:$B$200,2,FALSE),""))</f>
        <v/>
      </c>
      <c r="H225" s="29">
        <v>8.9999999999999993E-3</v>
      </c>
      <c r="I225" s="29">
        <v>1E-3</v>
      </c>
      <c r="K225" s="21" t="str">
        <f>IF(E225="","",IFERROR(VLOOKUP(E225,REGRAS_CST!$A$2:$C$200,3,FALSE),""))</f>
        <v/>
      </c>
      <c r="L225" s="23" t="str">
        <f>IF($G225="", "", $G225*(1-$V225))</f>
        <v/>
      </c>
      <c r="M225" s="24" t="str">
        <f>IF(OR($L225="",$S225=""),"",$L225*$S225)</f>
        <v/>
      </c>
      <c r="N225" s="24" t="str">
        <f>IF(OR($L225="",$T225=""),"",$L225*$T225)</f>
        <v/>
      </c>
      <c r="O225" s="15" t="str">
        <f>IF(D225="","",
IF(AND(K225&lt;&gt;"SIM",V225&gt;0),"ERRO: % BC &gt; 0, mas NÃO permitida ❌",
IF(AND(K225="SIM",V225=0),"ATENÇÃO: BC permitida, mas % = 0 🔎",
"Base de cálculo aplicada corretamente ✅")))</f>
        <v/>
      </c>
      <c r="P225" s="31" t="str">
        <f>IF(D225="","",
IF(AND(Q225&lt;&gt;"SIM",U225&gt;0),"ERRO: % alíquota &gt; 0, mas NÃO permitida ❌",
IF(AND(Q225="SIM",U225=0),"ATENÇÃO: alíquota permitida, mas % = 0 🔎",
"Alíquota aplicada corretamente ✅")))</f>
        <v/>
      </c>
      <c r="Q225" s="8" t="str">
        <f>IF(E225="","",IFERROR(VLOOKUP(E225,REGRAS_CST!$A$2:$D$200,4,FALSE),""))</f>
        <v/>
      </c>
      <c r="S225" s="9">
        <f>IF($H225="","",$H225*(1-$U225))</f>
        <v>8.9999999999999993E-3</v>
      </c>
      <c r="T225" s="9">
        <f>IF($I225="","",$I225*(1-$U225))</f>
        <v>1E-3</v>
      </c>
      <c r="U225" s="16">
        <f>IFERROR(INDEX(BASE_CCLASSTRIB!$E:$E, MATCH(TEXT($D225,"000000"), BASE_CCLASSTRIB!$A:$A, 0))/100, 0)</f>
        <v>0</v>
      </c>
      <c r="V225" s="16">
        <f>IFERROR(INDEX(BASE_CCLASSTRIB!$F:$F, MATCH(TEXT($D225,"000000"), BASE_CCLASSTRIB!$A:$A, 0))/100, 0)</f>
        <v>0</v>
      </c>
    </row>
    <row r="226" spans="4:22" ht="32.25" customHeight="1">
      <c r="D226" s="40"/>
      <c r="E226" s="27" t="str">
        <f>IF(D226="","",LEFT(D226,3))</f>
        <v/>
      </c>
      <c r="F226" s="28" t="str">
        <f>IF(E226="","",IFERROR(VLOOKUP(E226,REGRAS_CST!$A$2:$B$200,2,FALSE),""))</f>
        <v/>
      </c>
      <c r="H226" s="29">
        <v>8.9999999999999993E-3</v>
      </c>
      <c r="I226" s="29">
        <v>1E-3</v>
      </c>
      <c r="K226" s="21" t="str">
        <f>IF(E226="","",IFERROR(VLOOKUP(E226,REGRAS_CST!$A$2:$C$200,3,FALSE),""))</f>
        <v/>
      </c>
      <c r="L226" s="23" t="str">
        <f>IF($G226="", "", $G226*(1-$V226))</f>
        <v/>
      </c>
      <c r="M226" s="24" t="str">
        <f>IF(OR($L226="",$S226=""),"",$L226*$S226)</f>
        <v/>
      </c>
      <c r="N226" s="24" t="str">
        <f>IF(OR($L226="",$T226=""),"",$L226*$T226)</f>
        <v/>
      </c>
      <c r="O226" s="15" t="str">
        <f>IF(D226="","",
IF(AND(K226&lt;&gt;"SIM",V226&gt;0),"ERRO: % BC &gt; 0, mas NÃO permitida ❌",
IF(AND(K226="SIM",V226=0),"ATENÇÃO: BC permitida, mas % = 0 🔎",
"Base de cálculo aplicada corretamente ✅")))</f>
        <v/>
      </c>
      <c r="P226" s="31" t="str">
        <f>IF(D226="","",
IF(AND(Q226&lt;&gt;"SIM",U226&gt;0),"ERRO: % alíquota &gt; 0, mas NÃO permitida ❌",
IF(AND(Q226="SIM",U226=0),"ATENÇÃO: alíquota permitida, mas % = 0 🔎",
"Alíquota aplicada corretamente ✅")))</f>
        <v/>
      </c>
      <c r="Q226" s="8" t="str">
        <f>IF(E226="","",IFERROR(VLOOKUP(E226,REGRAS_CST!$A$2:$D$200,4,FALSE),""))</f>
        <v/>
      </c>
      <c r="S226" s="9">
        <f>IF($H226="","",$H226*(1-$U226))</f>
        <v>8.9999999999999993E-3</v>
      </c>
      <c r="T226" s="9">
        <f>IF($I226="","",$I226*(1-$U226))</f>
        <v>1E-3</v>
      </c>
      <c r="U226" s="16">
        <f>IFERROR(INDEX(BASE_CCLASSTRIB!$E:$E, MATCH(TEXT($D226,"000000"), BASE_CCLASSTRIB!$A:$A, 0))/100, 0)</f>
        <v>0</v>
      </c>
      <c r="V226" s="16">
        <f>IFERROR(INDEX(BASE_CCLASSTRIB!$F:$F, MATCH(TEXT($D226,"000000"), BASE_CCLASSTRIB!$A:$A, 0))/100, 0)</f>
        <v>0</v>
      </c>
    </row>
    <row r="227" spans="4:22" ht="32.25" customHeight="1">
      <c r="D227" s="40"/>
      <c r="E227" s="27" t="str">
        <f>IF(D227="","",LEFT(D227,3))</f>
        <v/>
      </c>
      <c r="F227" s="28" t="str">
        <f>IF(E227="","",IFERROR(VLOOKUP(E227,REGRAS_CST!$A$2:$B$200,2,FALSE),""))</f>
        <v/>
      </c>
      <c r="H227" s="29">
        <v>8.9999999999999993E-3</v>
      </c>
      <c r="I227" s="29">
        <v>1E-3</v>
      </c>
      <c r="K227" s="21" t="str">
        <f>IF(E227="","",IFERROR(VLOOKUP(E227,REGRAS_CST!$A$2:$C$200,3,FALSE),""))</f>
        <v/>
      </c>
      <c r="L227" s="23" t="str">
        <f>IF($G227="", "", $G227*(1-$V227))</f>
        <v/>
      </c>
      <c r="M227" s="24" t="str">
        <f>IF(OR($L227="",$S227=""),"",$L227*$S227)</f>
        <v/>
      </c>
      <c r="N227" s="24" t="str">
        <f>IF(OR($L227="",$T227=""),"",$L227*$T227)</f>
        <v/>
      </c>
      <c r="O227" s="15" t="str">
        <f>IF(D227="","",
IF(AND(K227&lt;&gt;"SIM",V227&gt;0),"ERRO: % BC &gt; 0, mas NÃO permitida ❌",
IF(AND(K227="SIM",V227=0),"ATENÇÃO: BC permitida, mas % = 0 🔎",
"Base de cálculo aplicada corretamente ✅")))</f>
        <v/>
      </c>
      <c r="P227" s="31" t="str">
        <f>IF(D227="","",
IF(AND(Q227&lt;&gt;"SIM",U227&gt;0),"ERRO: % alíquota &gt; 0, mas NÃO permitida ❌",
IF(AND(Q227="SIM",U227=0),"ATENÇÃO: alíquota permitida, mas % = 0 🔎",
"Alíquota aplicada corretamente ✅")))</f>
        <v/>
      </c>
      <c r="Q227" s="8" t="str">
        <f>IF(E227="","",IFERROR(VLOOKUP(E227,REGRAS_CST!$A$2:$D$200,4,FALSE),""))</f>
        <v/>
      </c>
      <c r="S227" s="9">
        <f>IF($H227="","",$H227*(1-$U227))</f>
        <v>8.9999999999999993E-3</v>
      </c>
      <c r="T227" s="9">
        <f>IF($I227="","",$I227*(1-$U227))</f>
        <v>1E-3</v>
      </c>
      <c r="U227" s="16">
        <f>IFERROR(INDEX(BASE_CCLASSTRIB!$E:$E, MATCH(TEXT($D227,"000000"), BASE_CCLASSTRIB!$A:$A, 0))/100, 0)</f>
        <v>0</v>
      </c>
      <c r="V227" s="16">
        <f>IFERROR(INDEX(BASE_CCLASSTRIB!$F:$F, MATCH(TEXT($D227,"000000"), BASE_CCLASSTRIB!$A:$A, 0))/100, 0)</f>
        <v>0</v>
      </c>
    </row>
    <row r="228" spans="4:22" ht="32.25" customHeight="1">
      <c r="D228" s="39"/>
      <c r="E228" s="27" t="str">
        <f>IF(D228="","",LEFT(D228,3))</f>
        <v/>
      </c>
      <c r="F228" s="28" t="str">
        <f>IF(E228="","",IFERROR(VLOOKUP(E228,REGRAS_CST!$A$2:$B$200,2,FALSE),""))</f>
        <v/>
      </c>
      <c r="H228" s="29">
        <v>8.9999999999999993E-3</v>
      </c>
      <c r="I228" s="29">
        <v>1E-3</v>
      </c>
      <c r="K228" s="21" t="str">
        <f>IF(E228="","",IFERROR(VLOOKUP(E228,REGRAS_CST!$A$2:$C$200,3,FALSE),""))</f>
        <v/>
      </c>
      <c r="L228" s="23" t="str">
        <f>IF($G228="", "", $G228*(1-$V228))</f>
        <v/>
      </c>
      <c r="M228" s="24" t="str">
        <f>IF(OR($L228="",$S228=""),"",$L228*$S228)</f>
        <v/>
      </c>
      <c r="N228" s="24" t="str">
        <f>IF(OR($L228="",$T228=""),"",$L228*$T228)</f>
        <v/>
      </c>
      <c r="O228" s="15" t="str">
        <f>IF(D228="","",
IF(AND(K228&lt;&gt;"SIM",V228&gt;0),"ERRO: % BC &gt; 0, mas NÃO permitida ❌",
IF(AND(K228="SIM",V228=0),"ATENÇÃO: BC permitida, mas % = 0 🔎",
"Base de cálculo aplicada corretamente ✅")))</f>
        <v/>
      </c>
      <c r="P228" s="31" t="str">
        <f>IF(D228="","",
IF(AND(Q228&lt;&gt;"SIM",U228&gt;0),"ERRO: % alíquota &gt; 0, mas NÃO permitida ❌",
IF(AND(Q228="SIM",U228=0),"ATENÇÃO: alíquota permitida, mas % = 0 🔎",
"Alíquota aplicada corretamente ✅")))</f>
        <v/>
      </c>
      <c r="Q228" s="8" t="str">
        <f>IF(E228="","",IFERROR(VLOOKUP(E228,REGRAS_CST!$A$2:$D$200,4,FALSE),""))</f>
        <v/>
      </c>
      <c r="S228" s="9">
        <f>IF($H228="","",$H228*(1-$U228))</f>
        <v>8.9999999999999993E-3</v>
      </c>
      <c r="T228" s="9">
        <f>IF($I228="","",$I228*(1-$U228))</f>
        <v>1E-3</v>
      </c>
      <c r="U228" s="16">
        <f>IFERROR(INDEX(BASE_CCLASSTRIB!$E:$E, MATCH(TEXT($D228,"000000"), BASE_CCLASSTRIB!$A:$A, 0))/100, 0)</f>
        <v>0</v>
      </c>
      <c r="V228" s="16">
        <f>IFERROR(INDEX(BASE_CCLASSTRIB!$F:$F, MATCH(TEXT($D228,"000000"), BASE_CCLASSTRIB!$A:$A, 0))/100, 0)</f>
        <v>0</v>
      </c>
    </row>
    <row r="229" spans="4:22" ht="32.25" customHeight="1">
      <c r="D229" s="40"/>
      <c r="E229" s="27" t="str">
        <f>IF(D229="","",LEFT(D229,3))</f>
        <v/>
      </c>
      <c r="F229" s="28" t="str">
        <f>IF(E229="","",IFERROR(VLOOKUP(E229,REGRAS_CST!$A$2:$B$200,2,FALSE),""))</f>
        <v/>
      </c>
      <c r="H229" s="29">
        <v>8.9999999999999993E-3</v>
      </c>
      <c r="I229" s="29">
        <v>1E-3</v>
      </c>
      <c r="K229" s="21" t="str">
        <f>IF(E229="","",IFERROR(VLOOKUP(E229,REGRAS_CST!$A$2:$C$200,3,FALSE),""))</f>
        <v/>
      </c>
      <c r="L229" s="23" t="str">
        <f>IF($G229="", "", $G229*(1-$V229))</f>
        <v/>
      </c>
      <c r="M229" s="24" t="str">
        <f>IF(OR($L229="",$S229=""),"",$L229*$S229)</f>
        <v/>
      </c>
      <c r="N229" s="24" t="str">
        <f>IF(OR($L229="",$T229=""),"",$L229*$T229)</f>
        <v/>
      </c>
      <c r="O229" s="15" t="str">
        <f>IF(D229="","",
IF(AND(K229&lt;&gt;"SIM",V229&gt;0),"ERRO: % BC &gt; 0, mas NÃO permitida ❌",
IF(AND(K229="SIM",V229=0),"ATENÇÃO: BC permitida, mas % = 0 🔎",
"Base de cálculo aplicada corretamente ✅")))</f>
        <v/>
      </c>
      <c r="P229" s="31" t="str">
        <f>IF(D229="","",
IF(AND(Q229&lt;&gt;"SIM",U229&gt;0),"ERRO: % alíquota &gt; 0, mas NÃO permitida ❌",
IF(AND(Q229="SIM",U229=0),"ATENÇÃO: alíquota permitida, mas % = 0 🔎",
"Alíquota aplicada corretamente ✅")))</f>
        <v/>
      </c>
      <c r="Q229" s="8" t="str">
        <f>IF(E229="","",IFERROR(VLOOKUP(E229,REGRAS_CST!$A$2:$D$200,4,FALSE),""))</f>
        <v/>
      </c>
      <c r="S229" s="9">
        <f>IF($H229="","",$H229*(1-$U229))</f>
        <v>8.9999999999999993E-3</v>
      </c>
      <c r="T229" s="9">
        <f>IF($I229="","",$I229*(1-$U229))</f>
        <v>1E-3</v>
      </c>
      <c r="U229" s="16">
        <f>IFERROR(INDEX(BASE_CCLASSTRIB!$E:$E, MATCH(TEXT($D229,"000000"), BASE_CCLASSTRIB!$A:$A, 0))/100, 0)</f>
        <v>0</v>
      </c>
      <c r="V229" s="16">
        <f>IFERROR(INDEX(BASE_CCLASSTRIB!$F:$F, MATCH(TEXT($D229,"000000"), BASE_CCLASSTRIB!$A:$A, 0))/100, 0)</f>
        <v>0</v>
      </c>
    </row>
    <row r="230" spans="4:22" ht="32.25" customHeight="1">
      <c r="D230" s="40"/>
      <c r="E230" s="27" t="str">
        <f>IF(D230="","",LEFT(D230,3))</f>
        <v/>
      </c>
      <c r="F230" s="28" t="str">
        <f>IF(E230="","",IFERROR(VLOOKUP(E230,REGRAS_CST!$A$2:$B$200,2,FALSE),""))</f>
        <v/>
      </c>
      <c r="H230" s="29">
        <v>8.9999999999999993E-3</v>
      </c>
      <c r="I230" s="29">
        <v>1E-3</v>
      </c>
      <c r="K230" s="21" t="str">
        <f>IF(E230="","",IFERROR(VLOOKUP(E230,REGRAS_CST!$A$2:$C$200,3,FALSE),""))</f>
        <v/>
      </c>
      <c r="L230" s="23" t="str">
        <f>IF($G230="", "", $G230*(1-$V230))</f>
        <v/>
      </c>
      <c r="M230" s="24" t="str">
        <f>IF(OR($L230="",$S230=""),"",$L230*$S230)</f>
        <v/>
      </c>
      <c r="N230" s="24" t="str">
        <f>IF(OR($L230="",$T230=""),"",$L230*$T230)</f>
        <v/>
      </c>
      <c r="O230" s="15" t="str">
        <f>IF(D230="","",
IF(AND(K230&lt;&gt;"SIM",V230&gt;0),"ERRO: % BC &gt; 0, mas NÃO permitida ❌",
IF(AND(K230="SIM",V230=0),"ATENÇÃO: BC permitida, mas % = 0 🔎",
"Base de cálculo aplicada corretamente ✅")))</f>
        <v/>
      </c>
      <c r="P230" s="31" t="str">
        <f>IF(D230="","",
IF(AND(Q230&lt;&gt;"SIM",U230&gt;0),"ERRO: % alíquota &gt; 0, mas NÃO permitida ❌",
IF(AND(Q230="SIM",U230=0),"ATENÇÃO: alíquota permitida, mas % = 0 🔎",
"Alíquota aplicada corretamente ✅")))</f>
        <v/>
      </c>
      <c r="Q230" s="8" t="str">
        <f>IF(E230="","",IFERROR(VLOOKUP(E230,REGRAS_CST!$A$2:$D$200,4,FALSE),""))</f>
        <v/>
      </c>
      <c r="S230" s="9">
        <f>IF($H230="","",$H230*(1-$U230))</f>
        <v>8.9999999999999993E-3</v>
      </c>
      <c r="T230" s="9">
        <f>IF($I230="","",$I230*(1-$U230))</f>
        <v>1E-3</v>
      </c>
      <c r="U230" s="16">
        <f>IFERROR(INDEX(BASE_CCLASSTRIB!$E:$E, MATCH(TEXT($D230,"000000"), BASE_CCLASSTRIB!$A:$A, 0))/100, 0)</f>
        <v>0</v>
      </c>
      <c r="V230" s="16">
        <f>IFERROR(INDEX(BASE_CCLASSTRIB!$F:$F, MATCH(TEXT($D230,"000000"), BASE_CCLASSTRIB!$A:$A, 0))/100, 0)</f>
        <v>0</v>
      </c>
    </row>
    <row r="231" spans="4:22" ht="32.25" customHeight="1">
      <c r="D231" s="40"/>
      <c r="E231" s="27" t="str">
        <f>IF(D231="","",LEFT(D231,3))</f>
        <v/>
      </c>
      <c r="F231" s="28" t="str">
        <f>IF(E231="","",IFERROR(VLOOKUP(E231,REGRAS_CST!$A$2:$B$200,2,FALSE),""))</f>
        <v/>
      </c>
      <c r="H231" s="29">
        <v>8.9999999999999993E-3</v>
      </c>
      <c r="I231" s="29">
        <v>1E-3</v>
      </c>
      <c r="K231" s="21" t="str">
        <f>IF(E231="","",IFERROR(VLOOKUP(E231,REGRAS_CST!$A$2:$C$200,3,FALSE),""))</f>
        <v/>
      </c>
      <c r="L231" s="23" t="str">
        <f>IF($G231="", "", $G231*(1-$V231))</f>
        <v/>
      </c>
      <c r="M231" s="24" t="str">
        <f>IF(OR($L231="",$S231=""),"",$L231*$S231)</f>
        <v/>
      </c>
      <c r="N231" s="24" t="str">
        <f>IF(OR($L231="",$T231=""),"",$L231*$T231)</f>
        <v/>
      </c>
      <c r="O231" s="15" t="str">
        <f>IF(D231="","",
IF(AND(K231&lt;&gt;"SIM",V231&gt;0),"ERRO: % BC &gt; 0, mas NÃO permitida ❌",
IF(AND(K231="SIM",V231=0),"ATENÇÃO: BC permitida, mas % = 0 🔎",
"Base de cálculo aplicada corretamente ✅")))</f>
        <v/>
      </c>
      <c r="P231" s="31" t="str">
        <f>IF(D231="","",
IF(AND(Q231&lt;&gt;"SIM",U231&gt;0),"ERRO: % alíquota &gt; 0, mas NÃO permitida ❌",
IF(AND(Q231="SIM",U231=0),"ATENÇÃO: alíquota permitida, mas % = 0 🔎",
"Alíquota aplicada corretamente ✅")))</f>
        <v/>
      </c>
      <c r="Q231" s="8" t="str">
        <f>IF(E231="","",IFERROR(VLOOKUP(E231,REGRAS_CST!$A$2:$D$200,4,FALSE),""))</f>
        <v/>
      </c>
      <c r="S231" s="9">
        <f>IF($H231="","",$H231*(1-$U231))</f>
        <v>8.9999999999999993E-3</v>
      </c>
      <c r="T231" s="9">
        <f>IF($I231="","",$I231*(1-$U231))</f>
        <v>1E-3</v>
      </c>
      <c r="U231" s="16">
        <f>IFERROR(INDEX(BASE_CCLASSTRIB!$E:$E, MATCH(TEXT($D231,"000000"), BASE_CCLASSTRIB!$A:$A, 0))/100, 0)</f>
        <v>0</v>
      </c>
      <c r="V231" s="16">
        <f>IFERROR(INDEX(BASE_CCLASSTRIB!$F:$F, MATCH(TEXT($D231,"000000"), BASE_CCLASSTRIB!$A:$A, 0))/100, 0)</f>
        <v>0</v>
      </c>
    </row>
    <row r="232" spans="4:22" ht="32.25" customHeight="1">
      <c r="D232" s="40"/>
      <c r="E232" s="27" t="str">
        <f>IF(D232="","",LEFT(D232,3))</f>
        <v/>
      </c>
      <c r="F232" s="28" t="str">
        <f>IF(E232="","",IFERROR(VLOOKUP(E232,REGRAS_CST!$A$2:$B$200,2,FALSE),""))</f>
        <v/>
      </c>
      <c r="H232" s="29">
        <v>8.9999999999999993E-3</v>
      </c>
      <c r="I232" s="29">
        <v>1E-3</v>
      </c>
      <c r="K232" s="21" t="str">
        <f>IF(E232="","",IFERROR(VLOOKUP(E232,REGRAS_CST!$A$2:$C$200,3,FALSE),""))</f>
        <v/>
      </c>
      <c r="L232" s="23" t="str">
        <f>IF($G232="", "", $G232*(1-$V232))</f>
        <v/>
      </c>
      <c r="M232" s="24" t="str">
        <f>IF(OR($L232="",$S232=""),"",$L232*$S232)</f>
        <v/>
      </c>
      <c r="N232" s="24" t="str">
        <f>IF(OR($L232="",$T232=""),"",$L232*$T232)</f>
        <v/>
      </c>
      <c r="O232" s="15" t="str">
        <f>IF(D232="","",
IF(AND(K232&lt;&gt;"SIM",V232&gt;0),"ERRO: % BC &gt; 0, mas NÃO permitida ❌",
IF(AND(K232="SIM",V232=0),"ATENÇÃO: BC permitida, mas % = 0 🔎",
"Base de cálculo aplicada corretamente ✅")))</f>
        <v/>
      </c>
      <c r="P232" s="31" t="str">
        <f>IF(D232="","",
IF(AND(Q232&lt;&gt;"SIM",U232&gt;0),"ERRO: % alíquota &gt; 0, mas NÃO permitida ❌",
IF(AND(Q232="SIM",U232=0),"ATENÇÃO: alíquota permitida, mas % = 0 🔎",
"Alíquota aplicada corretamente ✅")))</f>
        <v/>
      </c>
      <c r="Q232" s="8" t="str">
        <f>IF(E232="","",IFERROR(VLOOKUP(E232,REGRAS_CST!$A$2:$D$200,4,FALSE),""))</f>
        <v/>
      </c>
      <c r="S232" s="9">
        <f>IF($H232="","",$H232*(1-$U232))</f>
        <v>8.9999999999999993E-3</v>
      </c>
      <c r="T232" s="9">
        <f>IF($I232="","",$I232*(1-$U232))</f>
        <v>1E-3</v>
      </c>
      <c r="U232" s="16">
        <f>IFERROR(INDEX(BASE_CCLASSTRIB!$E:$E, MATCH(TEXT($D232,"000000"), BASE_CCLASSTRIB!$A:$A, 0))/100, 0)</f>
        <v>0</v>
      </c>
      <c r="V232" s="16">
        <f>IFERROR(INDEX(BASE_CCLASSTRIB!$F:$F, MATCH(TEXT($D232,"000000"), BASE_CCLASSTRIB!$A:$A, 0))/100, 0)</f>
        <v>0</v>
      </c>
    </row>
    <row r="233" spans="4:22" ht="32.25" customHeight="1">
      <c r="D233" s="39"/>
      <c r="E233" s="27" t="str">
        <f>IF(D233="","",LEFT(D233,3))</f>
        <v/>
      </c>
      <c r="F233" s="28" t="str">
        <f>IF(E233="","",IFERROR(VLOOKUP(E233,REGRAS_CST!$A$2:$B$200,2,FALSE),""))</f>
        <v/>
      </c>
      <c r="H233" s="29">
        <v>8.9999999999999993E-3</v>
      </c>
      <c r="I233" s="29">
        <v>1E-3</v>
      </c>
      <c r="K233" s="21" t="str">
        <f>IF(E233="","",IFERROR(VLOOKUP(E233,REGRAS_CST!$A$2:$C$200,3,FALSE),""))</f>
        <v/>
      </c>
      <c r="L233" s="23" t="str">
        <f>IF($G233="", "", $G233*(1-$V233))</f>
        <v/>
      </c>
      <c r="M233" s="24" t="str">
        <f>IF(OR($L233="",$S233=""),"",$L233*$S233)</f>
        <v/>
      </c>
      <c r="N233" s="24" t="str">
        <f>IF(OR($L233="",$T233=""),"",$L233*$T233)</f>
        <v/>
      </c>
      <c r="O233" s="15" t="str">
        <f>IF(D233="","",
IF(AND(K233&lt;&gt;"SIM",V233&gt;0),"ERRO: % BC &gt; 0, mas NÃO permitida ❌",
IF(AND(K233="SIM",V233=0),"ATENÇÃO: BC permitida, mas % = 0 🔎",
"Base de cálculo aplicada corretamente ✅")))</f>
        <v/>
      </c>
      <c r="P233" s="31" t="str">
        <f>IF(D233="","",
IF(AND(Q233&lt;&gt;"SIM",U233&gt;0),"ERRO: % alíquota &gt; 0, mas NÃO permitida ❌",
IF(AND(Q233="SIM",U233=0),"ATENÇÃO: alíquota permitida, mas % = 0 🔎",
"Alíquota aplicada corretamente ✅")))</f>
        <v/>
      </c>
      <c r="Q233" s="8" t="str">
        <f>IF(E233="","",IFERROR(VLOOKUP(E233,REGRAS_CST!$A$2:$D$200,4,FALSE),""))</f>
        <v/>
      </c>
      <c r="S233" s="9">
        <f>IF($H233="","",$H233*(1-$U233))</f>
        <v>8.9999999999999993E-3</v>
      </c>
      <c r="T233" s="9">
        <f>IF($I233="","",$I233*(1-$U233))</f>
        <v>1E-3</v>
      </c>
      <c r="U233" s="16">
        <f>IFERROR(INDEX(BASE_CCLASSTRIB!$E:$E, MATCH(TEXT($D233,"000000"), BASE_CCLASSTRIB!$A:$A, 0))/100, 0)</f>
        <v>0</v>
      </c>
      <c r="V233" s="16">
        <f>IFERROR(INDEX(BASE_CCLASSTRIB!$F:$F, MATCH(TEXT($D233,"000000"), BASE_CCLASSTRIB!$A:$A, 0))/100, 0)</f>
        <v>0</v>
      </c>
    </row>
    <row r="234" spans="4:22" ht="32.25" customHeight="1">
      <c r="D234" s="40"/>
      <c r="E234" s="27" t="str">
        <f>IF(D234="","",LEFT(D234,3))</f>
        <v/>
      </c>
      <c r="F234" s="28" t="str">
        <f>IF(E234="","",IFERROR(VLOOKUP(E234,REGRAS_CST!$A$2:$B$200,2,FALSE),""))</f>
        <v/>
      </c>
      <c r="H234" s="29">
        <v>8.9999999999999993E-3</v>
      </c>
      <c r="I234" s="29">
        <v>1E-3</v>
      </c>
      <c r="K234" s="21" t="str">
        <f>IF(E234="","",IFERROR(VLOOKUP(E234,REGRAS_CST!$A$2:$C$200,3,FALSE),""))</f>
        <v/>
      </c>
      <c r="L234" s="23" t="str">
        <f>IF($G234="", "", $G234*(1-$V234))</f>
        <v/>
      </c>
      <c r="M234" s="24" t="str">
        <f>IF(OR($L234="",$S234=""),"",$L234*$S234)</f>
        <v/>
      </c>
      <c r="N234" s="24" t="str">
        <f>IF(OR($L234="",$T234=""),"",$L234*$T234)</f>
        <v/>
      </c>
      <c r="O234" s="15" t="str">
        <f>IF(D234="","",
IF(AND(K234&lt;&gt;"SIM",V234&gt;0),"ERRO: % BC &gt; 0, mas NÃO permitida ❌",
IF(AND(K234="SIM",V234=0),"ATENÇÃO: BC permitida, mas % = 0 🔎",
"Base de cálculo aplicada corretamente ✅")))</f>
        <v/>
      </c>
      <c r="P234" s="31" t="str">
        <f>IF(D234="","",
IF(AND(Q234&lt;&gt;"SIM",U234&gt;0),"ERRO: % alíquota &gt; 0, mas NÃO permitida ❌",
IF(AND(Q234="SIM",U234=0),"ATENÇÃO: alíquota permitida, mas % = 0 🔎",
"Alíquota aplicada corretamente ✅")))</f>
        <v/>
      </c>
      <c r="Q234" s="8" t="str">
        <f>IF(E234="","",IFERROR(VLOOKUP(E234,REGRAS_CST!$A$2:$D$200,4,FALSE),""))</f>
        <v/>
      </c>
      <c r="S234" s="9">
        <f>IF($H234="","",$H234*(1-$U234))</f>
        <v>8.9999999999999993E-3</v>
      </c>
      <c r="T234" s="9">
        <f>IF($I234="","",$I234*(1-$U234))</f>
        <v>1E-3</v>
      </c>
      <c r="U234" s="16">
        <f>IFERROR(INDEX(BASE_CCLASSTRIB!$E:$E, MATCH(TEXT($D234,"000000"), BASE_CCLASSTRIB!$A:$A, 0))/100, 0)</f>
        <v>0</v>
      </c>
      <c r="V234" s="16">
        <f>IFERROR(INDEX(BASE_CCLASSTRIB!$F:$F, MATCH(TEXT($D234,"000000"), BASE_CCLASSTRIB!$A:$A, 0))/100, 0)</f>
        <v>0</v>
      </c>
    </row>
    <row r="235" spans="4:22" ht="32.25" customHeight="1">
      <c r="D235" s="40"/>
      <c r="E235" s="27" t="str">
        <f>IF(D235="","",LEFT(D235,3))</f>
        <v/>
      </c>
      <c r="F235" s="28" t="str">
        <f>IF(E235="","",IFERROR(VLOOKUP(E235,REGRAS_CST!$A$2:$B$200,2,FALSE),""))</f>
        <v/>
      </c>
      <c r="H235" s="29">
        <v>8.9999999999999993E-3</v>
      </c>
      <c r="I235" s="29">
        <v>1E-3</v>
      </c>
      <c r="K235" s="21" t="str">
        <f>IF(E235="","",IFERROR(VLOOKUP(E235,REGRAS_CST!$A$2:$C$200,3,FALSE),""))</f>
        <v/>
      </c>
      <c r="L235" s="23" t="str">
        <f>IF($G235="", "", $G235*(1-$V235))</f>
        <v/>
      </c>
      <c r="M235" s="24" t="str">
        <f>IF(OR($L235="",$S235=""),"",$L235*$S235)</f>
        <v/>
      </c>
      <c r="N235" s="24" t="str">
        <f>IF(OR($L235="",$T235=""),"",$L235*$T235)</f>
        <v/>
      </c>
      <c r="O235" s="15" t="str">
        <f>IF(D235="","",
IF(AND(K235&lt;&gt;"SIM",V235&gt;0),"ERRO: % BC &gt; 0, mas NÃO permitida ❌",
IF(AND(K235="SIM",V235=0),"ATENÇÃO: BC permitida, mas % = 0 🔎",
"Base de cálculo aplicada corretamente ✅")))</f>
        <v/>
      </c>
      <c r="P235" s="31" t="str">
        <f>IF(D235="","",
IF(AND(Q235&lt;&gt;"SIM",U235&gt;0),"ERRO: % alíquota &gt; 0, mas NÃO permitida ❌",
IF(AND(Q235="SIM",U235=0),"ATENÇÃO: alíquota permitida, mas % = 0 🔎",
"Alíquota aplicada corretamente ✅")))</f>
        <v/>
      </c>
      <c r="Q235" s="8" t="str">
        <f>IF(E235="","",IFERROR(VLOOKUP(E235,REGRAS_CST!$A$2:$D$200,4,FALSE),""))</f>
        <v/>
      </c>
      <c r="S235" s="9">
        <f>IF($H235="","",$H235*(1-$U235))</f>
        <v>8.9999999999999993E-3</v>
      </c>
      <c r="T235" s="9">
        <f>IF($I235="","",$I235*(1-$U235))</f>
        <v>1E-3</v>
      </c>
      <c r="U235" s="16">
        <f>IFERROR(INDEX(BASE_CCLASSTRIB!$E:$E, MATCH(TEXT($D235,"000000"), BASE_CCLASSTRIB!$A:$A, 0))/100, 0)</f>
        <v>0</v>
      </c>
      <c r="V235" s="16">
        <f>IFERROR(INDEX(BASE_CCLASSTRIB!$F:$F, MATCH(TEXT($D235,"000000"), BASE_CCLASSTRIB!$A:$A, 0))/100, 0)</f>
        <v>0</v>
      </c>
    </row>
    <row r="236" spans="4:22" ht="32.25" customHeight="1">
      <c r="D236" s="39"/>
      <c r="E236" s="27" t="str">
        <f>IF(D236="","",LEFT(D236,3))</f>
        <v/>
      </c>
      <c r="F236" s="28" t="str">
        <f>IF(E236="","",IFERROR(VLOOKUP(E236,REGRAS_CST!$A$2:$B$200,2,FALSE),""))</f>
        <v/>
      </c>
      <c r="H236" s="29">
        <v>8.9999999999999993E-3</v>
      </c>
      <c r="I236" s="29">
        <v>1E-3</v>
      </c>
      <c r="K236" s="21" t="str">
        <f>IF(E236="","",IFERROR(VLOOKUP(E236,REGRAS_CST!$A$2:$C$200,3,FALSE),""))</f>
        <v/>
      </c>
      <c r="L236" s="23" t="str">
        <f>IF($G236="", "", $G236*(1-$V236))</f>
        <v/>
      </c>
      <c r="M236" s="24" t="str">
        <f>IF(OR($L236="",$S236=""),"",$L236*$S236)</f>
        <v/>
      </c>
      <c r="N236" s="24" t="str">
        <f>IF(OR($L236="",$T236=""),"",$L236*$T236)</f>
        <v/>
      </c>
      <c r="O236" s="15" t="str">
        <f>IF(D236="","",
IF(AND(K236&lt;&gt;"SIM",V236&gt;0),"ERRO: % BC &gt; 0, mas NÃO permitida ❌",
IF(AND(K236="SIM",V236=0),"ATENÇÃO: BC permitida, mas % = 0 🔎",
"Base de cálculo aplicada corretamente ✅")))</f>
        <v/>
      </c>
      <c r="P236" s="31" t="str">
        <f>IF(D236="","",
IF(AND(Q236&lt;&gt;"SIM",U236&gt;0),"ERRO: % alíquota &gt; 0, mas NÃO permitida ❌",
IF(AND(Q236="SIM",U236=0),"ATENÇÃO: alíquota permitida, mas % = 0 🔎",
"Alíquota aplicada corretamente ✅")))</f>
        <v/>
      </c>
      <c r="Q236" s="8" t="str">
        <f>IF(E236="","",IFERROR(VLOOKUP(E236,REGRAS_CST!$A$2:$D$200,4,FALSE),""))</f>
        <v/>
      </c>
      <c r="S236" s="9">
        <f>IF($H236="","",$H236*(1-$U236))</f>
        <v>8.9999999999999993E-3</v>
      </c>
      <c r="T236" s="9">
        <f>IF($I236="","",$I236*(1-$U236))</f>
        <v>1E-3</v>
      </c>
      <c r="U236" s="16">
        <f>IFERROR(INDEX(BASE_CCLASSTRIB!$E:$E, MATCH(TEXT($D236,"000000"), BASE_CCLASSTRIB!$A:$A, 0))/100, 0)</f>
        <v>0</v>
      </c>
      <c r="V236" s="16">
        <f>IFERROR(INDEX(BASE_CCLASSTRIB!$F:$F, MATCH(TEXT($D236,"000000"), BASE_CCLASSTRIB!$A:$A, 0))/100, 0)</f>
        <v>0</v>
      </c>
    </row>
    <row r="237" spans="4:22" ht="32.25" customHeight="1">
      <c r="D237" s="40"/>
      <c r="E237" s="27" t="str">
        <f>IF(D237="","",LEFT(D237,3))</f>
        <v/>
      </c>
      <c r="F237" s="28" t="str">
        <f>IF(E237="","",IFERROR(VLOOKUP(E237,REGRAS_CST!$A$2:$B$200,2,FALSE),""))</f>
        <v/>
      </c>
      <c r="H237" s="29">
        <v>8.9999999999999993E-3</v>
      </c>
      <c r="I237" s="29">
        <v>1E-3</v>
      </c>
      <c r="K237" s="21" t="str">
        <f>IF(E237="","",IFERROR(VLOOKUP(E237,REGRAS_CST!$A$2:$C$200,3,FALSE),""))</f>
        <v/>
      </c>
      <c r="L237" s="23" t="str">
        <f>IF($G237="", "", $G237*(1-$V237))</f>
        <v/>
      </c>
      <c r="M237" s="24" t="str">
        <f>IF(OR($L237="",$S237=""),"",$L237*$S237)</f>
        <v/>
      </c>
      <c r="N237" s="24" t="str">
        <f>IF(OR($L237="",$T237=""),"",$L237*$T237)</f>
        <v/>
      </c>
      <c r="O237" s="15" t="str">
        <f>IF(D237="","",
IF(AND(K237&lt;&gt;"SIM",V237&gt;0),"ERRO: % BC &gt; 0, mas NÃO permitida ❌",
IF(AND(K237="SIM",V237=0),"ATENÇÃO: BC permitida, mas % = 0 🔎",
"Base de cálculo aplicada corretamente ✅")))</f>
        <v/>
      </c>
      <c r="P237" s="31" t="str">
        <f>IF(D237="","",
IF(AND(Q237&lt;&gt;"SIM",U237&gt;0),"ERRO: % alíquota &gt; 0, mas NÃO permitida ❌",
IF(AND(Q237="SIM",U237=0),"ATENÇÃO: alíquota permitida, mas % = 0 🔎",
"Alíquota aplicada corretamente ✅")))</f>
        <v/>
      </c>
      <c r="Q237" s="8" t="str">
        <f>IF(E237="","",IFERROR(VLOOKUP(E237,REGRAS_CST!$A$2:$D$200,4,FALSE),""))</f>
        <v/>
      </c>
      <c r="S237" s="9">
        <f>IF($H237="","",$H237*(1-$U237))</f>
        <v>8.9999999999999993E-3</v>
      </c>
      <c r="T237" s="9">
        <f>IF($I237="","",$I237*(1-$U237))</f>
        <v>1E-3</v>
      </c>
      <c r="U237" s="16">
        <f>IFERROR(INDEX(BASE_CCLASSTRIB!$E:$E, MATCH(TEXT($D237,"000000"), BASE_CCLASSTRIB!$A:$A, 0))/100, 0)</f>
        <v>0</v>
      </c>
      <c r="V237" s="16">
        <f>IFERROR(INDEX(BASE_CCLASSTRIB!$F:$F, MATCH(TEXT($D237,"000000"), BASE_CCLASSTRIB!$A:$A, 0))/100, 0)</f>
        <v>0</v>
      </c>
    </row>
    <row r="238" spans="4:22" ht="32.25" customHeight="1">
      <c r="D238" s="40"/>
      <c r="E238" s="27" t="str">
        <f>IF(D238="","",LEFT(D238,3))</f>
        <v/>
      </c>
      <c r="F238" s="28" t="str">
        <f>IF(E238="","",IFERROR(VLOOKUP(E238,REGRAS_CST!$A$2:$B$200,2,FALSE),""))</f>
        <v/>
      </c>
      <c r="H238" s="29">
        <v>8.9999999999999993E-3</v>
      </c>
      <c r="I238" s="29">
        <v>1E-3</v>
      </c>
      <c r="K238" s="21" t="str">
        <f>IF(E238="","",IFERROR(VLOOKUP(E238,REGRAS_CST!$A$2:$C$200,3,FALSE),""))</f>
        <v/>
      </c>
      <c r="L238" s="23" t="str">
        <f>IF($G238="", "", $G238*(1-$V238))</f>
        <v/>
      </c>
      <c r="M238" s="24" t="str">
        <f>IF(OR($L238="",$S238=""),"",$L238*$S238)</f>
        <v/>
      </c>
      <c r="N238" s="24" t="str">
        <f>IF(OR($L238="",$T238=""),"",$L238*$T238)</f>
        <v/>
      </c>
      <c r="O238" s="15" t="str">
        <f>IF(D238="","",
IF(AND(K238&lt;&gt;"SIM",V238&gt;0),"ERRO: % BC &gt; 0, mas NÃO permitida ❌",
IF(AND(K238="SIM",V238=0),"ATENÇÃO: BC permitida, mas % = 0 🔎",
"Base de cálculo aplicada corretamente ✅")))</f>
        <v/>
      </c>
      <c r="P238" s="31" t="str">
        <f>IF(D238="","",
IF(AND(Q238&lt;&gt;"SIM",U238&gt;0),"ERRO: % alíquota &gt; 0, mas NÃO permitida ❌",
IF(AND(Q238="SIM",U238=0),"ATENÇÃO: alíquota permitida, mas % = 0 🔎",
"Alíquota aplicada corretamente ✅")))</f>
        <v/>
      </c>
      <c r="Q238" s="8" t="str">
        <f>IF(E238="","",IFERROR(VLOOKUP(E238,REGRAS_CST!$A$2:$D$200,4,FALSE),""))</f>
        <v/>
      </c>
      <c r="S238" s="9">
        <f>IF($H238="","",$H238*(1-$U238))</f>
        <v>8.9999999999999993E-3</v>
      </c>
      <c r="T238" s="9">
        <f>IF($I238="","",$I238*(1-$U238))</f>
        <v>1E-3</v>
      </c>
      <c r="U238" s="16">
        <f>IFERROR(INDEX(BASE_CCLASSTRIB!$E:$E, MATCH(TEXT($D238,"000000"), BASE_CCLASSTRIB!$A:$A, 0))/100, 0)</f>
        <v>0</v>
      </c>
      <c r="V238" s="16">
        <f>IFERROR(INDEX(BASE_CCLASSTRIB!$F:$F, MATCH(TEXT($D238,"000000"), BASE_CCLASSTRIB!$A:$A, 0))/100, 0)</f>
        <v>0</v>
      </c>
    </row>
    <row r="239" spans="4:22" ht="32.25" customHeight="1">
      <c r="D239" s="39"/>
      <c r="E239" s="27" t="str">
        <f>IF(D239="","",LEFT(D239,3))</f>
        <v/>
      </c>
      <c r="F239" s="28" t="str">
        <f>IF(E239="","",IFERROR(VLOOKUP(E239,REGRAS_CST!$A$2:$B$200,2,FALSE),""))</f>
        <v/>
      </c>
      <c r="H239" s="29">
        <v>8.9999999999999993E-3</v>
      </c>
      <c r="I239" s="29">
        <v>1E-3</v>
      </c>
      <c r="K239" s="21" t="str">
        <f>IF(E239="","",IFERROR(VLOOKUP(E239,REGRAS_CST!$A$2:$C$200,3,FALSE),""))</f>
        <v/>
      </c>
      <c r="L239" s="23" t="str">
        <f>IF($G239="", "", $G239*(1-$V239))</f>
        <v/>
      </c>
      <c r="M239" s="24" t="str">
        <f>IF(OR($L239="",$S239=""),"",$L239*$S239)</f>
        <v/>
      </c>
      <c r="N239" s="24" t="str">
        <f>IF(OR($L239="",$T239=""),"",$L239*$T239)</f>
        <v/>
      </c>
      <c r="O239" s="15" t="str">
        <f>IF(D239="","",
IF(AND(K239&lt;&gt;"SIM",V239&gt;0),"ERRO: % BC &gt; 0, mas NÃO permitida ❌",
IF(AND(K239="SIM",V239=0),"ATENÇÃO: BC permitida, mas % = 0 🔎",
"Base de cálculo aplicada corretamente ✅")))</f>
        <v/>
      </c>
      <c r="P239" s="31" t="str">
        <f>IF(D239="","",
IF(AND(Q239&lt;&gt;"SIM",U239&gt;0),"ERRO: % alíquota &gt; 0, mas NÃO permitida ❌",
IF(AND(Q239="SIM",U239=0),"ATENÇÃO: alíquota permitida, mas % = 0 🔎",
"Alíquota aplicada corretamente ✅")))</f>
        <v/>
      </c>
      <c r="Q239" s="8" t="str">
        <f>IF(E239="","",IFERROR(VLOOKUP(E239,REGRAS_CST!$A$2:$D$200,4,FALSE),""))</f>
        <v/>
      </c>
      <c r="S239" s="9">
        <f>IF($H239="","",$H239*(1-$U239))</f>
        <v>8.9999999999999993E-3</v>
      </c>
      <c r="T239" s="9">
        <f>IF($I239="","",$I239*(1-$U239))</f>
        <v>1E-3</v>
      </c>
      <c r="U239" s="16">
        <f>IFERROR(INDEX(BASE_CCLASSTRIB!$E:$E, MATCH(TEXT($D239,"000000"), BASE_CCLASSTRIB!$A:$A, 0))/100, 0)</f>
        <v>0</v>
      </c>
      <c r="V239" s="16">
        <f>IFERROR(INDEX(BASE_CCLASSTRIB!$F:$F, MATCH(TEXT($D239,"000000"), BASE_CCLASSTRIB!$A:$A, 0))/100, 0)</f>
        <v>0</v>
      </c>
    </row>
    <row r="240" spans="4:22" ht="32.25" customHeight="1">
      <c r="D240" s="39"/>
      <c r="E240" s="27" t="str">
        <f>IF(D240="","",LEFT(D240,3))</f>
        <v/>
      </c>
      <c r="F240" s="28" t="str">
        <f>IF(E240="","",IFERROR(VLOOKUP(E240,REGRAS_CST!$A$2:$B$200,2,FALSE),""))</f>
        <v/>
      </c>
      <c r="H240" s="29">
        <v>8.9999999999999993E-3</v>
      </c>
      <c r="I240" s="29">
        <v>1E-3</v>
      </c>
      <c r="K240" s="21" t="str">
        <f>IF(E240="","",IFERROR(VLOOKUP(E240,REGRAS_CST!$A$2:$C$200,3,FALSE),""))</f>
        <v/>
      </c>
      <c r="L240" s="23" t="str">
        <f>IF($G240="", "", $G240*(1-$V240))</f>
        <v/>
      </c>
      <c r="M240" s="24" t="str">
        <f>IF(OR($L240="",$S240=""),"",$L240*$S240)</f>
        <v/>
      </c>
      <c r="N240" s="24" t="str">
        <f>IF(OR($L240="",$T240=""),"",$L240*$T240)</f>
        <v/>
      </c>
      <c r="O240" s="15" t="str">
        <f>IF(D240="","",
IF(AND(K240&lt;&gt;"SIM",V240&gt;0),"ERRO: % BC &gt; 0, mas NÃO permitida ❌",
IF(AND(K240="SIM",V240=0),"ATENÇÃO: BC permitida, mas % = 0 🔎",
"Base de cálculo aplicada corretamente ✅")))</f>
        <v/>
      </c>
      <c r="P240" s="31" t="str">
        <f>IF(D240="","",
IF(AND(Q240&lt;&gt;"SIM",U240&gt;0),"ERRO: % alíquota &gt; 0, mas NÃO permitida ❌",
IF(AND(Q240="SIM",U240=0),"ATENÇÃO: alíquota permitida, mas % = 0 🔎",
"Alíquota aplicada corretamente ✅")))</f>
        <v/>
      </c>
      <c r="Q240" s="8" t="str">
        <f>IF(E240="","",IFERROR(VLOOKUP(E240,REGRAS_CST!$A$2:$D$200,4,FALSE),""))</f>
        <v/>
      </c>
      <c r="S240" s="9">
        <f>IF($H240="","",$H240*(1-$U240))</f>
        <v>8.9999999999999993E-3</v>
      </c>
      <c r="T240" s="9">
        <f>IF($I240="","",$I240*(1-$U240))</f>
        <v>1E-3</v>
      </c>
      <c r="U240" s="16">
        <f>IFERROR(INDEX(BASE_CCLASSTRIB!$E:$E, MATCH(TEXT($D240,"000000"), BASE_CCLASSTRIB!$A:$A, 0))/100, 0)</f>
        <v>0</v>
      </c>
      <c r="V240" s="16">
        <f>IFERROR(INDEX(BASE_CCLASSTRIB!$F:$F, MATCH(TEXT($D240,"000000"), BASE_CCLASSTRIB!$A:$A, 0))/100, 0)</f>
        <v>0</v>
      </c>
    </row>
    <row r="241" spans="4:22" ht="32.25" customHeight="1">
      <c r="D241" s="39"/>
      <c r="E241" s="27" t="str">
        <f>IF(D241="","",LEFT(D241,3))</f>
        <v/>
      </c>
      <c r="F241" s="28" t="str">
        <f>IF(E241="","",IFERROR(VLOOKUP(E241,REGRAS_CST!$A$2:$B$200,2,FALSE),""))</f>
        <v/>
      </c>
      <c r="H241" s="29">
        <v>8.9999999999999993E-3</v>
      </c>
      <c r="I241" s="29">
        <v>1E-3</v>
      </c>
      <c r="K241" s="21" t="str">
        <f>IF(E241="","",IFERROR(VLOOKUP(E241,REGRAS_CST!$A$2:$C$200,3,FALSE),""))</f>
        <v/>
      </c>
      <c r="L241" s="23" t="str">
        <f>IF($G241="", "", $G241*(1-$V241))</f>
        <v/>
      </c>
      <c r="M241" s="24" t="str">
        <f>IF(OR($L241="",$S241=""),"",$L241*$S241)</f>
        <v/>
      </c>
      <c r="N241" s="24" t="str">
        <f>IF(OR($L241="",$T241=""),"",$L241*$T241)</f>
        <v/>
      </c>
      <c r="O241" s="15" t="str">
        <f>IF(D241="","",
IF(AND(K241&lt;&gt;"SIM",V241&gt;0),"ERRO: % BC &gt; 0, mas NÃO permitida ❌",
IF(AND(K241="SIM",V241=0),"ATENÇÃO: BC permitida, mas % = 0 🔎",
"Base de cálculo aplicada corretamente ✅")))</f>
        <v/>
      </c>
      <c r="P241" s="31" t="str">
        <f>IF(D241="","",
IF(AND(Q241&lt;&gt;"SIM",U241&gt;0),"ERRO: % alíquota &gt; 0, mas NÃO permitida ❌",
IF(AND(Q241="SIM",U241=0),"ATENÇÃO: alíquota permitida, mas % = 0 🔎",
"Alíquota aplicada corretamente ✅")))</f>
        <v/>
      </c>
      <c r="Q241" s="8" t="str">
        <f>IF(E241="","",IFERROR(VLOOKUP(E241,REGRAS_CST!$A$2:$D$200,4,FALSE),""))</f>
        <v/>
      </c>
      <c r="S241" s="9">
        <f>IF($H241="","",$H241*(1-$U241))</f>
        <v>8.9999999999999993E-3</v>
      </c>
      <c r="T241" s="9">
        <f>IF($I241="","",$I241*(1-$U241))</f>
        <v>1E-3</v>
      </c>
      <c r="U241" s="16">
        <f>IFERROR(INDEX(BASE_CCLASSTRIB!$E:$E, MATCH(TEXT($D241,"000000"), BASE_CCLASSTRIB!$A:$A, 0))/100, 0)</f>
        <v>0</v>
      </c>
      <c r="V241" s="16">
        <f>IFERROR(INDEX(BASE_CCLASSTRIB!$F:$F, MATCH(TEXT($D241,"000000"), BASE_CCLASSTRIB!$A:$A, 0))/100, 0)</f>
        <v>0</v>
      </c>
    </row>
    <row r="242" spans="4:22" ht="32.25" customHeight="1">
      <c r="D242" s="39"/>
      <c r="E242" s="27" t="str">
        <f>IF(D242="","",LEFT(D242,3))</f>
        <v/>
      </c>
      <c r="F242" s="28" t="str">
        <f>IF(E242="","",IFERROR(VLOOKUP(E242,REGRAS_CST!$A$2:$B$200,2,FALSE),""))</f>
        <v/>
      </c>
      <c r="H242" s="29">
        <v>8.9999999999999993E-3</v>
      </c>
      <c r="I242" s="29">
        <v>1E-3</v>
      </c>
      <c r="K242" s="21" t="str">
        <f>IF(E242="","",IFERROR(VLOOKUP(E242,REGRAS_CST!$A$2:$C$200,3,FALSE),""))</f>
        <v/>
      </c>
      <c r="L242" s="23" t="str">
        <f>IF($G242="", "", $G242*(1-$V242))</f>
        <v/>
      </c>
      <c r="M242" s="24" t="str">
        <f>IF(OR($L242="",$S242=""),"",$L242*$S242)</f>
        <v/>
      </c>
      <c r="N242" s="24" t="str">
        <f>IF(OR($L242="",$T242=""),"",$L242*$T242)</f>
        <v/>
      </c>
      <c r="O242" s="15" t="str">
        <f>IF(D242="","",
IF(AND(K242&lt;&gt;"SIM",V242&gt;0),"ERRO: % BC &gt; 0, mas NÃO permitida ❌",
IF(AND(K242="SIM",V242=0),"ATENÇÃO: BC permitida, mas % = 0 🔎",
"Base de cálculo aplicada corretamente ✅")))</f>
        <v/>
      </c>
      <c r="P242" s="31" t="str">
        <f>IF(D242="","",
IF(AND(Q242&lt;&gt;"SIM",U242&gt;0),"ERRO: % alíquota &gt; 0, mas NÃO permitida ❌",
IF(AND(Q242="SIM",U242=0),"ATENÇÃO: alíquota permitida, mas % = 0 🔎",
"Alíquota aplicada corretamente ✅")))</f>
        <v/>
      </c>
      <c r="Q242" s="8" t="str">
        <f>IF(E242="","",IFERROR(VLOOKUP(E242,REGRAS_CST!$A$2:$D$200,4,FALSE),""))</f>
        <v/>
      </c>
      <c r="S242" s="9">
        <f>IF($H242="","",$H242*(1-$U242))</f>
        <v>8.9999999999999993E-3</v>
      </c>
      <c r="T242" s="9">
        <f>IF($I242="","",$I242*(1-$U242))</f>
        <v>1E-3</v>
      </c>
      <c r="U242" s="16">
        <f>IFERROR(INDEX(BASE_CCLASSTRIB!$E:$E, MATCH(TEXT($D242,"000000"), BASE_CCLASSTRIB!$A:$A, 0))/100, 0)</f>
        <v>0</v>
      </c>
      <c r="V242" s="16">
        <f>IFERROR(INDEX(BASE_CCLASSTRIB!$F:$F, MATCH(TEXT($D242,"000000"), BASE_CCLASSTRIB!$A:$A, 0))/100, 0)</f>
        <v>0</v>
      </c>
    </row>
    <row r="243" spans="4:22" ht="32.25" customHeight="1">
      <c r="D243" s="39"/>
      <c r="E243" s="27" t="str">
        <f>IF(D243="","",LEFT(D243,3))</f>
        <v/>
      </c>
      <c r="F243" s="28" t="str">
        <f>IF(E243="","",IFERROR(VLOOKUP(E243,REGRAS_CST!$A$2:$B$200,2,FALSE),""))</f>
        <v/>
      </c>
      <c r="H243" s="29">
        <v>8.9999999999999993E-3</v>
      </c>
      <c r="I243" s="29">
        <v>1E-3</v>
      </c>
      <c r="K243" s="21" t="str">
        <f>IF(E243="","",IFERROR(VLOOKUP(E243,REGRAS_CST!$A$2:$C$200,3,FALSE),""))</f>
        <v/>
      </c>
      <c r="L243" s="23" t="str">
        <f>IF($G243="", "", $G243*(1-$V243))</f>
        <v/>
      </c>
      <c r="M243" s="24" t="str">
        <f>IF(OR($L243="",$S243=""),"",$L243*$S243)</f>
        <v/>
      </c>
      <c r="N243" s="24" t="str">
        <f>IF(OR($L243="",$T243=""),"",$L243*$T243)</f>
        <v/>
      </c>
      <c r="O243" s="15" t="str">
        <f>IF(D243="","",
IF(AND(K243&lt;&gt;"SIM",V243&gt;0),"ERRO: % BC &gt; 0, mas NÃO permitida ❌",
IF(AND(K243="SIM",V243=0),"ATENÇÃO: BC permitida, mas % = 0 🔎",
"Base de cálculo aplicada corretamente ✅")))</f>
        <v/>
      </c>
      <c r="P243" s="31" t="str">
        <f>IF(D243="","",
IF(AND(Q243&lt;&gt;"SIM",U243&gt;0),"ERRO: % alíquota &gt; 0, mas NÃO permitida ❌",
IF(AND(Q243="SIM",U243=0),"ATENÇÃO: alíquota permitida, mas % = 0 🔎",
"Alíquota aplicada corretamente ✅")))</f>
        <v/>
      </c>
      <c r="Q243" s="8" t="str">
        <f>IF(E243="","",IFERROR(VLOOKUP(E243,REGRAS_CST!$A$2:$D$200,4,FALSE),""))</f>
        <v/>
      </c>
      <c r="S243" s="9">
        <f>IF($H243="","",$H243*(1-$U243))</f>
        <v>8.9999999999999993E-3</v>
      </c>
      <c r="T243" s="9">
        <f>IF($I243="","",$I243*(1-$U243))</f>
        <v>1E-3</v>
      </c>
      <c r="U243" s="16">
        <f>IFERROR(INDEX(BASE_CCLASSTRIB!$E:$E, MATCH(TEXT($D243,"000000"), BASE_CCLASSTRIB!$A:$A, 0))/100, 0)</f>
        <v>0</v>
      </c>
      <c r="V243" s="16">
        <f>IFERROR(INDEX(BASE_CCLASSTRIB!$F:$F, MATCH(TEXT($D243,"000000"), BASE_CCLASSTRIB!$A:$A, 0))/100, 0)</f>
        <v>0</v>
      </c>
    </row>
    <row r="244" spans="4:22" ht="32.25" customHeight="1">
      <c r="D244" s="40"/>
      <c r="E244" s="27" t="str">
        <f>IF(D244="","",LEFT(D244,3))</f>
        <v/>
      </c>
      <c r="F244" s="28" t="str">
        <f>IF(E244="","",IFERROR(VLOOKUP(E244,REGRAS_CST!$A$2:$B$200,2,FALSE),""))</f>
        <v/>
      </c>
      <c r="H244" s="29">
        <v>8.9999999999999993E-3</v>
      </c>
      <c r="I244" s="29">
        <v>1E-3</v>
      </c>
      <c r="K244" s="21" t="str">
        <f>IF(E244="","",IFERROR(VLOOKUP(E244,REGRAS_CST!$A$2:$C$200,3,FALSE),""))</f>
        <v/>
      </c>
      <c r="L244" s="23" t="str">
        <f>IF($G244="", "", $G244*(1-$V244))</f>
        <v/>
      </c>
      <c r="M244" s="24" t="str">
        <f>IF(OR($L244="",$S244=""),"",$L244*$S244)</f>
        <v/>
      </c>
      <c r="N244" s="24" t="str">
        <f>IF(OR($L244="",$T244=""),"",$L244*$T244)</f>
        <v/>
      </c>
      <c r="O244" s="15" t="str">
        <f>IF(D244="","",
IF(AND(K244&lt;&gt;"SIM",V244&gt;0),"ERRO: % BC &gt; 0, mas NÃO permitida ❌",
IF(AND(K244="SIM",V244=0),"ATENÇÃO: BC permitida, mas % = 0 🔎",
"Base de cálculo aplicada corretamente ✅")))</f>
        <v/>
      </c>
      <c r="P244" s="31" t="str">
        <f>IF(D244="","",
IF(AND(Q244&lt;&gt;"SIM",U244&gt;0),"ERRO: % alíquota &gt; 0, mas NÃO permitida ❌",
IF(AND(Q244="SIM",U244=0),"ATENÇÃO: alíquota permitida, mas % = 0 🔎",
"Alíquota aplicada corretamente ✅")))</f>
        <v/>
      </c>
      <c r="Q244" s="8" t="str">
        <f>IF(E244="","",IFERROR(VLOOKUP(E244,REGRAS_CST!$A$2:$D$200,4,FALSE),""))</f>
        <v/>
      </c>
      <c r="S244" s="9">
        <f>IF($H244="","",$H244*(1-$U244))</f>
        <v>8.9999999999999993E-3</v>
      </c>
      <c r="T244" s="9">
        <f>IF($I244="","",$I244*(1-$U244))</f>
        <v>1E-3</v>
      </c>
      <c r="U244" s="16">
        <f>IFERROR(INDEX(BASE_CCLASSTRIB!$E:$E, MATCH(TEXT($D244,"000000"), BASE_CCLASSTRIB!$A:$A, 0))/100, 0)</f>
        <v>0</v>
      </c>
      <c r="V244" s="16">
        <f>IFERROR(INDEX(BASE_CCLASSTRIB!$F:$F, MATCH(TEXT($D244,"000000"), BASE_CCLASSTRIB!$A:$A, 0))/100, 0)</f>
        <v>0</v>
      </c>
    </row>
    <row r="245" spans="4:22" ht="32.25" customHeight="1">
      <c r="D245" s="39"/>
      <c r="E245" s="27" t="str">
        <f>IF(D245="","",LEFT(D245,3))</f>
        <v/>
      </c>
      <c r="F245" s="28" t="str">
        <f>IF(E245="","",IFERROR(VLOOKUP(E245,REGRAS_CST!$A$2:$B$200,2,FALSE),""))</f>
        <v/>
      </c>
      <c r="H245" s="29">
        <v>8.9999999999999993E-3</v>
      </c>
      <c r="I245" s="29">
        <v>1E-3</v>
      </c>
      <c r="K245" s="21" t="str">
        <f>IF(E245="","",IFERROR(VLOOKUP(E245,REGRAS_CST!$A$2:$C$200,3,FALSE),""))</f>
        <v/>
      </c>
      <c r="L245" s="23" t="str">
        <f>IF($G245="", "", $G245*(1-$V245))</f>
        <v/>
      </c>
      <c r="M245" s="24" t="str">
        <f>IF(OR($L245="",$S245=""),"",$L245*$S245)</f>
        <v/>
      </c>
      <c r="N245" s="24" t="str">
        <f>IF(OR($L245="",$T245=""),"",$L245*$T245)</f>
        <v/>
      </c>
      <c r="O245" s="15" t="str">
        <f>IF(D245="","",
IF(AND(K245&lt;&gt;"SIM",V245&gt;0),"ERRO: % BC &gt; 0, mas NÃO permitida ❌",
IF(AND(K245="SIM",V245=0),"ATENÇÃO: BC permitida, mas % = 0 🔎",
"Base de cálculo aplicada corretamente ✅")))</f>
        <v/>
      </c>
      <c r="P245" s="31" t="str">
        <f>IF(D245="","",
IF(AND(Q245&lt;&gt;"SIM",U245&gt;0),"ERRO: % alíquota &gt; 0, mas NÃO permitida ❌",
IF(AND(Q245="SIM",U245=0),"ATENÇÃO: alíquota permitida, mas % = 0 🔎",
"Alíquota aplicada corretamente ✅")))</f>
        <v/>
      </c>
      <c r="Q245" s="8" t="str">
        <f>IF(E245="","",IFERROR(VLOOKUP(E245,REGRAS_CST!$A$2:$D$200,4,FALSE),""))</f>
        <v/>
      </c>
      <c r="S245" s="9">
        <f>IF($H245="","",$H245*(1-$U245))</f>
        <v>8.9999999999999993E-3</v>
      </c>
      <c r="T245" s="9">
        <f>IF($I245="","",$I245*(1-$U245))</f>
        <v>1E-3</v>
      </c>
      <c r="U245" s="16">
        <f>IFERROR(INDEX(BASE_CCLASSTRIB!$E:$E, MATCH(TEXT($D245,"000000"), BASE_CCLASSTRIB!$A:$A, 0))/100, 0)</f>
        <v>0</v>
      </c>
      <c r="V245" s="16">
        <f>IFERROR(INDEX(BASE_CCLASSTRIB!$F:$F, MATCH(TEXT($D245,"000000"), BASE_CCLASSTRIB!$A:$A, 0))/100, 0)</f>
        <v>0</v>
      </c>
    </row>
    <row r="246" spans="4:22" ht="32.25" customHeight="1">
      <c r="D246" s="39"/>
      <c r="E246" s="27" t="str">
        <f>IF(D246="","",LEFT(D246,3))</f>
        <v/>
      </c>
      <c r="F246" s="28" t="str">
        <f>IF(E246="","",IFERROR(VLOOKUP(E246,REGRAS_CST!$A$2:$B$200,2,FALSE),""))</f>
        <v/>
      </c>
      <c r="H246" s="29">
        <v>8.9999999999999993E-3</v>
      </c>
      <c r="I246" s="29">
        <v>1E-3</v>
      </c>
      <c r="K246" s="21" t="str">
        <f>IF(E246="","",IFERROR(VLOOKUP(E246,REGRAS_CST!$A$2:$C$200,3,FALSE),""))</f>
        <v/>
      </c>
      <c r="L246" s="23" t="str">
        <f>IF($G246="", "", $G246*(1-$V246))</f>
        <v/>
      </c>
      <c r="M246" s="24" t="str">
        <f>IF(OR($L246="",$S246=""),"",$L246*$S246)</f>
        <v/>
      </c>
      <c r="N246" s="24" t="str">
        <f>IF(OR($L246="",$T246=""),"",$L246*$T246)</f>
        <v/>
      </c>
      <c r="O246" s="15" t="str">
        <f>IF(D246="","",
IF(AND(K246&lt;&gt;"SIM",V246&gt;0),"ERRO: % BC &gt; 0, mas NÃO permitida ❌",
IF(AND(K246="SIM",V246=0),"ATENÇÃO: BC permitida, mas % = 0 🔎",
"Base de cálculo aplicada corretamente ✅")))</f>
        <v/>
      </c>
      <c r="P246" s="31" t="str">
        <f>IF(D246="","",
IF(AND(Q246&lt;&gt;"SIM",U246&gt;0),"ERRO: % alíquota &gt; 0, mas NÃO permitida ❌",
IF(AND(Q246="SIM",U246=0),"ATENÇÃO: alíquota permitida, mas % = 0 🔎",
"Alíquota aplicada corretamente ✅")))</f>
        <v/>
      </c>
      <c r="Q246" s="8" t="str">
        <f>IF(E246="","",IFERROR(VLOOKUP(E246,REGRAS_CST!$A$2:$D$200,4,FALSE),""))</f>
        <v/>
      </c>
      <c r="S246" s="9">
        <f>IF($H246="","",$H246*(1-$U246))</f>
        <v>8.9999999999999993E-3</v>
      </c>
      <c r="T246" s="9">
        <f>IF($I246="","",$I246*(1-$U246))</f>
        <v>1E-3</v>
      </c>
      <c r="U246" s="16">
        <f>IFERROR(INDEX(BASE_CCLASSTRIB!$E:$E, MATCH(TEXT($D246,"000000"), BASE_CCLASSTRIB!$A:$A, 0))/100, 0)</f>
        <v>0</v>
      </c>
      <c r="V246" s="16">
        <f>IFERROR(INDEX(BASE_CCLASSTRIB!$F:$F, MATCH(TEXT($D246,"000000"), BASE_CCLASSTRIB!$A:$A, 0))/100, 0)</f>
        <v>0</v>
      </c>
    </row>
    <row r="247" spans="4:22" ht="32.25" customHeight="1">
      <c r="D247" s="39"/>
      <c r="E247" s="27" t="str">
        <f>IF(D247="","",LEFT(D247,3))</f>
        <v/>
      </c>
      <c r="F247" s="28" t="str">
        <f>IF(E247="","",IFERROR(VLOOKUP(E247,REGRAS_CST!$A$2:$B$200,2,FALSE),""))</f>
        <v/>
      </c>
      <c r="H247" s="29">
        <v>8.9999999999999993E-3</v>
      </c>
      <c r="I247" s="29">
        <v>1E-3</v>
      </c>
      <c r="K247" s="21" t="str">
        <f>IF(E247="","",IFERROR(VLOOKUP(E247,REGRAS_CST!$A$2:$C$200,3,FALSE),""))</f>
        <v/>
      </c>
      <c r="L247" s="23" t="str">
        <f>IF($G247="", "", $G247*(1-$V247))</f>
        <v/>
      </c>
      <c r="M247" s="24" t="str">
        <f>IF(OR($L247="",$S247=""),"",$L247*$S247)</f>
        <v/>
      </c>
      <c r="N247" s="24" t="str">
        <f>IF(OR($L247="",$T247=""),"",$L247*$T247)</f>
        <v/>
      </c>
      <c r="O247" s="15" t="str">
        <f>IF(D247="","",
IF(AND(K247&lt;&gt;"SIM",V247&gt;0),"ERRO: % BC &gt; 0, mas NÃO permitida ❌",
IF(AND(K247="SIM",V247=0),"ATENÇÃO: BC permitida, mas % = 0 🔎",
"Base de cálculo aplicada corretamente ✅")))</f>
        <v/>
      </c>
      <c r="P247" s="31" t="str">
        <f>IF(D247="","",
IF(AND(Q247&lt;&gt;"SIM",U247&gt;0),"ERRO: % alíquota &gt; 0, mas NÃO permitida ❌",
IF(AND(Q247="SIM",U247=0),"ATENÇÃO: alíquota permitida, mas % = 0 🔎",
"Alíquota aplicada corretamente ✅")))</f>
        <v/>
      </c>
      <c r="Q247" s="8" t="str">
        <f>IF(E247="","",IFERROR(VLOOKUP(E247,REGRAS_CST!$A$2:$D$200,4,FALSE),""))</f>
        <v/>
      </c>
      <c r="S247" s="9">
        <f>IF($H247="","",$H247*(1-$U247))</f>
        <v>8.9999999999999993E-3</v>
      </c>
      <c r="T247" s="9">
        <f>IF($I247="","",$I247*(1-$U247))</f>
        <v>1E-3</v>
      </c>
      <c r="U247" s="16">
        <f>IFERROR(INDEX(BASE_CCLASSTRIB!$E:$E, MATCH(TEXT($D247,"000000"), BASE_CCLASSTRIB!$A:$A, 0))/100, 0)</f>
        <v>0</v>
      </c>
      <c r="V247" s="16">
        <f>IFERROR(INDEX(BASE_CCLASSTRIB!$F:$F, MATCH(TEXT($D247,"000000"), BASE_CCLASSTRIB!$A:$A, 0))/100, 0)</f>
        <v>0</v>
      </c>
    </row>
    <row r="248" spans="4:22" ht="32.25" customHeight="1">
      <c r="D248" s="39"/>
      <c r="E248" s="27" t="str">
        <f>IF(D248="","",LEFT(D248,3))</f>
        <v/>
      </c>
      <c r="F248" s="28" t="str">
        <f>IF(E248="","",IFERROR(VLOOKUP(E248,REGRAS_CST!$A$2:$B$200,2,FALSE),""))</f>
        <v/>
      </c>
      <c r="H248" s="29">
        <v>8.9999999999999993E-3</v>
      </c>
      <c r="I248" s="29">
        <v>1E-3</v>
      </c>
      <c r="K248" s="21" t="str">
        <f>IF(E248="","",IFERROR(VLOOKUP(E248,REGRAS_CST!$A$2:$C$200,3,FALSE),""))</f>
        <v/>
      </c>
      <c r="L248" s="23" t="str">
        <f>IF($G248="", "", $G248*(1-$V248))</f>
        <v/>
      </c>
      <c r="M248" s="24" t="str">
        <f>IF(OR($L248="",$S248=""),"",$L248*$S248)</f>
        <v/>
      </c>
      <c r="N248" s="24" t="str">
        <f>IF(OR($L248="",$T248=""),"",$L248*$T248)</f>
        <v/>
      </c>
      <c r="O248" s="15" t="str">
        <f>IF(D248="","",
IF(AND(K248&lt;&gt;"SIM",V248&gt;0),"ERRO: % BC &gt; 0, mas NÃO permitida ❌",
IF(AND(K248="SIM",V248=0),"ATENÇÃO: BC permitida, mas % = 0 🔎",
"Base de cálculo aplicada corretamente ✅")))</f>
        <v/>
      </c>
      <c r="P248" s="31" t="str">
        <f>IF(D248="","",
IF(AND(Q248&lt;&gt;"SIM",U248&gt;0),"ERRO: % alíquota &gt; 0, mas NÃO permitida ❌",
IF(AND(Q248="SIM",U248=0),"ATENÇÃO: alíquota permitida, mas % = 0 🔎",
"Alíquota aplicada corretamente ✅")))</f>
        <v/>
      </c>
      <c r="Q248" s="8" t="str">
        <f>IF(E248="","",IFERROR(VLOOKUP(E248,REGRAS_CST!$A$2:$D$200,4,FALSE),""))</f>
        <v/>
      </c>
      <c r="S248" s="9">
        <f>IF($H248="","",$H248*(1-$U248))</f>
        <v>8.9999999999999993E-3</v>
      </c>
      <c r="T248" s="9">
        <f>IF($I248="","",$I248*(1-$U248))</f>
        <v>1E-3</v>
      </c>
      <c r="U248" s="16">
        <f>IFERROR(INDEX(BASE_CCLASSTRIB!$E:$E, MATCH(TEXT($D248,"000000"), BASE_CCLASSTRIB!$A:$A, 0))/100, 0)</f>
        <v>0</v>
      </c>
      <c r="V248" s="16">
        <f>IFERROR(INDEX(BASE_CCLASSTRIB!$F:$F, MATCH(TEXT($D248,"000000"), BASE_CCLASSTRIB!$A:$A, 0))/100, 0)</f>
        <v>0</v>
      </c>
    </row>
    <row r="249" spans="4:22" ht="32.25" customHeight="1">
      <c r="D249" s="39"/>
      <c r="E249" s="27" t="str">
        <f>IF(D249="","",LEFT(D249,3))</f>
        <v/>
      </c>
      <c r="F249" s="28" t="str">
        <f>IF(E249="","",IFERROR(VLOOKUP(E249,REGRAS_CST!$A$2:$B$200,2,FALSE),""))</f>
        <v/>
      </c>
      <c r="H249" s="29">
        <v>8.9999999999999993E-3</v>
      </c>
      <c r="I249" s="29">
        <v>1E-3</v>
      </c>
      <c r="K249" s="21" t="str">
        <f>IF(E249="","",IFERROR(VLOOKUP(E249,REGRAS_CST!$A$2:$C$200,3,FALSE),""))</f>
        <v/>
      </c>
      <c r="L249" s="23" t="str">
        <f>IF($G249="", "", $G249*(1-$V249))</f>
        <v/>
      </c>
      <c r="M249" s="24" t="str">
        <f>IF(OR($L249="",$S249=""),"",$L249*$S249)</f>
        <v/>
      </c>
      <c r="N249" s="24" t="str">
        <f>IF(OR($L249="",$T249=""),"",$L249*$T249)</f>
        <v/>
      </c>
      <c r="O249" s="15" t="str">
        <f>IF(D249="","",
IF(AND(K249&lt;&gt;"SIM",V249&gt;0),"ERRO: % BC &gt; 0, mas NÃO permitida ❌",
IF(AND(K249="SIM",V249=0),"ATENÇÃO: BC permitida, mas % = 0 🔎",
"Base de cálculo aplicada corretamente ✅")))</f>
        <v/>
      </c>
      <c r="P249" s="31" t="str">
        <f>IF(D249="","",
IF(AND(Q249&lt;&gt;"SIM",U249&gt;0),"ERRO: % alíquota &gt; 0, mas NÃO permitida ❌",
IF(AND(Q249="SIM",U249=0),"ATENÇÃO: alíquota permitida, mas % = 0 🔎",
"Alíquota aplicada corretamente ✅")))</f>
        <v/>
      </c>
      <c r="Q249" s="8" t="str">
        <f>IF(E249="","",IFERROR(VLOOKUP(E249,REGRAS_CST!$A$2:$D$200,4,FALSE),""))</f>
        <v/>
      </c>
      <c r="S249" s="9">
        <f>IF($H249="","",$H249*(1-$U249))</f>
        <v>8.9999999999999993E-3</v>
      </c>
      <c r="T249" s="9">
        <f>IF($I249="","",$I249*(1-$U249))</f>
        <v>1E-3</v>
      </c>
      <c r="U249" s="16">
        <f>IFERROR(INDEX(BASE_CCLASSTRIB!$E:$E, MATCH(TEXT($D249,"000000"), BASE_CCLASSTRIB!$A:$A, 0))/100, 0)</f>
        <v>0</v>
      </c>
      <c r="V249" s="16">
        <f>IFERROR(INDEX(BASE_CCLASSTRIB!$F:$F, MATCH(TEXT($D249,"000000"), BASE_CCLASSTRIB!$A:$A, 0))/100, 0)</f>
        <v>0</v>
      </c>
    </row>
    <row r="250" spans="4:22" ht="32.25" customHeight="1">
      <c r="D250" s="39"/>
      <c r="E250" s="27" t="str">
        <f>IF(D250="","",LEFT(D250,3))</f>
        <v/>
      </c>
      <c r="F250" s="28" t="str">
        <f>IF(E250="","",IFERROR(VLOOKUP(E250,REGRAS_CST!$A$2:$B$200,2,FALSE),""))</f>
        <v/>
      </c>
      <c r="H250" s="29">
        <v>8.9999999999999993E-3</v>
      </c>
      <c r="I250" s="29">
        <v>1E-3</v>
      </c>
      <c r="K250" s="21" t="str">
        <f>IF(E250="","",IFERROR(VLOOKUP(E250,REGRAS_CST!$A$2:$C$200,3,FALSE),""))</f>
        <v/>
      </c>
      <c r="L250" s="23" t="str">
        <f>IF($G250="", "", $G250*(1-$V250))</f>
        <v/>
      </c>
      <c r="M250" s="24" t="str">
        <f>IF(OR($L250="",$S250=""),"",$L250*$S250)</f>
        <v/>
      </c>
      <c r="N250" s="24" t="str">
        <f>IF(OR($L250="",$T250=""),"",$L250*$T250)</f>
        <v/>
      </c>
      <c r="O250" s="15" t="str">
        <f>IF(D250="","",
IF(AND(K250&lt;&gt;"SIM",V250&gt;0),"ERRO: % BC &gt; 0, mas NÃO permitida ❌",
IF(AND(K250="SIM",V250=0),"ATENÇÃO: BC permitida, mas % = 0 🔎",
"Base de cálculo aplicada corretamente ✅")))</f>
        <v/>
      </c>
      <c r="P250" s="31" t="str">
        <f>IF(D250="","",
IF(AND(Q250&lt;&gt;"SIM",U250&gt;0),"ERRO: % alíquota &gt; 0, mas NÃO permitida ❌",
IF(AND(Q250="SIM",U250=0),"ATENÇÃO: alíquota permitida, mas % = 0 🔎",
"Alíquota aplicada corretamente ✅")))</f>
        <v/>
      </c>
      <c r="Q250" s="8" t="str">
        <f>IF(E250="","",IFERROR(VLOOKUP(E250,REGRAS_CST!$A$2:$D$200,4,FALSE),""))</f>
        <v/>
      </c>
      <c r="S250" s="9">
        <f>IF($H250="","",$H250*(1-$U250))</f>
        <v>8.9999999999999993E-3</v>
      </c>
      <c r="T250" s="9">
        <f>IF($I250="","",$I250*(1-$U250))</f>
        <v>1E-3</v>
      </c>
      <c r="U250" s="16">
        <f>IFERROR(INDEX(BASE_CCLASSTRIB!$E:$E, MATCH(TEXT($D250,"000000"), BASE_CCLASSTRIB!$A:$A, 0))/100, 0)</f>
        <v>0</v>
      </c>
      <c r="V250" s="16">
        <f>IFERROR(INDEX(BASE_CCLASSTRIB!$F:$F, MATCH(TEXT($D250,"000000"), BASE_CCLASSTRIB!$A:$A, 0))/100, 0)</f>
        <v>0</v>
      </c>
    </row>
    <row r="251" spans="4:22" ht="32.25" customHeight="1">
      <c r="D251" s="40"/>
      <c r="E251" s="27" t="str">
        <f>IF(D251="","",LEFT(D251,3))</f>
        <v/>
      </c>
      <c r="F251" s="28" t="str">
        <f>IF(E251="","",IFERROR(VLOOKUP(E251,REGRAS_CST!$A$2:$B$200,2,FALSE),""))</f>
        <v/>
      </c>
      <c r="H251" s="29">
        <v>8.9999999999999993E-3</v>
      </c>
      <c r="I251" s="29">
        <v>1E-3</v>
      </c>
      <c r="K251" s="21" t="str">
        <f>IF(E251="","",IFERROR(VLOOKUP(E251,REGRAS_CST!$A$2:$C$200,3,FALSE),""))</f>
        <v/>
      </c>
      <c r="L251" s="23" t="str">
        <f>IF($G251="", "", $G251*(1-$V251))</f>
        <v/>
      </c>
      <c r="M251" s="24" t="str">
        <f>IF(OR($L251="",$S251=""),"",$L251*$S251)</f>
        <v/>
      </c>
      <c r="N251" s="24" t="str">
        <f>IF(OR($L251="",$T251=""),"",$L251*$T251)</f>
        <v/>
      </c>
      <c r="O251" s="15" t="str">
        <f>IF(D251="","",
IF(AND(K251&lt;&gt;"SIM",V251&gt;0),"ERRO: % BC &gt; 0, mas NÃO permitida ❌",
IF(AND(K251="SIM",V251=0),"ATENÇÃO: BC permitida, mas % = 0 🔎",
"Base de cálculo aplicada corretamente ✅")))</f>
        <v/>
      </c>
      <c r="P251" s="31" t="str">
        <f>IF(D251="","",
IF(AND(Q251&lt;&gt;"SIM",U251&gt;0),"ERRO: % alíquota &gt; 0, mas NÃO permitida ❌",
IF(AND(Q251="SIM",U251=0),"ATENÇÃO: alíquota permitida, mas % = 0 🔎",
"Alíquota aplicada corretamente ✅")))</f>
        <v/>
      </c>
      <c r="Q251" s="8" t="str">
        <f>IF(E251="","",IFERROR(VLOOKUP(E251,REGRAS_CST!$A$2:$D$200,4,FALSE),""))</f>
        <v/>
      </c>
      <c r="S251" s="9">
        <f>IF($H251="","",$H251*(1-$U251))</f>
        <v>8.9999999999999993E-3</v>
      </c>
      <c r="T251" s="9">
        <f>IF($I251="","",$I251*(1-$U251))</f>
        <v>1E-3</v>
      </c>
      <c r="U251" s="16">
        <f>IFERROR(INDEX(BASE_CCLASSTRIB!$E:$E, MATCH(TEXT($D251,"000000"), BASE_CCLASSTRIB!$A:$A, 0))/100, 0)</f>
        <v>0</v>
      </c>
      <c r="V251" s="16">
        <f>IFERROR(INDEX(BASE_CCLASSTRIB!$F:$F, MATCH(TEXT($D251,"000000"), BASE_CCLASSTRIB!$A:$A, 0))/100, 0)</f>
        <v>0</v>
      </c>
    </row>
    <row r="252" spans="4:22" ht="32.25" customHeight="1">
      <c r="D252" s="39"/>
      <c r="E252" s="27" t="str">
        <f>IF(D252="","",LEFT(D252,3))</f>
        <v/>
      </c>
      <c r="F252" s="28" t="str">
        <f>IF(E252="","",IFERROR(VLOOKUP(E252,REGRAS_CST!$A$2:$B$200,2,FALSE),""))</f>
        <v/>
      </c>
      <c r="H252" s="29">
        <v>8.9999999999999993E-3</v>
      </c>
      <c r="I252" s="29">
        <v>1E-3</v>
      </c>
      <c r="K252" s="21" t="str">
        <f>IF(E252="","",IFERROR(VLOOKUP(E252,REGRAS_CST!$A$2:$C$200,3,FALSE),""))</f>
        <v/>
      </c>
      <c r="L252" s="23" t="str">
        <f>IF($G252="", "", $G252*(1-$V252))</f>
        <v/>
      </c>
      <c r="M252" s="24" t="str">
        <f>IF(OR($L252="",$S252=""),"",$L252*$S252)</f>
        <v/>
      </c>
      <c r="N252" s="24" t="str">
        <f>IF(OR($L252="",$T252=""),"",$L252*$T252)</f>
        <v/>
      </c>
      <c r="O252" s="15" t="str">
        <f>IF(D252="","",
IF(AND(K252&lt;&gt;"SIM",V252&gt;0),"ERRO: % BC &gt; 0, mas NÃO permitida ❌",
IF(AND(K252="SIM",V252=0),"ATENÇÃO: BC permitida, mas % = 0 🔎",
"Base de cálculo aplicada corretamente ✅")))</f>
        <v/>
      </c>
      <c r="P252" s="31" t="str">
        <f>IF(D252="","",
IF(AND(Q252&lt;&gt;"SIM",U252&gt;0),"ERRO: % alíquota &gt; 0, mas NÃO permitida ❌",
IF(AND(Q252="SIM",U252=0),"ATENÇÃO: alíquota permitida, mas % = 0 🔎",
"Alíquota aplicada corretamente ✅")))</f>
        <v/>
      </c>
      <c r="Q252" s="8" t="str">
        <f>IF(E252="","",IFERROR(VLOOKUP(E252,REGRAS_CST!$A$2:$D$200,4,FALSE),""))</f>
        <v/>
      </c>
      <c r="S252" s="9">
        <f>IF($H252="","",$H252*(1-$U252))</f>
        <v>8.9999999999999993E-3</v>
      </c>
      <c r="T252" s="9">
        <f>IF($I252="","",$I252*(1-$U252))</f>
        <v>1E-3</v>
      </c>
      <c r="U252" s="16">
        <f>IFERROR(INDEX(BASE_CCLASSTRIB!$E:$E, MATCH(TEXT($D252,"000000"), BASE_CCLASSTRIB!$A:$A, 0))/100, 0)</f>
        <v>0</v>
      </c>
      <c r="V252" s="16">
        <f>IFERROR(INDEX(BASE_CCLASSTRIB!$F:$F, MATCH(TEXT($D252,"000000"), BASE_CCLASSTRIB!$A:$A, 0))/100, 0)</f>
        <v>0</v>
      </c>
    </row>
    <row r="253" spans="4:22" ht="32.25" customHeight="1">
      <c r="D253" s="40"/>
      <c r="E253" s="27" t="str">
        <f>IF(D253="","",LEFT(D253,3))</f>
        <v/>
      </c>
      <c r="F253" s="28" t="str">
        <f>IF(E253="","",IFERROR(VLOOKUP(E253,REGRAS_CST!$A$2:$B$200,2,FALSE),""))</f>
        <v/>
      </c>
      <c r="H253" s="29">
        <v>8.9999999999999993E-3</v>
      </c>
      <c r="I253" s="29">
        <v>1E-3</v>
      </c>
      <c r="K253" s="21" t="str">
        <f>IF(E253="","",IFERROR(VLOOKUP(E253,REGRAS_CST!$A$2:$C$200,3,FALSE),""))</f>
        <v/>
      </c>
      <c r="L253" s="23" t="str">
        <f>IF($G253="", "", $G253*(1-$V253))</f>
        <v/>
      </c>
      <c r="M253" s="24" t="str">
        <f>IF(OR($L253="",$S253=""),"",$L253*$S253)</f>
        <v/>
      </c>
      <c r="N253" s="24" t="str">
        <f>IF(OR($L253="",$T253=""),"",$L253*$T253)</f>
        <v/>
      </c>
      <c r="O253" s="15" t="str">
        <f>IF(D253="","",
IF(AND(K253&lt;&gt;"SIM",V253&gt;0),"ERRO: % BC &gt; 0, mas NÃO permitida ❌",
IF(AND(K253="SIM",V253=0),"ATENÇÃO: BC permitida, mas % = 0 🔎",
"Base de cálculo aplicada corretamente ✅")))</f>
        <v/>
      </c>
      <c r="P253" s="31" t="str">
        <f>IF(D253="","",
IF(AND(Q253&lt;&gt;"SIM",U253&gt;0),"ERRO: % alíquota &gt; 0, mas NÃO permitida ❌",
IF(AND(Q253="SIM",U253=0),"ATENÇÃO: alíquota permitida, mas % = 0 🔎",
"Alíquota aplicada corretamente ✅")))</f>
        <v/>
      </c>
      <c r="Q253" s="8" t="str">
        <f>IF(E253="","",IFERROR(VLOOKUP(E253,REGRAS_CST!$A$2:$D$200,4,FALSE),""))</f>
        <v/>
      </c>
      <c r="S253" s="9">
        <f>IF($H253="","",$H253*(1-$U253))</f>
        <v>8.9999999999999993E-3</v>
      </c>
      <c r="T253" s="9">
        <f>IF($I253="","",$I253*(1-$U253))</f>
        <v>1E-3</v>
      </c>
      <c r="U253" s="16">
        <f>IFERROR(INDEX(BASE_CCLASSTRIB!$E:$E, MATCH(TEXT($D253,"000000"), BASE_CCLASSTRIB!$A:$A, 0))/100, 0)</f>
        <v>0</v>
      </c>
      <c r="V253" s="16">
        <f>IFERROR(INDEX(BASE_CCLASSTRIB!$F:$F, MATCH(TEXT($D253,"000000"), BASE_CCLASSTRIB!$A:$A, 0))/100, 0)</f>
        <v>0</v>
      </c>
    </row>
    <row r="254" spans="4:22" ht="32.25" customHeight="1">
      <c r="D254" s="40"/>
      <c r="E254" s="27" t="str">
        <f>IF(D254="","",LEFT(D254,3))</f>
        <v/>
      </c>
      <c r="F254" s="28" t="str">
        <f>IF(E254="","",IFERROR(VLOOKUP(E254,REGRAS_CST!$A$2:$B$200,2,FALSE),""))</f>
        <v/>
      </c>
      <c r="H254" s="29">
        <v>8.9999999999999993E-3</v>
      </c>
      <c r="I254" s="29">
        <v>1E-3</v>
      </c>
      <c r="K254" s="21" t="str">
        <f>IF(E254="","",IFERROR(VLOOKUP(E254,REGRAS_CST!$A$2:$C$200,3,FALSE),""))</f>
        <v/>
      </c>
      <c r="L254" s="23" t="str">
        <f>IF($G254="", "", $G254*(1-$V254))</f>
        <v/>
      </c>
      <c r="M254" s="24" t="str">
        <f>IF(OR($L254="",$S254=""),"",$L254*$S254)</f>
        <v/>
      </c>
      <c r="N254" s="24" t="str">
        <f>IF(OR($L254="",$T254=""),"",$L254*$T254)</f>
        <v/>
      </c>
      <c r="O254" s="15" t="str">
        <f>IF(D254="","",
IF(AND(K254&lt;&gt;"SIM",V254&gt;0),"ERRO: % BC &gt; 0, mas NÃO permitida ❌",
IF(AND(K254="SIM",V254=0),"ATENÇÃO: BC permitida, mas % = 0 🔎",
"Base de cálculo aplicada corretamente ✅")))</f>
        <v/>
      </c>
      <c r="P254" s="31" t="str">
        <f>IF(D254="","",
IF(AND(Q254&lt;&gt;"SIM",U254&gt;0),"ERRO: % alíquota &gt; 0, mas NÃO permitida ❌",
IF(AND(Q254="SIM",U254=0),"ATENÇÃO: alíquota permitida, mas % = 0 🔎",
"Alíquota aplicada corretamente ✅")))</f>
        <v/>
      </c>
      <c r="Q254" s="8" t="str">
        <f>IF(E254="","",IFERROR(VLOOKUP(E254,REGRAS_CST!$A$2:$D$200,4,FALSE),""))</f>
        <v/>
      </c>
      <c r="S254" s="9">
        <f>IF($H254="","",$H254*(1-$U254))</f>
        <v>8.9999999999999993E-3</v>
      </c>
      <c r="T254" s="9">
        <f>IF($I254="","",$I254*(1-$U254))</f>
        <v>1E-3</v>
      </c>
      <c r="U254" s="16">
        <f>IFERROR(INDEX(BASE_CCLASSTRIB!$E:$E, MATCH(TEXT($D254,"000000"), BASE_CCLASSTRIB!$A:$A, 0))/100, 0)</f>
        <v>0</v>
      </c>
      <c r="V254" s="16">
        <f>IFERROR(INDEX(BASE_CCLASSTRIB!$F:$F, MATCH(TEXT($D254,"000000"), BASE_CCLASSTRIB!$A:$A, 0))/100, 0)</f>
        <v>0</v>
      </c>
    </row>
    <row r="255" spans="4:22" ht="32.25" customHeight="1">
      <c r="D255" s="40"/>
      <c r="E255" s="27" t="str">
        <f>IF(D255="","",LEFT(D255,3))</f>
        <v/>
      </c>
      <c r="F255" s="28" t="str">
        <f>IF(E255="","",IFERROR(VLOOKUP(E255,REGRAS_CST!$A$2:$B$200,2,FALSE),""))</f>
        <v/>
      </c>
      <c r="H255" s="29">
        <v>8.9999999999999993E-3</v>
      </c>
      <c r="I255" s="29">
        <v>1E-3</v>
      </c>
      <c r="K255" s="21" t="str">
        <f>IF(E255="","",IFERROR(VLOOKUP(E255,REGRAS_CST!$A$2:$C$200,3,FALSE),""))</f>
        <v/>
      </c>
      <c r="L255" s="23" t="str">
        <f>IF($G255="", "", $G255*(1-$V255))</f>
        <v/>
      </c>
      <c r="M255" s="24" t="str">
        <f>IF(OR($L255="",$S255=""),"",$L255*$S255)</f>
        <v/>
      </c>
      <c r="N255" s="24" t="str">
        <f>IF(OR($L255="",$T255=""),"",$L255*$T255)</f>
        <v/>
      </c>
      <c r="O255" s="15" t="str">
        <f>IF(D255="","",
IF(AND(K255&lt;&gt;"SIM",V255&gt;0),"ERRO: % BC &gt; 0, mas NÃO permitida ❌",
IF(AND(K255="SIM",V255=0),"ATENÇÃO: BC permitida, mas % = 0 🔎",
"Base de cálculo aplicada corretamente ✅")))</f>
        <v/>
      </c>
      <c r="P255" s="31" t="str">
        <f>IF(D255="","",
IF(AND(Q255&lt;&gt;"SIM",U255&gt;0),"ERRO: % alíquota &gt; 0, mas NÃO permitida ❌",
IF(AND(Q255="SIM",U255=0),"ATENÇÃO: alíquota permitida, mas % = 0 🔎",
"Alíquota aplicada corretamente ✅")))</f>
        <v/>
      </c>
      <c r="Q255" s="8" t="str">
        <f>IF(E255="","",IFERROR(VLOOKUP(E255,REGRAS_CST!$A$2:$D$200,4,FALSE),""))</f>
        <v/>
      </c>
      <c r="S255" s="9">
        <f>IF($H255="","",$H255*(1-$U255))</f>
        <v>8.9999999999999993E-3</v>
      </c>
      <c r="T255" s="9">
        <f>IF($I255="","",$I255*(1-$U255))</f>
        <v>1E-3</v>
      </c>
      <c r="U255" s="16">
        <f>IFERROR(INDEX(BASE_CCLASSTRIB!$E:$E, MATCH(TEXT($D255,"000000"), BASE_CCLASSTRIB!$A:$A, 0))/100, 0)</f>
        <v>0</v>
      </c>
      <c r="V255" s="16">
        <f>IFERROR(INDEX(BASE_CCLASSTRIB!$F:$F, MATCH(TEXT($D255,"000000"), BASE_CCLASSTRIB!$A:$A, 0))/100, 0)</f>
        <v>0</v>
      </c>
    </row>
    <row r="256" spans="4:22" ht="32.25" customHeight="1">
      <c r="D256" s="40"/>
      <c r="E256" s="27" t="str">
        <f>IF(D256="","",LEFT(D256,3))</f>
        <v/>
      </c>
      <c r="F256" s="28" t="str">
        <f>IF(E256="","",IFERROR(VLOOKUP(E256,REGRAS_CST!$A$2:$B$200,2,FALSE),""))</f>
        <v/>
      </c>
      <c r="H256" s="29">
        <v>8.9999999999999993E-3</v>
      </c>
      <c r="I256" s="29">
        <v>1E-3</v>
      </c>
      <c r="K256" s="21" t="str">
        <f>IF(E256="","",IFERROR(VLOOKUP(E256,REGRAS_CST!$A$2:$C$200,3,FALSE),""))</f>
        <v/>
      </c>
      <c r="L256" s="23" t="str">
        <f>IF($G256="", "", $G256*(1-$V256))</f>
        <v/>
      </c>
      <c r="M256" s="24" t="str">
        <f>IF(OR($L256="",$S256=""),"",$L256*$S256)</f>
        <v/>
      </c>
      <c r="N256" s="24" t="str">
        <f>IF(OR($L256="",$T256=""),"",$L256*$T256)</f>
        <v/>
      </c>
      <c r="O256" s="15" t="str">
        <f>IF(D256="","",
IF(AND(K256&lt;&gt;"SIM",V256&gt;0),"ERRO: % BC &gt; 0, mas NÃO permitida ❌",
IF(AND(K256="SIM",V256=0),"ATENÇÃO: BC permitida, mas % = 0 🔎",
"Base de cálculo aplicada corretamente ✅")))</f>
        <v/>
      </c>
      <c r="P256" s="31" t="str">
        <f>IF(D256="","",
IF(AND(Q256&lt;&gt;"SIM",U256&gt;0),"ERRO: % alíquota &gt; 0, mas NÃO permitida ❌",
IF(AND(Q256="SIM",U256=0),"ATENÇÃO: alíquota permitida, mas % = 0 🔎",
"Alíquota aplicada corretamente ✅")))</f>
        <v/>
      </c>
      <c r="Q256" s="8" t="str">
        <f>IF(E256="","",IFERROR(VLOOKUP(E256,REGRAS_CST!$A$2:$D$200,4,FALSE),""))</f>
        <v/>
      </c>
      <c r="S256" s="9">
        <f>IF($H256="","",$H256*(1-$U256))</f>
        <v>8.9999999999999993E-3</v>
      </c>
      <c r="T256" s="9">
        <f>IF($I256="","",$I256*(1-$U256))</f>
        <v>1E-3</v>
      </c>
      <c r="U256" s="16">
        <f>IFERROR(INDEX(BASE_CCLASSTRIB!$E:$E, MATCH(TEXT($D256,"000000"), BASE_CCLASSTRIB!$A:$A, 0))/100, 0)</f>
        <v>0</v>
      </c>
      <c r="V256" s="16">
        <f>IFERROR(INDEX(BASE_CCLASSTRIB!$F:$F, MATCH(TEXT($D256,"000000"), BASE_CCLASSTRIB!$A:$A, 0))/100, 0)</f>
        <v>0</v>
      </c>
    </row>
    <row r="257" spans="4:22" ht="32.25" customHeight="1">
      <c r="D257" s="39"/>
      <c r="E257" s="27" t="str">
        <f>IF(D257="","",LEFT(D257,3))</f>
        <v/>
      </c>
      <c r="F257" s="28" t="str">
        <f>IF(E257="","",IFERROR(VLOOKUP(E257,REGRAS_CST!$A$2:$B$200,2,FALSE),""))</f>
        <v/>
      </c>
      <c r="H257" s="29">
        <v>8.9999999999999993E-3</v>
      </c>
      <c r="I257" s="29">
        <v>1E-3</v>
      </c>
      <c r="K257" s="21" t="str">
        <f>IF(E257="","",IFERROR(VLOOKUP(E257,REGRAS_CST!$A$2:$C$200,3,FALSE),""))</f>
        <v/>
      </c>
      <c r="L257" s="23" t="str">
        <f>IF($G257="", "", $G257*(1-$V257))</f>
        <v/>
      </c>
      <c r="M257" s="24" t="str">
        <f>IF(OR($L257="",$S257=""),"",$L257*$S257)</f>
        <v/>
      </c>
      <c r="N257" s="24" t="str">
        <f>IF(OR($L257="",$T257=""),"",$L257*$T257)</f>
        <v/>
      </c>
      <c r="O257" s="15" t="str">
        <f>IF(D257="","",
IF(AND(K257&lt;&gt;"SIM",V257&gt;0),"ERRO: % BC &gt; 0, mas NÃO permitida ❌",
IF(AND(K257="SIM",V257=0),"ATENÇÃO: BC permitida, mas % = 0 🔎",
"Base de cálculo aplicada corretamente ✅")))</f>
        <v/>
      </c>
      <c r="P257" s="31" t="str">
        <f>IF(D257="","",
IF(AND(Q257&lt;&gt;"SIM",U257&gt;0),"ERRO: % alíquota &gt; 0, mas NÃO permitida ❌",
IF(AND(Q257="SIM",U257=0),"ATENÇÃO: alíquota permitida, mas % = 0 🔎",
"Alíquota aplicada corretamente ✅")))</f>
        <v/>
      </c>
      <c r="Q257" s="8" t="str">
        <f>IF(E257="","",IFERROR(VLOOKUP(E257,REGRAS_CST!$A$2:$D$200,4,FALSE),""))</f>
        <v/>
      </c>
      <c r="S257" s="9">
        <f>IF($H257="","",$H257*(1-$U257))</f>
        <v>8.9999999999999993E-3</v>
      </c>
      <c r="T257" s="9">
        <f>IF($I257="","",$I257*(1-$U257))</f>
        <v>1E-3</v>
      </c>
      <c r="U257" s="16">
        <f>IFERROR(INDEX(BASE_CCLASSTRIB!$E:$E, MATCH(TEXT($D257,"000000"), BASE_CCLASSTRIB!$A:$A, 0))/100, 0)</f>
        <v>0</v>
      </c>
      <c r="V257" s="16">
        <f>IFERROR(INDEX(BASE_CCLASSTRIB!$F:$F, MATCH(TEXT($D257,"000000"), BASE_CCLASSTRIB!$A:$A, 0))/100, 0)</f>
        <v>0</v>
      </c>
    </row>
    <row r="258" spans="4:22" ht="32.25" customHeight="1">
      <c r="D258" s="40"/>
      <c r="E258" s="27" t="str">
        <f>IF(D258="","",LEFT(D258,3))</f>
        <v/>
      </c>
      <c r="F258" s="28" t="str">
        <f>IF(E258="","",IFERROR(VLOOKUP(E258,REGRAS_CST!$A$2:$B$200,2,FALSE),""))</f>
        <v/>
      </c>
      <c r="H258" s="29">
        <v>8.9999999999999993E-3</v>
      </c>
      <c r="I258" s="29">
        <v>1E-3</v>
      </c>
      <c r="K258" s="21" t="str">
        <f>IF(E258="","",IFERROR(VLOOKUP(E258,REGRAS_CST!$A$2:$C$200,3,FALSE),""))</f>
        <v/>
      </c>
      <c r="L258" s="23" t="str">
        <f>IF($G258="", "", $G258*(1-$V258))</f>
        <v/>
      </c>
      <c r="M258" s="24" t="str">
        <f>IF(OR($L258="",$S258=""),"",$L258*$S258)</f>
        <v/>
      </c>
      <c r="N258" s="24" t="str">
        <f>IF(OR($L258="",$T258=""),"",$L258*$T258)</f>
        <v/>
      </c>
      <c r="O258" s="15" t="str">
        <f>IF(D258="","",
IF(AND(K258&lt;&gt;"SIM",V258&gt;0),"ERRO: % BC &gt; 0, mas NÃO permitida ❌",
IF(AND(K258="SIM",V258=0),"ATENÇÃO: BC permitida, mas % = 0 🔎",
"Base de cálculo aplicada corretamente ✅")))</f>
        <v/>
      </c>
      <c r="P258" s="31" t="str">
        <f>IF(D258="","",
IF(AND(Q258&lt;&gt;"SIM",U258&gt;0),"ERRO: % alíquota &gt; 0, mas NÃO permitida ❌",
IF(AND(Q258="SIM",U258=0),"ATENÇÃO: alíquota permitida, mas % = 0 🔎",
"Alíquota aplicada corretamente ✅")))</f>
        <v/>
      </c>
      <c r="Q258" s="8" t="str">
        <f>IF(E258="","",IFERROR(VLOOKUP(E258,REGRAS_CST!$A$2:$D$200,4,FALSE),""))</f>
        <v/>
      </c>
      <c r="S258" s="9">
        <f>IF($H258="","",$H258*(1-$U258))</f>
        <v>8.9999999999999993E-3</v>
      </c>
      <c r="T258" s="9">
        <f>IF($I258="","",$I258*(1-$U258))</f>
        <v>1E-3</v>
      </c>
      <c r="U258" s="16">
        <f>IFERROR(INDEX(BASE_CCLASSTRIB!$E:$E, MATCH(TEXT($D258,"000000"), BASE_CCLASSTRIB!$A:$A, 0))/100, 0)</f>
        <v>0</v>
      </c>
      <c r="V258" s="16">
        <f>IFERROR(INDEX(BASE_CCLASSTRIB!$F:$F, MATCH(TEXT($D258,"000000"), BASE_CCLASSTRIB!$A:$A, 0))/100, 0)</f>
        <v>0</v>
      </c>
    </row>
    <row r="259" spans="4:22" ht="32.25" customHeight="1">
      <c r="D259" s="39"/>
      <c r="E259" s="27" t="str">
        <f>IF(D259="","",LEFT(D259,3))</f>
        <v/>
      </c>
      <c r="F259" s="28" t="str">
        <f>IF(E259="","",IFERROR(VLOOKUP(E259,REGRAS_CST!$A$2:$B$200,2,FALSE),""))</f>
        <v/>
      </c>
      <c r="H259" s="29">
        <v>8.9999999999999993E-3</v>
      </c>
      <c r="I259" s="29">
        <v>1E-3</v>
      </c>
      <c r="K259" s="21" t="str">
        <f>IF(E259="","",IFERROR(VLOOKUP(E259,REGRAS_CST!$A$2:$C$200,3,FALSE),""))</f>
        <v/>
      </c>
      <c r="L259" s="23" t="str">
        <f>IF($G259="", "", $G259*(1-$V259))</f>
        <v/>
      </c>
      <c r="M259" s="24" t="str">
        <f>IF(OR($L259="",$S259=""),"",$L259*$S259)</f>
        <v/>
      </c>
      <c r="N259" s="24" t="str">
        <f>IF(OR($L259="",$T259=""),"",$L259*$T259)</f>
        <v/>
      </c>
      <c r="O259" s="15" t="str">
        <f>IF(D259="","",
IF(AND(K259&lt;&gt;"SIM",V259&gt;0),"ERRO: % BC &gt; 0, mas NÃO permitida ❌",
IF(AND(K259="SIM",V259=0),"ATENÇÃO: BC permitida, mas % = 0 🔎",
"Base de cálculo aplicada corretamente ✅")))</f>
        <v/>
      </c>
      <c r="P259" s="31" t="str">
        <f>IF(D259="","",
IF(AND(Q259&lt;&gt;"SIM",U259&gt;0),"ERRO: % alíquota &gt; 0, mas NÃO permitida ❌",
IF(AND(Q259="SIM",U259=0),"ATENÇÃO: alíquota permitida, mas % = 0 🔎",
"Alíquota aplicada corretamente ✅")))</f>
        <v/>
      </c>
      <c r="Q259" s="8" t="str">
        <f>IF(E259="","",IFERROR(VLOOKUP(E259,REGRAS_CST!$A$2:$D$200,4,FALSE),""))</f>
        <v/>
      </c>
      <c r="S259" s="9">
        <f>IF($H259="","",$H259*(1-$U259))</f>
        <v>8.9999999999999993E-3</v>
      </c>
      <c r="T259" s="9">
        <f>IF($I259="","",$I259*(1-$U259))</f>
        <v>1E-3</v>
      </c>
      <c r="U259" s="16">
        <f>IFERROR(INDEX(BASE_CCLASSTRIB!$E:$E, MATCH(TEXT($D259,"000000"), BASE_CCLASSTRIB!$A:$A, 0))/100, 0)</f>
        <v>0</v>
      </c>
      <c r="V259" s="16">
        <f>IFERROR(INDEX(BASE_CCLASSTRIB!$F:$F, MATCH(TEXT($D259,"000000"), BASE_CCLASSTRIB!$A:$A, 0))/100, 0)</f>
        <v>0</v>
      </c>
    </row>
    <row r="260" spans="4:22" ht="32.25" customHeight="1">
      <c r="D260" s="40"/>
      <c r="E260" s="27" t="str">
        <f>IF(D260="","",LEFT(D260,3))</f>
        <v/>
      </c>
      <c r="F260" s="28" t="str">
        <f>IF(E260="","",IFERROR(VLOOKUP(E260,REGRAS_CST!$A$2:$B$200,2,FALSE),""))</f>
        <v/>
      </c>
      <c r="H260" s="29">
        <v>8.9999999999999993E-3</v>
      </c>
      <c r="I260" s="29">
        <v>1E-3</v>
      </c>
      <c r="K260" s="21" t="str">
        <f>IF(E260="","",IFERROR(VLOOKUP(E260,REGRAS_CST!$A$2:$C$200,3,FALSE),""))</f>
        <v/>
      </c>
      <c r="L260" s="23" t="str">
        <f>IF($G260="", "", $G260*(1-$V260))</f>
        <v/>
      </c>
      <c r="M260" s="24" t="str">
        <f>IF(OR($L260="",$S260=""),"",$L260*$S260)</f>
        <v/>
      </c>
      <c r="N260" s="24" t="str">
        <f>IF(OR($L260="",$T260=""),"",$L260*$T260)</f>
        <v/>
      </c>
      <c r="O260" s="15" t="str">
        <f>IF(D260="","",
IF(AND(K260&lt;&gt;"SIM",V260&gt;0),"ERRO: % BC &gt; 0, mas NÃO permitida ❌",
IF(AND(K260="SIM",V260=0),"ATENÇÃO: BC permitida, mas % = 0 🔎",
"Base de cálculo aplicada corretamente ✅")))</f>
        <v/>
      </c>
      <c r="P260" s="31" t="str">
        <f>IF(D260="","",
IF(AND(Q260&lt;&gt;"SIM",U260&gt;0),"ERRO: % alíquota &gt; 0, mas NÃO permitida ❌",
IF(AND(Q260="SIM",U260=0),"ATENÇÃO: alíquota permitida, mas % = 0 🔎",
"Alíquota aplicada corretamente ✅")))</f>
        <v/>
      </c>
      <c r="Q260" s="8" t="str">
        <f>IF(E260="","",IFERROR(VLOOKUP(E260,REGRAS_CST!$A$2:$D$200,4,FALSE),""))</f>
        <v/>
      </c>
      <c r="S260" s="9">
        <f>IF($H260="","",$H260*(1-$U260))</f>
        <v>8.9999999999999993E-3</v>
      </c>
      <c r="T260" s="9">
        <f>IF($I260="","",$I260*(1-$U260))</f>
        <v>1E-3</v>
      </c>
      <c r="U260" s="16">
        <f>IFERROR(INDEX(BASE_CCLASSTRIB!$E:$E, MATCH(TEXT($D260,"000000"), BASE_CCLASSTRIB!$A:$A, 0))/100, 0)</f>
        <v>0</v>
      </c>
      <c r="V260" s="16">
        <f>IFERROR(INDEX(BASE_CCLASSTRIB!$F:$F, MATCH(TEXT($D260,"000000"), BASE_CCLASSTRIB!$A:$A, 0))/100, 0)</f>
        <v>0</v>
      </c>
    </row>
    <row r="261" spans="4:22" ht="32.25" customHeight="1">
      <c r="D261" s="40"/>
      <c r="E261" s="27" t="str">
        <f>IF(D261="","",LEFT(D261,3))</f>
        <v/>
      </c>
      <c r="F261" s="28" t="str">
        <f>IF(E261="","",IFERROR(VLOOKUP(E261,REGRAS_CST!$A$2:$B$200,2,FALSE),""))</f>
        <v/>
      </c>
      <c r="H261" s="29">
        <v>8.9999999999999993E-3</v>
      </c>
      <c r="I261" s="29">
        <v>1E-3</v>
      </c>
      <c r="K261" s="21" t="str">
        <f>IF(E261="","",IFERROR(VLOOKUP(E261,REGRAS_CST!$A$2:$C$200,3,FALSE),""))</f>
        <v/>
      </c>
      <c r="L261" s="23" t="str">
        <f>IF($G261="", "", $G261*(1-$V261))</f>
        <v/>
      </c>
      <c r="M261" s="24" t="str">
        <f>IF(OR($L261="",$S261=""),"",$L261*$S261)</f>
        <v/>
      </c>
      <c r="N261" s="24" t="str">
        <f>IF(OR($L261="",$T261=""),"",$L261*$T261)</f>
        <v/>
      </c>
      <c r="O261" s="15" t="str">
        <f>IF(D261="","",
IF(AND(K261&lt;&gt;"SIM",V261&gt;0),"ERRO: % BC &gt; 0, mas NÃO permitida ❌",
IF(AND(K261="SIM",V261=0),"ATENÇÃO: BC permitida, mas % = 0 🔎",
"Base de cálculo aplicada corretamente ✅")))</f>
        <v/>
      </c>
      <c r="P261" s="31" t="str">
        <f>IF(D261="","",
IF(AND(Q261&lt;&gt;"SIM",U261&gt;0),"ERRO: % alíquota &gt; 0, mas NÃO permitida ❌",
IF(AND(Q261="SIM",U261=0),"ATENÇÃO: alíquota permitida, mas % = 0 🔎",
"Alíquota aplicada corretamente ✅")))</f>
        <v/>
      </c>
      <c r="Q261" s="8" t="str">
        <f>IF(E261="","",IFERROR(VLOOKUP(E261,REGRAS_CST!$A$2:$D$200,4,FALSE),""))</f>
        <v/>
      </c>
      <c r="S261" s="9">
        <f>IF($H261="","",$H261*(1-$U261))</f>
        <v>8.9999999999999993E-3</v>
      </c>
      <c r="T261" s="9">
        <f>IF($I261="","",$I261*(1-$U261))</f>
        <v>1E-3</v>
      </c>
      <c r="U261" s="16">
        <f>IFERROR(INDEX(BASE_CCLASSTRIB!$E:$E, MATCH(TEXT($D261,"000000"), BASE_CCLASSTRIB!$A:$A, 0))/100, 0)</f>
        <v>0</v>
      </c>
      <c r="V261" s="16">
        <f>IFERROR(INDEX(BASE_CCLASSTRIB!$F:$F, MATCH(TEXT($D261,"000000"), BASE_CCLASSTRIB!$A:$A, 0))/100, 0)</f>
        <v>0</v>
      </c>
    </row>
    <row r="262" spans="4:22" ht="32.25" customHeight="1">
      <c r="D262" s="39"/>
      <c r="E262" s="27" t="str">
        <f>IF(D262="","",LEFT(D262,3))</f>
        <v/>
      </c>
      <c r="F262" s="28" t="str">
        <f>IF(E262="","",IFERROR(VLOOKUP(E262,REGRAS_CST!$A$2:$B$200,2,FALSE),""))</f>
        <v/>
      </c>
      <c r="H262" s="29">
        <v>8.9999999999999993E-3</v>
      </c>
      <c r="I262" s="29">
        <v>1E-3</v>
      </c>
      <c r="K262" s="21" t="str">
        <f>IF(E262="","",IFERROR(VLOOKUP(E262,REGRAS_CST!$A$2:$C$200,3,FALSE),""))</f>
        <v/>
      </c>
      <c r="L262" s="23" t="str">
        <f>IF($G262="", "", $G262*(1-$V262))</f>
        <v/>
      </c>
      <c r="M262" s="24" t="str">
        <f>IF(OR($L262="",$S262=""),"",$L262*$S262)</f>
        <v/>
      </c>
      <c r="N262" s="24" t="str">
        <f>IF(OR($L262="",$T262=""),"",$L262*$T262)</f>
        <v/>
      </c>
      <c r="O262" s="15" t="str">
        <f>IF(D262="","",
IF(AND(K262&lt;&gt;"SIM",V262&gt;0),"ERRO: % BC &gt; 0, mas NÃO permitida ❌",
IF(AND(K262="SIM",V262=0),"ATENÇÃO: BC permitida, mas % = 0 🔎",
"Base de cálculo aplicada corretamente ✅")))</f>
        <v/>
      </c>
      <c r="P262" s="31" t="str">
        <f>IF(D262="","",
IF(AND(Q262&lt;&gt;"SIM",U262&gt;0),"ERRO: % alíquota &gt; 0, mas NÃO permitida ❌",
IF(AND(Q262="SIM",U262=0),"ATENÇÃO: alíquota permitida, mas % = 0 🔎",
"Alíquota aplicada corretamente ✅")))</f>
        <v/>
      </c>
      <c r="Q262" s="8" t="str">
        <f>IF(E262="","",IFERROR(VLOOKUP(E262,REGRAS_CST!$A$2:$D$200,4,FALSE),""))</f>
        <v/>
      </c>
      <c r="S262" s="9">
        <f>IF($H262="","",$H262*(1-$U262))</f>
        <v>8.9999999999999993E-3</v>
      </c>
      <c r="T262" s="9">
        <f>IF($I262="","",$I262*(1-$U262))</f>
        <v>1E-3</v>
      </c>
      <c r="U262" s="16">
        <f>IFERROR(INDEX(BASE_CCLASSTRIB!$E:$E, MATCH(TEXT($D262,"000000"), BASE_CCLASSTRIB!$A:$A, 0))/100, 0)</f>
        <v>0</v>
      </c>
      <c r="V262" s="16">
        <f>IFERROR(INDEX(BASE_CCLASSTRIB!$F:$F, MATCH(TEXT($D262,"000000"), BASE_CCLASSTRIB!$A:$A, 0))/100, 0)</f>
        <v>0</v>
      </c>
    </row>
    <row r="263" spans="4:22" ht="32.25" customHeight="1">
      <c r="D263" s="40"/>
      <c r="E263" s="27" t="str">
        <f>IF(D263="","",LEFT(D263,3))</f>
        <v/>
      </c>
      <c r="F263" s="28" t="str">
        <f>IF(E263="","",IFERROR(VLOOKUP(E263,REGRAS_CST!$A$2:$B$200,2,FALSE),""))</f>
        <v/>
      </c>
      <c r="H263" s="29">
        <v>8.9999999999999993E-3</v>
      </c>
      <c r="I263" s="29">
        <v>1E-3</v>
      </c>
      <c r="K263" s="21" t="str">
        <f>IF(E263="","",IFERROR(VLOOKUP(E263,REGRAS_CST!$A$2:$C$200,3,FALSE),""))</f>
        <v/>
      </c>
      <c r="L263" s="23" t="str">
        <f>IF($G263="", "", $G263*(1-$V263))</f>
        <v/>
      </c>
      <c r="M263" s="24" t="str">
        <f>IF(OR($L263="",$S263=""),"",$L263*$S263)</f>
        <v/>
      </c>
      <c r="N263" s="24" t="str">
        <f>IF(OR($L263="",$T263=""),"",$L263*$T263)</f>
        <v/>
      </c>
      <c r="O263" s="15" t="str">
        <f>IF(D263="","",
IF(AND(K263&lt;&gt;"SIM",V263&gt;0),"ERRO: % BC &gt; 0, mas NÃO permitida ❌",
IF(AND(K263="SIM",V263=0),"ATENÇÃO: BC permitida, mas % = 0 🔎",
"Base de cálculo aplicada corretamente ✅")))</f>
        <v/>
      </c>
      <c r="P263" s="31" t="str">
        <f>IF(D263="","",
IF(AND(Q263&lt;&gt;"SIM",U263&gt;0),"ERRO: % alíquota &gt; 0, mas NÃO permitida ❌",
IF(AND(Q263="SIM",U263=0),"ATENÇÃO: alíquota permitida, mas % = 0 🔎",
"Alíquota aplicada corretamente ✅")))</f>
        <v/>
      </c>
      <c r="Q263" s="8" t="str">
        <f>IF(E263="","",IFERROR(VLOOKUP(E263,REGRAS_CST!$A$2:$D$200,4,FALSE),""))</f>
        <v/>
      </c>
      <c r="S263" s="9">
        <f>IF($H263="","",$H263*(1-$U263))</f>
        <v>8.9999999999999993E-3</v>
      </c>
      <c r="T263" s="9">
        <f>IF($I263="","",$I263*(1-$U263))</f>
        <v>1E-3</v>
      </c>
      <c r="U263" s="16">
        <f>IFERROR(INDEX(BASE_CCLASSTRIB!$E:$E, MATCH(TEXT($D263,"000000"), BASE_CCLASSTRIB!$A:$A, 0))/100, 0)</f>
        <v>0</v>
      </c>
      <c r="V263" s="16">
        <f>IFERROR(INDEX(BASE_CCLASSTRIB!$F:$F, MATCH(TEXT($D263,"000000"), BASE_CCLASSTRIB!$A:$A, 0))/100, 0)</f>
        <v>0</v>
      </c>
    </row>
    <row r="264" spans="4:22" ht="32.25" customHeight="1">
      <c r="D264" s="39"/>
      <c r="E264" s="27" t="str">
        <f>IF(D264="","",LEFT(D264,3))</f>
        <v/>
      </c>
      <c r="F264" s="28" t="str">
        <f>IF(E264="","",IFERROR(VLOOKUP(E264,REGRAS_CST!$A$2:$B$200,2,FALSE),""))</f>
        <v/>
      </c>
      <c r="H264" s="29">
        <v>8.9999999999999993E-3</v>
      </c>
      <c r="I264" s="29">
        <v>1E-3</v>
      </c>
      <c r="K264" s="21" t="str">
        <f>IF(E264="","",IFERROR(VLOOKUP(E264,REGRAS_CST!$A$2:$C$200,3,FALSE),""))</f>
        <v/>
      </c>
      <c r="L264" s="23" t="str">
        <f>IF($G264="", "", $G264*(1-$V264))</f>
        <v/>
      </c>
      <c r="M264" s="24" t="str">
        <f>IF(OR($L264="",$S264=""),"",$L264*$S264)</f>
        <v/>
      </c>
      <c r="N264" s="24" t="str">
        <f>IF(OR($L264="",$T264=""),"",$L264*$T264)</f>
        <v/>
      </c>
      <c r="O264" s="15" t="str">
        <f>IF(D264="","",
IF(AND(K264&lt;&gt;"SIM",V264&gt;0),"ERRO: % BC &gt; 0, mas NÃO permitida ❌",
IF(AND(K264="SIM",V264=0),"ATENÇÃO: BC permitida, mas % = 0 🔎",
"Base de cálculo aplicada corretamente ✅")))</f>
        <v/>
      </c>
      <c r="P264" s="31" t="str">
        <f>IF(D264="","",
IF(AND(Q264&lt;&gt;"SIM",U264&gt;0),"ERRO: % alíquota &gt; 0, mas NÃO permitida ❌",
IF(AND(Q264="SIM",U264=0),"ATENÇÃO: alíquota permitida, mas % = 0 🔎",
"Alíquota aplicada corretamente ✅")))</f>
        <v/>
      </c>
      <c r="Q264" s="8" t="str">
        <f>IF(E264="","",IFERROR(VLOOKUP(E264,REGRAS_CST!$A$2:$D$200,4,FALSE),""))</f>
        <v/>
      </c>
      <c r="S264" s="9">
        <f>IF($H264="","",$H264*(1-$U264))</f>
        <v>8.9999999999999993E-3</v>
      </c>
      <c r="T264" s="9">
        <f>IF($I264="","",$I264*(1-$U264))</f>
        <v>1E-3</v>
      </c>
      <c r="U264" s="16">
        <f>IFERROR(INDEX(BASE_CCLASSTRIB!$E:$E, MATCH(TEXT($D264,"000000"), BASE_CCLASSTRIB!$A:$A, 0))/100, 0)</f>
        <v>0</v>
      </c>
      <c r="V264" s="16">
        <f>IFERROR(INDEX(BASE_CCLASSTRIB!$F:$F, MATCH(TEXT($D264,"000000"), BASE_CCLASSTRIB!$A:$A, 0))/100, 0)</f>
        <v>0</v>
      </c>
    </row>
    <row r="265" spans="4:22" ht="32.25" customHeight="1">
      <c r="D265" s="40"/>
      <c r="E265" s="27" t="str">
        <f>IF(D265="","",LEFT(D265,3))</f>
        <v/>
      </c>
      <c r="F265" s="28" t="str">
        <f>IF(E265="","",IFERROR(VLOOKUP(E265,REGRAS_CST!$A$2:$B$200,2,FALSE),""))</f>
        <v/>
      </c>
      <c r="H265" s="29">
        <v>8.9999999999999993E-3</v>
      </c>
      <c r="I265" s="29">
        <v>1E-3</v>
      </c>
      <c r="K265" s="21" t="str">
        <f>IF(E265="","",IFERROR(VLOOKUP(E265,REGRAS_CST!$A$2:$C$200,3,FALSE),""))</f>
        <v/>
      </c>
      <c r="L265" s="23" t="str">
        <f>IF($G265="", "", $G265*(1-$V265))</f>
        <v/>
      </c>
      <c r="M265" s="24" t="str">
        <f>IF(OR($L265="",$S265=""),"",$L265*$S265)</f>
        <v/>
      </c>
      <c r="N265" s="24" t="str">
        <f>IF(OR($L265="",$T265=""),"",$L265*$T265)</f>
        <v/>
      </c>
      <c r="O265" s="15" t="str">
        <f>IF(D265="","",
IF(AND(K265&lt;&gt;"SIM",V265&gt;0),"ERRO: % BC &gt; 0, mas NÃO permitida ❌",
IF(AND(K265="SIM",V265=0),"ATENÇÃO: BC permitida, mas % = 0 🔎",
"Base de cálculo aplicada corretamente ✅")))</f>
        <v/>
      </c>
      <c r="P265" s="31" t="str">
        <f>IF(D265="","",
IF(AND(Q265&lt;&gt;"SIM",U265&gt;0),"ERRO: % alíquota &gt; 0, mas NÃO permitida ❌",
IF(AND(Q265="SIM",U265=0),"ATENÇÃO: alíquota permitida, mas % = 0 🔎",
"Alíquota aplicada corretamente ✅")))</f>
        <v/>
      </c>
      <c r="Q265" s="8" t="str">
        <f>IF(E265="","",IFERROR(VLOOKUP(E265,REGRAS_CST!$A$2:$D$200,4,FALSE),""))</f>
        <v/>
      </c>
      <c r="S265" s="9">
        <f>IF($H265="","",$H265*(1-$U265))</f>
        <v>8.9999999999999993E-3</v>
      </c>
      <c r="T265" s="9">
        <f>IF($I265="","",$I265*(1-$U265))</f>
        <v>1E-3</v>
      </c>
      <c r="U265" s="16">
        <f>IFERROR(INDEX(BASE_CCLASSTRIB!$E:$E, MATCH(TEXT($D265,"000000"), BASE_CCLASSTRIB!$A:$A, 0))/100, 0)</f>
        <v>0</v>
      </c>
      <c r="V265" s="16">
        <f>IFERROR(INDEX(BASE_CCLASSTRIB!$F:$F, MATCH(TEXT($D265,"000000"), BASE_CCLASSTRIB!$A:$A, 0))/100, 0)</f>
        <v>0</v>
      </c>
    </row>
    <row r="266" spans="4:22" ht="32.25" customHeight="1">
      <c r="D266" s="40"/>
      <c r="E266" s="27" t="str">
        <f>IF(D266="","",LEFT(D266,3))</f>
        <v/>
      </c>
      <c r="F266" s="28" t="str">
        <f>IF(E266="","",IFERROR(VLOOKUP(E266,REGRAS_CST!$A$2:$B$200,2,FALSE),""))</f>
        <v/>
      </c>
      <c r="H266" s="29">
        <v>8.9999999999999993E-3</v>
      </c>
      <c r="I266" s="29">
        <v>1E-3</v>
      </c>
      <c r="K266" s="21" t="str">
        <f>IF(E266="","",IFERROR(VLOOKUP(E266,REGRAS_CST!$A$2:$C$200,3,FALSE),""))</f>
        <v/>
      </c>
      <c r="L266" s="23" t="str">
        <f>IF($G266="", "", $G266*(1-$V266))</f>
        <v/>
      </c>
      <c r="M266" s="24" t="str">
        <f>IF(OR($L266="",$S266=""),"",$L266*$S266)</f>
        <v/>
      </c>
      <c r="N266" s="24" t="str">
        <f>IF(OR($L266="",$T266=""),"",$L266*$T266)</f>
        <v/>
      </c>
      <c r="O266" s="15" t="str">
        <f>IF(D266="","",
IF(AND(K266&lt;&gt;"SIM",V266&gt;0),"ERRO: % BC &gt; 0, mas NÃO permitida ❌",
IF(AND(K266="SIM",V266=0),"ATENÇÃO: BC permitida, mas % = 0 🔎",
"Base de cálculo aplicada corretamente ✅")))</f>
        <v/>
      </c>
      <c r="P266" s="31" t="str">
        <f>IF(D266="","",
IF(AND(Q266&lt;&gt;"SIM",U266&gt;0),"ERRO: % alíquota &gt; 0, mas NÃO permitida ❌",
IF(AND(Q266="SIM",U266=0),"ATENÇÃO: alíquota permitida, mas % = 0 🔎",
"Alíquota aplicada corretamente ✅")))</f>
        <v/>
      </c>
      <c r="Q266" s="8" t="str">
        <f>IF(E266="","",IFERROR(VLOOKUP(E266,REGRAS_CST!$A$2:$D$200,4,FALSE),""))</f>
        <v/>
      </c>
      <c r="S266" s="9">
        <f>IF($H266="","",$H266*(1-$U266))</f>
        <v>8.9999999999999993E-3</v>
      </c>
      <c r="T266" s="9">
        <f>IF($I266="","",$I266*(1-$U266))</f>
        <v>1E-3</v>
      </c>
      <c r="U266" s="16">
        <f>IFERROR(INDEX(BASE_CCLASSTRIB!$E:$E, MATCH(TEXT($D266,"000000"), BASE_CCLASSTRIB!$A:$A, 0))/100, 0)</f>
        <v>0</v>
      </c>
      <c r="V266" s="16">
        <f>IFERROR(INDEX(BASE_CCLASSTRIB!$F:$F, MATCH(TEXT($D266,"000000"), BASE_CCLASSTRIB!$A:$A, 0))/100, 0)</f>
        <v>0</v>
      </c>
    </row>
    <row r="267" spans="4:22" ht="32.25" customHeight="1">
      <c r="D267" s="39"/>
      <c r="E267" s="27" t="str">
        <f>IF(D267="","",LEFT(D267,3))</f>
        <v/>
      </c>
      <c r="F267" s="28" t="str">
        <f>IF(E267="","",IFERROR(VLOOKUP(E267,REGRAS_CST!$A$2:$B$200,2,FALSE),""))</f>
        <v/>
      </c>
      <c r="H267" s="29">
        <v>8.9999999999999993E-3</v>
      </c>
      <c r="I267" s="29">
        <v>1E-3</v>
      </c>
      <c r="K267" s="21" t="str">
        <f>IF(E267="","",IFERROR(VLOOKUP(E267,REGRAS_CST!$A$2:$C$200,3,FALSE),""))</f>
        <v/>
      </c>
      <c r="L267" s="23" t="str">
        <f>IF($G267="", "", $G267*(1-$V267))</f>
        <v/>
      </c>
      <c r="M267" s="24" t="str">
        <f>IF(OR($L267="",$S267=""),"",$L267*$S267)</f>
        <v/>
      </c>
      <c r="N267" s="24" t="str">
        <f>IF(OR($L267="",$T267=""),"",$L267*$T267)</f>
        <v/>
      </c>
      <c r="O267" s="15" t="str">
        <f>IF(D267="","",
IF(AND(K267&lt;&gt;"SIM",V267&gt;0),"ERRO: % BC &gt; 0, mas NÃO permitida ❌",
IF(AND(K267="SIM",V267=0),"ATENÇÃO: BC permitida, mas % = 0 🔎",
"Base de cálculo aplicada corretamente ✅")))</f>
        <v/>
      </c>
      <c r="P267" s="31" t="str">
        <f>IF(D267="","",
IF(AND(Q267&lt;&gt;"SIM",U267&gt;0),"ERRO: % alíquota &gt; 0, mas NÃO permitida ❌",
IF(AND(Q267="SIM",U267=0),"ATENÇÃO: alíquota permitida, mas % = 0 🔎",
"Alíquota aplicada corretamente ✅")))</f>
        <v/>
      </c>
      <c r="Q267" s="8" t="str">
        <f>IF(E267="","",IFERROR(VLOOKUP(E267,REGRAS_CST!$A$2:$D$200,4,FALSE),""))</f>
        <v/>
      </c>
      <c r="S267" s="9">
        <f>IF($H267="","",$H267*(1-$U267))</f>
        <v>8.9999999999999993E-3</v>
      </c>
      <c r="T267" s="9">
        <f>IF($I267="","",$I267*(1-$U267))</f>
        <v>1E-3</v>
      </c>
      <c r="U267" s="16">
        <f>IFERROR(INDEX(BASE_CCLASSTRIB!$E:$E, MATCH(TEXT($D267,"000000"), BASE_CCLASSTRIB!$A:$A, 0))/100, 0)</f>
        <v>0</v>
      </c>
      <c r="V267" s="16">
        <f>IFERROR(INDEX(BASE_CCLASSTRIB!$F:$F, MATCH(TEXT($D267,"000000"), BASE_CCLASSTRIB!$A:$A, 0))/100, 0)</f>
        <v>0</v>
      </c>
    </row>
    <row r="268" spans="4:22" ht="32.25" customHeight="1">
      <c r="D268" s="40"/>
      <c r="E268" s="27" t="str">
        <f>IF(D268="","",LEFT(D268,3))</f>
        <v/>
      </c>
      <c r="F268" s="28" t="str">
        <f>IF(E268="","",IFERROR(VLOOKUP(E268,REGRAS_CST!$A$2:$B$200,2,FALSE),""))</f>
        <v/>
      </c>
      <c r="H268" s="29">
        <v>8.9999999999999993E-3</v>
      </c>
      <c r="I268" s="29">
        <v>1E-3</v>
      </c>
      <c r="K268" s="21" t="str">
        <f>IF(E268="","",IFERROR(VLOOKUP(E268,REGRAS_CST!$A$2:$C$200,3,FALSE),""))</f>
        <v/>
      </c>
      <c r="L268" s="23" t="str">
        <f>IF($G268="", "", $G268*(1-$V268))</f>
        <v/>
      </c>
      <c r="M268" s="24" t="str">
        <f>IF(OR($L268="",$S268=""),"",$L268*$S268)</f>
        <v/>
      </c>
      <c r="N268" s="24" t="str">
        <f>IF(OR($L268="",$T268=""),"",$L268*$T268)</f>
        <v/>
      </c>
      <c r="O268" s="15" t="str">
        <f>IF(D268="","",
IF(AND(K268&lt;&gt;"SIM",V268&gt;0),"ERRO: % BC &gt; 0, mas NÃO permitida ❌",
IF(AND(K268="SIM",V268=0),"ATENÇÃO: BC permitida, mas % = 0 🔎",
"Base de cálculo aplicada corretamente ✅")))</f>
        <v/>
      </c>
      <c r="P268" s="31" t="str">
        <f>IF(D268="","",
IF(AND(Q268&lt;&gt;"SIM",U268&gt;0),"ERRO: % alíquota &gt; 0, mas NÃO permitida ❌",
IF(AND(Q268="SIM",U268=0),"ATENÇÃO: alíquota permitida, mas % = 0 🔎",
"Alíquota aplicada corretamente ✅")))</f>
        <v/>
      </c>
      <c r="Q268" s="8" t="str">
        <f>IF(E268="","",IFERROR(VLOOKUP(E268,REGRAS_CST!$A$2:$D$200,4,FALSE),""))</f>
        <v/>
      </c>
      <c r="S268" s="9">
        <f>IF($H268="","",$H268*(1-$U268))</f>
        <v>8.9999999999999993E-3</v>
      </c>
      <c r="T268" s="9">
        <f>IF($I268="","",$I268*(1-$U268))</f>
        <v>1E-3</v>
      </c>
      <c r="U268" s="16">
        <f>IFERROR(INDEX(BASE_CCLASSTRIB!$E:$E, MATCH(TEXT($D268,"000000"), BASE_CCLASSTRIB!$A:$A, 0))/100, 0)</f>
        <v>0</v>
      </c>
      <c r="V268" s="16">
        <f>IFERROR(INDEX(BASE_CCLASSTRIB!$F:$F, MATCH(TEXT($D268,"000000"), BASE_CCLASSTRIB!$A:$A, 0))/100, 0)</f>
        <v>0</v>
      </c>
    </row>
    <row r="269" spans="4:22" ht="32.25" customHeight="1">
      <c r="D269" s="39"/>
      <c r="E269" s="27" t="str">
        <f>IF(D269="","",LEFT(D269,3))</f>
        <v/>
      </c>
      <c r="F269" s="28" t="str">
        <f>IF(E269="","",IFERROR(VLOOKUP(E269,REGRAS_CST!$A$2:$B$200,2,FALSE),""))</f>
        <v/>
      </c>
      <c r="H269" s="29">
        <v>8.9999999999999993E-3</v>
      </c>
      <c r="I269" s="29">
        <v>1E-3</v>
      </c>
      <c r="K269" s="21" t="str">
        <f>IF(E269="","",IFERROR(VLOOKUP(E269,REGRAS_CST!$A$2:$C$200,3,FALSE),""))</f>
        <v/>
      </c>
      <c r="L269" s="23" t="str">
        <f>IF($G269="", "", $G269*(1-$V269))</f>
        <v/>
      </c>
      <c r="M269" s="24" t="str">
        <f>IF(OR($L269="",$S269=""),"",$L269*$S269)</f>
        <v/>
      </c>
      <c r="N269" s="24" t="str">
        <f>IF(OR($L269="",$T269=""),"",$L269*$T269)</f>
        <v/>
      </c>
      <c r="O269" s="15" t="str">
        <f>IF(D269="","",
IF(AND(K269&lt;&gt;"SIM",V269&gt;0),"ERRO: % BC &gt; 0, mas NÃO permitida ❌",
IF(AND(K269="SIM",V269=0),"ATENÇÃO: BC permitida, mas % = 0 🔎",
"Base de cálculo aplicada corretamente ✅")))</f>
        <v/>
      </c>
      <c r="P269" s="31" t="str">
        <f>IF(D269="","",
IF(AND(Q269&lt;&gt;"SIM",U269&gt;0),"ERRO: % alíquota &gt; 0, mas NÃO permitida ❌",
IF(AND(Q269="SIM",U269=0),"ATENÇÃO: alíquota permitida, mas % = 0 🔎",
"Alíquota aplicada corretamente ✅")))</f>
        <v/>
      </c>
      <c r="Q269" s="8" t="str">
        <f>IF(E269="","",IFERROR(VLOOKUP(E269,REGRAS_CST!$A$2:$D$200,4,FALSE),""))</f>
        <v/>
      </c>
      <c r="S269" s="9">
        <f>IF($H269="","",$H269*(1-$U269))</f>
        <v>8.9999999999999993E-3</v>
      </c>
      <c r="T269" s="9">
        <f>IF($I269="","",$I269*(1-$U269))</f>
        <v>1E-3</v>
      </c>
      <c r="U269" s="16">
        <f>IFERROR(INDEX(BASE_CCLASSTRIB!$E:$E, MATCH(TEXT($D269,"000000"), BASE_CCLASSTRIB!$A:$A, 0))/100, 0)</f>
        <v>0</v>
      </c>
      <c r="V269" s="16">
        <f>IFERROR(INDEX(BASE_CCLASSTRIB!$F:$F, MATCH(TEXT($D269,"000000"), BASE_CCLASSTRIB!$A:$A, 0))/100, 0)</f>
        <v>0</v>
      </c>
    </row>
    <row r="270" spans="4:22" ht="32.25" customHeight="1">
      <c r="D270" s="39"/>
      <c r="E270" s="27" t="str">
        <f>IF(D270="","",LEFT(D270,3))</f>
        <v/>
      </c>
      <c r="F270" s="28" t="str">
        <f>IF(E270="","",IFERROR(VLOOKUP(E270,REGRAS_CST!$A$2:$B$200,2,FALSE),""))</f>
        <v/>
      </c>
      <c r="H270" s="29">
        <v>8.9999999999999993E-3</v>
      </c>
      <c r="I270" s="29">
        <v>1E-3</v>
      </c>
      <c r="K270" s="21" t="str">
        <f>IF(E270="","",IFERROR(VLOOKUP(E270,REGRAS_CST!$A$2:$C$200,3,FALSE),""))</f>
        <v/>
      </c>
      <c r="L270" s="23" t="str">
        <f>IF($G270="", "", $G270*(1-$V270))</f>
        <v/>
      </c>
      <c r="M270" s="24" t="str">
        <f>IF(OR($L270="",$S270=""),"",$L270*$S270)</f>
        <v/>
      </c>
      <c r="N270" s="24" t="str">
        <f>IF(OR($L270="",$T270=""),"",$L270*$T270)</f>
        <v/>
      </c>
      <c r="O270" s="15" t="str">
        <f>IF(D270="","",
IF(AND(K270&lt;&gt;"SIM",V270&gt;0),"ERRO: % BC &gt; 0, mas NÃO permitida ❌",
IF(AND(K270="SIM",V270=0),"ATENÇÃO: BC permitida, mas % = 0 🔎",
"Base de cálculo aplicada corretamente ✅")))</f>
        <v/>
      </c>
      <c r="P270" s="31" t="str">
        <f>IF(D270="","",
IF(AND(Q270&lt;&gt;"SIM",U270&gt;0),"ERRO: % alíquota &gt; 0, mas NÃO permitida ❌",
IF(AND(Q270="SIM",U270=0),"ATENÇÃO: alíquota permitida, mas % = 0 🔎",
"Alíquota aplicada corretamente ✅")))</f>
        <v/>
      </c>
      <c r="Q270" s="8" t="str">
        <f>IF(E270="","",IFERROR(VLOOKUP(E270,REGRAS_CST!$A$2:$D$200,4,FALSE),""))</f>
        <v/>
      </c>
      <c r="S270" s="9">
        <f>IF($H270="","",$H270*(1-$U270))</f>
        <v>8.9999999999999993E-3</v>
      </c>
      <c r="T270" s="9">
        <f>IF($I270="","",$I270*(1-$U270))</f>
        <v>1E-3</v>
      </c>
      <c r="U270" s="16">
        <f>IFERROR(INDEX(BASE_CCLASSTRIB!$E:$E, MATCH(TEXT($D270,"000000"), BASE_CCLASSTRIB!$A:$A, 0))/100, 0)</f>
        <v>0</v>
      </c>
      <c r="V270" s="16">
        <f>IFERROR(INDEX(BASE_CCLASSTRIB!$F:$F, MATCH(TEXT($D270,"000000"), BASE_CCLASSTRIB!$A:$A, 0))/100, 0)</f>
        <v>0</v>
      </c>
    </row>
    <row r="271" spans="4:22" ht="32.25" customHeight="1">
      <c r="D271" s="39"/>
      <c r="E271" s="27" t="str">
        <f>IF(D271="","",LEFT(D271,3))</f>
        <v/>
      </c>
      <c r="F271" s="28" t="str">
        <f>IF(E271="","",IFERROR(VLOOKUP(E271,REGRAS_CST!$A$2:$B$200,2,FALSE),""))</f>
        <v/>
      </c>
      <c r="H271" s="29">
        <v>8.9999999999999993E-3</v>
      </c>
      <c r="I271" s="29">
        <v>1E-3</v>
      </c>
      <c r="K271" s="21" t="str">
        <f>IF(E271="","",IFERROR(VLOOKUP(E271,REGRAS_CST!$A$2:$C$200,3,FALSE),""))</f>
        <v/>
      </c>
      <c r="L271" s="23" t="str">
        <f>IF($G271="", "", $G271*(1-$V271))</f>
        <v/>
      </c>
      <c r="M271" s="24" t="str">
        <f>IF(OR($L271="",$S271=""),"",$L271*$S271)</f>
        <v/>
      </c>
      <c r="N271" s="24" t="str">
        <f>IF(OR($L271="",$T271=""),"",$L271*$T271)</f>
        <v/>
      </c>
      <c r="O271" s="15" t="str">
        <f>IF(D271="","",
IF(AND(K271&lt;&gt;"SIM",V271&gt;0),"ERRO: % BC &gt; 0, mas NÃO permitida ❌",
IF(AND(K271="SIM",V271=0),"ATENÇÃO: BC permitida, mas % = 0 🔎",
"Base de cálculo aplicada corretamente ✅")))</f>
        <v/>
      </c>
      <c r="P271" s="31" t="str">
        <f>IF(D271="","",
IF(AND(Q271&lt;&gt;"SIM",U271&gt;0),"ERRO: % alíquota &gt; 0, mas NÃO permitida ❌",
IF(AND(Q271="SIM",U271=0),"ATENÇÃO: alíquota permitida, mas % = 0 🔎",
"Alíquota aplicada corretamente ✅")))</f>
        <v/>
      </c>
      <c r="Q271" s="8" t="str">
        <f>IF(E271="","",IFERROR(VLOOKUP(E271,REGRAS_CST!$A$2:$D$200,4,FALSE),""))</f>
        <v/>
      </c>
      <c r="S271" s="9">
        <f>IF($H271="","",$H271*(1-$U271))</f>
        <v>8.9999999999999993E-3</v>
      </c>
      <c r="T271" s="9">
        <f>IF($I271="","",$I271*(1-$U271))</f>
        <v>1E-3</v>
      </c>
      <c r="U271" s="16">
        <f>IFERROR(INDEX(BASE_CCLASSTRIB!$E:$E, MATCH(TEXT($D271,"000000"), BASE_CCLASSTRIB!$A:$A, 0))/100, 0)</f>
        <v>0</v>
      </c>
      <c r="V271" s="16">
        <f>IFERROR(INDEX(BASE_CCLASSTRIB!$F:$F, MATCH(TEXT($D271,"000000"), BASE_CCLASSTRIB!$A:$A, 0))/100, 0)</f>
        <v>0</v>
      </c>
    </row>
    <row r="272" spans="4:22" ht="32.25" customHeight="1">
      <c r="D272" s="39"/>
      <c r="E272" s="27" t="str">
        <f>IF(D272="","",LEFT(D272,3))</f>
        <v/>
      </c>
      <c r="F272" s="28" t="str">
        <f>IF(E272="","",IFERROR(VLOOKUP(E272,REGRAS_CST!$A$2:$B$200,2,FALSE),""))</f>
        <v/>
      </c>
      <c r="H272" s="29">
        <v>8.9999999999999993E-3</v>
      </c>
      <c r="I272" s="29">
        <v>1E-3</v>
      </c>
      <c r="K272" s="21" t="str">
        <f>IF(E272="","",IFERROR(VLOOKUP(E272,REGRAS_CST!$A$2:$C$200,3,FALSE),""))</f>
        <v/>
      </c>
      <c r="L272" s="23" t="str">
        <f>IF($G272="", "", $G272*(1-$V272))</f>
        <v/>
      </c>
      <c r="M272" s="24" t="str">
        <f>IF(OR($L272="",$S272=""),"",$L272*$S272)</f>
        <v/>
      </c>
      <c r="N272" s="24" t="str">
        <f>IF(OR($L272="",$T272=""),"",$L272*$T272)</f>
        <v/>
      </c>
      <c r="O272" s="15" t="str">
        <f>IF(D272="","",
IF(AND(K272&lt;&gt;"SIM",V272&gt;0),"ERRO: % BC &gt; 0, mas NÃO permitida ❌",
IF(AND(K272="SIM",V272=0),"ATENÇÃO: BC permitida, mas % = 0 🔎",
"Base de cálculo aplicada corretamente ✅")))</f>
        <v/>
      </c>
      <c r="P272" s="31" t="str">
        <f>IF(D272="","",
IF(AND(Q272&lt;&gt;"SIM",U272&gt;0),"ERRO: % alíquota &gt; 0, mas NÃO permitida ❌",
IF(AND(Q272="SIM",U272=0),"ATENÇÃO: alíquota permitida, mas % = 0 🔎",
"Alíquota aplicada corretamente ✅")))</f>
        <v/>
      </c>
      <c r="Q272" s="8" t="str">
        <f>IF(E272="","",IFERROR(VLOOKUP(E272,REGRAS_CST!$A$2:$D$200,4,FALSE),""))</f>
        <v/>
      </c>
      <c r="S272" s="9">
        <f>IF($H272="","",$H272*(1-$U272))</f>
        <v>8.9999999999999993E-3</v>
      </c>
      <c r="T272" s="9">
        <f>IF($I272="","",$I272*(1-$U272))</f>
        <v>1E-3</v>
      </c>
      <c r="U272" s="16">
        <f>IFERROR(INDEX(BASE_CCLASSTRIB!$E:$E, MATCH(TEXT($D272,"000000"), BASE_CCLASSTRIB!$A:$A, 0))/100, 0)</f>
        <v>0</v>
      </c>
      <c r="V272" s="16">
        <f>IFERROR(INDEX(BASE_CCLASSTRIB!$F:$F, MATCH(TEXT($D272,"000000"), BASE_CCLASSTRIB!$A:$A, 0))/100, 0)</f>
        <v>0</v>
      </c>
    </row>
    <row r="273" spans="4:22" ht="32.25" customHeight="1">
      <c r="D273" s="39"/>
      <c r="E273" s="27" t="str">
        <f>IF(D273="","",LEFT(D273,3))</f>
        <v/>
      </c>
      <c r="F273" s="28" t="str">
        <f>IF(E273="","",IFERROR(VLOOKUP(E273,REGRAS_CST!$A$2:$B$200,2,FALSE),""))</f>
        <v/>
      </c>
      <c r="H273" s="29">
        <v>8.9999999999999993E-3</v>
      </c>
      <c r="I273" s="29">
        <v>1E-3</v>
      </c>
      <c r="K273" s="21" t="str">
        <f>IF(E273="","",IFERROR(VLOOKUP(E273,REGRAS_CST!$A$2:$C$200,3,FALSE),""))</f>
        <v/>
      </c>
      <c r="L273" s="23" t="str">
        <f>IF($G273="", "", $G273*(1-$V273))</f>
        <v/>
      </c>
      <c r="M273" s="24" t="str">
        <f>IF(OR($L273="",$S273=""),"",$L273*$S273)</f>
        <v/>
      </c>
      <c r="N273" s="24" t="str">
        <f>IF(OR($L273="",$T273=""),"",$L273*$T273)</f>
        <v/>
      </c>
      <c r="O273" s="15" t="str">
        <f>IF(D273="","",
IF(AND(K273&lt;&gt;"SIM",V273&gt;0),"ERRO: % BC &gt; 0, mas NÃO permitida ❌",
IF(AND(K273="SIM",V273=0),"ATENÇÃO: BC permitida, mas % = 0 🔎",
"Base de cálculo aplicada corretamente ✅")))</f>
        <v/>
      </c>
      <c r="P273" s="31" t="str">
        <f>IF(D273="","",
IF(AND(Q273&lt;&gt;"SIM",U273&gt;0),"ERRO: % alíquota &gt; 0, mas NÃO permitida ❌",
IF(AND(Q273="SIM",U273=0),"ATENÇÃO: alíquota permitida, mas % = 0 🔎",
"Alíquota aplicada corretamente ✅")))</f>
        <v/>
      </c>
      <c r="Q273" s="8" t="str">
        <f>IF(E273="","",IFERROR(VLOOKUP(E273,REGRAS_CST!$A$2:$D$200,4,FALSE),""))</f>
        <v/>
      </c>
      <c r="S273" s="9">
        <f>IF($H273="","",$H273*(1-$U273))</f>
        <v>8.9999999999999993E-3</v>
      </c>
      <c r="T273" s="9">
        <f>IF($I273="","",$I273*(1-$U273))</f>
        <v>1E-3</v>
      </c>
      <c r="U273" s="16">
        <f>IFERROR(INDEX(BASE_CCLASSTRIB!$E:$E, MATCH(TEXT($D273,"000000"), BASE_CCLASSTRIB!$A:$A, 0))/100, 0)</f>
        <v>0</v>
      </c>
      <c r="V273" s="16">
        <f>IFERROR(INDEX(BASE_CCLASSTRIB!$F:$F, MATCH(TEXT($D273,"000000"), BASE_CCLASSTRIB!$A:$A, 0))/100, 0)</f>
        <v>0</v>
      </c>
    </row>
    <row r="274" spans="4:22" ht="32.25" customHeight="1">
      <c r="D274" s="40"/>
      <c r="E274" s="27" t="str">
        <f>IF(D274="","",LEFT(D274,3))</f>
        <v/>
      </c>
      <c r="F274" s="28" t="str">
        <f>IF(E274="","",IFERROR(VLOOKUP(E274,REGRAS_CST!$A$2:$B$200,2,FALSE),""))</f>
        <v/>
      </c>
      <c r="H274" s="29">
        <v>8.9999999999999993E-3</v>
      </c>
      <c r="I274" s="29">
        <v>1E-3</v>
      </c>
      <c r="K274" s="21" t="str">
        <f>IF(E274="","",IFERROR(VLOOKUP(E274,REGRAS_CST!$A$2:$C$200,3,FALSE),""))</f>
        <v/>
      </c>
      <c r="L274" s="23" t="str">
        <f>IF($G274="", "", $G274*(1-$V274))</f>
        <v/>
      </c>
      <c r="M274" s="24" t="str">
        <f>IF(OR($L274="",$S274=""),"",$L274*$S274)</f>
        <v/>
      </c>
      <c r="N274" s="24" t="str">
        <f>IF(OR($L274="",$T274=""),"",$L274*$T274)</f>
        <v/>
      </c>
      <c r="O274" s="15" t="str">
        <f>IF(D274="","",
IF(AND(K274&lt;&gt;"SIM",V274&gt;0),"ERRO: % BC &gt; 0, mas NÃO permitida ❌",
IF(AND(K274="SIM",V274=0),"ATENÇÃO: BC permitida, mas % = 0 🔎",
"Base de cálculo aplicada corretamente ✅")))</f>
        <v/>
      </c>
      <c r="P274" s="31" t="str">
        <f>IF(D274="","",
IF(AND(Q274&lt;&gt;"SIM",U274&gt;0),"ERRO: % alíquota &gt; 0, mas NÃO permitida ❌",
IF(AND(Q274="SIM",U274=0),"ATENÇÃO: alíquota permitida, mas % = 0 🔎",
"Alíquota aplicada corretamente ✅")))</f>
        <v/>
      </c>
      <c r="Q274" s="8" t="str">
        <f>IF(E274="","",IFERROR(VLOOKUP(E274,REGRAS_CST!$A$2:$D$200,4,FALSE),""))</f>
        <v/>
      </c>
      <c r="S274" s="9">
        <f>IF($H274="","",$H274*(1-$U274))</f>
        <v>8.9999999999999993E-3</v>
      </c>
      <c r="T274" s="9">
        <f>IF($I274="","",$I274*(1-$U274))</f>
        <v>1E-3</v>
      </c>
      <c r="U274" s="16">
        <f>IFERROR(INDEX(BASE_CCLASSTRIB!$E:$E, MATCH(TEXT($D274,"000000"), BASE_CCLASSTRIB!$A:$A, 0))/100, 0)</f>
        <v>0</v>
      </c>
      <c r="V274" s="16">
        <f>IFERROR(INDEX(BASE_CCLASSTRIB!$F:$F, MATCH(TEXT($D274,"000000"), BASE_CCLASSTRIB!$A:$A, 0))/100, 0)</f>
        <v>0</v>
      </c>
    </row>
    <row r="275" spans="4:22" ht="32.25" customHeight="1">
      <c r="D275" s="40"/>
      <c r="E275" s="27" t="str">
        <f>IF(D275="","",LEFT(D275,3))</f>
        <v/>
      </c>
      <c r="F275" s="28" t="str">
        <f>IF(E275="","",IFERROR(VLOOKUP(E275,REGRAS_CST!$A$2:$B$200,2,FALSE),""))</f>
        <v/>
      </c>
      <c r="H275" s="29">
        <v>8.9999999999999993E-3</v>
      </c>
      <c r="I275" s="29">
        <v>1E-3</v>
      </c>
      <c r="K275" s="21" t="str">
        <f>IF(E275="","",IFERROR(VLOOKUP(E275,REGRAS_CST!$A$2:$C$200,3,FALSE),""))</f>
        <v/>
      </c>
      <c r="L275" s="23" t="str">
        <f>IF($G275="", "", $G275*(1-$V275))</f>
        <v/>
      </c>
      <c r="M275" s="24" t="str">
        <f>IF(OR($L275="",$S275=""),"",$L275*$S275)</f>
        <v/>
      </c>
      <c r="N275" s="24" t="str">
        <f>IF(OR($L275="",$T275=""),"",$L275*$T275)</f>
        <v/>
      </c>
      <c r="O275" s="15" t="str">
        <f>IF(D275="","",
IF(AND(K275&lt;&gt;"SIM",V275&gt;0),"ERRO: % BC &gt; 0, mas NÃO permitida ❌",
IF(AND(K275="SIM",V275=0),"ATENÇÃO: BC permitida, mas % = 0 🔎",
"Base de cálculo aplicada corretamente ✅")))</f>
        <v/>
      </c>
      <c r="P275" s="31" t="str">
        <f>IF(D275="","",
IF(AND(Q275&lt;&gt;"SIM",U275&gt;0),"ERRO: % alíquota &gt; 0, mas NÃO permitida ❌",
IF(AND(Q275="SIM",U275=0),"ATENÇÃO: alíquota permitida, mas % = 0 🔎",
"Alíquota aplicada corretamente ✅")))</f>
        <v/>
      </c>
      <c r="Q275" s="8" t="str">
        <f>IF(E275="","",IFERROR(VLOOKUP(E275,REGRAS_CST!$A$2:$D$200,4,FALSE),""))</f>
        <v/>
      </c>
      <c r="S275" s="9">
        <f>IF($H275="","",$H275*(1-$U275))</f>
        <v>8.9999999999999993E-3</v>
      </c>
      <c r="T275" s="9">
        <f>IF($I275="","",$I275*(1-$U275))</f>
        <v>1E-3</v>
      </c>
      <c r="U275" s="16">
        <f>IFERROR(INDEX(BASE_CCLASSTRIB!$E:$E, MATCH(TEXT($D275,"000000"), BASE_CCLASSTRIB!$A:$A, 0))/100, 0)</f>
        <v>0</v>
      </c>
      <c r="V275" s="16">
        <f>IFERROR(INDEX(BASE_CCLASSTRIB!$F:$F, MATCH(TEXT($D275,"000000"), BASE_CCLASSTRIB!$A:$A, 0))/100, 0)</f>
        <v>0</v>
      </c>
    </row>
    <row r="276" spans="4:22" ht="32.25" customHeight="1">
      <c r="D276" s="39"/>
      <c r="E276" s="27" t="str">
        <f>IF(D276="","",LEFT(D276,3))</f>
        <v/>
      </c>
      <c r="F276" s="28" t="str">
        <f>IF(E276="","",IFERROR(VLOOKUP(E276,REGRAS_CST!$A$2:$B$200,2,FALSE),""))</f>
        <v/>
      </c>
      <c r="H276" s="29">
        <v>8.9999999999999993E-3</v>
      </c>
      <c r="I276" s="29">
        <v>1E-3</v>
      </c>
      <c r="K276" s="21" t="str">
        <f>IF(E276="","",IFERROR(VLOOKUP(E276,REGRAS_CST!$A$2:$C$200,3,FALSE),""))</f>
        <v/>
      </c>
      <c r="L276" s="23" t="str">
        <f>IF($G276="", "", $G276*(1-$V276))</f>
        <v/>
      </c>
      <c r="M276" s="24" t="str">
        <f>IF(OR($L276="",$S276=""),"",$L276*$S276)</f>
        <v/>
      </c>
      <c r="N276" s="24" t="str">
        <f>IF(OR($L276="",$T276=""),"",$L276*$T276)</f>
        <v/>
      </c>
      <c r="O276" s="15" t="str">
        <f>IF(D276="","",
IF(AND(K276&lt;&gt;"SIM",V276&gt;0),"ERRO: % BC &gt; 0, mas NÃO permitida ❌",
IF(AND(K276="SIM",V276=0),"ATENÇÃO: BC permitida, mas % = 0 🔎",
"Base de cálculo aplicada corretamente ✅")))</f>
        <v/>
      </c>
      <c r="P276" s="31" t="str">
        <f>IF(D276="","",
IF(AND(Q276&lt;&gt;"SIM",U276&gt;0),"ERRO: % alíquota &gt; 0, mas NÃO permitida ❌",
IF(AND(Q276="SIM",U276=0),"ATENÇÃO: alíquota permitida, mas % = 0 🔎",
"Alíquota aplicada corretamente ✅")))</f>
        <v/>
      </c>
      <c r="Q276" s="8" t="str">
        <f>IF(E276="","",IFERROR(VLOOKUP(E276,REGRAS_CST!$A$2:$D$200,4,FALSE),""))</f>
        <v/>
      </c>
      <c r="S276" s="9">
        <f>IF($H276="","",$H276*(1-$U276))</f>
        <v>8.9999999999999993E-3</v>
      </c>
      <c r="T276" s="9">
        <f>IF($I276="","",$I276*(1-$U276))</f>
        <v>1E-3</v>
      </c>
      <c r="U276" s="16">
        <f>IFERROR(INDEX(BASE_CCLASSTRIB!$E:$E, MATCH(TEXT($D276,"000000"), BASE_CCLASSTRIB!$A:$A, 0))/100, 0)</f>
        <v>0</v>
      </c>
      <c r="V276" s="16">
        <f>IFERROR(INDEX(BASE_CCLASSTRIB!$F:$F, MATCH(TEXT($D276,"000000"), BASE_CCLASSTRIB!$A:$A, 0))/100, 0)</f>
        <v>0</v>
      </c>
    </row>
    <row r="277" spans="4:22" ht="32.25" customHeight="1">
      <c r="D277" s="40"/>
      <c r="E277" s="27" t="str">
        <f>IF(D277="","",LEFT(D277,3))</f>
        <v/>
      </c>
      <c r="F277" s="28" t="str">
        <f>IF(E277="","",IFERROR(VLOOKUP(E277,REGRAS_CST!$A$2:$B$200,2,FALSE),""))</f>
        <v/>
      </c>
      <c r="H277" s="29">
        <v>8.9999999999999993E-3</v>
      </c>
      <c r="I277" s="29">
        <v>1E-3</v>
      </c>
      <c r="K277" s="21" t="str">
        <f>IF(E277="","",IFERROR(VLOOKUP(E277,REGRAS_CST!$A$2:$C$200,3,FALSE),""))</f>
        <v/>
      </c>
      <c r="L277" s="23" t="str">
        <f>IF($G277="", "", $G277*(1-$V277))</f>
        <v/>
      </c>
      <c r="M277" s="24" t="str">
        <f>IF(OR($L277="",$S277=""),"",$L277*$S277)</f>
        <v/>
      </c>
      <c r="N277" s="24" t="str">
        <f>IF(OR($L277="",$T277=""),"",$L277*$T277)</f>
        <v/>
      </c>
      <c r="O277" s="15" t="str">
        <f>IF(D277="","",
IF(AND(K277&lt;&gt;"SIM",V277&gt;0),"ERRO: % BC &gt; 0, mas NÃO permitida ❌",
IF(AND(K277="SIM",V277=0),"ATENÇÃO: BC permitida, mas % = 0 🔎",
"Base de cálculo aplicada corretamente ✅")))</f>
        <v/>
      </c>
      <c r="P277" s="31" t="str">
        <f>IF(D277="","",
IF(AND(Q277&lt;&gt;"SIM",U277&gt;0),"ERRO: % alíquota &gt; 0, mas NÃO permitida ❌",
IF(AND(Q277="SIM",U277=0),"ATENÇÃO: alíquota permitida, mas % = 0 🔎",
"Alíquota aplicada corretamente ✅")))</f>
        <v/>
      </c>
      <c r="Q277" s="8" t="str">
        <f>IF(E277="","",IFERROR(VLOOKUP(E277,REGRAS_CST!$A$2:$D$200,4,FALSE),""))</f>
        <v/>
      </c>
      <c r="S277" s="9">
        <f>IF($H277="","",$H277*(1-$U277))</f>
        <v>8.9999999999999993E-3</v>
      </c>
      <c r="T277" s="9">
        <f>IF($I277="","",$I277*(1-$U277))</f>
        <v>1E-3</v>
      </c>
      <c r="U277" s="16">
        <f>IFERROR(INDEX(BASE_CCLASSTRIB!$E:$E, MATCH(TEXT($D277,"000000"), BASE_CCLASSTRIB!$A:$A, 0))/100, 0)</f>
        <v>0</v>
      </c>
      <c r="V277" s="16">
        <f>IFERROR(INDEX(BASE_CCLASSTRIB!$F:$F, MATCH(TEXT($D277,"000000"), BASE_CCLASSTRIB!$A:$A, 0))/100, 0)</f>
        <v>0</v>
      </c>
    </row>
    <row r="278" spans="4:22" ht="32.25" customHeight="1">
      <c r="D278" s="39"/>
      <c r="E278" s="27" t="str">
        <f>IF(D278="","",LEFT(D278,3))</f>
        <v/>
      </c>
      <c r="F278" s="28" t="str">
        <f>IF(E278="","",IFERROR(VLOOKUP(E278,REGRAS_CST!$A$2:$B$200,2,FALSE),""))</f>
        <v/>
      </c>
      <c r="H278" s="29">
        <v>8.9999999999999993E-3</v>
      </c>
      <c r="I278" s="29">
        <v>1E-3</v>
      </c>
      <c r="K278" s="21" t="str">
        <f>IF(E278="","",IFERROR(VLOOKUP(E278,REGRAS_CST!$A$2:$C$200,3,FALSE),""))</f>
        <v/>
      </c>
      <c r="L278" s="23" t="str">
        <f>IF($G278="", "", $G278*(1-$V278))</f>
        <v/>
      </c>
      <c r="M278" s="24" t="str">
        <f>IF(OR($L278="",$S278=""),"",$L278*$S278)</f>
        <v/>
      </c>
      <c r="N278" s="24" t="str">
        <f>IF(OR($L278="",$T278=""),"",$L278*$T278)</f>
        <v/>
      </c>
      <c r="O278" s="15" t="str">
        <f>IF(D278="","",
IF(AND(K278&lt;&gt;"SIM",V278&gt;0),"ERRO: % BC &gt; 0, mas NÃO permitida ❌",
IF(AND(K278="SIM",V278=0),"ATENÇÃO: BC permitida, mas % = 0 🔎",
"Base de cálculo aplicada corretamente ✅")))</f>
        <v/>
      </c>
      <c r="P278" s="31" t="str">
        <f>IF(D278="","",
IF(AND(Q278&lt;&gt;"SIM",U278&gt;0),"ERRO: % alíquota &gt; 0, mas NÃO permitida ❌",
IF(AND(Q278="SIM",U278=0),"ATENÇÃO: alíquota permitida, mas % = 0 🔎",
"Alíquota aplicada corretamente ✅")))</f>
        <v/>
      </c>
      <c r="Q278" s="8" t="str">
        <f>IF(E278="","",IFERROR(VLOOKUP(E278,REGRAS_CST!$A$2:$D$200,4,FALSE),""))</f>
        <v/>
      </c>
      <c r="S278" s="9">
        <f>IF($H278="","",$H278*(1-$U278))</f>
        <v>8.9999999999999993E-3</v>
      </c>
      <c r="T278" s="9">
        <f>IF($I278="","",$I278*(1-$U278))</f>
        <v>1E-3</v>
      </c>
      <c r="U278" s="16">
        <f>IFERROR(INDEX(BASE_CCLASSTRIB!$E:$E, MATCH(TEXT($D278,"000000"), BASE_CCLASSTRIB!$A:$A, 0))/100, 0)</f>
        <v>0</v>
      </c>
      <c r="V278" s="16">
        <f>IFERROR(INDEX(BASE_CCLASSTRIB!$F:$F, MATCH(TEXT($D278,"000000"), BASE_CCLASSTRIB!$A:$A, 0))/100, 0)</f>
        <v>0</v>
      </c>
    </row>
    <row r="279" spans="4:22" ht="32.25" customHeight="1">
      <c r="D279" s="39"/>
      <c r="E279" s="27" t="str">
        <f>IF(D279="","",LEFT(D279,3))</f>
        <v/>
      </c>
      <c r="F279" s="28" t="str">
        <f>IF(E279="","",IFERROR(VLOOKUP(E279,REGRAS_CST!$A$2:$B$200,2,FALSE),""))</f>
        <v/>
      </c>
      <c r="H279" s="29">
        <v>8.9999999999999993E-3</v>
      </c>
      <c r="I279" s="29">
        <v>1E-3</v>
      </c>
      <c r="K279" s="21" t="str">
        <f>IF(E279="","",IFERROR(VLOOKUP(E279,REGRAS_CST!$A$2:$C$200,3,FALSE),""))</f>
        <v/>
      </c>
      <c r="L279" s="23" t="str">
        <f>IF($G279="", "", $G279*(1-$V279))</f>
        <v/>
      </c>
      <c r="M279" s="24" t="str">
        <f>IF(OR($L279="",$S279=""),"",$L279*$S279)</f>
        <v/>
      </c>
      <c r="N279" s="24" t="str">
        <f>IF(OR($L279="",$T279=""),"",$L279*$T279)</f>
        <v/>
      </c>
      <c r="O279" s="15" t="str">
        <f>IF(D279="","",
IF(AND(K279&lt;&gt;"SIM",V279&gt;0),"ERRO: % BC &gt; 0, mas NÃO permitida ❌",
IF(AND(K279="SIM",V279=0),"ATENÇÃO: BC permitida, mas % = 0 🔎",
"Base de cálculo aplicada corretamente ✅")))</f>
        <v/>
      </c>
      <c r="P279" s="31" t="str">
        <f>IF(D279="","",
IF(AND(Q279&lt;&gt;"SIM",U279&gt;0),"ERRO: % alíquota &gt; 0, mas NÃO permitida ❌",
IF(AND(Q279="SIM",U279=0),"ATENÇÃO: alíquota permitida, mas % = 0 🔎",
"Alíquota aplicada corretamente ✅")))</f>
        <v/>
      </c>
      <c r="Q279" s="8" t="str">
        <f>IF(E279="","",IFERROR(VLOOKUP(E279,REGRAS_CST!$A$2:$D$200,4,FALSE),""))</f>
        <v/>
      </c>
      <c r="S279" s="9">
        <f>IF($H279="","",$H279*(1-$U279))</f>
        <v>8.9999999999999993E-3</v>
      </c>
      <c r="T279" s="9">
        <f>IF($I279="","",$I279*(1-$U279))</f>
        <v>1E-3</v>
      </c>
      <c r="U279" s="16">
        <f>IFERROR(INDEX(BASE_CCLASSTRIB!$E:$E, MATCH(TEXT($D279,"000000"), BASE_CCLASSTRIB!$A:$A, 0))/100, 0)</f>
        <v>0</v>
      </c>
      <c r="V279" s="16">
        <f>IFERROR(INDEX(BASE_CCLASSTRIB!$F:$F, MATCH(TEXT($D279,"000000"), BASE_CCLASSTRIB!$A:$A, 0))/100, 0)</f>
        <v>0</v>
      </c>
    </row>
    <row r="280" spans="4:22" ht="32.25" customHeight="1">
      <c r="D280" s="39"/>
      <c r="E280" s="27" t="str">
        <f>IF(D280="","",LEFT(D280,3))</f>
        <v/>
      </c>
      <c r="F280" s="28" t="str">
        <f>IF(E280="","",IFERROR(VLOOKUP(E280,REGRAS_CST!$A$2:$B$200,2,FALSE),""))</f>
        <v/>
      </c>
      <c r="H280" s="29">
        <v>8.9999999999999993E-3</v>
      </c>
      <c r="I280" s="29">
        <v>1E-3</v>
      </c>
      <c r="K280" s="21" t="str">
        <f>IF(E280="","",IFERROR(VLOOKUP(E280,REGRAS_CST!$A$2:$C$200,3,FALSE),""))</f>
        <v/>
      </c>
      <c r="L280" s="23" t="str">
        <f>IF($G280="", "", $G280*(1-$V280))</f>
        <v/>
      </c>
      <c r="M280" s="24" t="str">
        <f>IF(OR($L280="",$S280=""),"",$L280*$S280)</f>
        <v/>
      </c>
      <c r="N280" s="24" t="str">
        <f>IF(OR($L280="",$T280=""),"",$L280*$T280)</f>
        <v/>
      </c>
      <c r="O280" s="15" t="str">
        <f>IF(D280="","",
IF(AND(K280&lt;&gt;"SIM",V280&gt;0),"ERRO: % BC &gt; 0, mas NÃO permitida ❌",
IF(AND(K280="SIM",V280=0),"ATENÇÃO: BC permitida, mas % = 0 🔎",
"Base de cálculo aplicada corretamente ✅")))</f>
        <v/>
      </c>
      <c r="P280" s="31" t="str">
        <f>IF(D280="","",
IF(AND(Q280&lt;&gt;"SIM",U280&gt;0),"ERRO: % alíquota &gt; 0, mas NÃO permitida ❌",
IF(AND(Q280="SIM",U280=0),"ATENÇÃO: alíquota permitida, mas % = 0 🔎",
"Alíquota aplicada corretamente ✅")))</f>
        <v/>
      </c>
      <c r="Q280" s="8" t="str">
        <f>IF(E280="","",IFERROR(VLOOKUP(E280,REGRAS_CST!$A$2:$D$200,4,FALSE),""))</f>
        <v/>
      </c>
      <c r="S280" s="9">
        <f>IF($H280="","",$H280*(1-$U280))</f>
        <v>8.9999999999999993E-3</v>
      </c>
      <c r="T280" s="9">
        <f>IF($I280="","",$I280*(1-$U280))</f>
        <v>1E-3</v>
      </c>
      <c r="U280" s="16">
        <f>IFERROR(INDEX(BASE_CCLASSTRIB!$E:$E, MATCH(TEXT($D280,"000000"), BASE_CCLASSTRIB!$A:$A, 0))/100, 0)</f>
        <v>0</v>
      </c>
      <c r="V280" s="16">
        <f>IFERROR(INDEX(BASE_CCLASSTRIB!$F:$F, MATCH(TEXT($D280,"000000"), BASE_CCLASSTRIB!$A:$A, 0))/100, 0)</f>
        <v>0</v>
      </c>
    </row>
    <row r="281" spans="4:22" ht="32.25" customHeight="1">
      <c r="D281" s="39"/>
      <c r="E281" s="27" t="str">
        <f>IF(D281="","",LEFT(D281,3))</f>
        <v/>
      </c>
      <c r="F281" s="28" t="str">
        <f>IF(E281="","",IFERROR(VLOOKUP(E281,REGRAS_CST!$A$2:$B$200,2,FALSE),""))</f>
        <v/>
      </c>
      <c r="H281" s="29">
        <v>8.9999999999999993E-3</v>
      </c>
      <c r="I281" s="29">
        <v>1E-3</v>
      </c>
      <c r="K281" s="21" t="str">
        <f>IF(E281="","",IFERROR(VLOOKUP(E281,REGRAS_CST!$A$2:$C$200,3,FALSE),""))</f>
        <v/>
      </c>
      <c r="L281" s="23" t="str">
        <f>IF($G281="", "", $G281*(1-$V281))</f>
        <v/>
      </c>
      <c r="M281" s="24" t="str">
        <f>IF(OR($L281="",$S281=""),"",$L281*$S281)</f>
        <v/>
      </c>
      <c r="N281" s="24" t="str">
        <f>IF(OR($L281="",$T281=""),"",$L281*$T281)</f>
        <v/>
      </c>
      <c r="O281" s="15" t="str">
        <f>IF(D281="","",
IF(AND(K281&lt;&gt;"SIM",V281&gt;0),"ERRO: % BC &gt; 0, mas NÃO permitida ❌",
IF(AND(K281="SIM",V281=0),"ATENÇÃO: BC permitida, mas % = 0 🔎",
"Base de cálculo aplicada corretamente ✅")))</f>
        <v/>
      </c>
      <c r="P281" s="31" t="str">
        <f>IF(D281="","",
IF(AND(Q281&lt;&gt;"SIM",U281&gt;0),"ERRO: % alíquota &gt; 0, mas NÃO permitida ❌",
IF(AND(Q281="SIM",U281=0),"ATENÇÃO: alíquota permitida, mas % = 0 🔎",
"Alíquota aplicada corretamente ✅")))</f>
        <v/>
      </c>
      <c r="Q281" s="8" t="str">
        <f>IF(E281="","",IFERROR(VLOOKUP(E281,REGRAS_CST!$A$2:$D$200,4,FALSE),""))</f>
        <v/>
      </c>
      <c r="S281" s="9">
        <f>IF($H281="","",$H281*(1-$U281))</f>
        <v>8.9999999999999993E-3</v>
      </c>
      <c r="T281" s="9">
        <f>IF($I281="","",$I281*(1-$U281))</f>
        <v>1E-3</v>
      </c>
      <c r="U281" s="16">
        <f>IFERROR(INDEX(BASE_CCLASSTRIB!$E:$E, MATCH(TEXT($D281,"000000"), BASE_CCLASSTRIB!$A:$A, 0))/100, 0)</f>
        <v>0</v>
      </c>
      <c r="V281" s="16">
        <f>IFERROR(INDEX(BASE_CCLASSTRIB!$F:$F, MATCH(TEXT($D281,"000000"), BASE_CCLASSTRIB!$A:$A, 0))/100, 0)</f>
        <v>0</v>
      </c>
    </row>
    <row r="282" spans="4:22" ht="32.25" customHeight="1">
      <c r="D282" s="39"/>
      <c r="E282" s="27" t="str">
        <f>IF(D282="","",LEFT(D282,3))</f>
        <v/>
      </c>
      <c r="F282" s="28" t="str">
        <f>IF(E282="","",IFERROR(VLOOKUP(E282,REGRAS_CST!$A$2:$B$200,2,FALSE),""))</f>
        <v/>
      </c>
      <c r="H282" s="29">
        <v>8.9999999999999993E-3</v>
      </c>
      <c r="I282" s="29">
        <v>1E-3</v>
      </c>
      <c r="K282" s="21" t="str">
        <f>IF(E282="","",IFERROR(VLOOKUP(E282,REGRAS_CST!$A$2:$C$200,3,FALSE),""))</f>
        <v/>
      </c>
      <c r="L282" s="23" t="str">
        <f>IF($G282="", "", $G282*(1-$V282))</f>
        <v/>
      </c>
      <c r="M282" s="24" t="str">
        <f>IF(OR($L282="",$S282=""),"",$L282*$S282)</f>
        <v/>
      </c>
      <c r="N282" s="24" t="str">
        <f>IF(OR($L282="",$T282=""),"",$L282*$T282)</f>
        <v/>
      </c>
      <c r="O282" s="15" t="str">
        <f>IF(D282="","",
IF(AND(K282&lt;&gt;"SIM",V282&gt;0),"ERRO: % BC &gt; 0, mas NÃO permitida ❌",
IF(AND(K282="SIM",V282=0),"ATENÇÃO: BC permitida, mas % = 0 🔎",
"Base de cálculo aplicada corretamente ✅")))</f>
        <v/>
      </c>
      <c r="P282" s="31" t="str">
        <f>IF(D282="","",
IF(AND(Q282&lt;&gt;"SIM",U282&gt;0),"ERRO: % alíquota &gt; 0, mas NÃO permitida ❌",
IF(AND(Q282="SIM",U282=0),"ATENÇÃO: alíquota permitida, mas % = 0 🔎",
"Alíquota aplicada corretamente ✅")))</f>
        <v/>
      </c>
      <c r="Q282" s="8" t="str">
        <f>IF(E282="","",IFERROR(VLOOKUP(E282,REGRAS_CST!$A$2:$D$200,4,FALSE),""))</f>
        <v/>
      </c>
      <c r="S282" s="9">
        <f>IF($H282="","",$H282*(1-$U282))</f>
        <v>8.9999999999999993E-3</v>
      </c>
      <c r="T282" s="9">
        <f>IF($I282="","",$I282*(1-$U282))</f>
        <v>1E-3</v>
      </c>
      <c r="U282" s="16">
        <f>IFERROR(INDEX(BASE_CCLASSTRIB!$E:$E, MATCH(TEXT($D282,"000000"), BASE_CCLASSTRIB!$A:$A, 0))/100, 0)</f>
        <v>0</v>
      </c>
      <c r="V282" s="16">
        <f>IFERROR(INDEX(BASE_CCLASSTRIB!$F:$F, MATCH(TEXT($D282,"000000"), BASE_CCLASSTRIB!$A:$A, 0))/100, 0)</f>
        <v>0</v>
      </c>
    </row>
    <row r="283" spans="4:22" ht="32.25" customHeight="1">
      <c r="D283" s="39"/>
      <c r="E283" s="27" t="str">
        <f>IF(D283="","",LEFT(D283,3))</f>
        <v/>
      </c>
      <c r="F283" s="28" t="str">
        <f>IF(E283="","",IFERROR(VLOOKUP(E283,REGRAS_CST!$A$2:$B$200,2,FALSE),""))</f>
        <v/>
      </c>
      <c r="H283" s="29">
        <v>8.9999999999999993E-3</v>
      </c>
      <c r="I283" s="29">
        <v>1E-3</v>
      </c>
      <c r="K283" s="21" t="str">
        <f>IF(E283="","",IFERROR(VLOOKUP(E283,REGRAS_CST!$A$2:$C$200,3,FALSE),""))</f>
        <v/>
      </c>
      <c r="L283" s="23" t="str">
        <f>IF($G283="", "", $G283*(1-$V283))</f>
        <v/>
      </c>
      <c r="M283" s="24" t="str">
        <f>IF(OR($L283="",$S283=""),"",$L283*$S283)</f>
        <v/>
      </c>
      <c r="N283" s="24" t="str">
        <f>IF(OR($L283="",$T283=""),"",$L283*$T283)</f>
        <v/>
      </c>
      <c r="O283" s="15" t="str">
        <f>IF(D283="","",
IF(AND(K283&lt;&gt;"SIM",V283&gt;0),"ERRO: % BC &gt; 0, mas NÃO permitida ❌",
IF(AND(K283="SIM",V283=0),"ATENÇÃO: BC permitida, mas % = 0 🔎",
"Base de cálculo aplicada corretamente ✅")))</f>
        <v/>
      </c>
      <c r="P283" s="31" t="str">
        <f>IF(D283="","",
IF(AND(Q283&lt;&gt;"SIM",U283&gt;0),"ERRO: % alíquota &gt; 0, mas NÃO permitida ❌",
IF(AND(Q283="SIM",U283=0),"ATENÇÃO: alíquota permitida, mas % = 0 🔎",
"Alíquota aplicada corretamente ✅")))</f>
        <v/>
      </c>
      <c r="Q283" s="8" t="str">
        <f>IF(E283="","",IFERROR(VLOOKUP(E283,REGRAS_CST!$A$2:$D$200,4,FALSE),""))</f>
        <v/>
      </c>
      <c r="S283" s="9">
        <f>IF($H283="","",$H283*(1-$U283))</f>
        <v>8.9999999999999993E-3</v>
      </c>
      <c r="T283" s="9">
        <f>IF($I283="","",$I283*(1-$U283))</f>
        <v>1E-3</v>
      </c>
      <c r="U283" s="16">
        <f>IFERROR(INDEX(BASE_CCLASSTRIB!$E:$E, MATCH(TEXT($D283,"000000"), BASE_CCLASSTRIB!$A:$A, 0))/100, 0)</f>
        <v>0</v>
      </c>
      <c r="V283" s="16">
        <f>IFERROR(INDEX(BASE_CCLASSTRIB!$F:$F, MATCH(TEXT($D283,"000000"), BASE_CCLASSTRIB!$A:$A, 0))/100, 0)</f>
        <v>0</v>
      </c>
    </row>
    <row r="284" spans="4:22" ht="32.25" customHeight="1">
      <c r="D284" s="40"/>
      <c r="E284" s="27" t="str">
        <f>IF(D284="","",LEFT(D284,3))</f>
        <v/>
      </c>
      <c r="F284" s="28" t="str">
        <f>IF(E284="","",IFERROR(VLOOKUP(E284,REGRAS_CST!$A$2:$B$200,2,FALSE),""))</f>
        <v/>
      </c>
      <c r="H284" s="29">
        <v>8.9999999999999993E-3</v>
      </c>
      <c r="I284" s="29">
        <v>1E-3</v>
      </c>
      <c r="K284" s="21" t="str">
        <f>IF(E284="","",IFERROR(VLOOKUP(E284,REGRAS_CST!$A$2:$C$200,3,FALSE),""))</f>
        <v/>
      </c>
      <c r="L284" s="23" t="str">
        <f>IF($G284="", "", $G284*(1-$V284))</f>
        <v/>
      </c>
      <c r="M284" s="24" t="str">
        <f>IF(OR($L284="",$S284=""),"",$L284*$S284)</f>
        <v/>
      </c>
      <c r="N284" s="24" t="str">
        <f>IF(OR($L284="",$T284=""),"",$L284*$T284)</f>
        <v/>
      </c>
      <c r="O284" s="15" t="str">
        <f>IF(D284="","",
IF(AND(K284&lt;&gt;"SIM",V284&gt;0),"ERRO: % BC &gt; 0, mas NÃO permitida ❌",
IF(AND(K284="SIM",V284=0),"ATENÇÃO: BC permitida, mas % = 0 🔎",
"Base de cálculo aplicada corretamente ✅")))</f>
        <v/>
      </c>
      <c r="P284" s="31" t="str">
        <f>IF(D284="","",
IF(AND(Q284&lt;&gt;"SIM",U284&gt;0),"ERRO: % alíquota &gt; 0, mas NÃO permitida ❌",
IF(AND(Q284="SIM",U284=0),"ATENÇÃO: alíquota permitida, mas % = 0 🔎",
"Alíquota aplicada corretamente ✅")))</f>
        <v/>
      </c>
      <c r="Q284" s="8" t="str">
        <f>IF(E284="","",IFERROR(VLOOKUP(E284,REGRAS_CST!$A$2:$D$200,4,FALSE),""))</f>
        <v/>
      </c>
      <c r="S284" s="9">
        <f>IF($H284="","",$H284*(1-$U284))</f>
        <v>8.9999999999999993E-3</v>
      </c>
      <c r="T284" s="9">
        <f>IF($I284="","",$I284*(1-$U284))</f>
        <v>1E-3</v>
      </c>
      <c r="U284" s="16">
        <f>IFERROR(INDEX(BASE_CCLASSTRIB!$E:$E, MATCH(TEXT($D284,"000000"), BASE_CCLASSTRIB!$A:$A, 0))/100, 0)</f>
        <v>0</v>
      </c>
      <c r="V284" s="16">
        <f>IFERROR(INDEX(BASE_CCLASSTRIB!$F:$F, MATCH(TEXT($D284,"000000"), BASE_CCLASSTRIB!$A:$A, 0))/100, 0)</f>
        <v>0</v>
      </c>
    </row>
    <row r="285" spans="4:22" ht="32.25" customHeight="1">
      <c r="D285" s="39"/>
      <c r="E285" s="27" t="str">
        <f>IF(D285="","",LEFT(D285,3))</f>
        <v/>
      </c>
      <c r="F285" s="28" t="str">
        <f>IF(E285="","",IFERROR(VLOOKUP(E285,REGRAS_CST!$A$2:$B$200,2,FALSE),""))</f>
        <v/>
      </c>
      <c r="H285" s="29">
        <v>8.9999999999999993E-3</v>
      </c>
      <c r="I285" s="29">
        <v>1E-3</v>
      </c>
      <c r="K285" s="21" t="str">
        <f>IF(E285="","",IFERROR(VLOOKUP(E285,REGRAS_CST!$A$2:$C$200,3,FALSE),""))</f>
        <v/>
      </c>
      <c r="L285" s="23" t="str">
        <f>IF($G285="", "", $G285*(1-$V285))</f>
        <v/>
      </c>
      <c r="M285" s="24" t="str">
        <f>IF(OR($L285="",$S285=""),"",$L285*$S285)</f>
        <v/>
      </c>
      <c r="N285" s="24" t="str">
        <f>IF(OR($L285="",$T285=""),"",$L285*$T285)</f>
        <v/>
      </c>
      <c r="O285" s="15" t="str">
        <f>IF(D285="","",
IF(AND(K285&lt;&gt;"SIM",V285&gt;0),"ERRO: % BC &gt; 0, mas NÃO permitida ❌",
IF(AND(K285="SIM",V285=0),"ATENÇÃO: BC permitida, mas % = 0 🔎",
"Base de cálculo aplicada corretamente ✅")))</f>
        <v/>
      </c>
      <c r="P285" s="31" t="str">
        <f>IF(D285="","",
IF(AND(Q285&lt;&gt;"SIM",U285&gt;0),"ERRO: % alíquota &gt; 0, mas NÃO permitida ❌",
IF(AND(Q285="SIM",U285=0),"ATENÇÃO: alíquota permitida, mas % = 0 🔎",
"Alíquota aplicada corretamente ✅")))</f>
        <v/>
      </c>
      <c r="Q285" s="8" t="str">
        <f>IF(E285="","",IFERROR(VLOOKUP(E285,REGRAS_CST!$A$2:$D$200,4,FALSE),""))</f>
        <v/>
      </c>
      <c r="S285" s="9">
        <f>IF($H285="","",$H285*(1-$U285))</f>
        <v>8.9999999999999993E-3</v>
      </c>
      <c r="T285" s="9">
        <f>IF($I285="","",$I285*(1-$U285))</f>
        <v>1E-3</v>
      </c>
      <c r="U285" s="16">
        <f>IFERROR(INDEX(BASE_CCLASSTRIB!$E:$E, MATCH(TEXT($D285,"000000"), BASE_CCLASSTRIB!$A:$A, 0))/100, 0)</f>
        <v>0</v>
      </c>
      <c r="V285" s="16">
        <f>IFERROR(INDEX(BASE_CCLASSTRIB!$F:$F, MATCH(TEXT($D285,"000000"), BASE_CCLASSTRIB!$A:$A, 0))/100, 0)</f>
        <v>0</v>
      </c>
    </row>
    <row r="286" spans="4:22" ht="32.25" customHeight="1">
      <c r="D286" s="39"/>
      <c r="E286" s="27" t="str">
        <f>IF(D286="","",LEFT(D286,3))</f>
        <v/>
      </c>
      <c r="F286" s="28" t="str">
        <f>IF(E286="","",IFERROR(VLOOKUP(E286,REGRAS_CST!$A$2:$B$200,2,FALSE),""))</f>
        <v/>
      </c>
      <c r="H286" s="29">
        <v>8.9999999999999993E-3</v>
      </c>
      <c r="I286" s="29">
        <v>1E-3</v>
      </c>
      <c r="K286" s="21" t="str">
        <f>IF(E286="","",IFERROR(VLOOKUP(E286,REGRAS_CST!$A$2:$C$200,3,FALSE),""))</f>
        <v/>
      </c>
      <c r="L286" s="23" t="str">
        <f>IF($G286="", "", $G286*(1-$V286))</f>
        <v/>
      </c>
      <c r="M286" s="24" t="str">
        <f>IF(OR($L286="",$S286=""),"",$L286*$S286)</f>
        <v/>
      </c>
      <c r="N286" s="24" t="str">
        <f>IF(OR($L286="",$T286=""),"",$L286*$T286)</f>
        <v/>
      </c>
      <c r="O286" s="15" t="str">
        <f>IF(D286="","",
IF(AND(K286&lt;&gt;"SIM",V286&gt;0),"ERRO: % BC &gt; 0, mas NÃO permitida ❌",
IF(AND(K286="SIM",V286=0),"ATENÇÃO: BC permitida, mas % = 0 🔎",
"Base de cálculo aplicada corretamente ✅")))</f>
        <v/>
      </c>
      <c r="P286" s="31" t="str">
        <f>IF(D286="","",
IF(AND(Q286&lt;&gt;"SIM",U286&gt;0),"ERRO: % alíquota &gt; 0, mas NÃO permitida ❌",
IF(AND(Q286="SIM",U286=0),"ATENÇÃO: alíquota permitida, mas % = 0 🔎",
"Alíquota aplicada corretamente ✅")))</f>
        <v/>
      </c>
      <c r="Q286" s="8" t="str">
        <f>IF(E286="","",IFERROR(VLOOKUP(E286,REGRAS_CST!$A$2:$D$200,4,FALSE),""))</f>
        <v/>
      </c>
      <c r="S286" s="9">
        <f>IF($H286="","",$H286*(1-$U286))</f>
        <v>8.9999999999999993E-3</v>
      </c>
      <c r="T286" s="9">
        <f>IF($I286="","",$I286*(1-$U286))</f>
        <v>1E-3</v>
      </c>
      <c r="U286" s="16">
        <f>IFERROR(INDEX(BASE_CCLASSTRIB!$E:$E, MATCH(TEXT($D286,"000000"), BASE_CCLASSTRIB!$A:$A, 0))/100, 0)</f>
        <v>0</v>
      </c>
      <c r="V286" s="16">
        <f>IFERROR(INDEX(BASE_CCLASSTRIB!$F:$F, MATCH(TEXT($D286,"000000"), BASE_CCLASSTRIB!$A:$A, 0))/100, 0)</f>
        <v>0</v>
      </c>
    </row>
    <row r="287" spans="4:22" ht="32.25" customHeight="1">
      <c r="D287" s="39"/>
      <c r="E287" s="27" t="str">
        <f>IF(D287="","",LEFT(D287,3))</f>
        <v/>
      </c>
      <c r="F287" s="28" t="str">
        <f>IF(E287="","",IFERROR(VLOOKUP(E287,REGRAS_CST!$A$2:$B$200,2,FALSE),""))</f>
        <v/>
      </c>
      <c r="H287" s="29">
        <v>8.9999999999999993E-3</v>
      </c>
      <c r="I287" s="29">
        <v>1E-3</v>
      </c>
      <c r="K287" s="21" t="str">
        <f>IF(E287="","",IFERROR(VLOOKUP(E287,REGRAS_CST!$A$2:$C$200,3,FALSE),""))</f>
        <v/>
      </c>
      <c r="L287" s="23" t="str">
        <f>IF($G287="", "", $G287*(1-$V287))</f>
        <v/>
      </c>
      <c r="M287" s="24" t="str">
        <f>IF(OR($L287="",$S287=""),"",$L287*$S287)</f>
        <v/>
      </c>
      <c r="N287" s="24" t="str">
        <f>IF(OR($L287="",$T287=""),"",$L287*$T287)</f>
        <v/>
      </c>
      <c r="O287" s="15" t="str">
        <f>IF(D287="","",
IF(AND(K287&lt;&gt;"SIM",V287&gt;0),"ERRO: % BC &gt; 0, mas NÃO permitida ❌",
IF(AND(K287="SIM",V287=0),"ATENÇÃO: BC permitida, mas % = 0 🔎",
"Base de cálculo aplicada corretamente ✅")))</f>
        <v/>
      </c>
      <c r="P287" s="31" t="str">
        <f>IF(D287="","",
IF(AND(Q287&lt;&gt;"SIM",U287&gt;0),"ERRO: % alíquota &gt; 0, mas NÃO permitida ❌",
IF(AND(Q287="SIM",U287=0),"ATENÇÃO: alíquota permitida, mas % = 0 🔎",
"Alíquota aplicada corretamente ✅")))</f>
        <v/>
      </c>
      <c r="Q287" s="8" t="str">
        <f>IF(E287="","",IFERROR(VLOOKUP(E287,REGRAS_CST!$A$2:$D$200,4,FALSE),""))</f>
        <v/>
      </c>
      <c r="S287" s="9">
        <f>IF($H287="","",$H287*(1-$U287))</f>
        <v>8.9999999999999993E-3</v>
      </c>
      <c r="T287" s="9">
        <f>IF($I287="","",$I287*(1-$U287))</f>
        <v>1E-3</v>
      </c>
      <c r="U287" s="16">
        <f>IFERROR(INDEX(BASE_CCLASSTRIB!$E:$E, MATCH(TEXT($D287,"000000"), BASE_CCLASSTRIB!$A:$A, 0))/100, 0)</f>
        <v>0</v>
      </c>
      <c r="V287" s="16">
        <f>IFERROR(INDEX(BASE_CCLASSTRIB!$F:$F, MATCH(TEXT($D287,"000000"), BASE_CCLASSTRIB!$A:$A, 0))/100, 0)</f>
        <v>0</v>
      </c>
    </row>
    <row r="288" spans="4:22" ht="32.25" customHeight="1">
      <c r="D288" s="40"/>
      <c r="E288" s="27" t="str">
        <f>IF(D288="","",LEFT(D288,3))</f>
        <v/>
      </c>
      <c r="F288" s="28" t="str">
        <f>IF(E288="","",IFERROR(VLOOKUP(E288,REGRAS_CST!$A$2:$B$200,2,FALSE),""))</f>
        <v/>
      </c>
      <c r="H288" s="29">
        <v>8.9999999999999993E-3</v>
      </c>
      <c r="I288" s="29">
        <v>1E-3</v>
      </c>
      <c r="K288" s="21" t="str">
        <f>IF(E288="","",IFERROR(VLOOKUP(E288,REGRAS_CST!$A$2:$C$200,3,FALSE),""))</f>
        <v/>
      </c>
      <c r="L288" s="23" t="str">
        <f>IF($G288="", "", $G288*(1-$V288))</f>
        <v/>
      </c>
      <c r="M288" s="24" t="str">
        <f>IF(OR($L288="",$S288=""),"",$L288*$S288)</f>
        <v/>
      </c>
      <c r="N288" s="24" t="str">
        <f>IF(OR($L288="",$T288=""),"",$L288*$T288)</f>
        <v/>
      </c>
      <c r="O288" s="15" t="str">
        <f>IF(D288="","",
IF(AND(K288&lt;&gt;"SIM",V288&gt;0),"ERRO: % BC &gt; 0, mas NÃO permitida ❌",
IF(AND(K288="SIM",V288=0),"ATENÇÃO: BC permitida, mas % = 0 🔎",
"Base de cálculo aplicada corretamente ✅")))</f>
        <v/>
      </c>
      <c r="P288" s="31" t="str">
        <f>IF(D288="","",
IF(AND(Q288&lt;&gt;"SIM",U288&gt;0),"ERRO: % alíquota &gt; 0, mas NÃO permitida ❌",
IF(AND(Q288="SIM",U288=0),"ATENÇÃO: alíquota permitida, mas % = 0 🔎",
"Alíquota aplicada corretamente ✅")))</f>
        <v/>
      </c>
      <c r="Q288" s="8" t="str">
        <f>IF(E288="","",IFERROR(VLOOKUP(E288,REGRAS_CST!$A$2:$D$200,4,FALSE),""))</f>
        <v/>
      </c>
      <c r="S288" s="9">
        <f>IF($H288="","",$H288*(1-$U288))</f>
        <v>8.9999999999999993E-3</v>
      </c>
      <c r="T288" s="9">
        <f>IF($I288="","",$I288*(1-$U288))</f>
        <v>1E-3</v>
      </c>
      <c r="U288" s="16">
        <f>IFERROR(INDEX(BASE_CCLASSTRIB!$E:$E, MATCH(TEXT($D288,"000000"), BASE_CCLASSTRIB!$A:$A, 0))/100, 0)</f>
        <v>0</v>
      </c>
      <c r="V288" s="16">
        <f>IFERROR(INDEX(BASE_CCLASSTRIB!$F:$F, MATCH(TEXT($D288,"000000"), BASE_CCLASSTRIB!$A:$A, 0))/100, 0)</f>
        <v>0</v>
      </c>
    </row>
    <row r="289" spans="4:22" ht="32.25" customHeight="1">
      <c r="D289" s="39"/>
      <c r="E289" s="27" t="str">
        <f>IF(D289="","",LEFT(D289,3))</f>
        <v/>
      </c>
      <c r="F289" s="28" t="str">
        <f>IF(E289="","",IFERROR(VLOOKUP(E289,REGRAS_CST!$A$2:$B$200,2,FALSE),""))</f>
        <v/>
      </c>
      <c r="H289" s="29">
        <v>8.9999999999999993E-3</v>
      </c>
      <c r="I289" s="29">
        <v>1E-3</v>
      </c>
      <c r="K289" s="21" t="str">
        <f>IF(E289="","",IFERROR(VLOOKUP(E289,REGRAS_CST!$A$2:$C$200,3,FALSE),""))</f>
        <v/>
      </c>
      <c r="L289" s="23" t="str">
        <f>IF($G289="", "", $G289*(1-$V289))</f>
        <v/>
      </c>
      <c r="M289" s="24" t="str">
        <f>IF(OR($L289="",$S289=""),"",$L289*$S289)</f>
        <v/>
      </c>
      <c r="N289" s="24" t="str">
        <f>IF(OR($L289="",$T289=""),"",$L289*$T289)</f>
        <v/>
      </c>
      <c r="O289" s="15" t="str">
        <f>IF(D289="","",
IF(AND(K289&lt;&gt;"SIM",V289&gt;0),"ERRO: % BC &gt; 0, mas NÃO permitida ❌",
IF(AND(K289="SIM",V289=0),"ATENÇÃO: BC permitida, mas % = 0 🔎",
"Base de cálculo aplicada corretamente ✅")))</f>
        <v/>
      </c>
      <c r="P289" s="31" t="str">
        <f>IF(D289="","",
IF(AND(Q289&lt;&gt;"SIM",U289&gt;0),"ERRO: % alíquota &gt; 0, mas NÃO permitida ❌",
IF(AND(Q289="SIM",U289=0),"ATENÇÃO: alíquota permitida, mas % = 0 🔎",
"Alíquota aplicada corretamente ✅")))</f>
        <v/>
      </c>
      <c r="Q289" s="8" t="str">
        <f>IF(E289="","",IFERROR(VLOOKUP(E289,REGRAS_CST!$A$2:$D$200,4,FALSE),""))</f>
        <v/>
      </c>
      <c r="S289" s="9">
        <f>IF($H289="","",$H289*(1-$U289))</f>
        <v>8.9999999999999993E-3</v>
      </c>
      <c r="T289" s="9">
        <f>IF($I289="","",$I289*(1-$U289))</f>
        <v>1E-3</v>
      </c>
      <c r="U289" s="16">
        <f>IFERROR(INDEX(BASE_CCLASSTRIB!$E:$E, MATCH(TEXT($D289,"000000"), BASE_CCLASSTRIB!$A:$A, 0))/100, 0)</f>
        <v>0</v>
      </c>
      <c r="V289" s="16">
        <f>IFERROR(INDEX(BASE_CCLASSTRIB!$F:$F, MATCH(TEXT($D289,"000000"), BASE_CCLASSTRIB!$A:$A, 0))/100, 0)</f>
        <v>0</v>
      </c>
    </row>
    <row r="290" spans="4:22" ht="32.25" customHeight="1">
      <c r="D290" s="39"/>
      <c r="E290" s="27" t="str">
        <f>IF(D290="","",LEFT(D290,3))</f>
        <v/>
      </c>
      <c r="F290" s="28" t="str">
        <f>IF(E290="","",IFERROR(VLOOKUP(E290,REGRAS_CST!$A$2:$B$200,2,FALSE),""))</f>
        <v/>
      </c>
      <c r="H290" s="29">
        <v>8.9999999999999993E-3</v>
      </c>
      <c r="I290" s="29">
        <v>1E-3</v>
      </c>
      <c r="K290" s="21" t="str">
        <f>IF(E290="","",IFERROR(VLOOKUP(E290,REGRAS_CST!$A$2:$C$200,3,FALSE),""))</f>
        <v/>
      </c>
      <c r="L290" s="23" t="str">
        <f>IF($G290="", "", $G290*(1-$V290))</f>
        <v/>
      </c>
      <c r="M290" s="24" t="str">
        <f>IF(OR($L290="",$S290=""),"",$L290*$S290)</f>
        <v/>
      </c>
      <c r="N290" s="24" t="str">
        <f>IF(OR($L290="",$T290=""),"",$L290*$T290)</f>
        <v/>
      </c>
      <c r="O290" s="15" t="str">
        <f>IF(D290="","",
IF(AND(K290&lt;&gt;"SIM",V290&gt;0),"ERRO: % BC &gt; 0, mas NÃO permitida ❌",
IF(AND(K290="SIM",V290=0),"ATENÇÃO: BC permitida, mas % = 0 🔎",
"Base de cálculo aplicada corretamente ✅")))</f>
        <v/>
      </c>
      <c r="P290" s="31" t="str">
        <f>IF(D290="","",
IF(AND(Q290&lt;&gt;"SIM",U290&gt;0),"ERRO: % alíquota &gt; 0, mas NÃO permitida ❌",
IF(AND(Q290="SIM",U290=0),"ATENÇÃO: alíquota permitida, mas % = 0 🔎",
"Alíquota aplicada corretamente ✅")))</f>
        <v/>
      </c>
      <c r="Q290" s="8" t="str">
        <f>IF(E290="","",IFERROR(VLOOKUP(E290,REGRAS_CST!$A$2:$D$200,4,FALSE),""))</f>
        <v/>
      </c>
      <c r="S290" s="9">
        <f>IF($H290="","",$H290*(1-$U290))</f>
        <v>8.9999999999999993E-3</v>
      </c>
      <c r="T290" s="9">
        <f>IF($I290="","",$I290*(1-$U290))</f>
        <v>1E-3</v>
      </c>
      <c r="U290" s="16">
        <f>IFERROR(INDEX(BASE_CCLASSTRIB!$E:$E, MATCH(TEXT($D290,"000000"), BASE_CCLASSTRIB!$A:$A, 0))/100, 0)</f>
        <v>0</v>
      </c>
      <c r="V290" s="16">
        <f>IFERROR(INDEX(BASE_CCLASSTRIB!$F:$F, MATCH(TEXT($D290,"000000"), BASE_CCLASSTRIB!$A:$A, 0))/100, 0)</f>
        <v>0</v>
      </c>
    </row>
    <row r="291" spans="4:22" ht="32.25" customHeight="1">
      <c r="D291" s="40"/>
      <c r="E291" s="27" t="str">
        <f>IF(D291="","",LEFT(D291,3))</f>
        <v/>
      </c>
      <c r="F291" s="28" t="str">
        <f>IF(E291="","",IFERROR(VLOOKUP(E291,REGRAS_CST!$A$2:$B$200,2,FALSE),""))</f>
        <v/>
      </c>
      <c r="H291" s="29">
        <v>8.9999999999999993E-3</v>
      </c>
      <c r="I291" s="29">
        <v>1E-3</v>
      </c>
      <c r="K291" s="21" t="str">
        <f>IF(E291="","",IFERROR(VLOOKUP(E291,REGRAS_CST!$A$2:$C$200,3,FALSE),""))</f>
        <v/>
      </c>
      <c r="L291" s="23" t="str">
        <f>IF($G291="", "", $G291*(1-$V291))</f>
        <v/>
      </c>
      <c r="M291" s="24" t="str">
        <f>IF(OR($L291="",$S291=""),"",$L291*$S291)</f>
        <v/>
      </c>
      <c r="N291" s="24" t="str">
        <f>IF(OR($L291="",$T291=""),"",$L291*$T291)</f>
        <v/>
      </c>
      <c r="O291" s="15" t="str">
        <f>IF(D291="","",
IF(AND(K291&lt;&gt;"SIM",V291&gt;0),"ERRO: % BC &gt; 0, mas NÃO permitida ❌",
IF(AND(K291="SIM",V291=0),"ATENÇÃO: BC permitida, mas % = 0 🔎",
"Base de cálculo aplicada corretamente ✅")))</f>
        <v/>
      </c>
      <c r="P291" s="31" t="str">
        <f>IF(D291="","",
IF(AND(Q291&lt;&gt;"SIM",U291&gt;0),"ERRO: % alíquota &gt; 0, mas NÃO permitida ❌",
IF(AND(Q291="SIM",U291=0),"ATENÇÃO: alíquota permitida, mas % = 0 🔎",
"Alíquota aplicada corretamente ✅")))</f>
        <v/>
      </c>
      <c r="Q291" s="8" t="str">
        <f>IF(E291="","",IFERROR(VLOOKUP(E291,REGRAS_CST!$A$2:$D$200,4,FALSE),""))</f>
        <v/>
      </c>
      <c r="S291" s="9">
        <f>IF($H291="","",$H291*(1-$U291))</f>
        <v>8.9999999999999993E-3</v>
      </c>
      <c r="T291" s="9">
        <f>IF($I291="","",$I291*(1-$U291))</f>
        <v>1E-3</v>
      </c>
      <c r="U291" s="16">
        <f>IFERROR(INDEX(BASE_CCLASSTRIB!$E:$E, MATCH(TEXT($D291,"000000"), BASE_CCLASSTRIB!$A:$A, 0))/100, 0)</f>
        <v>0</v>
      </c>
      <c r="V291" s="16">
        <f>IFERROR(INDEX(BASE_CCLASSTRIB!$F:$F, MATCH(TEXT($D291,"000000"), BASE_CCLASSTRIB!$A:$A, 0))/100, 0)</f>
        <v>0</v>
      </c>
    </row>
    <row r="292" spans="4:22" ht="32.25" customHeight="1">
      <c r="D292" s="39"/>
      <c r="E292" s="27" t="str">
        <f>IF(D292="","",LEFT(D292,3))</f>
        <v/>
      </c>
      <c r="F292" s="28" t="str">
        <f>IF(E292="","",IFERROR(VLOOKUP(E292,REGRAS_CST!$A$2:$B$200,2,FALSE),""))</f>
        <v/>
      </c>
      <c r="H292" s="29">
        <v>8.9999999999999993E-3</v>
      </c>
      <c r="I292" s="29">
        <v>1E-3</v>
      </c>
      <c r="K292" s="21" t="str">
        <f>IF(E292="","",IFERROR(VLOOKUP(E292,REGRAS_CST!$A$2:$C$200,3,FALSE),""))</f>
        <v/>
      </c>
      <c r="L292" s="23" t="str">
        <f>IF($G292="", "", $G292*(1-$V292))</f>
        <v/>
      </c>
      <c r="M292" s="24" t="str">
        <f>IF(OR($L292="",$S292=""),"",$L292*$S292)</f>
        <v/>
      </c>
      <c r="N292" s="24" t="str">
        <f>IF(OR($L292="",$T292=""),"",$L292*$T292)</f>
        <v/>
      </c>
      <c r="O292" s="15" t="str">
        <f>IF(D292="","",
IF(AND(K292&lt;&gt;"SIM",V292&gt;0),"ERRO: % BC &gt; 0, mas NÃO permitida ❌",
IF(AND(K292="SIM",V292=0),"ATENÇÃO: BC permitida, mas % = 0 🔎",
"Base de cálculo aplicada corretamente ✅")))</f>
        <v/>
      </c>
      <c r="P292" s="31" t="str">
        <f>IF(D292="","",
IF(AND(Q292&lt;&gt;"SIM",U292&gt;0),"ERRO: % alíquota &gt; 0, mas NÃO permitida ❌",
IF(AND(Q292="SIM",U292=0),"ATENÇÃO: alíquota permitida, mas % = 0 🔎",
"Alíquota aplicada corretamente ✅")))</f>
        <v/>
      </c>
      <c r="Q292" s="8" t="str">
        <f>IF(E292="","",IFERROR(VLOOKUP(E292,REGRAS_CST!$A$2:$D$200,4,FALSE),""))</f>
        <v/>
      </c>
      <c r="S292" s="9">
        <f>IF($H292="","",$H292*(1-$U292))</f>
        <v>8.9999999999999993E-3</v>
      </c>
      <c r="T292" s="9">
        <f>IF($I292="","",$I292*(1-$U292))</f>
        <v>1E-3</v>
      </c>
      <c r="U292" s="16">
        <f>IFERROR(INDEX(BASE_CCLASSTRIB!$E:$E, MATCH(TEXT($D292,"000000"), BASE_CCLASSTRIB!$A:$A, 0))/100, 0)</f>
        <v>0</v>
      </c>
      <c r="V292" s="16">
        <f>IFERROR(INDEX(BASE_CCLASSTRIB!$F:$F, MATCH(TEXT($D292,"000000"), BASE_CCLASSTRIB!$A:$A, 0))/100, 0)</f>
        <v>0</v>
      </c>
    </row>
    <row r="293" spans="4:22" ht="32.25" customHeight="1">
      <c r="D293" s="40"/>
      <c r="E293" s="27" t="str">
        <f>IF(D293="","",LEFT(D293,3))</f>
        <v/>
      </c>
      <c r="F293" s="28" t="str">
        <f>IF(E293="","",IFERROR(VLOOKUP(E293,REGRAS_CST!$A$2:$B$200,2,FALSE),""))</f>
        <v/>
      </c>
      <c r="H293" s="29">
        <v>8.9999999999999993E-3</v>
      </c>
      <c r="I293" s="29">
        <v>1E-3</v>
      </c>
      <c r="K293" s="21" t="str">
        <f>IF(E293="","",IFERROR(VLOOKUP(E293,REGRAS_CST!$A$2:$C$200,3,FALSE),""))</f>
        <v/>
      </c>
      <c r="L293" s="23" t="str">
        <f>IF($G293="", "", $G293*(1-$V293))</f>
        <v/>
      </c>
      <c r="M293" s="24" t="str">
        <f>IF(OR($L293="",$S293=""),"",$L293*$S293)</f>
        <v/>
      </c>
      <c r="N293" s="24" t="str">
        <f>IF(OR($L293="",$T293=""),"",$L293*$T293)</f>
        <v/>
      </c>
      <c r="O293" s="15" t="str">
        <f>IF(D293="","",
IF(AND(K293&lt;&gt;"SIM",V293&gt;0),"ERRO: % BC &gt; 0, mas NÃO permitida ❌",
IF(AND(K293="SIM",V293=0),"ATENÇÃO: BC permitida, mas % = 0 🔎",
"Base de cálculo aplicada corretamente ✅")))</f>
        <v/>
      </c>
      <c r="P293" s="31" t="str">
        <f>IF(D293="","",
IF(AND(Q293&lt;&gt;"SIM",U293&gt;0),"ERRO: % alíquota &gt; 0, mas NÃO permitida ❌",
IF(AND(Q293="SIM",U293=0),"ATENÇÃO: alíquota permitida, mas % = 0 🔎",
"Alíquota aplicada corretamente ✅")))</f>
        <v/>
      </c>
      <c r="Q293" s="8" t="str">
        <f>IF(E293="","",IFERROR(VLOOKUP(E293,REGRAS_CST!$A$2:$D$200,4,FALSE),""))</f>
        <v/>
      </c>
      <c r="S293" s="9">
        <f>IF($H293="","",$H293*(1-$U293))</f>
        <v>8.9999999999999993E-3</v>
      </c>
      <c r="T293" s="9">
        <f>IF($I293="","",$I293*(1-$U293))</f>
        <v>1E-3</v>
      </c>
      <c r="U293" s="16">
        <f>IFERROR(INDEX(BASE_CCLASSTRIB!$E:$E, MATCH(TEXT($D293,"000000"), BASE_CCLASSTRIB!$A:$A, 0))/100, 0)</f>
        <v>0</v>
      </c>
      <c r="V293" s="16">
        <f>IFERROR(INDEX(BASE_CCLASSTRIB!$F:$F, MATCH(TEXT($D293,"000000"), BASE_CCLASSTRIB!$A:$A, 0))/100, 0)</f>
        <v>0</v>
      </c>
    </row>
    <row r="294" spans="4:22" ht="32.25" customHeight="1">
      <c r="D294" s="40"/>
      <c r="E294" s="27" t="str">
        <f>IF(D294="","",LEFT(D294,3))</f>
        <v/>
      </c>
      <c r="F294" s="28" t="str">
        <f>IF(E294="","",IFERROR(VLOOKUP(E294,REGRAS_CST!$A$2:$B$200,2,FALSE),""))</f>
        <v/>
      </c>
      <c r="H294" s="29">
        <v>8.9999999999999993E-3</v>
      </c>
      <c r="I294" s="29">
        <v>1E-3</v>
      </c>
      <c r="K294" s="21" t="str">
        <f>IF(E294="","",IFERROR(VLOOKUP(E294,REGRAS_CST!$A$2:$C$200,3,FALSE),""))</f>
        <v/>
      </c>
      <c r="L294" s="23" t="str">
        <f>IF($G294="", "", $G294*(1-$V294))</f>
        <v/>
      </c>
      <c r="M294" s="24" t="str">
        <f>IF(OR($L294="",$S294=""),"",$L294*$S294)</f>
        <v/>
      </c>
      <c r="N294" s="24" t="str">
        <f>IF(OR($L294="",$T294=""),"",$L294*$T294)</f>
        <v/>
      </c>
      <c r="O294" s="15" t="str">
        <f>IF(D294="","",
IF(AND(K294&lt;&gt;"SIM",V294&gt;0),"ERRO: % BC &gt; 0, mas NÃO permitida ❌",
IF(AND(K294="SIM",V294=0),"ATENÇÃO: BC permitida, mas % = 0 🔎",
"Base de cálculo aplicada corretamente ✅")))</f>
        <v/>
      </c>
      <c r="P294" s="31" t="str">
        <f>IF(D294="","",
IF(AND(Q294&lt;&gt;"SIM",U294&gt;0),"ERRO: % alíquota &gt; 0, mas NÃO permitida ❌",
IF(AND(Q294="SIM",U294=0),"ATENÇÃO: alíquota permitida, mas % = 0 🔎",
"Alíquota aplicada corretamente ✅")))</f>
        <v/>
      </c>
      <c r="Q294" s="8" t="str">
        <f>IF(E294="","",IFERROR(VLOOKUP(E294,REGRAS_CST!$A$2:$D$200,4,FALSE),""))</f>
        <v/>
      </c>
      <c r="S294" s="9">
        <f>IF($H294="","",$H294*(1-$U294))</f>
        <v>8.9999999999999993E-3</v>
      </c>
      <c r="T294" s="9">
        <f>IF($I294="","",$I294*(1-$U294))</f>
        <v>1E-3</v>
      </c>
      <c r="U294" s="16">
        <f>IFERROR(INDEX(BASE_CCLASSTRIB!$E:$E, MATCH(TEXT($D294,"000000"), BASE_CCLASSTRIB!$A:$A, 0))/100, 0)</f>
        <v>0</v>
      </c>
      <c r="V294" s="16">
        <f>IFERROR(INDEX(BASE_CCLASSTRIB!$F:$F, MATCH(TEXT($D294,"000000"), BASE_CCLASSTRIB!$A:$A, 0))/100, 0)</f>
        <v>0</v>
      </c>
    </row>
    <row r="295" spans="4:22" ht="32.25" customHeight="1">
      <c r="D295" s="40"/>
      <c r="E295" s="27" t="str">
        <f>IF(D295="","",LEFT(D295,3))</f>
        <v/>
      </c>
      <c r="F295" s="28" t="str">
        <f>IF(E295="","",IFERROR(VLOOKUP(E295,REGRAS_CST!$A$2:$B$200,2,FALSE),""))</f>
        <v/>
      </c>
      <c r="H295" s="29">
        <v>8.9999999999999993E-3</v>
      </c>
      <c r="I295" s="29">
        <v>1E-3</v>
      </c>
      <c r="K295" s="21" t="str">
        <f>IF(E295="","",IFERROR(VLOOKUP(E295,REGRAS_CST!$A$2:$C$200,3,FALSE),""))</f>
        <v/>
      </c>
      <c r="L295" s="23" t="str">
        <f>IF($G295="", "", $G295*(1-$V295))</f>
        <v/>
      </c>
      <c r="M295" s="24" t="str">
        <f>IF(OR($L295="",$S295=""),"",$L295*$S295)</f>
        <v/>
      </c>
      <c r="N295" s="24" t="str">
        <f>IF(OR($L295="",$T295=""),"",$L295*$T295)</f>
        <v/>
      </c>
      <c r="O295" s="15" t="str">
        <f>IF(D295="","",
IF(AND(K295&lt;&gt;"SIM",V295&gt;0),"ERRO: % BC &gt; 0, mas NÃO permitida ❌",
IF(AND(K295="SIM",V295=0),"ATENÇÃO: BC permitida, mas % = 0 🔎",
"Base de cálculo aplicada corretamente ✅")))</f>
        <v/>
      </c>
      <c r="P295" s="31" t="str">
        <f>IF(D295="","",
IF(AND(Q295&lt;&gt;"SIM",U295&gt;0),"ERRO: % alíquota &gt; 0, mas NÃO permitida ❌",
IF(AND(Q295="SIM",U295=0),"ATENÇÃO: alíquota permitida, mas % = 0 🔎",
"Alíquota aplicada corretamente ✅")))</f>
        <v/>
      </c>
      <c r="Q295" s="8" t="str">
        <f>IF(E295="","",IFERROR(VLOOKUP(E295,REGRAS_CST!$A$2:$D$200,4,FALSE),""))</f>
        <v/>
      </c>
      <c r="S295" s="9">
        <f>IF($H295="","",$H295*(1-$U295))</f>
        <v>8.9999999999999993E-3</v>
      </c>
      <c r="T295" s="9">
        <f>IF($I295="","",$I295*(1-$U295))</f>
        <v>1E-3</v>
      </c>
      <c r="U295" s="16">
        <f>IFERROR(INDEX(BASE_CCLASSTRIB!$E:$E, MATCH(TEXT($D295,"000000"), BASE_CCLASSTRIB!$A:$A, 0))/100, 0)</f>
        <v>0</v>
      </c>
      <c r="V295" s="16">
        <f>IFERROR(INDEX(BASE_CCLASSTRIB!$F:$F, MATCH(TEXT($D295,"000000"), BASE_CCLASSTRIB!$A:$A, 0))/100, 0)</f>
        <v>0</v>
      </c>
    </row>
    <row r="296" spans="4:22" ht="32.25" customHeight="1">
      <c r="D296" s="39"/>
      <c r="E296" s="27" t="str">
        <f>IF(D296="","",LEFT(D296,3))</f>
        <v/>
      </c>
      <c r="F296" s="28" t="str">
        <f>IF(E296="","",IFERROR(VLOOKUP(E296,REGRAS_CST!$A$2:$B$200,2,FALSE),""))</f>
        <v/>
      </c>
      <c r="H296" s="29">
        <v>8.9999999999999993E-3</v>
      </c>
      <c r="I296" s="29">
        <v>1E-3</v>
      </c>
      <c r="K296" s="21" t="str">
        <f>IF(E296="","",IFERROR(VLOOKUP(E296,REGRAS_CST!$A$2:$C$200,3,FALSE),""))</f>
        <v/>
      </c>
      <c r="L296" s="23" t="str">
        <f>IF($G296="", "", $G296*(1-$V296))</f>
        <v/>
      </c>
      <c r="M296" s="24" t="str">
        <f>IF(OR($L296="",$S296=""),"",$L296*$S296)</f>
        <v/>
      </c>
      <c r="N296" s="24" t="str">
        <f>IF(OR($L296="",$T296=""),"",$L296*$T296)</f>
        <v/>
      </c>
      <c r="O296" s="15" t="str">
        <f>IF(D296="","",
IF(AND(K296&lt;&gt;"SIM",V296&gt;0),"ERRO: % BC &gt; 0, mas NÃO permitida ❌",
IF(AND(K296="SIM",V296=0),"ATENÇÃO: BC permitida, mas % = 0 🔎",
"Base de cálculo aplicada corretamente ✅")))</f>
        <v/>
      </c>
      <c r="P296" s="31" t="str">
        <f>IF(D296="","",
IF(AND(Q296&lt;&gt;"SIM",U296&gt;0),"ERRO: % alíquota &gt; 0, mas NÃO permitida ❌",
IF(AND(Q296="SIM",U296=0),"ATENÇÃO: alíquota permitida, mas % = 0 🔎",
"Alíquota aplicada corretamente ✅")))</f>
        <v/>
      </c>
      <c r="Q296" s="8" t="str">
        <f>IF(E296="","",IFERROR(VLOOKUP(E296,REGRAS_CST!$A$2:$D$200,4,FALSE),""))</f>
        <v/>
      </c>
      <c r="S296" s="9">
        <f>IF($H296="","",$H296*(1-$U296))</f>
        <v>8.9999999999999993E-3</v>
      </c>
      <c r="T296" s="9">
        <f>IF($I296="","",$I296*(1-$U296))</f>
        <v>1E-3</v>
      </c>
      <c r="U296" s="16">
        <f>IFERROR(INDEX(BASE_CCLASSTRIB!$E:$E, MATCH(TEXT($D296,"000000"), BASE_CCLASSTRIB!$A:$A, 0))/100, 0)</f>
        <v>0</v>
      </c>
      <c r="V296" s="16">
        <f>IFERROR(INDEX(BASE_CCLASSTRIB!$F:$F, MATCH(TEXT($D296,"000000"), BASE_CCLASSTRIB!$A:$A, 0))/100, 0)</f>
        <v>0</v>
      </c>
    </row>
    <row r="297" spans="4:22" ht="32.25" customHeight="1">
      <c r="D297" s="39"/>
      <c r="E297" s="27" t="str">
        <f>IF(D297="","",LEFT(D297,3))</f>
        <v/>
      </c>
      <c r="F297" s="28" t="str">
        <f>IF(E297="","",IFERROR(VLOOKUP(E297,REGRAS_CST!$A$2:$B$200,2,FALSE),""))</f>
        <v/>
      </c>
      <c r="H297" s="29">
        <v>8.9999999999999993E-3</v>
      </c>
      <c r="I297" s="29">
        <v>1E-3</v>
      </c>
      <c r="K297" s="21" t="str">
        <f>IF(E297="","",IFERROR(VLOOKUP(E297,REGRAS_CST!$A$2:$C$200,3,FALSE),""))</f>
        <v/>
      </c>
      <c r="L297" s="23" t="str">
        <f>IF($G297="", "", $G297*(1-$V297))</f>
        <v/>
      </c>
      <c r="M297" s="24" t="str">
        <f>IF(OR($L297="",$S297=""),"",$L297*$S297)</f>
        <v/>
      </c>
      <c r="N297" s="24" t="str">
        <f>IF(OR($L297="",$T297=""),"",$L297*$T297)</f>
        <v/>
      </c>
      <c r="O297" s="15" t="str">
        <f>IF(D297="","",
IF(AND(K297&lt;&gt;"SIM",V297&gt;0),"ERRO: % BC &gt; 0, mas NÃO permitida ❌",
IF(AND(K297="SIM",V297=0),"ATENÇÃO: BC permitida, mas % = 0 🔎",
"Base de cálculo aplicada corretamente ✅")))</f>
        <v/>
      </c>
      <c r="P297" s="31" t="str">
        <f>IF(D297="","",
IF(AND(Q297&lt;&gt;"SIM",U297&gt;0),"ERRO: % alíquota &gt; 0, mas NÃO permitida ❌",
IF(AND(Q297="SIM",U297=0),"ATENÇÃO: alíquota permitida, mas % = 0 🔎",
"Alíquota aplicada corretamente ✅")))</f>
        <v/>
      </c>
      <c r="Q297" s="8" t="str">
        <f>IF(E297="","",IFERROR(VLOOKUP(E297,REGRAS_CST!$A$2:$D$200,4,FALSE),""))</f>
        <v/>
      </c>
      <c r="S297" s="9">
        <f>IF($H297="","",$H297*(1-$U297))</f>
        <v>8.9999999999999993E-3</v>
      </c>
      <c r="T297" s="9">
        <f>IF($I297="","",$I297*(1-$U297))</f>
        <v>1E-3</v>
      </c>
      <c r="U297" s="16">
        <f>IFERROR(INDEX(BASE_CCLASSTRIB!$E:$E, MATCH(TEXT($D297,"000000"), BASE_CCLASSTRIB!$A:$A, 0))/100, 0)</f>
        <v>0</v>
      </c>
      <c r="V297" s="16">
        <f>IFERROR(INDEX(BASE_CCLASSTRIB!$F:$F, MATCH(TEXT($D297,"000000"), BASE_CCLASSTRIB!$A:$A, 0))/100, 0)</f>
        <v>0</v>
      </c>
    </row>
    <row r="298" spans="4:22" ht="32.25" customHeight="1">
      <c r="D298" s="39"/>
      <c r="E298" s="27" t="str">
        <f>IF(D298="","",LEFT(D298,3))</f>
        <v/>
      </c>
      <c r="F298" s="28" t="str">
        <f>IF(E298="","",IFERROR(VLOOKUP(E298,REGRAS_CST!$A$2:$B$200,2,FALSE),""))</f>
        <v/>
      </c>
      <c r="H298" s="29">
        <v>8.9999999999999993E-3</v>
      </c>
      <c r="I298" s="29">
        <v>1E-3</v>
      </c>
      <c r="K298" s="21" t="str">
        <f>IF(E298="","",IFERROR(VLOOKUP(E298,REGRAS_CST!$A$2:$C$200,3,FALSE),""))</f>
        <v/>
      </c>
      <c r="L298" s="23" t="str">
        <f>IF($G298="", "", $G298*(1-$V298))</f>
        <v/>
      </c>
      <c r="M298" s="24" t="str">
        <f>IF(OR($L298="",$S298=""),"",$L298*$S298)</f>
        <v/>
      </c>
      <c r="N298" s="24" t="str">
        <f>IF(OR($L298="",$T298=""),"",$L298*$T298)</f>
        <v/>
      </c>
      <c r="O298" s="15" t="str">
        <f>IF(D298="","",
IF(AND(K298&lt;&gt;"SIM",V298&gt;0),"ERRO: % BC &gt; 0, mas NÃO permitida ❌",
IF(AND(K298="SIM",V298=0),"ATENÇÃO: BC permitida, mas % = 0 🔎",
"Base de cálculo aplicada corretamente ✅")))</f>
        <v/>
      </c>
      <c r="P298" s="31" t="str">
        <f>IF(D298="","",
IF(AND(Q298&lt;&gt;"SIM",U298&gt;0),"ERRO: % alíquota &gt; 0, mas NÃO permitida ❌",
IF(AND(Q298="SIM",U298=0),"ATENÇÃO: alíquota permitida, mas % = 0 🔎",
"Alíquota aplicada corretamente ✅")))</f>
        <v/>
      </c>
      <c r="Q298" s="8" t="str">
        <f>IF(E298="","",IFERROR(VLOOKUP(E298,REGRAS_CST!$A$2:$D$200,4,FALSE),""))</f>
        <v/>
      </c>
      <c r="S298" s="9">
        <f>IF($H298="","",$H298*(1-$U298))</f>
        <v>8.9999999999999993E-3</v>
      </c>
      <c r="T298" s="9">
        <f>IF($I298="","",$I298*(1-$U298))</f>
        <v>1E-3</v>
      </c>
      <c r="U298" s="16">
        <f>IFERROR(INDEX(BASE_CCLASSTRIB!$E:$E, MATCH(TEXT($D298,"000000"), BASE_CCLASSTRIB!$A:$A, 0))/100, 0)</f>
        <v>0</v>
      </c>
      <c r="V298" s="16">
        <f>IFERROR(INDEX(BASE_CCLASSTRIB!$F:$F, MATCH(TEXT($D298,"000000"), BASE_CCLASSTRIB!$A:$A, 0))/100, 0)</f>
        <v>0</v>
      </c>
    </row>
    <row r="299" spans="4:22" ht="32.25" customHeight="1">
      <c r="D299" s="40"/>
      <c r="E299" s="27" t="str">
        <f>IF(D299="","",LEFT(D299,3))</f>
        <v/>
      </c>
      <c r="F299" s="28" t="str">
        <f>IF(E299="","",IFERROR(VLOOKUP(E299,REGRAS_CST!$A$2:$B$200,2,FALSE),""))</f>
        <v/>
      </c>
      <c r="H299" s="29">
        <v>8.9999999999999993E-3</v>
      </c>
      <c r="I299" s="29">
        <v>1E-3</v>
      </c>
      <c r="K299" s="21" t="str">
        <f>IF(E299="","",IFERROR(VLOOKUP(E299,REGRAS_CST!$A$2:$C$200,3,FALSE),""))</f>
        <v/>
      </c>
      <c r="L299" s="23" t="str">
        <f>IF($G299="", "", $G299*(1-$V299))</f>
        <v/>
      </c>
      <c r="M299" s="24" t="str">
        <f>IF(OR($L299="",$S299=""),"",$L299*$S299)</f>
        <v/>
      </c>
      <c r="N299" s="24" t="str">
        <f>IF(OR($L299="",$T299=""),"",$L299*$T299)</f>
        <v/>
      </c>
      <c r="O299" s="15" t="str">
        <f>IF(D299="","",
IF(AND(K299&lt;&gt;"SIM",V299&gt;0),"ERRO: % BC &gt; 0, mas NÃO permitida ❌",
IF(AND(K299="SIM",V299=0),"ATENÇÃO: BC permitida, mas % = 0 🔎",
"Base de cálculo aplicada corretamente ✅")))</f>
        <v/>
      </c>
      <c r="P299" s="31" t="str">
        <f>IF(D299="","",
IF(AND(Q299&lt;&gt;"SIM",U299&gt;0),"ERRO: % alíquota &gt; 0, mas NÃO permitida ❌",
IF(AND(Q299="SIM",U299=0),"ATENÇÃO: alíquota permitida, mas % = 0 🔎",
"Alíquota aplicada corretamente ✅")))</f>
        <v/>
      </c>
      <c r="Q299" s="8" t="str">
        <f>IF(E299="","",IFERROR(VLOOKUP(E299,REGRAS_CST!$A$2:$D$200,4,FALSE),""))</f>
        <v/>
      </c>
      <c r="S299" s="9">
        <f>IF($H299="","",$H299*(1-$U299))</f>
        <v>8.9999999999999993E-3</v>
      </c>
      <c r="T299" s="9">
        <f>IF($I299="","",$I299*(1-$U299))</f>
        <v>1E-3</v>
      </c>
      <c r="U299" s="16">
        <f>IFERROR(INDEX(BASE_CCLASSTRIB!$E:$E, MATCH(TEXT($D299,"000000"), BASE_CCLASSTRIB!$A:$A, 0))/100, 0)</f>
        <v>0</v>
      </c>
      <c r="V299" s="16">
        <f>IFERROR(INDEX(BASE_CCLASSTRIB!$F:$F, MATCH(TEXT($D299,"000000"), BASE_CCLASSTRIB!$A:$A, 0))/100, 0)</f>
        <v>0</v>
      </c>
    </row>
    <row r="300" spans="4:22" ht="32.25" customHeight="1">
      <c r="D300" s="39"/>
      <c r="E300" s="27" t="str">
        <f>IF(D300="","",LEFT(D300,3))</f>
        <v/>
      </c>
      <c r="F300" s="28" t="str">
        <f>IF(E300="","",IFERROR(VLOOKUP(E300,REGRAS_CST!$A$2:$B$200,2,FALSE),""))</f>
        <v/>
      </c>
      <c r="H300" s="29">
        <v>8.9999999999999993E-3</v>
      </c>
      <c r="I300" s="29">
        <v>1E-3</v>
      </c>
      <c r="K300" s="21" t="str">
        <f>IF(E300="","",IFERROR(VLOOKUP(E300,REGRAS_CST!$A$2:$C$200,3,FALSE),""))</f>
        <v/>
      </c>
      <c r="L300" s="23" t="str">
        <f>IF($G300="", "", $G300*(1-$V300))</f>
        <v/>
      </c>
      <c r="M300" s="24" t="str">
        <f>IF(OR($L300="",$S300=""),"",$L300*$S300)</f>
        <v/>
      </c>
      <c r="N300" s="24" t="str">
        <f>IF(OR($L300="",$T300=""),"",$L300*$T300)</f>
        <v/>
      </c>
      <c r="O300" s="15" t="str">
        <f>IF(D300="","",
IF(AND(K300&lt;&gt;"SIM",V300&gt;0),"ERRO: % BC &gt; 0, mas NÃO permitida ❌",
IF(AND(K300="SIM",V300=0),"ATENÇÃO: BC permitida, mas % = 0 🔎",
"Base de cálculo aplicada corretamente ✅")))</f>
        <v/>
      </c>
      <c r="P300" s="31" t="str">
        <f>IF(D300="","",
IF(AND(Q300&lt;&gt;"SIM",U300&gt;0),"ERRO: % alíquota &gt; 0, mas NÃO permitida ❌",
IF(AND(Q300="SIM",U300=0),"ATENÇÃO: alíquota permitida, mas % = 0 🔎",
"Alíquota aplicada corretamente ✅")))</f>
        <v/>
      </c>
      <c r="Q300" s="8" t="str">
        <f>IF(E300="","",IFERROR(VLOOKUP(E300,REGRAS_CST!$A$2:$D$200,4,FALSE),""))</f>
        <v/>
      </c>
      <c r="S300" s="9">
        <f>IF($H300="","",$H300*(1-$U300))</f>
        <v>8.9999999999999993E-3</v>
      </c>
      <c r="T300" s="9">
        <f>IF($I300="","",$I300*(1-$U300))</f>
        <v>1E-3</v>
      </c>
      <c r="U300" s="16">
        <f>IFERROR(INDEX(BASE_CCLASSTRIB!$E:$E, MATCH(TEXT($D300,"000000"), BASE_CCLASSTRIB!$A:$A, 0))/100, 0)</f>
        <v>0</v>
      </c>
      <c r="V300" s="16">
        <f>IFERROR(INDEX(BASE_CCLASSTRIB!$F:$F, MATCH(TEXT($D300,"000000"), BASE_CCLASSTRIB!$A:$A, 0))/100, 0)</f>
        <v>0</v>
      </c>
    </row>
    <row r="301" spans="4:22" ht="32.25" customHeight="1">
      <c r="D301" s="39"/>
      <c r="E301" s="27" t="str">
        <f>IF(D301="","",LEFT(D301,3))</f>
        <v/>
      </c>
      <c r="F301" s="28" t="str">
        <f>IF(E301="","",IFERROR(VLOOKUP(E301,REGRAS_CST!$A$2:$B$200,2,FALSE),""))</f>
        <v/>
      </c>
      <c r="H301" s="29">
        <v>8.9999999999999993E-3</v>
      </c>
      <c r="I301" s="29">
        <v>1E-3</v>
      </c>
      <c r="K301" s="21" t="str">
        <f>IF(E301="","",IFERROR(VLOOKUP(E301,REGRAS_CST!$A$2:$C$200,3,FALSE),""))</f>
        <v/>
      </c>
      <c r="L301" s="23" t="str">
        <f>IF($G301="", "", $G301*(1-$V301))</f>
        <v/>
      </c>
      <c r="M301" s="24" t="str">
        <f>IF(OR($L301="",$S301=""),"",$L301*$S301)</f>
        <v/>
      </c>
      <c r="N301" s="24" t="str">
        <f>IF(OR($L301="",$T301=""),"",$L301*$T301)</f>
        <v/>
      </c>
      <c r="O301" s="15" t="str">
        <f>IF(D301="","",
IF(AND(K301&lt;&gt;"SIM",V301&gt;0),"ERRO: % BC &gt; 0, mas NÃO permitida ❌",
IF(AND(K301="SIM",V301=0),"ATENÇÃO: BC permitida, mas % = 0 🔎",
"Base de cálculo aplicada corretamente ✅")))</f>
        <v/>
      </c>
      <c r="P301" s="31" t="str">
        <f>IF(D301="","",
IF(AND(Q301&lt;&gt;"SIM",U301&gt;0),"ERRO: % alíquota &gt; 0, mas NÃO permitida ❌",
IF(AND(Q301="SIM",U301=0),"ATENÇÃO: alíquota permitida, mas % = 0 🔎",
"Alíquota aplicada corretamente ✅")))</f>
        <v/>
      </c>
      <c r="Q301" s="8" t="str">
        <f>IF(E301="","",IFERROR(VLOOKUP(E301,REGRAS_CST!$A$2:$D$200,4,FALSE),""))</f>
        <v/>
      </c>
      <c r="S301" s="9">
        <f>IF($H301="","",$H301*(1-$U301))</f>
        <v>8.9999999999999993E-3</v>
      </c>
      <c r="T301" s="9">
        <f>IF($I301="","",$I301*(1-$U301))</f>
        <v>1E-3</v>
      </c>
      <c r="U301" s="16">
        <f>IFERROR(INDEX(BASE_CCLASSTRIB!$E:$E, MATCH(TEXT($D301,"000000"), BASE_CCLASSTRIB!$A:$A, 0))/100, 0)</f>
        <v>0</v>
      </c>
      <c r="V301" s="16">
        <f>IFERROR(INDEX(BASE_CCLASSTRIB!$F:$F, MATCH(TEXT($D301,"000000"), BASE_CCLASSTRIB!$A:$A, 0))/100, 0)</f>
        <v>0</v>
      </c>
    </row>
    <row r="302" spans="4:22" ht="32.25" customHeight="1">
      <c r="D302" s="39"/>
      <c r="E302" s="27" t="str">
        <f>IF(D302="","",LEFT(D302,3))</f>
        <v/>
      </c>
      <c r="F302" s="28" t="str">
        <f>IF(E302="","",IFERROR(VLOOKUP(E302,REGRAS_CST!$A$2:$B$200,2,FALSE),""))</f>
        <v/>
      </c>
      <c r="H302" s="29">
        <v>8.9999999999999993E-3</v>
      </c>
      <c r="I302" s="29">
        <v>1E-3</v>
      </c>
      <c r="K302" s="21" t="str">
        <f>IF(E302="","",IFERROR(VLOOKUP(E302,REGRAS_CST!$A$2:$C$200,3,FALSE),""))</f>
        <v/>
      </c>
      <c r="L302" s="23" t="str">
        <f>IF($G302="", "", $G302*(1-$V302))</f>
        <v/>
      </c>
      <c r="M302" s="24" t="str">
        <f>IF(OR($L302="",$S302=""),"",$L302*$S302)</f>
        <v/>
      </c>
      <c r="N302" s="24" t="str">
        <f>IF(OR($L302="",$T302=""),"",$L302*$T302)</f>
        <v/>
      </c>
      <c r="O302" s="15" t="str">
        <f>IF(D302="","",
IF(AND(K302&lt;&gt;"SIM",V302&gt;0),"ERRO: % BC &gt; 0, mas NÃO permitida ❌",
IF(AND(K302="SIM",V302=0),"ATENÇÃO: BC permitida, mas % = 0 🔎",
"Base de cálculo aplicada corretamente ✅")))</f>
        <v/>
      </c>
      <c r="P302" s="31" t="str">
        <f>IF(D302="","",
IF(AND(Q302&lt;&gt;"SIM",U302&gt;0),"ERRO: % alíquota &gt; 0, mas NÃO permitida ❌",
IF(AND(Q302="SIM",U302=0),"ATENÇÃO: alíquota permitida, mas % = 0 🔎",
"Alíquota aplicada corretamente ✅")))</f>
        <v/>
      </c>
      <c r="Q302" s="8" t="str">
        <f>IF(E302="","",IFERROR(VLOOKUP(E302,REGRAS_CST!$A$2:$D$200,4,FALSE),""))</f>
        <v/>
      </c>
      <c r="S302" s="9">
        <f>IF($H302="","",$H302*(1-$U302))</f>
        <v>8.9999999999999993E-3</v>
      </c>
      <c r="T302" s="9">
        <f>IF($I302="","",$I302*(1-$U302))</f>
        <v>1E-3</v>
      </c>
      <c r="U302" s="16">
        <f>IFERROR(INDEX(BASE_CCLASSTRIB!$E:$E, MATCH(TEXT($D302,"000000"), BASE_CCLASSTRIB!$A:$A, 0))/100, 0)</f>
        <v>0</v>
      </c>
      <c r="V302" s="16">
        <f>IFERROR(INDEX(BASE_CCLASSTRIB!$F:$F, MATCH(TEXT($D302,"000000"), BASE_CCLASSTRIB!$A:$A, 0))/100, 0)</f>
        <v>0</v>
      </c>
    </row>
    <row r="303" spans="4:22" ht="32.25" customHeight="1">
      <c r="D303" s="39"/>
      <c r="E303" s="27" t="str">
        <f>IF(D303="","",LEFT(D303,3))</f>
        <v/>
      </c>
      <c r="F303" s="28" t="str">
        <f>IF(E303="","",IFERROR(VLOOKUP(E303,REGRAS_CST!$A$2:$B$200,2,FALSE),""))</f>
        <v/>
      </c>
      <c r="H303" s="29">
        <v>8.9999999999999993E-3</v>
      </c>
      <c r="I303" s="29">
        <v>1E-3</v>
      </c>
      <c r="K303" s="21" t="str">
        <f>IF(E303="","",IFERROR(VLOOKUP(E303,REGRAS_CST!$A$2:$C$200,3,FALSE),""))</f>
        <v/>
      </c>
      <c r="L303" s="23" t="str">
        <f>IF($G303="", "", $G303*(1-$V303))</f>
        <v/>
      </c>
      <c r="M303" s="24" t="str">
        <f>IF(OR($L303="",$S303=""),"",$L303*$S303)</f>
        <v/>
      </c>
      <c r="N303" s="24" t="str">
        <f>IF(OR($L303="",$T303=""),"",$L303*$T303)</f>
        <v/>
      </c>
      <c r="O303" s="15" t="str">
        <f>IF(D303="","",
IF(AND(K303&lt;&gt;"SIM",V303&gt;0),"ERRO: % BC &gt; 0, mas NÃO permitida ❌",
IF(AND(K303="SIM",V303=0),"ATENÇÃO: BC permitida, mas % = 0 🔎",
"Base de cálculo aplicada corretamente ✅")))</f>
        <v/>
      </c>
      <c r="P303" s="31" t="str">
        <f>IF(D303="","",
IF(AND(Q303&lt;&gt;"SIM",U303&gt;0),"ERRO: % alíquota &gt; 0, mas NÃO permitida ❌",
IF(AND(Q303="SIM",U303=0),"ATENÇÃO: alíquota permitida, mas % = 0 🔎",
"Alíquota aplicada corretamente ✅")))</f>
        <v/>
      </c>
      <c r="Q303" s="8" t="str">
        <f>IF(E303="","",IFERROR(VLOOKUP(E303,REGRAS_CST!$A$2:$D$200,4,FALSE),""))</f>
        <v/>
      </c>
      <c r="S303" s="9">
        <f>IF($H303="","",$H303*(1-$U303))</f>
        <v>8.9999999999999993E-3</v>
      </c>
      <c r="T303" s="9">
        <f>IF($I303="","",$I303*(1-$U303))</f>
        <v>1E-3</v>
      </c>
      <c r="U303" s="16">
        <f>IFERROR(INDEX(BASE_CCLASSTRIB!$E:$E, MATCH(TEXT($D303,"000000"), BASE_CCLASSTRIB!$A:$A, 0))/100, 0)</f>
        <v>0</v>
      </c>
      <c r="V303" s="16">
        <f>IFERROR(INDEX(BASE_CCLASSTRIB!$F:$F, MATCH(TEXT($D303,"000000"), BASE_CCLASSTRIB!$A:$A, 0))/100, 0)</f>
        <v>0</v>
      </c>
    </row>
    <row r="304" spans="4:22" ht="32.25" customHeight="1">
      <c r="D304" s="39"/>
      <c r="E304" s="27" t="str">
        <f>IF(D304="","",LEFT(D304,3))</f>
        <v/>
      </c>
      <c r="F304" s="28" t="str">
        <f>IF(E304="","",IFERROR(VLOOKUP(E304,REGRAS_CST!$A$2:$B$200,2,FALSE),""))</f>
        <v/>
      </c>
      <c r="H304" s="29">
        <v>8.9999999999999993E-3</v>
      </c>
      <c r="I304" s="29">
        <v>1E-3</v>
      </c>
      <c r="K304" s="21" t="str">
        <f>IF(E304="","",IFERROR(VLOOKUP(E304,REGRAS_CST!$A$2:$C$200,3,FALSE),""))</f>
        <v/>
      </c>
      <c r="L304" s="23" t="str">
        <f>IF($G304="", "", $G304*(1-$V304))</f>
        <v/>
      </c>
      <c r="M304" s="24" t="str">
        <f>IF(OR($L304="",$S304=""),"",$L304*$S304)</f>
        <v/>
      </c>
      <c r="N304" s="24" t="str">
        <f>IF(OR($L304="",$T304=""),"",$L304*$T304)</f>
        <v/>
      </c>
      <c r="O304" s="15" t="str">
        <f>IF(D304="","",
IF(AND(K304&lt;&gt;"SIM",V304&gt;0),"ERRO: % BC &gt; 0, mas NÃO permitida ❌",
IF(AND(K304="SIM",V304=0),"ATENÇÃO: BC permitida, mas % = 0 🔎",
"Base de cálculo aplicada corretamente ✅")))</f>
        <v/>
      </c>
      <c r="P304" s="31" t="str">
        <f>IF(D304="","",
IF(AND(Q304&lt;&gt;"SIM",U304&gt;0),"ERRO: % alíquota &gt; 0, mas NÃO permitida ❌",
IF(AND(Q304="SIM",U304=0),"ATENÇÃO: alíquota permitida, mas % = 0 🔎",
"Alíquota aplicada corretamente ✅")))</f>
        <v/>
      </c>
      <c r="Q304" s="8" t="str">
        <f>IF(E304="","",IFERROR(VLOOKUP(E304,REGRAS_CST!$A$2:$D$200,4,FALSE),""))</f>
        <v/>
      </c>
      <c r="S304" s="9">
        <f>IF($H304="","",$H304*(1-$U304))</f>
        <v>8.9999999999999993E-3</v>
      </c>
      <c r="T304" s="9">
        <f>IF($I304="","",$I304*(1-$U304))</f>
        <v>1E-3</v>
      </c>
      <c r="U304" s="16">
        <f>IFERROR(INDEX(BASE_CCLASSTRIB!$E:$E, MATCH(TEXT($D304,"000000"), BASE_CCLASSTRIB!$A:$A, 0))/100, 0)</f>
        <v>0</v>
      </c>
      <c r="V304" s="16">
        <f>IFERROR(INDEX(BASE_CCLASSTRIB!$F:$F, MATCH(TEXT($D304,"000000"), BASE_CCLASSTRIB!$A:$A, 0))/100, 0)</f>
        <v>0</v>
      </c>
    </row>
    <row r="305" spans="4:22" ht="32.25" customHeight="1">
      <c r="D305" s="39"/>
      <c r="E305" s="27" t="str">
        <f>IF(D305="","",LEFT(D305,3))</f>
        <v/>
      </c>
      <c r="F305" s="28" t="str">
        <f>IF(E305="","",IFERROR(VLOOKUP(E305,REGRAS_CST!$A$2:$B$200,2,FALSE),""))</f>
        <v/>
      </c>
      <c r="H305" s="29">
        <v>8.9999999999999993E-3</v>
      </c>
      <c r="I305" s="29">
        <v>1E-3</v>
      </c>
      <c r="K305" s="21" t="str">
        <f>IF(E305="","",IFERROR(VLOOKUP(E305,REGRAS_CST!$A$2:$C$200,3,FALSE),""))</f>
        <v/>
      </c>
      <c r="L305" s="23" t="str">
        <f>IF($G305="", "", $G305*(1-$V305))</f>
        <v/>
      </c>
      <c r="M305" s="24" t="str">
        <f>IF(OR($L305="",$S305=""),"",$L305*$S305)</f>
        <v/>
      </c>
      <c r="N305" s="24" t="str">
        <f>IF(OR($L305="",$T305=""),"",$L305*$T305)</f>
        <v/>
      </c>
      <c r="O305" s="15" t="str">
        <f>IF(D305="","",
IF(AND(K305&lt;&gt;"SIM",V305&gt;0),"ERRO: % BC &gt; 0, mas NÃO permitida ❌",
IF(AND(K305="SIM",V305=0),"ATENÇÃO: BC permitida, mas % = 0 🔎",
"Base de cálculo aplicada corretamente ✅")))</f>
        <v/>
      </c>
      <c r="P305" s="31" t="str">
        <f>IF(D305="","",
IF(AND(Q305&lt;&gt;"SIM",U305&gt;0),"ERRO: % alíquota &gt; 0, mas NÃO permitida ❌",
IF(AND(Q305="SIM",U305=0),"ATENÇÃO: alíquota permitida, mas % = 0 🔎",
"Alíquota aplicada corretamente ✅")))</f>
        <v/>
      </c>
      <c r="Q305" s="8" t="str">
        <f>IF(E305="","",IFERROR(VLOOKUP(E305,REGRAS_CST!$A$2:$D$200,4,FALSE),""))</f>
        <v/>
      </c>
      <c r="S305" s="9">
        <f>IF($H305="","",$H305*(1-$U305))</f>
        <v>8.9999999999999993E-3</v>
      </c>
      <c r="T305" s="9">
        <f>IF($I305="","",$I305*(1-$U305))</f>
        <v>1E-3</v>
      </c>
      <c r="U305" s="16">
        <f>IFERROR(INDEX(BASE_CCLASSTRIB!$E:$E, MATCH(TEXT($D305,"000000"), BASE_CCLASSTRIB!$A:$A, 0))/100, 0)</f>
        <v>0</v>
      </c>
      <c r="V305" s="16">
        <f>IFERROR(INDEX(BASE_CCLASSTRIB!$F:$F, MATCH(TEXT($D305,"000000"), BASE_CCLASSTRIB!$A:$A, 0))/100, 0)</f>
        <v>0</v>
      </c>
    </row>
    <row r="306" spans="4:22" ht="32.25" customHeight="1">
      <c r="D306" s="40"/>
      <c r="E306" s="27" t="str">
        <f>IF(D306="","",LEFT(D306,3))</f>
        <v/>
      </c>
      <c r="F306" s="28" t="str">
        <f>IF(E306="","",IFERROR(VLOOKUP(E306,REGRAS_CST!$A$2:$B$200,2,FALSE),""))</f>
        <v/>
      </c>
      <c r="H306" s="29">
        <v>8.9999999999999993E-3</v>
      </c>
      <c r="I306" s="29">
        <v>1E-3</v>
      </c>
      <c r="K306" s="21" t="str">
        <f>IF(E306="","",IFERROR(VLOOKUP(E306,REGRAS_CST!$A$2:$C$200,3,FALSE),""))</f>
        <v/>
      </c>
      <c r="L306" s="23" t="str">
        <f>IF($G306="", "", $G306*(1-$V306))</f>
        <v/>
      </c>
      <c r="M306" s="24" t="str">
        <f>IF(OR($L306="",$S306=""),"",$L306*$S306)</f>
        <v/>
      </c>
      <c r="N306" s="24" t="str">
        <f>IF(OR($L306="",$T306=""),"",$L306*$T306)</f>
        <v/>
      </c>
      <c r="O306" s="15" t="str">
        <f>IF(D306="","",
IF(AND(K306&lt;&gt;"SIM",V306&gt;0),"ERRO: % BC &gt; 0, mas NÃO permitida ❌",
IF(AND(K306="SIM",V306=0),"ATENÇÃO: BC permitida, mas % = 0 🔎",
"Base de cálculo aplicada corretamente ✅")))</f>
        <v/>
      </c>
      <c r="P306" s="31" t="str">
        <f>IF(D306="","",
IF(AND(Q306&lt;&gt;"SIM",U306&gt;0),"ERRO: % alíquota &gt; 0, mas NÃO permitida ❌",
IF(AND(Q306="SIM",U306=0),"ATENÇÃO: alíquota permitida, mas % = 0 🔎",
"Alíquota aplicada corretamente ✅")))</f>
        <v/>
      </c>
      <c r="Q306" s="8" t="str">
        <f>IF(E306="","",IFERROR(VLOOKUP(E306,REGRAS_CST!$A$2:$D$200,4,FALSE),""))</f>
        <v/>
      </c>
      <c r="S306" s="9">
        <f>IF($H306="","",$H306*(1-$U306))</f>
        <v>8.9999999999999993E-3</v>
      </c>
      <c r="T306" s="9">
        <f>IF($I306="","",$I306*(1-$U306))</f>
        <v>1E-3</v>
      </c>
      <c r="U306" s="16">
        <f>IFERROR(INDEX(BASE_CCLASSTRIB!$E:$E, MATCH(TEXT($D306,"000000"), BASE_CCLASSTRIB!$A:$A, 0))/100, 0)</f>
        <v>0</v>
      </c>
      <c r="V306" s="16">
        <f>IFERROR(INDEX(BASE_CCLASSTRIB!$F:$F, MATCH(TEXT($D306,"000000"), BASE_CCLASSTRIB!$A:$A, 0))/100, 0)</f>
        <v>0</v>
      </c>
    </row>
    <row r="307" spans="4:22" ht="32.25" customHeight="1">
      <c r="D307" s="39"/>
      <c r="E307" s="27" t="str">
        <f>IF(D307="","",LEFT(D307,3))</f>
        <v/>
      </c>
      <c r="F307" s="28" t="str">
        <f>IF(E307="","",IFERROR(VLOOKUP(E307,REGRAS_CST!$A$2:$B$200,2,FALSE),""))</f>
        <v/>
      </c>
      <c r="H307" s="29">
        <v>8.9999999999999993E-3</v>
      </c>
      <c r="I307" s="29">
        <v>1E-3</v>
      </c>
      <c r="K307" s="21" t="str">
        <f>IF(E307="","",IFERROR(VLOOKUP(E307,REGRAS_CST!$A$2:$C$200,3,FALSE),""))</f>
        <v/>
      </c>
      <c r="L307" s="23" t="str">
        <f>IF($G307="", "", $G307*(1-$V307))</f>
        <v/>
      </c>
      <c r="M307" s="24" t="str">
        <f>IF(OR($L307="",$S307=""),"",$L307*$S307)</f>
        <v/>
      </c>
      <c r="N307" s="24" t="str">
        <f>IF(OR($L307="",$T307=""),"",$L307*$T307)</f>
        <v/>
      </c>
      <c r="O307" s="15" t="str">
        <f>IF(D307="","",
IF(AND(K307&lt;&gt;"SIM",V307&gt;0),"ERRO: % BC &gt; 0, mas NÃO permitida ❌",
IF(AND(K307="SIM",V307=0),"ATENÇÃO: BC permitida, mas % = 0 🔎",
"Base de cálculo aplicada corretamente ✅")))</f>
        <v/>
      </c>
      <c r="P307" s="31" t="str">
        <f>IF(D307="","",
IF(AND(Q307&lt;&gt;"SIM",U307&gt;0),"ERRO: % alíquota &gt; 0, mas NÃO permitida ❌",
IF(AND(Q307="SIM",U307=0),"ATENÇÃO: alíquota permitida, mas % = 0 🔎",
"Alíquota aplicada corretamente ✅")))</f>
        <v/>
      </c>
      <c r="Q307" s="8" t="str">
        <f>IF(E307="","",IFERROR(VLOOKUP(E307,REGRAS_CST!$A$2:$D$200,4,FALSE),""))</f>
        <v/>
      </c>
      <c r="S307" s="9">
        <f>IF($H307="","",$H307*(1-$U307))</f>
        <v>8.9999999999999993E-3</v>
      </c>
      <c r="T307" s="9">
        <f>IF($I307="","",$I307*(1-$U307))</f>
        <v>1E-3</v>
      </c>
      <c r="U307" s="16">
        <f>IFERROR(INDEX(BASE_CCLASSTRIB!$E:$E, MATCH(TEXT($D307,"000000"), BASE_CCLASSTRIB!$A:$A, 0))/100, 0)</f>
        <v>0</v>
      </c>
      <c r="V307" s="16">
        <f>IFERROR(INDEX(BASE_CCLASSTRIB!$F:$F, MATCH(TEXT($D307,"000000"), BASE_CCLASSTRIB!$A:$A, 0))/100, 0)</f>
        <v>0</v>
      </c>
    </row>
    <row r="308" spans="4:22" ht="32.25" customHeight="1">
      <c r="D308" s="39"/>
      <c r="E308" s="27" t="str">
        <f>IF(D308="","",LEFT(D308,3))</f>
        <v/>
      </c>
      <c r="F308" s="28" t="str">
        <f>IF(E308="","",IFERROR(VLOOKUP(E308,REGRAS_CST!$A$2:$B$200,2,FALSE),""))</f>
        <v/>
      </c>
      <c r="H308" s="29">
        <v>8.9999999999999993E-3</v>
      </c>
      <c r="I308" s="29">
        <v>1E-3</v>
      </c>
      <c r="K308" s="21" t="str">
        <f>IF(E308="","",IFERROR(VLOOKUP(E308,REGRAS_CST!$A$2:$C$200,3,FALSE),""))</f>
        <v/>
      </c>
      <c r="L308" s="23" t="str">
        <f>IF($G308="", "", $G308*(1-$V308))</f>
        <v/>
      </c>
      <c r="M308" s="24" t="str">
        <f>IF(OR($L308="",$S308=""),"",$L308*$S308)</f>
        <v/>
      </c>
      <c r="N308" s="24" t="str">
        <f>IF(OR($L308="",$T308=""),"",$L308*$T308)</f>
        <v/>
      </c>
      <c r="O308" s="15" t="str">
        <f>IF(D308="","",
IF(AND(K308&lt;&gt;"SIM",V308&gt;0),"ERRO: % BC &gt; 0, mas NÃO permitida ❌",
IF(AND(K308="SIM",V308=0),"ATENÇÃO: BC permitida, mas % = 0 🔎",
"Base de cálculo aplicada corretamente ✅")))</f>
        <v/>
      </c>
      <c r="P308" s="31" t="str">
        <f>IF(D308="","",
IF(AND(Q308&lt;&gt;"SIM",U308&gt;0),"ERRO: % alíquota &gt; 0, mas NÃO permitida ❌",
IF(AND(Q308="SIM",U308=0),"ATENÇÃO: alíquota permitida, mas % = 0 🔎",
"Alíquota aplicada corretamente ✅")))</f>
        <v/>
      </c>
      <c r="Q308" s="8" t="str">
        <f>IF(E308="","",IFERROR(VLOOKUP(E308,REGRAS_CST!$A$2:$D$200,4,FALSE),""))</f>
        <v/>
      </c>
      <c r="S308" s="9">
        <f>IF($H308="","",$H308*(1-$U308))</f>
        <v>8.9999999999999993E-3</v>
      </c>
      <c r="T308" s="9">
        <f>IF($I308="","",$I308*(1-$U308))</f>
        <v>1E-3</v>
      </c>
      <c r="U308" s="16">
        <f>IFERROR(INDEX(BASE_CCLASSTRIB!$E:$E, MATCH(TEXT($D308,"000000"), BASE_CCLASSTRIB!$A:$A, 0))/100, 0)</f>
        <v>0</v>
      </c>
      <c r="V308" s="16">
        <f>IFERROR(INDEX(BASE_CCLASSTRIB!$F:$F, MATCH(TEXT($D308,"000000"), BASE_CCLASSTRIB!$A:$A, 0))/100, 0)</f>
        <v>0</v>
      </c>
    </row>
    <row r="309" spans="4:22" ht="32.25" customHeight="1">
      <c r="D309" s="40"/>
      <c r="E309" s="27" t="str">
        <f>IF(D309="","",LEFT(D309,3))</f>
        <v/>
      </c>
      <c r="F309" s="28" t="str">
        <f>IF(E309="","",IFERROR(VLOOKUP(E309,REGRAS_CST!$A$2:$B$200,2,FALSE),""))</f>
        <v/>
      </c>
      <c r="H309" s="29">
        <v>8.9999999999999993E-3</v>
      </c>
      <c r="I309" s="29">
        <v>1E-3</v>
      </c>
      <c r="K309" s="21" t="str">
        <f>IF(E309="","",IFERROR(VLOOKUP(E309,REGRAS_CST!$A$2:$C$200,3,FALSE),""))</f>
        <v/>
      </c>
      <c r="L309" s="23" t="str">
        <f>IF($G309="", "", $G309*(1-$V309))</f>
        <v/>
      </c>
      <c r="M309" s="24" t="str">
        <f>IF(OR($L309="",$S309=""),"",$L309*$S309)</f>
        <v/>
      </c>
      <c r="N309" s="24" t="str">
        <f>IF(OR($L309="",$T309=""),"",$L309*$T309)</f>
        <v/>
      </c>
      <c r="O309" s="15" t="str">
        <f>IF(D309="","",
IF(AND(K309&lt;&gt;"SIM",V309&gt;0),"ERRO: % BC &gt; 0, mas NÃO permitida ❌",
IF(AND(K309="SIM",V309=0),"ATENÇÃO: BC permitida, mas % = 0 🔎",
"Base de cálculo aplicada corretamente ✅")))</f>
        <v/>
      </c>
      <c r="P309" s="31" t="str">
        <f>IF(D309="","",
IF(AND(Q309&lt;&gt;"SIM",U309&gt;0),"ERRO: % alíquota &gt; 0, mas NÃO permitida ❌",
IF(AND(Q309="SIM",U309=0),"ATENÇÃO: alíquota permitida, mas % = 0 🔎",
"Alíquota aplicada corretamente ✅")))</f>
        <v/>
      </c>
      <c r="Q309" s="8" t="str">
        <f>IF(E309="","",IFERROR(VLOOKUP(E309,REGRAS_CST!$A$2:$D$200,4,FALSE),""))</f>
        <v/>
      </c>
      <c r="S309" s="9">
        <f>IF($H309="","",$H309*(1-$U309))</f>
        <v>8.9999999999999993E-3</v>
      </c>
      <c r="T309" s="9">
        <f>IF($I309="","",$I309*(1-$U309))</f>
        <v>1E-3</v>
      </c>
      <c r="U309" s="16">
        <f>IFERROR(INDEX(BASE_CCLASSTRIB!$E:$E, MATCH(TEXT($D309,"000000"), BASE_CCLASSTRIB!$A:$A, 0))/100, 0)</f>
        <v>0</v>
      </c>
      <c r="V309" s="16">
        <f>IFERROR(INDEX(BASE_CCLASSTRIB!$F:$F, MATCH(TEXT($D309,"000000"), BASE_CCLASSTRIB!$A:$A, 0))/100, 0)</f>
        <v>0</v>
      </c>
    </row>
    <row r="310" spans="4:22" ht="32.25" customHeight="1">
      <c r="D310" s="40"/>
      <c r="E310" s="27" t="str">
        <f>IF(D310="","",LEFT(D310,3))</f>
        <v/>
      </c>
      <c r="F310" s="28" t="str">
        <f>IF(E310="","",IFERROR(VLOOKUP(E310,REGRAS_CST!$A$2:$B$200,2,FALSE),""))</f>
        <v/>
      </c>
      <c r="H310" s="29">
        <v>8.9999999999999993E-3</v>
      </c>
      <c r="I310" s="29">
        <v>1E-3</v>
      </c>
      <c r="K310" s="21" t="str">
        <f>IF(E310="","",IFERROR(VLOOKUP(E310,REGRAS_CST!$A$2:$C$200,3,FALSE),""))</f>
        <v/>
      </c>
      <c r="L310" s="23" t="str">
        <f>IF($G310="", "", $G310*(1-$V310))</f>
        <v/>
      </c>
      <c r="M310" s="24" t="str">
        <f>IF(OR($L310="",$S310=""),"",$L310*$S310)</f>
        <v/>
      </c>
      <c r="N310" s="24" t="str">
        <f>IF(OR($L310="",$T310=""),"",$L310*$T310)</f>
        <v/>
      </c>
      <c r="O310" s="15" t="str">
        <f>IF(D310="","",
IF(AND(K310&lt;&gt;"SIM",V310&gt;0),"ERRO: % BC &gt; 0, mas NÃO permitida ❌",
IF(AND(K310="SIM",V310=0),"ATENÇÃO: BC permitida, mas % = 0 🔎",
"Base de cálculo aplicada corretamente ✅")))</f>
        <v/>
      </c>
      <c r="P310" s="31" t="str">
        <f>IF(D310="","",
IF(AND(Q310&lt;&gt;"SIM",U310&gt;0),"ERRO: % alíquota &gt; 0, mas NÃO permitida ❌",
IF(AND(Q310="SIM",U310=0),"ATENÇÃO: alíquota permitida, mas % = 0 🔎",
"Alíquota aplicada corretamente ✅")))</f>
        <v/>
      </c>
      <c r="Q310" s="8" t="str">
        <f>IF(E310="","",IFERROR(VLOOKUP(E310,REGRAS_CST!$A$2:$D$200,4,FALSE),""))</f>
        <v/>
      </c>
      <c r="S310" s="9">
        <f>IF($H310="","",$H310*(1-$U310))</f>
        <v>8.9999999999999993E-3</v>
      </c>
      <c r="T310" s="9">
        <f>IF($I310="","",$I310*(1-$U310))</f>
        <v>1E-3</v>
      </c>
      <c r="U310" s="16">
        <f>IFERROR(INDEX(BASE_CCLASSTRIB!$E:$E, MATCH(TEXT($D310,"000000"), BASE_CCLASSTRIB!$A:$A, 0))/100, 0)</f>
        <v>0</v>
      </c>
      <c r="V310" s="16">
        <f>IFERROR(INDEX(BASE_CCLASSTRIB!$F:$F, MATCH(TEXT($D310,"000000"), BASE_CCLASSTRIB!$A:$A, 0))/100, 0)</f>
        <v>0</v>
      </c>
    </row>
    <row r="311" spans="4:22" ht="32.25" customHeight="1">
      <c r="D311" s="39"/>
      <c r="E311" s="27" t="str">
        <f>IF(D311="","",LEFT(D311,3))</f>
        <v/>
      </c>
      <c r="F311" s="28" t="str">
        <f>IF(E311="","",IFERROR(VLOOKUP(E311,REGRAS_CST!$A$2:$B$200,2,FALSE),""))</f>
        <v/>
      </c>
      <c r="H311" s="29">
        <v>8.9999999999999993E-3</v>
      </c>
      <c r="I311" s="29">
        <v>1E-3</v>
      </c>
      <c r="K311" s="21" t="str">
        <f>IF(E311="","",IFERROR(VLOOKUP(E311,REGRAS_CST!$A$2:$C$200,3,FALSE),""))</f>
        <v/>
      </c>
      <c r="L311" s="23" t="str">
        <f>IF($G311="", "", $G311*(1-$V311))</f>
        <v/>
      </c>
      <c r="M311" s="24" t="str">
        <f>IF(OR($L311="",$S311=""),"",$L311*$S311)</f>
        <v/>
      </c>
      <c r="N311" s="24" t="str">
        <f>IF(OR($L311="",$T311=""),"",$L311*$T311)</f>
        <v/>
      </c>
      <c r="O311" s="15" t="str">
        <f>IF(D311="","",
IF(AND(K311&lt;&gt;"SIM",V311&gt;0),"ERRO: % BC &gt; 0, mas NÃO permitida ❌",
IF(AND(K311="SIM",V311=0),"ATENÇÃO: BC permitida, mas % = 0 🔎",
"Base de cálculo aplicada corretamente ✅")))</f>
        <v/>
      </c>
      <c r="P311" s="31" t="str">
        <f>IF(D311="","",
IF(AND(Q311&lt;&gt;"SIM",U311&gt;0),"ERRO: % alíquota &gt; 0, mas NÃO permitida ❌",
IF(AND(Q311="SIM",U311=0),"ATENÇÃO: alíquota permitida, mas % = 0 🔎",
"Alíquota aplicada corretamente ✅")))</f>
        <v/>
      </c>
      <c r="Q311" s="8" t="str">
        <f>IF(E311="","",IFERROR(VLOOKUP(E311,REGRAS_CST!$A$2:$D$200,4,FALSE),""))</f>
        <v/>
      </c>
      <c r="S311" s="9">
        <f>IF($H311="","",$H311*(1-$U311))</f>
        <v>8.9999999999999993E-3</v>
      </c>
      <c r="T311" s="9">
        <f>IF($I311="","",$I311*(1-$U311))</f>
        <v>1E-3</v>
      </c>
      <c r="U311" s="16">
        <f>IFERROR(INDEX(BASE_CCLASSTRIB!$E:$E, MATCH(TEXT($D311,"000000"), BASE_CCLASSTRIB!$A:$A, 0))/100, 0)</f>
        <v>0</v>
      </c>
      <c r="V311" s="16">
        <f>IFERROR(INDEX(BASE_CCLASSTRIB!$F:$F, MATCH(TEXT($D311,"000000"), BASE_CCLASSTRIB!$A:$A, 0))/100, 0)</f>
        <v>0</v>
      </c>
    </row>
    <row r="312" spans="4:22" ht="32.25" customHeight="1">
      <c r="D312" s="40"/>
      <c r="E312" s="27" t="str">
        <f>IF(D312="","",LEFT(D312,3))</f>
        <v/>
      </c>
      <c r="F312" s="28" t="str">
        <f>IF(E312="","",IFERROR(VLOOKUP(E312,REGRAS_CST!$A$2:$B$200,2,FALSE),""))</f>
        <v/>
      </c>
      <c r="H312" s="29">
        <v>8.9999999999999993E-3</v>
      </c>
      <c r="I312" s="29">
        <v>1E-3</v>
      </c>
      <c r="K312" s="21" t="str">
        <f>IF(E312="","",IFERROR(VLOOKUP(E312,REGRAS_CST!$A$2:$C$200,3,FALSE),""))</f>
        <v/>
      </c>
      <c r="L312" s="23" t="str">
        <f>IF($G312="", "", $G312*(1-$V312))</f>
        <v/>
      </c>
      <c r="M312" s="24" t="str">
        <f>IF(OR($L312="",$S312=""),"",$L312*$S312)</f>
        <v/>
      </c>
      <c r="N312" s="24" t="str">
        <f>IF(OR($L312="",$T312=""),"",$L312*$T312)</f>
        <v/>
      </c>
      <c r="O312" s="15" t="str">
        <f>IF(D312="","",
IF(AND(K312&lt;&gt;"SIM",V312&gt;0),"ERRO: % BC &gt; 0, mas NÃO permitida ❌",
IF(AND(K312="SIM",V312=0),"ATENÇÃO: BC permitida, mas % = 0 🔎",
"Base de cálculo aplicada corretamente ✅")))</f>
        <v/>
      </c>
      <c r="P312" s="31" t="str">
        <f>IF(D312="","",
IF(AND(Q312&lt;&gt;"SIM",U312&gt;0),"ERRO: % alíquota &gt; 0, mas NÃO permitida ❌",
IF(AND(Q312="SIM",U312=0),"ATENÇÃO: alíquota permitida, mas % = 0 🔎",
"Alíquota aplicada corretamente ✅")))</f>
        <v/>
      </c>
      <c r="Q312" s="8" t="str">
        <f>IF(E312="","",IFERROR(VLOOKUP(E312,REGRAS_CST!$A$2:$D$200,4,FALSE),""))</f>
        <v/>
      </c>
      <c r="S312" s="9">
        <f>IF($H312="","",$H312*(1-$U312))</f>
        <v>8.9999999999999993E-3</v>
      </c>
      <c r="T312" s="9">
        <f>IF($I312="","",$I312*(1-$U312))</f>
        <v>1E-3</v>
      </c>
      <c r="U312" s="16">
        <f>IFERROR(INDEX(BASE_CCLASSTRIB!$E:$E, MATCH(TEXT($D312,"000000"), BASE_CCLASSTRIB!$A:$A, 0))/100, 0)</f>
        <v>0</v>
      </c>
      <c r="V312" s="16">
        <f>IFERROR(INDEX(BASE_CCLASSTRIB!$F:$F, MATCH(TEXT($D312,"000000"), BASE_CCLASSTRIB!$A:$A, 0))/100, 0)</f>
        <v>0</v>
      </c>
    </row>
    <row r="313" spans="4:22" ht="32.25" customHeight="1">
      <c r="D313" s="40"/>
      <c r="E313" s="27" t="str">
        <f>IF(D313="","",LEFT(D313,3))</f>
        <v/>
      </c>
      <c r="F313" s="28" t="str">
        <f>IF(E313="","",IFERROR(VLOOKUP(E313,REGRAS_CST!$A$2:$B$200,2,FALSE),""))</f>
        <v/>
      </c>
      <c r="H313" s="29">
        <v>8.9999999999999993E-3</v>
      </c>
      <c r="I313" s="29">
        <v>1E-3</v>
      </c>
      <c r="K313" s="21" t="str">
        <f>IF(E313="","",IFERROR(VLOOKUP(E313,REGRAS_CST!$A$2:$C$200,3,FALSE),""))</f>
        <v/>
      </c>
      <c r="L313" s="23" t="str">
        <f>IF($G313="", "", $G313*(1-$V313))</f>
        <v/>
      </c>
      <c r="M313" s="24" t="str">
        <f>IF(OR($L313="",$S313=""),"",$L313*$S313)</f>
        <v/>
      </c>
      <c r="N313" s="24" t="str">
        <f>IF(OR($L313="",$T313=""),"",$L313*$T313)</f>
        <v/>
      </c>
      <c r="O313" s="15" t="str">
        <f>IF(D313="","",
IF(AND(K313&lt;&gt;"SIM",V313&gt;0),"ERRO: % BC &gt; 0, mas NÃO permitida ❌",
IF(AND(K313="SIM",V313=0),"ATENÇÃO: BC permitida, mas % = 0 🔎",
"Base de cálculo aplicada corretamente ✅")))</f>
        <v/>
      </c>
      <c r="P313" s="31" t="str">
        <f>IF(D313="","",
IF(AND(Q313&lt;&gt;"SIM",U313&gt;0),"ERRO: % alíquota &gt; 0, mas NÃO permitida ❌",
IF(AND(Q313="SIM",U313=0),"ATENÇÃO: alíquota permitida, mas % = 0 🔎",
"Alíquota aplicada corretamente ✅")))</f>
        <v/>
      </c>
      <c r="Q313" s="8" t="str">
        <f>IF(E313="","",IFERROR(VLOOKUP(E313,REGRAS_CST!$A$2:$D$200,4,FALSE),""))</f>
        <v/>
      </c>
      <c r="S313" s="9">
        <f>IF($H313="","",$H313*(1-$U313))</f>
        <v>8.9999999999999993E-3</v>
      </c>
      <c r="T313" s="9">
        <f>IF($I313="","",$I313*(1-$U313))</f>
        <v>1E-3</v>
      </c>
      <c r="U313" s="16">
        <f>IFERROR(INDEX(BASE_CCLASSTRIB!$E:$E, MATCH(TEXT($D313,"000000"), BASE_CCLASSTRIB!$A:$A, 0))/100, 0)</f>
        <v>0</v>
      </c>
      <c r="V313" s="16">
        <f>IFERROR(INDEX(BASE_CCLASSTRIB!$F:$F, MATCH(TEXT($D313,"000000"), BASE_CCLASSTRIB!$A:$A, 0))/100, 0)</f>
        <v>0</v>
      </c>
    </row>
    <row r="314" spans="4:22" ht="32.25" customHeight="1">
      <c r="D314" s="39"/>
      <c r="E314" s="27" t="str">
        <f>IF(D314="","",LEFT(D314,3))</f>
        <v/>
      </c>
      <c r="F314" s="28" t="str">
        <f>IF(E314="","",IFERROR(VLOOKUP(E314,REGRAS_CST!$A$2:$B$200,2,FALSE),""))</f>
        <v/>
      </c>
      <c r="H314" s="29">
        <v>8.9999999999999993E-3</v>
      </c>
      <c r="I314" s="29">
        <v>1E-3</v>
      </c>
      <c r="K314" s="21" t="str">
        <f>IF(E314="","",IFERROR(VLOOKUP(E314,REGRAS_CST!$A$2:$C$200,3,FALSE),""))</f>
        <v/>
      </c>
      <c r="L314" s="23" t="str">
        <f>IF($G314="", "", $G314*(1-$V314))</f>
        <v/>
      </c>
      <c r="M314" s="24" t="str">
        <f>IF(OR($L314="",$S314=""),"",$L314*$S314)</f>
        <v/>
      </c>
      <c r="N314" s="24" t="str">
        <f>IF(OR($L314="",$T314=""),"",$L314*$T314)</f>
        <v/>
      </c>
      <c r="O314" s="15" t="str">
        <f>IF(D314="","",
IF(AND(K314&lt;&gt;"SIM",V314&gt;0),"ERRO: % BC &gt; 0, mas NÃO permitida ❌",
IF(AND(K314="SIM",V314=0),"ATENÇÃO: BC permitida, mas % = 0 🔎",
"Base de cálculo aplicada corretamente ✅")))</f>
        <v/>
      </c>
      <c r="P314" s="31" t="str">
        <f>IF(D314="","",
IF(AND(Q314&lt;&gt;"SIM",U314&gt;0),"ERRO: % alíquota &gt; 0, mas NÃO permitida ❌",
IF(AND(Q314="SIM",U314=0),"ATENÇÃO: alíquota permitida, mas % = 0 🔎",
"Alíquota aplicada corretamente ✅")))</f>
        <v/>
      </c>
      <c r="Q314" s="8" t="str">
        <f>IF(E314="","",IFERROR(VLOOKUP(E314,REGRAS_CST!$A$2:$D$200,4,FALSE),""))</f>
        <v/>
      </c>
      <c r="S314" s="9">
        <f>IF($H314="","",$H314*(1-$U314))</f>
        <v>8.9999999999999993E-3</v>
      </c>
      <c r="T314" s="9">
        <f>IF($I314="","",$I314*(1-$U314))</f>
        <v>1E-3</v>
      </c>
      <c r="U314" s="16">
        <f>IFERROR(INDEX(BASE_CCLASSTRIB!$E:$E, MATCH(TEXT($D314,"000000"), BASE_CCLASSTRIB!$A:$A, 0))/100, 0)</f>
        <v>0</v>
      </c>
      <c r="V314" s="16">
        <f>IFERROR(INDEX(BASE_CCLASSTRIB!$F:$F, MATCH(TEXT($D314,"000000"), BASE_CCLASSTRIB!$A:$A, 0))/100, 0)</f>
        <v>0</v>
      </c>
    </row>
    <row r="315" spans="4:22" ht="32.25" customHeight="1">
      <c r="D315" s="39"/>
      <c r="E315" s="27" t="str">
        <f>IF(D315="","",LEFT(D315,3))</f>
        <v/>
      </c>
      <c r="F315" s="28" t="str">
        <f>IF(E315="","",IFERROR(VLOOKUP(E315,REGRAS_CST!$A$2:$B$200,2,FALSE),""))</f>
        <v/>
      </c>
      <c r="H315" s="29">
        <v>8.9999999999999993E-3</v>
      </c>
      <c r="I315" s="29">
        <v>1E-3</v>
      </c>
      <c r="K315" s="21" t="str">
        <f>IF(E315="","",IFERROR(VLOOKUP(E315,REGRAS_CST!$A$2:$C$200,3,FALSE),""))</f>
        <v/>
      </c>
      <c r="L315" s="23" t="str">
        <f>IF($G315="", "", $G315*(1-$V315))</f>
        <v/>
      </c>
      <c r="M315" s="24" t="str">
        <f>IF(OR($L315="",$S315=""),"",$L315*$S315)</f>
        <v/>
      </c>
      <c r="N315" s="24" t="str">
        <f>IF(OR($L315="",$T315=""),"",$L315*$T315)</f>
        <v/>
      </c>
      <c r="O315" s="15" t="str">
        <f>IF(D315="","",
IF(AND(K315&lt;&gt;"SIM",V315&gt;0),"ERRO: % BC &gt; 0, mas NÃO permitida ❌",
IF(AND(K315="SIM",V315=0),"ATENÇÃO: BC permitida, mas % = 0 🔎",
"Base de cálculo aplicada corretamente ✅")))</f>
        <v/>
      </c>
      <c r="P315" s="31" t="str">
        <f>IF(D315="","",
IF(AND(Q315&lt;&gt;"SIM",U315&gt;0),"ERRO: % alíquota &gt; 0, mas NÃO permitida ❌",
IF(AND(Q315="SIM",U315=0),"ATENÇÃO: alíquota permitida, mas % = 0 🔎",
"Alíquota aplicada corretamente ✅")))</f>
        <v/>
      </c>
      <c r="Q315" s="8" t="str">
        <f>IF(E315="","",IFERROR(VLOOKUP(E315,REGRAS_CST!$A$2:$D$200,4,FALSE),""))</f>
        <v/>
      </c>
      <c r="S315" s="9">
        <f>IF($H315="","",$H315*(1-$U315))</f>
        <v>8.9999999999999993E-3</v>
      </c>
      <c r="T315" s="9">
        <f>IF($I315="","",$I315*(1-$U315))</f>
        <v>1E-3</v>
      </c>
      <c r="U315" s="16">
        <f>IFERROR(INDEX(BASE_CCLASSTRIB!$E:$E, MATCH(TEXT($D315,"000000"), BASE_CCLASSTRIB!$A:$A, 0))/100, 0)</f>
        <v>0</v>
      </c>
      <c r="V315" s="16">
        <f>IFERROR(INDEX(BASE_CCLASSTRIB!$F:$F, MATCH(TEXT($D315,"000000"), BASE_CCLASSTRIB!$A:$A, 0))/100, 0)</f>
        <v>0</v>
      </c>
    </row>
    <row r="316" spans="4:22" ht="32.25" customHeight="1">
      <c r="D316" s="40"/>
      <c r="E316" s="27" t="str">
        <f>IF(D316="","",LEFT(D316,3))</f>
        <v/>
      </c>
      <c r="F316" s="28" t="str">
        <f>IF(E316="","",IFERROR(VLOOKUP(E316,REGRAS_CST!$A$2:$B$200,2,FALSE),""))</f>
        <v/>
      </c>
      <c r="H316" s="29">
        <v>8.9999999999999993E-3</v>
      </c>
      <c r="I316" s="29">
        <v>1E-3</v>
      </c>
      <c r="K316" s="21" t="str">
        <f>IF(E316="","",IFERROR(VLOOKUP(E316,REGRAS_CST!$A$2:$C$200,3,FALSE),""))</f>
        <v/>
      </c>
      <c r="L316" s="23" t="str">
        <f>IF($G316="", "", $G316*(1-$V316))</f>
        <v/>
      </c>
      <c r="M316" s="24" t="str">
        <f>IF(OR($L316="",$S316=""),"",$L316*$S316)</f>
        <v/>
      </c>
      <c r="N316" s="24" t="str">
        <f>IF(OR($L316="",$T316=""),"",$L316*$T316)</f>
        <v/>
      </c>
      <c r="O316" s="15" t="str">
        <f>IF(D316="","",
IF(AND(K316&lt;&gt;"SIM",V316&gt;0),"ERRO: % BC &gt; 0, mas NÃO permitida ❌",
IF(AND(K316="SIM",V316=0),"ATENÇÃO: BC permitida, mas % = 0 🔎",
"Base de cálculo aplicada corretamente ✅")))</f>
        <v/>
      </c>
      <c r="P316" s="31" t="str">
        <f>IF(D316="","",
IF(AND(Q316&lt;&gt;"SIM",U316&gt;0),"ERRO: % alíquota &gt; 0, mas NÃO permitida ❌",
IF(AND(Q316="SIM",U316=0),"ATENÇÃO: alíquota permitida, mas % = 0 🔎",
"Alíquota aplicada corretamente ✅")))</f>
        <v/>
      </c>
      <c r="Q316" s="8" t="str">
        <f>IF(E316="","",IFERROR(VLOOKUP(E316,REGRAS_CST!$A$2:$D$200,4,FALSE),""))</f>
        <v/>
      </c>
      <c r="S316" s="9">
        <f>IF($H316="","",$H316*(1-$U316))</f>
        <v>8.9999999999999993E-3</v>
      </c>
      <c r="T316" s="9">
        <f>IF($I316="","",$I316*(1-$U316))</f>
        <v>1E-3</v>
      </c>
      <c r="U316" s="16">
        <f>IFERROR(INDEX(BASE_CCLASSTRIB!$E:$E, MATCH(TEXT($D316,"000000"), BASE_CCLASSTRIB!$A:$A, 0))/100, 0)</f>
        <v>0</v>
      </c>
      <c r="V316" s="16">
        <f>IFERROR(INDEX(BASE_CCLASSTRIB!$F:$F, MATCH(TEXT($D316,"000000"), BASE_CCLASSTRIB!$A:$A, 0))/100, 0)</f>
        <v>0</v>
      </c>
    </row>
    <row r="317" spans="4:22" ht="32.25" customHeight="1">
      <c r="D317" s="40"/>
      <c r="E317" s="27" t="str">
        <f>IF(D317="","",LEFT(D317,3))</f>
        <v/>
      </c>
      <c r="F317" s="28" t="str">
        <f>IF(E317="","",IFERROR(VLOOKUP(E317,REGRAS_CST!$A$2:$B$200,2,FALSE),""))</f>
        <v/>
      </c>
      <c r="H317" s="29">
        <v>8.9999999999999993E-3</v>
      </c>
      <c r="I317" s="29">
        <v>1E-3</v>
      </c>
      <c r="K317" s="21" t="str">
        <f>IF(E317="","",IFERROR(VLOOKUP(E317,REGRAS_CST!$A$2:$C$200,3,FALSE),""))</f>
        <v/>
      </c>
      <c r="L317" s="23" t="str">
        <f>IF($G317="", "", $G317*(1-$V317))</f>
        <v/>
      </c>
      <c r="M317" s="24" t="str">
        <f>IF(OR($L317="",$S317=""),"",$L317*$S317)</f>
        <v/>
      </c>
      <c r="N317" s="24" t="str">
        <f>IF(OR($L317="",$T317=""),"",$L317*$T317)</f>
        <v/>
      </c>
      <c r="O317" s="15" t="str">
        <f>IF(D317="","",
IF(AND(K317&lt;&gt;"SIM",V317&gt;0),"ERRO: % BC &gt; 0, mas NÃO permitida ❌",
IF(AND(K317="SIM",V317=0),"ATENÇÃO: BC permitida, mas % = 0 🔎",
"Base de cálculo aplicada corretamente ✅")))</f>
        <v/>
      </c>
      <c r="P317" s="31" t="str">
        <f>IF(D317="","",
IF(AND(Q317&lt;&gt;"SIM",U317&gt;0),"ERRO: % alíquota &gt; 0, mas NÃO permitida ❌",
IF(AND(Q317="SIM",U317=0),"ATENÇÃO: alíquota permitida, mas % = 0 🔎",
"Alíquota aplicada corretamente ✅")))</f>
        <v/>
      </c>
      <c r="Q317" s="8" t="str">
        <f>IF(E317="","",IFERROR(VLOOKUP(E317,REGRAS_CST!$A$2:$D$200,4,FALSE),""))</f>
        <v/>
      </c>
      <c r="S317" s="9">
        <f>IF($H317="","",$H317*(1-$U317))</f>
        <v>8.9999999999999993E-3</v>
      </c>
      <c r="T317" s="9">
        <f>IF($I317="","",$I317*(1-$U317))</f>
        <v>1E-3</v>
      </c>
      <c r="U317" s="16">
        <f>IFERROR(INDEX(BASE_CCLASSTRIB!$E:$E, MATCH(TEXT($D317,"000000"), BASE_CCLASSTRIB!$A:$A, 0))/100, 0)</f>
        <v>0</v>
      </c>
      <c r="V317" s="16">
        <f>IFERROR(INDEX(BASE_CCLASSTRIB!$F:$F, MATCH(TEXT($D317,"000000"), BASE_CCLASSTRIB!$A:$A, 0))/100, 0)</f>
        <v>0</v>
      </c>
    </row>
    <row r="318" spans="4:22" ht="32.25" customHeight="1">
      <c r="D318" s="39"/>
      <c r="E318" s="27" t="str">
        <f>IF(D318="","",LEFT(D318,3))</f>
        <v/>
      </c>
      <c r="F318" s="28" t="str">
        <f>IF(E318="","",IFERROR(VLOOKUP(E318,REGRAS_CST!$A$2:$B$200,2,FALSE),""))</f>
        <v/>
      </c>
      <c r="H318" s="29">
        <v>8.9999999999999993E-3</v>
      </c>
      <c r="I318" s="29">
        <v>1E-3</v>
      </c>
      <c r="K318" s="21" t="str">
        <f>IF(E318="","",IFERROR(VLOOKUP(E318,REGRAS_CST!$A$2:$C$200,3,FALSE),""))</f>
        <v/>
      </c>
      <c r="L318" s="23" t="str">
        <f>IF($G318="", "", $G318*(1-$V318))</f>
        <v/>
      </c>
      <c r="M318" s="24" t="str">
        <f>IF(OR($L318="",$S318=""),"",$L318*$S318)</f>
        <v/>
      </c>
      <c r="N318" s="24" t="str">
        <f>IF(OR($L318="",$T318=""),"",$L318*$T318)</f>
        <v/>
      </c>
      <c r="O318" s="15" t="str">
        <f>IF(D318="","",
IF(AND(K318&lt;&gt;"SIM",V318&gt;0),"ERRO: % BC &gt; 0, mas NÃO permitida ❌",
IF(AND(K318="SIM",V318=0),"ATENÇÃO: BC permitida, mas % = 0 🔎",
"Base de cálculo aplicada corretamente ✅")))</f>
        <v/>
      </c>
      <c r="P318" s="31" t="str">
        <f>IF(D318="","",
IF(AND(Q318&lt;&gt;"SIM",U318&gt;0),"ERRO: % alíquota &gt; 0, mas NÃO permitida ❌",
IF(AND(Q318="SIM",U318=0),"ATENÇÃO: alíquota permitida, mas % = 0 🔎",
"Alíquota aplicada corretamente ✅")))</f>
        <v/>
      </c>
      <c r="Q318" s="8" t="str">
        <f>IF(E318="","",IFERROR(VLOOKUP(E318,REGRAS_CST!$A$2:$D$200,4,FALSE),""))</f>
        <v/>
      </c>
      <c r="S318" s="9">
        <f>IF($H318="","",$H318*(1-$U318))</f>
        <v>8.9999999999999993E-3</v>
      </c>
      <c r="T318" s="9">
        <f>IF($I318="","",$I318*(1-$U318))</f>
        <v>1E-3</v>
      </c>
      <c r="U318" s="16">
        <f>IFERROR(INDEX(BASE_CCLASSTRIB!$E:$E, MATCH(TEXT($D318,"000000"), BASE_CCLASSTRIB!$A:$A, 0))/100, 0)</f>
        <v>0</v>
      </c>
      <c r="V318" s="16">
        <f>IFERROR(INDEX(BASE_CCLASSTRIB!$F:$F, MATCH(TEXT($D318,"000000"), BASE_CCLASSTRIB!$A:$A, 0))/100, 0)</f>
        <v>0</v>
      </c>
    </row>
    <row r="319" spans="4:22" ht="32.25" customHeight="1">
      <c r="D319" s="40"/>
      <c r="E319" s="27" t="str">
        <f>IF(D319="","",LEFT(D319,3))</f>
        <v/>
      </c>
      <c r="F319" s="28" t="str">
        <f>IF(E319="","",IFERROR(VLOOKUP(E319,REGRAS_CST!$A$2:$B$200,2,FALSE),""))</f>
        <v/>
      </c>
      <c r="H319" s="29">
        <v>8.9999999999999993E-3</v>
      </c>
      <c r="I319" s="29">
        <v>1E-3</v>
      </c>
      <c r="K319" s="21" t="str">
        <f>IF(E319="","",IFERROR(VLOOKUP(E319,REGRAS_CST!$A$2:$C$200,3,FALSE),""))</f>
        <v/>
      </c>
      <c r="L319" s="23" t="str">
        <f>IF($G319="", "", $G319*(1-$V319))</f>
        <v/>
      </c>
      <c r="M319" s="24" t="str">
        <f>IF(OR($L319="",$S319=""),"",$L319*$S319)</f>
        <v/>
      </c>
      <c r="N319" s="24" t="str">
        <f>IF(OR($L319="",$T319=""),"",$L319*$T319)</f>
        <v/>
      </c>
      <c r="O319" s="15" t="str">
        <f>IF(D319="","",
IF(AND(K319&lt;&gt;"SIM",V319&gt;0),"ERRO: % BC &gt; 0, mas NÃO permitida ❌",
IF(AND(K319="SIM",V319=0),"ATENÇÃO: BC permitida, mas % = 0 🔎",
"Base de cálculo aplicada corretamente ✅")))</f>
        <v/>
      </c>
      <c r="P319" s="31" t="str">
        <f>IF(D319="","",
IF(AND(Q319&lt;&gt;"SIM",U319&gt;0),"ERRO: % alíquota &gt; 0, mas NÃO permitida ❌",
IF(AND(Q319="SIM",U319=0),"ATENÇÃO: alíquota permitida, mas % = 0 🔎",
"Alíquota aplicada corretamente ✅")))</f>
        <v/>
      </c>
      <c r="Q319" s="8" t="str">
        <f>IF(E319="","",IFERROR(VLOOKUP(E319,REGRAS_CST!$A$2:$D$200,4,FALSE),""))</f>
        <v/>
      </c>
      <c r="S319" s="9">
        <f>IF($H319="","",$H319*(1-$U319))</f>
        <v>8.9999999999999993E-3</v>
      </c>
      <c r="T319" s="9">
        <f>IF($I319="","",$I319*(1-$U319))</f>
        <v>1E-3</v>
      </c>
      <c r="U319" s="16">
        <f>IFERROR(INDEX(BASE_CCLASSTRIB!$E:$E, MATCH(TEXT($D319,"000000"), BASE_CCLASSTRIB!$A:$A, 0))/100, 0)</f>
        <v>0</v>
      </c>
      <c r="V319" s="16">
        <f>IFERROR(INDEX(BASE_CCLASSTRIB!$F:$F, MATCH(TEXT($D319,"000000"), BASE_CCLASSTRIB!$A:$A, 0))/100, 0)</f>
        <v>0</v>
      </c>
    </row>
    <row r="320" spans="4:22" ht="32.25" customHeight="1">
      <c r="D320" s="39"/>
      <c r="E320" s="27" t="str">
        <f>IF(D320="","",LEFT(D320,3))</f>
        <v/>
      </c>
      <c r="F320" s="28" t="str">
        <f>IF(E320="","",IFERROR(VLOOKUP(E320,REGRAS_CST!$A$2:$B$200,2,FALSE),""))</f>
        <v/>
      </c>
      <c r="H320" s="29">
        <v>8.9999999999999993E-3</v>
      </c>
      <c r="I320" s="29">
        <v>1E-3</v>
      </c>
      <c r="K320" s="21" t="str">
        <f>IF(E320="","",IFERROR(VLOOKUP(E320,REGRAS_CST!$A$2:$C$200,3,FALSE),""))</f>
        <v/>
      </c>
      <c r="L320" s="23" t="str">
        <f>IF($G320="", "", $G320*(1-$V320))</f>
        <v/>
      </c>
      <c r="M320" s="24" t="str">
        <f>IF(OR($L320="",$S320=""),"",$L320*$S320)</f>
        <v/>
      </c>
      <c r="N320" s="24" t="str">
        <f>IF(OR($L320="",$T320=""),"",$L320*$T320)</f>
        <v/>
      </c>
      <c r="O320" s="15" t="str">
        <f>IF(D320="","",
IF(AND(K320&lt;&gt;"SIM",V320&gt;0),"ERRO: % BC &gt; 0, mas NÃO permitida ❌",
IF(AND(K320="SIM",V320=0),"ATENÇÃO: BC permitida, mas % = 0 🔎",
"Base de cálculo aplicada corretamente ✅")))</f>
        <v/>
      </c>
      <c r="P320" s="31" t="str">
        <f>IF(D320="","",
IF(AND(Q320&lt;&gt;"SIM",U320&gt;0),"ERRO: % alíquota &gt; 0, mas NÃO permitida ❌",
IF(AND(Q320="SIM",U320=0),"ATENÇÃO: alíquota permitida, mas % = 0 🔎",
"Alíquota aplicada corretamente ✅")))</f>
        <v/>
      </c>
      <c r="Q320" s="8" t="str">
        <f>IF(E320="","",IFERROR(VLOOKUP(E320,REGRAS_CST!$A$2:$D$200,4,FALSE),""))</f>
        <v/>
      </c>
      <c r="S320" s="9">
        <f>IF($H320="","",$H320*(1-$U320))</f>
        <v>8.9999999999999993E-3</v>
      </c>
      <c r="T320" s="9">
        <f>IF($I320="","",$I320*(1-$U320))</f>
        <v>1E-3</v>
      </c>
      <c r="U320" s="16">
        <f>IFERROR(INDEX(BASE_CCLASSTRIB!$E:$E, MATCH(TEXT($D320,"000000"), BASE_CCLASSTRIB!$A:$A, 0))/100, 0)</f>
        <v>0</v>
      </c>
      <c r="V320" s="16">
        <f>IFERROR(INDEX(BASE_CCLASSTRIB!$F:$F, MATCH(TEXT($D320,"000000"), BASE_CCLASSTRIB!$A:$A, 0))/100, 0)</f>
        <v>0</v>
      </c>
    </row>
    <row r="321" spans="4:22" ht="32.25" customHeight="1">
      <c r="D321" s="40"/>
      <c r="E321" s="27" t="str">
        <f>IF(D321="","",LEFT(D321,3))</f>
        <v/>
      </c>
      <c r="F321" s="28" t="str">
        <f>IF(E321="","",IFERROR(VLOOKUP(E321,REGRAS_CST!$A$2:$B$200,2,FALSE),""))</f>
        <v/>
      </c>
      <c r="H321" s="29">
        <v>8.9999999999999993E-3</v>
      </c>
      <c r="I321" s="29">
        <v>1E-3</v>
      </c>
      <c r="K321" s="21" t="str">
        <f>IF(E321="","",IFERROR(VLOOKUP(E321,REGRAS_CST!$A$2:$C$200,3,FALSE),""))</f>
        <v/>
      </c>
      <c r="L321" s="23" t="str">
        <f>IF($G321="", "", $G321*(1-$V321))</f>
        <v/>
      </c>
      <c r="M321" s="24" t="str">
        <f>IF(OR($L321="",$S321=""),"",$L321*$S321)</f>
        <v/>
      </c>
      <c r="N321" s="24" t="str">
        <f>IF(OR($L321="",$T321=""),"",$L321*$T321)</f>
        <v/>
      </c>
      <c r="O321" s="15" t="str">
        <f>IF(D321="","",
IF(AND(K321&lt;&gt;"SIM",V321&gt;0),"ERRO: % BC &gt; 0, mas NÃO permitida ❌",
IF(AND(K321="SIM",V321=0),"ATENÇÃO: BC permitida, mas % = 0 🔎",
"Base de cálculo aplicada corretamente ✅")))</f>
        <v/>
      </c>
      <c r="P321" s="31" t="str">
        <f>IF(D321="","",
IF(AND(Q321&lt;&gt;"SIM",U321&gt;0),"ERRO: % alíquota &gt; 0, mas NÃO permitida ❌",
IF(AND(Q321="SIM",U321=0),"ATENÇÃO: alíquota permitida, mas % = 0 🔎",
"Alíquota aplicada corretamente ✅")))</f>
        <v/>
      </c>
      <c r="Q321" s="8" t="str">
        <f>IF(E321="","",IFERROR(VLOOKUP(E321,REGRAS_CST!$A$2:$D$200,4,FALSE),""))</f>
        <v/>
      </c>
      <c r="S321" s="9">
        <f>IF($H321="","",$H321*(1-$U321))</f>
        <v>8.9999999999999993E-3</v>
      </c>
      <c r="T321" s="9">
        <f>IF($I321="","",$I321*(1-$U321))</f>
        <v>1E-3</v>
      </c>
      <c r="U321" s="16">
        <f>IFERROR(INDEX(BASE_CCLASSTRIB!$E:$E, MATCH(TEXT($D321,"000000"), BASE_CCLASSTRIB!$A:$A, 0))/100, 0)</f>
        <v>0</v>
      </c>
      <c r="V321" s="16">
        <f>IFERROR(INDEX(BASE_CCLASSTRIB!$F:$F, MATCH(TEXT($D321,"000000"), BASE_CCLASSTRIB!$A:$A, 0))/100, 0)</f>
        <v>0</v>
      </c>
    </row>
    <row r="322" spans="4:22" ht="32.25" customHeight="1">
      <c r="D322" s="40"/>
      <c r="E322" s="27" t="str">
        <f>IF(D322="","",LEFT(D322,3))</f>
        <v/>
      </c>
      <c r="F322" s="28" t="str">
        <f>IF(E322="","",IFERROR(VLOOKUP(E322,REGRAS_CST!$A$2:$B$200,2,FALSE),""))</f>
        <v/>
      </c>
      <c r="H322" s="29">
        <v>8.9999999999999993E-3</v>
      </c>
      <c r="I322" s="29">
        <v>1E-3</v>
      </c>
      <c r="K322" s="21" t="str">
        <f>IF(E322="","",IFERROR(VLOOKUP(E322,REGRAS_CST!$A$2:$C$200,3,FALSE),""))</f>
        <v/>
      </c>
      <c r="L322" s="23" t="str">
        <f>IF($G322="", "", $G322*(1-$V322))</f>
        <v/>
      </c>
      <c r="M322" s="24" t="str">
        <f>IF(OR($L322="",$S322=""),"",$L322*$S322)</f>
        <v/>
      </c>
      <c r="N322" s="24" t="str">
        <f>IF(OR($L322="",$T322=""),"",$L322*$T322)</f>
        <v/>
      </c>
      <c r="O322" s="15" t="str">
        <f>IF(D322="","",
IF(AND(K322&lt;&gt;"SIM",V322&gt;0),"ERRO: % BC &gt; 0, mas NÃO permitida ❌",
IF(AND(K322="SIM",V322=0),"ATENÇÃO: BC permitida, mas % = 0 🔎",
"Base de cálculo aplicada corretamente ✅")))</f>
        <v/>
      </c>
      <c r="P322" s="31" t="str">
        <f>IF(D322="","",
IF(AND(Q322&lt;&gt;"SIM",U322&gt;0),"ERRO: % alíquota &gt; 0, mas NÃO permitida ❌",
IF(AND(Q322="SIM",U322=0),"ATENÇÃO: alíquota permitida, mas % = 0 🔎",
"Alíquota aplicada corretamente ✅")))</f>
        <v/>
      </c>
      <c r="Q322" s="8" t="str">
        <f>IF(E322="","",IFERROR(VLOOKUP(E322,REGRAS_CST!$A$2:$D$200,4,FALSE),""))</f>
        <v/>
      </c>
      <c r="S322" s="9">
        <f>IF($H322="","",$H322*(1-$U322))</f>
        <v>8.9999999999999993E-3</v>
      </c>
      <c r="T322" s="9">
        <f>IF($I322="","",$I322*(1-$U322))</f>
        <v>1E-3</v>
      </c>
      <c r="U322" s="16">
        <f>IFERROR(INDEX(BASE_CCLASSTRIB!$E:$E, MATCH(TEXT($D322,"000000"), BASE_CCLASSTRIB!$A:$A, 0))/100, 0)</f>
        <v>0</v>
      </c>
      <c r="V322" s="16">
        <f>IFERROR(INDEX(BASE_CCLASSTRIB!$F:$F, MATCH(TEXT($D322,"000000"), BASE_CCLASSTRIB!$A:$A, 0))/100, 0)</f>
        <v>0</v>
      </c>
    </row>
    <row r="323" spans="4:22" ht="32.25" customHeight="1">
      <c r="D323" s="40"/>
      <c r="E323" s="27" t="str">
        <f>IF(D323="","",LEFT(D323,3))</f>
        <v/>
      </c>
      <c r="F323" s="28" t="str">
        <f>IF(E323="","",IFERROR(VLOOKUP(E323,REGRAS_CST!$A$2:$B$200,2,FALSE),""))</f>
        <v/>
      </c>
      <c r="H323" s="29">
        <v>8.9999999999999993E-3</v>
      </c>
      <c r="I323" s="29">
        <v>1E-3</v>
      </c>
      <c r="K323" s="21" t="str">
        <f>IF(E323="","",IFERROR(VLOOKUP(E323,REGRAS_CST!$A$2:$C$200,3,FALSE),""))</f>
        <v/>
      </c>
      <c r="L323" s="23" t="str">
        <f>IF($G323="", "", $G323*(1-$V323))</f>
        <v/>
      </c>
      <c r="M323" s="24" t="str">
        <f>IF(OR($L323="",$S323=""),"",$L323*$S323)</f>
        <v/>
      </c>
      <c r="N323" s="24" t="str">
        <f>IF(OR($L323="",$T323=""),"",$L323*$T323)</f>
        <v/>
      </c>
      <c r="O323" s="15" t="str">
        <f>IF(D323="","",
IF(AND(K323&lt;&gt;"SIM",V323&gt;0),"ERRO: % BC &gt; 0, mas NÃO permitida ❌",
IF(AND(K323="SIM",V323=0),"ATENÇÃO: BC permitida, mas % = 0 🔎",
"Base de cálculo aplicada corretamente ✅")))</f>
        <v/>
      </c>
      <c r="P323" s="31" t="str">
        <f>IF(D323="","",
IF(AND(Q323&lt;&gt;"SIM",U323&gt;0),"ERRO: % alíquota &gt; 0, mas NÃO permitida ❌",
IF(AND(Q323="SIM",U323=0),"ATENÇÃO: alíquota permitida, mas % = 0 🔎",
"Alíquota aplicada corretamente ✅")))</f>
        <v/>
      </c>
      <c r="Q323" s="8" t="str">
        <f>IF(E323="","",IFERROR(VLOOKUP(E323,REGRAS_CST!$A$2:$D$200,4,FALSE),""))</f>
        <v/>
      </c>
      <c r="S323" s="9">
        <f>IF($H323="","",$H323*(1-$U323))</f>
        <v>8.9999999999999993E-3</v>
      </c>
      <c r="T323" s="9">
        <f>IF($I323="","",$I323*(1-$U323))</f>
        <v>1E-3</v>
      </c>
      <c r="U323" s="16">
        <f>IFERROR(INDEX(BASE_CCLASSTRIB!$E:$E, MATCH(TEXT($D323,"000000"), BASE_CCLASSTRIB!$A:$A, 0))/100, 0)</f>
        <v>0</v>
      </c>
      <c r="V323" s="16">
        <f>IFERROR(INDEX(BASE_CCLASSTRIB!$F:$F, MATCH(TEXT($D323,"000000"), BASE_CCLASSTRIB!$A:$A, 0))/100, 0)</f>
        <v>0</v>
      </c>
    </row>
    <row r="324" spans="4:22" ht="32.25" customHeight="1">
      <c r="D324" s="39"/>
      <c r="E324" s="27" t="str">
        <f>IF(D324="","",LEFT(D324,3))</f>
        <v/>
      </c>
      <c r="F324" s="28" t="str">
        <f>IF(E324="","",IFERROR(VLOOKUP(E324,REGRAS_CST!$A$2:$B$200,2,FALSE),""))</f>
        <v/>
      </c>
      <c r="H324" s="29">
        <v>8.9999999999999993E-3</v>
      </c>
      <c r="I324" s="29">
        <v>1E-3</v>
      </c>
      <c r="K324" s="21" t="str">
        <f>IF(E324="","",IFERROR(VLOOKUP(E324,REGRAS_CST!$A$2:$C$200,3,FALSE),""))</f>
        <v/>
      </c>
      <c r="L324" s="23" t="str">
        <f>IF($G324="", "", $G324*(1-$V324))</f>
        <v/>
      </c>
      <c r="M324" s="24" t="str">
        <f>IF(OR($L324="",$S324=""),"",$L324*$S324)</f>
        <v/>
      </c>
      <c r="N324" s="24" t="str">
        <f>IF(OR($L324="",$T324=""),"",$L324*$T324)</f>
        <v/>
      </c>
      <c r="O324" s="15" t="str">
        <f>IF(D324="","",
IF(AND(K324&lt;&gt;"SIM",V324&gt;0),"ERRO: % BC &gt; 0, mas NÃO permitida ❌",
IF(AND(K324="SIM",V324=0),"ATENÇÃO: BC permitida, mas % = 0 🔎",
"Base de cálculo aplicada corretamente ✅")))</f>
        <v/>
      </c>
      <c r="P324" s="31" t="str">
        <f>IF(D324="","",
IF(AND(Q324&lt;&gt;"SIM",U324&gt;0),"ERRO: % alíquota &gt; 0, mas NÃO permitida ❌",
IF(AND(Q324="SIM",U324=0),"ATENÇÃO: alíquota permitida, mas % = 0 🔎",
"Alíquota aplicada corretamente ✅")))</f>
        <v/>
      </c>
      <c r="Q324" s="8" t="str">
        <f>IF(E324="","",IFERROR(VLOOKUP(E324,REGRAS_CST!$A$2:$D$200,4,FALSE),""))</f>
        <v/>
      </c>
      <c r="S324" s="9">
        <f>IF($H324="","",$H324*(1-$U324))</f>
        <v>8.9999999999999993E-3</v>
      </c>
      <c r="T324" s="9">
        <f>IF($I324="","",$I324*(1-$U324))</f>
        <v>1E-3</v>
      </c>
      <c r="U324" s="16">
        <f>IFERROR(INDEX(BASE_CCLASSTRIB!$E:$E, MATCH(TEXT($D324,"000000"), BASE_CCLASSTRIB!$A:$A, 0))/100, 0)</f>
        <v>0</v>
      </c>
      <c r="V324" s="16">
        <f>IFERROR(INDEX(BASE_CCLASSTRIB!$F:$F, MATCH(TEXT($D324,"000000"), BASE_CCLASSTRIB!$A:$A, 0))/100, 0)</f>
        <v>0</v>
      </c>
    </row>
    <row r="325" spans="4:22" ht="32.25" customHeight="1">
      <c r="D325" s="39"/>
      <c r="E325" s="27" t="str">
        <f>IF(D325="","",LEFT(D325,3))</f>
        <v/>
      </c>
      <c r="F325" s="28" t="str">
        <f>IF(E325="","",IFERROR(VLOOKUP(E325,REGRAS_CST!$A$2:$B$200,2,FALSE),""))</f>
        <v/>
      </c>
      <c r="H325" s="29">
        <v>8.9999999999999993E-3</v>
      </c>
      <c r="I325" s="29">
        <v>1E-3</v>
      </c>
      <c r="K325" s="21" t="str">
        <f>IF(E325="","",IFERROR(VLOOKUP(E325,REGRAS_CST!$A$2:$C$200,3,FALSE),""))</f>
        <v/>
      </c>
      <c r="L325" s="23" t="str">
        <f>IF($G325="", "", $G325*(1-$V325))</f>
        <v/>
      </c>
      <c r="M325" s="24" t="str">
        <f>IF(OR($L325="",$S325=""),"",$L325*$S325)</f>
        <v/>
      </c>
      <c r="N325" s="24" t="str">
        <f>IF(OR($L325="",$T325=""),"",$L325*$T325)</f>
        <v/>
      </c>
      <c r="O325" s="15" t="str">
        <f>IF(D325="","",
IF(AND(K325&lt;&gt;"SIM",V325&gt;0),"ERRO: % BC &gt; 0, mas NÃO permitida ❌",
IF(AND(K325="SIM",V325=0),"ATENÇÃO: BC permitida, mas % = 0 🔎",
"Base de cálculo aplicada corretamente ✅")))</f>
        <v/>
      </c>
      <c r="P325" s="31" t="str">
        <f>IF(D325="","",
IF(AND(Q325&lt;&gt;"SIM",U325&gt;0),"ERRO: % alíquota &gt; 0, mas NÃO permitida ❌",
IF(AND(Q325="SIM",U325=0),"ATENÇÃO: alíquota permitida, mas % = 0 🔎",
"Alíquota aplicada corretamente ✅")))</f>
        <v/>
      </c>
      <c r="Q325" s="8" t="str">
        <f>IF(E325="","",IFERROR(VLOOKUP(E325,REGRAS_CST!$A$2:$D$200,4,FALSE),""))</f>
        <v/>
      </c>
      <c r="S325" s="9">
        <f>IF($H325="","",$H325*(1-$U325))</f>
        <v>8.9999999999999993E-3</v>
      </c>
      <c r="T325" s="9">
        <f>IF($I325="","",$I325*(1-$U325))</f>
        <v>1E-3</v>
      </c>
      <c r="U325" s="16">
        <f>IFERROR(INDEX(BASE_CCLASSTRIB!$E:$E, MATCH(TEXT($D325,"000000"), BASE_CCLASSTRIB!$A:$A, 0))/100, 0)</f>
        <v>0</v>
      </c>
      <c r="V325" s="16">
        <f>IFERROR(INDEX(BASE_CCLASSTRIB!$F:$F, MATCH(TEXT($D325,"000000"), BASE_CCLASSTRIB!$A:$A, 0))/100, 0)</f>
        <v>0</v>
      </c>
    </row>
    <row r="326" spans="4:22" ht="32.25" customHeight="1">
      <c r="D326" s="40"/>
      <c r="E326" s="27" t="str">
        <f>IF(D326="","",LEFT(D326,3))</f>
        <v/>
      </c>
      <c r="F326" s="28" t="str">
        <f>IF(E326="","",IFERROR(VLOOKUP(E326,REGRAS_CST!$A$2:$B$200,2,FALSE),""))</f>
        <v/>
      </c>
      <c r="H326" s="29">
        <v>8.9999999999999993E-3</v>
      </c>
      <c r="I326" s="29">
        <v>1E-3</v>
      </c>
      <c r="K326" s="21" t="str">
        <f>IF(E326="","",IFERROR(VLOOKUP(E326,REGRAS_CST!$A$2:$C$200,3,FALSE),""))</f>
        <v/>
      </c>
      <c r="L326" s="23" t="str">
        <f>IF($G326="", "", $G326*(1-$V326))</f>
        <v/>
      </c>
      <c r="M326" s="24" t="str">
        <f>IF(OR($L326="",$S326=""),"",$L326*$S326)</f>
        <v/>
      </c>
      <c r="N326" s="24" t="str">
        <f>IF(OR($L326="",$T326=""),"",$L326*$T326)</f>
        <v/>
      </c>
      <c r="O326" s="15" t="str">
        <f>IF(D326="","",
IF(AND(K326&lt;&gt;"SIM",V326&gt;0),"ERRO: % BC &gt; 0, mas NÃO permitida ❌",
IF(AND(K326="SIM",V326=0),"ATENÇÃO: BC permitida, mas % = 0 🔎",
"Base de cálculo aplicada corretamente ✅")))</f>
        <v/>
      </c>
      <c r="P326" s="31" t="str">
        <f>IF(D326="","",
IF(AND(Q326&lt;&gt;"SIM",U326&gt;0),"ERRO: % alíquota &gt; 0, mas NÃO permitida ❌",
IF(AND(Q326="SIM",U326=0),"ATENÇÃO: alíquota permitida, mas % = 0 🔎",
"Alíquota aplicada corretamente ✅")))</f>
        <v/>
      </c>
      <c r="Q326" s="8" t="str">
        <f>IF(E326="","",IFERROR(VLOOKUP(E326,REGRAS_CST!$A$2:$D$200,4,FALSE),""))</f>
        <v/>
      </c>
      <c r="S326" s="9">
        <f>IF($H326="","",$H326*(1-$U326))</f>
        <v>8.9999999999999993E-3</v>
      </c>
      <c r="T326" s="9">
        <f>IF($I326="","",$I326*(1-$U326))</f>
        <v>1E-3</v>
      </c>
      <c r="U326" s="16">
        <f>IFERROR(INDEX(BASE_CCLASSTRIB!$E:$E, MATCH(TEXT($D326,"000000"), BASE_CCLASSTRIB!$A:$A, 0))/100, 0)</f>
        <v>0</v>
      </c>
      <c r="V326" s="16">
        <f>IFERROR(INDEX(BASE_CCLASSTRIB!$F:$F, MATCH(TEXT($D326,"000000"), BASE_CCLASSTRIB!$A:$A, 0))/100, 0)</f>
        <v>0</v>
      </c>
    </row>
    <row r="327" spans="4:22" ht="32.25" customHeight="1">
      <c r="D327" s="39"/>
      <c r="E327" s="27" t="str">
        <f>IF(D327="","",LEFT(D327,3))</f>
        <v/>
      </c>
      <c r="F327" s="28" t="str">
        <f>IF(E327="","",IFERROR(VLOOKUP(E327,REGRAS_CST!$A$2:$B$200,2,FALSE),""))</f>
        <v/>
      </c>
      <c r="H327" s="29">
        <v>8.9999999999999993E-3</v>
      </c>
      <c r="I327" s="29">
        <v>1E-3</v>
      </c>
      <c r="K327" s="21" t="str">
        <f>IF(E327="","",IFERROR(VLOOKUP(E327,REGRAS_CST!$A$2:$C$200,3,FALSE),""))</f>
        <v/>
      </c>
      <c r="L327" s="23" t="str">
        <f>IF($G327="", "", $G327*(1-$V327))</f>
        <v/>
      </c>
      <c r="M327" s="24" t="str">
        <f>IF(OR($L327="",$S327=""),"",$L327*$S327)</f>
        <v/>
      </c>
      <c r="N327" s="24" t="str">
        <f>IF(OR($L327="",$T327=""),"",$L327*$T327)</f>
        <v/>
      </c>
      <c r="O327" s="15" t="str">
        <f>IF(D327="","",
IF(AND(K327&lt;&gt;"SIM",V327&gt;0),"ERRO: % BC &gt; 0, mas NÃO permitida ❌",
IF(AND(K327="SIM",V327=0),"ATENÇÃO: BC permitida, mas % = 0 🔎",
"Base de cálculo aplicada corretamente ✅")))</f>
        <v/>
      </c>
      <c r="P327" s="31" t="str">
        <f>IF(D327="","",
IF(AND(Q327&lt;&gt;"SIM",U327&gt;0),"ERRO: % alíquota &gt; 0, mas NÃO permitida ❌",
IF(AND(Q327="SIM",U327=0),"ATENÇÃO: alíquota permitida, mas % = 0 🔎",
"Alíquota aplicada corretamente ✅")))</f>
        <v/>
      </c>
      <c r="Q327" s="8" t="str">
        <f>IF(E327="","",IFERROR(VLOOKUP(E327,REGRAS_CST!$A$2:$D$200,4,FALSE),""))</f>
        <v/>
      </c>
      <c r="S327" s="9">
        <f>IF($H327="","",$H327*(1-$U327))</f>
        <v>8.9999999999999993E-3</v>
      </c>
      <c r="T327" s="9">
        <f>IF($I327="","",$I327*(1-$U327))</f>
        <v>1E-3</v>
      </c>
      <c r="U327" s="16">
        <f>IFERROR(INDEX(BASE_CCLASSTRIB!$E:$E, MATCH(TEXT($D327,"000000"), BASE_CCLASSTRIB!$A:$A, 0))/100, 0)</f>
        <v>0</v>
      </c>
      <c r="V327" s="16">
        <f>IFERROR(INDEX(BASE_CCLASSTRIB!$F:$F, MATCH(TEXT($D327,"000000"), BASE_CCLASSTRIB!$A:$A, 0))/100, 0)</f>
        <v>0</v>
      </c>
    </row>
    <row r="328" spans="4:22" ht="32.25" customHeight="1">
      <c r="D328" s="40"/>
      <c r="E328" s="27" t="str">
        <f>IF(D328="","",LEFT(D328,3))</f>
        <v/>
      </c>
      <c r="F328" s="28" t="str">
        <f>IF(E328="","",IFERROR(VLOOKUP(E328,REGRAS_CST!$A$2:$B$200,2,FALSE),""))</f>
        <v/>
      </c>
      <c r="H328" s="29">
        <v>8.9999999999999993E-3</v>
      </c>
      <c r="I328" s="29">
        <v>1E-3</v>
      </c>
      <c r="K328" s="21" t="str">
        <f>IF(E328="","",IFERROR(VLOOKUP(E328,REGRAS_CST!$A$2:$C$200,3,FALSE),""))</f>
        <v/>
      </c>
      <c r="L328" s="23" t="str">
        <f>IF($G328="", "", $G328*(1-$V328))</f>
        <v/>
      </c>
      <c r="M328" s="24" t="str">
        <f>IF(OR($L328="",$S328=""),"",$L328*$S328)</f>
        <v/>
      </c>
      <c r="N328" s="24" t="str">
        <f>IF(OR($L328="",$T328=""),"",$L328*$T328)</f>
        <v/>
      </c>
      <c r="O328" s="15" t="str">
        <f>IF(D328="","",
IF(AND(K328&lt;&gt;"SIM",V328&gt;0),"ERRO: % BC &gt; 0, mas NÃO permitida ❌",
IF(AND(K328="SIM",V328=0),"ATENÇÃO: BC permitida, mas % = 0 🔎",
"Base de cálculo aplicada corretamente ✅")))</f>
        <v/>
      </c>
      <c r="P328" s="31" t="str">
        <f>IF(D328="","",
IF(AND(Q328&lt;&gt;"SIM",U328&gt;0),"ERRO: % alíquota &gt; 0, mas NÃO permitida ❌",
IF(AND(Q328="SIM",U328=0),"ATENÇÃO: alíquota permitida, mas % = 0 🔎",
"Alíquota aplicada corretamente ✅")))</f>
        <v/>
      </c>
      <c r="Q328" s="8" t="str">
        <f>IF(E328="","",IFERROR(VLOOKUP(E328,REGRAS_CST!$A$2:$D$200,4,FALSE),""))</f>
        <v/>
      </c>
      <c r="S328" s="9">
        <f>IF($H328="","",$H328*(1-$U328))</f>
        <v>8.9999999999999993E-3</v>
      </c>
      <c r="T328" s="9">
        <f>IF($I328="","",$I328*(1-$U328))</f>
        <v>1E-3</v>
      </c>
      <c r="U328" s="16">
        <f>IFERROR(INDEX(BASE_CCLASSTRIB!$E:$E, MATCH(TEXT($D328,"000000"), BASE_CCLASSTRIB!$A:$A, 0))/100, 0)</f>
        <v>0</v>
      </c>
      <c r="V328" s="16">
        <f>IFERROR(INDEX(BASE_CCLASSTRIB!$F:$F, MATCH(TEXT($D328,"000000"), BASE_CCLASSTRIB!$A:$A, 0))/100, 0)</f>
        <v>0</v>
      </c>
    </row>
    <row r="329" spans="4:22" ht="32.25" customHeight="1">
      <c r="D329" s="39"/>
      <c r="E329" s="27" t="str">
        <f>IF(D329="","",LEFT(D329,3))</f>
        <v/>
      </c>
      <c r="F329" s="28" t="str">
        <f>IF(E329="","",IFERROR(VLOOKUP(E329,REGRAS_CST!$A$2:$B$200,2,FALSE),""))</f>
        <v/>
      </c>
      <c r="H329" s="29">
        <v>8.9999999999999993E-3</v>
      </c>
      <c r="I329" s="29">
        <v>1E-3</v>
      </c>
      <c r="K329" s="21" t="str">
        <f>IF(E329="","",IFERROR(VLOOKUP(E329,REGRAS_CST!$A$2:$C$200,3,FALSE),""))</f>
        <v/>
      </c>
      <c r="L329" s="23" t="str">
        <f>IF($G329="", "", $G329*(1-$V329))</f>
        <v/>
      </c>
      <c r="M329" s="24" t="str">
        <f>IF(OR($L329="",$S329=""),"",$L329*$S329)</f>
        <v/>
      </c>
      <c r="N329" s="24" t="str">
        <f>IF(OR($L329="",$T329=""),"",$L329*$T329)</f>
        <v/>
      </c>
      <c r="O329" s="15" t="str">
        <f>IF(D329="","",
IF(AND(K329&lt;&gt;"SIM",V329&gt;0),"ERRO: % BC &gt; 0, mas NÃO permitida ❌",
IF(AND(K329="SIM",V329=0),"ATENÇÃO: BC permitida, mas % = 0 🔎",
"Base de cálculo aplicada corretamente ✅")))</f>
        <v/>
      </c>
      <c r="P329" s="31" t="str">
        <f>IF(D329="","",
IF(AND(Q329&lt;&gt;"SIM",U329&gt;0),"ERRO: % alíquota &gt; 0, mas NÃO permitida ❌",
IF(AND(Q329="SIM",U329=0),"ATENÇÃO: alíquota permitida, mas % = 0 🔎",
"Alíquota aplicada corretamente ✅")))</f>
        <v/>
      </c>
      <c r="Q329" s="8" t="str">
        <f>IF(E329="","",IFERROR(VLOOKUP(E329,REGRAS_CST!$A$2:$D$200,4,FALSE),""))</f>
        <v/>
      </c>
      <c r="S329" s="9">
        <f>IF($H329="","",$H329*(1-$U329))</f>
        <v>8.9999999999999993E-3</v>
      </c>
      <c r="T329" s="9">
        <f>IF($I329="","",$I329*(1-$U329))</f>
        <v>1E-3</v>
      </c>
      <c r="U329" s="16">
        <f>IFERROR(INDEX(BASE_CCLASSTRIB!$E:$E, MATCH(TEXT($D329,"000000"), BASE_CCLASSTRIB!$A:$A, 0))/100, 0)</f>
        <v>0</v>
      </c>
      <c r="V329" s="16">
        <f>IFERROR(INDEX(BASE_CCLASSTRIB!$F:$F, MATCH(TEXT($D329,"000000"), BASE_CCLASSTRIB!$A:$A, 0))/100, 0)</f>
        <v>0</v>
      </c>
    </row>
    <row r="330" spans="4:22" ht="32.25" customHeight="1">
      <c r="D330" s="39"/>
      <c r="E330" s="27" t="str">
        <f>IF(D330="","",LEFT(D330,3))</f>
        <v/>
      </c>
      <c r="F330" s="28" t="str">
        <f>IF(E330="","",IFERROR(VLOOKUP(E330,REGRAS_CST!$A$2:$B$200,2,FALSE),""))</f>
        <v/>
      </c>
      <c r="H330" s="29">
        <v>8.9999999999999993E-3</v>
      </c>
      <c r="I330" s="29">
        <v>1E-3</v>
      </c>
      <c r="K330" s="21" t="str">
        <f>IF(E330="","",IFERROR(VLOOKUP(E330,REGRAS_CST!$A$2:$C$200,3,FALSE),""))</f>
        <v/>
      </c>
      <c r="L330" s="23" t="str">
        <f>IF($G330="", "", $G330*(1-$V330))</f>
        <v/>
      </c>
      <c r="M330" s="24" t="str">
        <f>IF(OR($L330="",$S330=""),"",$L330*$S330)</f>
        <v/>
      </c>
      <c r="N330" s="24" t="str">
        <f>IF(OR($L330="",$T330=""),"",$L330*$T330)</f>
        <v/>
      </c>
      <c r="O330" s="15" t="str">
        <f>IF(D330="","",
IF(AND(K330&lt;&gt;"SIM",V330&gt;0),"ERRO: % BC &gt; 0, mas NÃO permitida ❌",
IF(AND(K330="SIM",V330=0),"ATENÇÃO: BC permitida, mas % = 0 🔎",
"Base de cálculo aplicada corretamente ✅")))</f>
        <v/>
      </c>
      <c r="P330" s="31" t="str">
        <f>IF(D330="","",
IF(AND(Q330&lt;&gt;"SIM",U330&gt;0),"ERRO: % alíquota &gt; 0, mas NÃO permitida ❌",
IF(AND(Q330="SIM",U330=0),"ATENÇÃO: alíquota permitida, mas % = 0 🔎",
"Alíquota aplicada corretamente ✅")))</f>
        <v/>
      </c>
      <c r="Q330" s="8" t="str">
        <f>IF(E330="","",IFERROR(VLOOKUP(E330,REGRAS_CST!$A$2:$D$200,4,FALSE),""))</f>
        <v/>
      </c>
      <c r="S330" s="9">
        <f>IF($H330="","",$H330*(1-$U330))</f>
        <v>8.9999999999999993E-3</v>
      </c>
      <c r="T330" s="9">
        <f>IF($I330="","",$I330*(1-$U330))</f>
        <v>1E-3</v>
      </c>
      <c r="U330" s="16">
        <f>IFERROR(INDEX(BASE_CCLASSTRIB!$E:$E, MATCH(TEXT($D330,"000000"), BASE_CCLASSTRIB!$A:$A, 0))/100, 0)</f>
        <v>0</v>
      </c>
      <c r="V330" s="16">
        <f>IFERROR(INDEX(BASE_CCLASSTRIB!$F:$F, MATCH(TEXT($D330,"000000"), BASE_CCLASSTRIB!$A:$A, 0))/100, 0)</f>
        <v>0</v>
      </c>
    </row>
    <row r="331" spans="4:22" ht="32.25" customHeight="1">
      <c r="D331" s="39"/>
      <c r="E331" s="27" t="str">
        <f>IF(D331="","",LEFT(D331,3))</f>
        <v/>
      </c>
      <c r="F331" s="28" t="str">
        <f>IF(E331="","",IFERROR(VLOOKUP(E331,REGRAS_CST!$A$2:$B$200,2,FALSE),""))</f>
        <v/>
      </c>
      <c r="H331" s="29">
        <v>8.9999999999999993E-3</v>
      </c>
      <c r="I331" s="29">
        <v>1E-3</v>
      </c>
      <c r="K331" s="21" t="str">
        <f>IF(E331="","",IFERROR(VLOOKUP(E331,REGRAS_CST!$A$2:$C$200,3,FALSE),""))</f>
        <v/>
      </c>
      <c r="L331" s="23" t="str">
        <f>IF($G331="", "", $G331*(1-$V331))</f>
        <v/>
      </c>
      <c r="M331" s="24" t="str">
        <f>IF(OR($L331="",$S331=""),"",$L331*$S331)</f>
        <v/>
      </c>
      <c r="N331" s="24" t="str">
        <f>IF(OR($L331="",$T331=""),"",$L331*$T331)</f>
        <v/>
      </c>
      <c r="O331" s="15" t="str">
        <f>IF(D331="","",
IF(AND(K331&lt;&gt;"SIM",V331&gt;0),"ERRO: % BC &gt; 0, mas NÃO permitida ❌",
IF(AND(K331="SIM",V331=0),"ATENÇÃO: BC permitida, mas % = 0 🔎",
"Base de cálculo aplicada corretamente ✅")))</f>
        <v/>
      </c>
      <c r="P331" s="31" t="str">
        <f>IF(D331="","",
IF(AND(Q331&lt;&gt;"SIM",U331&gt;0),"ERRO: % alíquota &gt; 0, mas NÃO permitida ❌",
IF(AND(Q331="SIM",U331=0),"ATENÇÃO: alíquota permitida, mas % = 0 🔎",
"Alíquota aplicada corretamente ✅")))</f>
        <v/>
      </c>
      <c r="Q331" s="8" t="str">
        <f>IF(E331="","",IFERROR(VLOOKUP(E331,REGRAS_CST!$A$2:$D$200,4,FALSE),""))</f>
        <v/>
      </c>
      <c r="S331" s="9">
        <f>IF($H331="","",$H331*(1-$U331))</f>
        <v>8.9999999999999993E-3</v>
      </c>
      <c r="T331" s="9">
        <f>IF($I331="","",$I331*(1-$U331))</f>
        <v>1E-3</v>
      </c>
      <c r="U331" s="16">
        <f>IFERROR(INDEX(BASE_CCLASSTRIB!$E:$E, MATCH(TEXT($D331,"000000"), BASE_CCLASSTRIB!$A:$A, 0))/100, 0)</f>
        <v>0</v>
      </c>
      <c r="V331" s="16">
        <f>IFERROR(INDEX(BASE_CCLASSTRIB!$F:$F, MATCH(TEXT($D331,"000000"), BASE_CCLASSTRIB!$A:$A, 0))/100, 0)</f>
        <v>0</v>
      </c>
    </row>
    <row r="332" spans="4:22" ht="32.25" customHeight="1">
      <c r="D332" s="40"/>
      <c r="E332" s="27" t="str">
        <f>IF(D332="","",LEFT(D332,3))</f>
        <v/>
      </c>
      <c r="F332" s="28" t="str">
        <f>IF(E332="","",IFERROR(VLOOKUP(E332,REGRAS_CST!$A$2:$B$200,2,FALSE),""))</f>
        <v/>
      </c>
      <c r="H332" s="29">
        <v>8.9999999999999993E-3</v>
      </c>
      <c r="I332" s="29">
        <v>1E-3</v>
      </c>
      <c r="K332" s="21" t="str">
        <f>IF(E332="","",IFERROR(VLOOKUP(E332,REGRAS_CST!$A$2:$C$200,3,FALSE),""))</f>
        <v/>
      </c>
      <c r="L332" s="23" t="str">
        <f>IF($G332="", "", $G332*(1-$V332))</f>
        <v/>
      </c>
      <c r="M332" s="24" t="str">
        <f>IF(OR($L332="",$S332=""),"",$L332*$S332)</f>
        <v/>
      </c>
      <c r="N332" s="24" t="str">
        <f>IF(OR($L332="",$T332=""),"",$L332*$T332)</f>
        <v/>
      </c>
      <c r="O332" s="15" t="str">
        <f>IF(D332="","",
IF(AND(K332&lt;&gt;"SIM",V332&gt;0),"ERRO: % BC &gt; 0, mas NÃO permitida ❌",
IF(AND(K332="SIM",V332=0),"ATENÇÃO: BC permitida, mas % = 0 🔎",
"Base de cálculo aplicada corretamente ✅")))</f>
        <v/>
      </c>
      <c r="P332" s="31" t="str">
        <f>IF(D332="","",
IF(AND(Q332&lt;&gt;"SIM",U332&gt;0),"ERRO: % alíquota &gt; 0, mas NÃO permitida ❌",
IF(AND(Q332="SIM",U332=0),"ATENÇÃO: alíquota permitida, mas % = 0 🔎",
"Alíquota aplicada corretamente ✅")))</f>
        <v/>
      </c>
      <c r="Q332" s="8" t="str">
        <f>IF(E332="","",IFERROR(VLOOKUP(E332,REGRAS_CST!$A$2:$D$200,4,FALSE),""))</f>
        <v/>
      </c>
      <c r="S332" s="9">
        <f>IF($H332="","",$H332*(1-$U332))</f>
        <v>8.9999999999999993E-3</v>
      </c>
      <c r="T332" s="9">
        <f>IF($I332="","",$I332*(1-$U332))</f>
        <v>1E-3</v>
      </c>
      <c r="U332" s="16">
        <f>IFERROR(INDEX(BASE_CCLASSTRIB!$E:$E, MATCH(TEXT($D332,"000000"), BASE_CCLASSTRIB!$A:$A, 0))/100, 0)</f>
        <v>0</v>
      </c>
      <c r="V332" s="16">
        <f>IFERROR(INDEX(BASE_CCLASSTRIB!$F:$F, MATCH(TEXT($D332,"000000"), BASE_CCLASSTRIB!$A:$A, 0))/100, 0)</f>
        <v>0</v>
      </c>
    </row>
    <row r="333" spans="4:22" ht="32.25" customHeight="1">
      <c r="D333" s="40"/>
      <c r="E333" s="27" t="str">
        <f>IF(D333="","",LEFT(D333,3))</f>
        <v/>
      </c>
      <c r="F333" s="28" t="str">
        <f>IF(E333="","",IFERROR(VLOOKUP(E333,REGRAS_CST!$A$2:$B$200,2,FALSE),""))</f>
        <v/>
      </c>
      <c r="H333" s="29">
        <v>8.9999999999999993E-3</v>
      </c>
      <c r="I333" s="29">
        <v>1E-3</v>
      </c>
      <c r="K333" s="21" t="str">
        <f>IF(E333="","",IFERROR(VLOOKUP(E333,REGRAS_CST!$A$2:$C$200,3,FALSE),""))</f>
        <v/>
      </c>
      <c r="L333" s="23" t="str">
        <f>IF($G333="", "", $G333*(1-$V333))</f>
        <v/>
      </c>
      <c r="M333" s="24" t="str">
        <f>IF(OR($L333="",$S333=""),"",$L333*$S333)</f>
        <v/>
      </c>
      <c r="N333" s="24" t="str">
        <f>IF(OR($L333="",$T333=""),"",$L333*$T333)</f>
        <v/>
      </c>
      <c r="O333" s="15" t="str">
        <f>IF(D333="","",
IF(AND(K333&lt;&gt;"SIM",V333&gt;0),"ERRO: % BC &gt; 0, mas NÃO permitida ❌",
IF(AND(K333="SIM",V333=0),"ATENÇÃO: BC permitida, mas % = 0 🔎",
"Base de cálculo aplicada corretamente ✅")))</f>
        <v/>
      </c>
      <c r="P333" s="31" t="str">
        <f>IF(D333="","",
IF(AND(Q333&lt;&gt;"SIM",U333&gt;0),"ERRO: % alíquota &gt; 0, mas NÃO permitida ❌",
IF(AND(Q333="SIM",U333=0),"ATENÇÃO: alíquota permitida, mas % = 0 🔎",
"Alíquota aplicada corretamente ✅")))</f>
        <v/>
      </c>
      <c r="Q333" s="8" t="str">
        <f>IF(E333="","",IFERROR(VLOOKUP(E333,REGRAS_CST!$A$2:$D$200,4,FALSE),""))</f>
        <v/>
      </c>
      <c r="S333" s="9">
        <f>IF($H333="","",$H333*(1-$U333))</f>
        <v>8.9999999999999993E-3</v>
      </c>
      <c r="T333" s="9">
        <f>IF($I333="","",$I333*(1-$U333))</f>
        <v>1E-3</v>
      </c>
      <c r="U333" s="16">
        <f>IFERROR(INDEX(BASE_CCLASSTRIB!$E:$E, MATCH(TEXT($D333,"000000"), BASE_CCLASSTRIB!$A:$A, 0))/100, 0)</f>
        <v>0</v>
      </c>
      <c r="V333" s="16">
        <f>IFERROR(INDEX(BASE_CCLASSTRIB!$F:$F, MATCH(TEXT($D333,"000000"), BASE_CCLASSTRIB!$A:$A, 0))/100, 0)</f>
        <v>0</v>
      </c>
    </row>
    <row r="334" spans="4:22" ht="32.25" customHeight="1">
      <c r="D334" s="40"/>
      <c r="E334" s="27" t="str">
        <f>IF(D334="","",LEFT(D334,3))</f>
        <v/>
      </c>
      <c r="F334" s="28" t="str">
        <f>IF(E334="","",IFERROR(VLOOKUP(E334,REGRAS_CST!$A$2:$B$200,2,FALSE),""))</f>
        <v/>
      </c>
      <c r="H334" s="29">
        <v>8.9999999999999993E-3</v>
      </c>
      <c r="I334" s="29">
        <v>1E-3</v>
      </c>
      <c r="K334" s="21" t="str">
        <f>IF(E334="","",IFERROR(VLOOKUP(E334,REGRAS_CST!$A$2:$C$200,3,FALSE),""))</f>
        <v/>
      </c>
      <c r="L334" s="23" t="str">
        <f>IF($G334="", "", $G334*(1-$V334))</f>
        <v/>
      </c>
      <c r="M334" s="24" t="str">
        <f>IF(OR($L334="",$S334=""),"",$L334*$S334)</f>
        <v/>
      </c>
      <c r="N334" s="24" t="str">
        <f>IF(OR($L334="",$T334=""),"",$L334*$T334)</f>
        <v/>
      </c>
      <c r="O334" s="15" t="str">
        <f>IF(D334="","",
IF(AND(K334&lt;&gt;"SIM",V334&gt;0),"ERRO: % BC &gt; 0, mas NÃO permitida ❌",
IF(AND(K334="SIM",V334=0),"ATENÇÃO: BC permitida, mas % = 0 🔎",
"Base de cálculo aplicada corretamente ✅")))</f>
        <v/>
      </c>
      <c r="P334" s="31" t="str">
        <f>IF(D334="","",
IF(AND(Q334&lt;&gt;"SIM",U334&gt;0),"ERRO: % alíquota &gt; 0, mas NÃO permitida ❌",
IF(AND(Q334="SIM",U334=0),"ATENÇÃO: alíquota permitida, mas % = 0 🔎",
"Alíquota aplicada corretamente ✅")))</f>
        <v/>
      </c>
      <c r="Q334" s="8" t="str">
        <f>IF(E334="","",IFERROR(VLOOKUP(E334,REGRAS_CST!$A$2:$D$200,4,FALSE),""))</f>
        <v/>
      </c>
      <c r="S334" s="9">
        <f>IF($H334="","",$H334*(1-$U334))</f>
        <v>8.9999999999999993E-3</v>
      </c>
      <c r="T334" s="9">
        <f>IF($I334="","",$I334*(1-$U334))</f>
        <v>1E-3</v>
      </c>
      <c r="U334" s="16">
        <f>IFERROR(INDEX(BASE_CCLASSTRIB!$E:$E, MATCH(TEXT($D334,"000000"), BASE_CCLASSTRIB!$A:$A, 0))/100, 0)</f>
        <v>0</v>
      </c>
      <c r="V334" s="16">
        <f>IFERROR(INDEX(BASE_CCLASSTRIB!$F:$F, MATCH(TEXT($D334,"000000"), BASE_CCLASSTRIB!$A:$A, 0))/100, 0)</f>
        <v>0</v>
      </c>
    </row>
    <row r="335" spans="4:22" ht="32.25" customHeight="1">
      <c r="D335" s="40"/>
      <c r="E335" s="27" t="str">
        <f>IF(D335="","",LEFT(D335,3))</f>
        <v/>
      </c>
      <c r="F335" s="28" t="str">
        <f>IF(E335="","",IFERROR(VLOOKUP(E335,REGRAS_CST!$A$2:$B$200,2,FALSE),""))</f>
        <v/>
      </c>
      <c r="H335" s="29">
        <v>8.9999999999999993E-3</v>
      </c>
      <c r="I335" s="29">
        <v>1E-3</v>
      </c>
      <c r="K335" s="21" t="str">
        <f>IF(E335="","",IFERROR(VLOOKUP(E335,REGRAS_CST!$A$2:$C$200,3,FALSE),""))</f>
        <v/>
      </c>
      <c r="L335" s="23" t="str">
        <f>IF($G335="", "", $G335*(1-$V335))</f>
        <v/>
      </c>
      <c r="M335" s="24" t="str">
        <f>IF(OR($L335="",$S335=""),"",$L335*$S335)</f>
        <v/>
      </c>
      <c r="N335" s="24" t="str">
        <f>IF(OR($L335="",$T335=""),"",$L335*$T335)</f>
        <v/>
      </c>
      <c r="O335" s="15" t="str">
        <f>IF(D335="","",
IF(AND(K335&lt;&gt;"SIM",V335&gt;0),"ERRO: % BC &gt; 0, mas NÃO permitida ❌",
IF(AND(K335="SIM",V335=0),"ATENÇÃO: BC permitida, mas % = 0 🔎",
"Base de cálculo aplicada corretamente ✅")))</f>
        <v/>
      </c>
      <c r="P335" s="31" t="str">
        <f>IF(D335="","",
IF(AND(Q335&lt;&gt;"SIM",U335&gt;0),"ERRO: % alíquota &gt; 0, mas NÃO permitida ❌",
IF(AND(Q335="SIM",U335=0),"ATENÇÃO: alíquota permitida, mas % = 0 🔎",
"Alíquota aplicada corretamente ✅")))</f>
        <v/>
      </c>
      <c r="Q335" s="8" t="str">
        <f>IF(E335="","",IFERROR(VLOOKUP(E335,REGRAS_CST!$A$2:$D$200,4,FALSE),""))</f>
        <v/>
      </c>
      <c r="S335" s="9">
        <f>IF($H335="","",$H335*(1-$U335))</f>
        <v>8.9999999999999993E-3</v>
      </c>
      <c r="T335" s="9">
        <f>IF($I335="","",$I335*(1-$U335))</f>
        <v>1E-3</v>
      </c>
      <c r="U335" s="16">
        <f>IFERROR(INDEX(BASE_CCLASSTRIB!$E:$E, MATCH(TEXT($D335,"000000"), BASE_CCLASSTRIB!$A:$A, 0))/100, 0)</f>
        <v>0</v>
      </c>
      <c r="V335" s="16">
        <f>IFERROR(INDEX(BASE_CCLASSTRIB!$F:$F, MATCH(TEXT($D335,"000000"), BASE_CCLASSTRIB!$A:$A, 0))/100, 0)</f>
        <v>0</v>
      </c>
    </row>
    <row r="336" spans="4:22" ht="32.25" customHeight="1">
      <c r="D336" s="39"/>
      <c r="E336" s="27" t="str">
        <f>IF(D336="","",LEFT(D336,3))</f>
        <v/>
      </c>
      <c r="F336" s="28" t="str">
        <f>IF(E336="","",IFERROR(VLOOKUP(E336,REGRAS_CST!$A$2:$B$200,2,FALSE),""))</f>
        <v/>
      </c>
      <c r="H336" s="29">
        <v>8.9999999999999993E-3</v>
      </c>
      <c r="I336" s="29">
        <v>1E-3</v>
      </c>
      <c r="K336" s="21" t="str">
        <f>IF(E336="","",IFERROR(VLOOKUP(E336,REGRAS_CST!$A$2:$C$200,3,FALSE),""))</f>
        <v/>
      </c>
      <c r="L336" s="23" t="str">
        <f>IF($G336="", "", $G336*(1-$V336))</f>
        <v/>
      </c>
      <c r="M336" s="24" t="str">
        <f>IF(OR($L336="",$S336=""),"",$L336*$S336)</f>
        <v/>
      </c>
      <c r="N336" s="24" t="str">
        <f>IF(OR($L336="",$T336=""),"",$L336*$T336)</f>
        <v/>
      </c>
      <c r="O336" s="15" t="str">
        <f>IF(D336="","",
IF(AND(K336&lt;&gt;"SIM",V336&gt;0),"ERRO: % BC &gt; 0, mas NÃO permitida ❌",
IF(AND(K336="SIM",V336=0),"ATENÇÃO: BC permitida, mas % = 0 🔎",
"Base de cálculo aplicada corretamente ✅")))</f>
        <v/>
      </c>
      <c r="P336" s="31" t="str">
        <f>IF(D336="","",
IF(AND(Q336&lt;&gt;"SIM",U336&gt;0),"ERRO: % alíquota &gt; 0, mas NÃO permitida ❌",
IF(AND(Q336="SIM",U336=0),"ATENÇÃO: alíquota permitida, mas % = 0 🔎",
"Alíquota aplicada corretamente ✅")))</f>
        <v/>
      </c>
      <c r="Q336" s="8" t="str">
        <f>IF(E336="","",IFERROR(VLOOKUP(E336,REGRAS_CST!$A$2:$D$200,4,FALSE),""))</f>
        <v/>
      </c>
      <c r="S336" s="9">
        <f>IF($H336="","",$H336*(1-$U336))</f>
        <v>8.9999999999999993E-3</v>
      </c>
      <c r="T336" s="9">
        <f>IF($I336="","",$I336*(1-$U336))</f>
        <v>1E-3</v>
      </c>
      <c r="U336" s="16">
        <f>IFERROR(INDEX(BASE_CCLASSTRIB!$E:$E, MATCH(TEXT($D336,"000000"), BASE_CCLASSTRIB!$A:$A, 0))/100, 0)</f>
        <v>0</v>
      </c>
      <c r="V336" s="16">
        <f>IFERROR(INDEX(BASE_CCLASSTRIB!$F:$F, MATCH(TEXT($D336,"000000"), BASE_CCLASSTRIB!$A:$A, 0))/100, 0)</f>
        <v>0</v>
      </c>
    </row>
    <row r="337" spans="4:22" ht="32.25" customHeight="1">
      <c r="D337" s="40"/>
      <c r="E337" s="27" t="str">
        <f>IF(D337="","",LEFT(D337,3))</f>
        <v/>
      </c>
      <c r="F337" s="28" t="str">
        <f>IF(E337="","",IFERROR(VLOOKUP(E337,REGRAS_CST!$A$2:$B$200,2,FALSE),""))</f>
        <v/>
      </c>
      <c r="H337" s="29">
        <v>8.9999999999999993E-3</v>
      </c>
      <c r="I337" s="29">
        <v>1E-3</v>
      </c>
      <c r="K337" s="21" t="str">
        <f>IF(E337="","",IFERROR(VLOOKUP(E337,REGRAS_CST!$A$2:$C$200,3,FALSE),""))</f>
        <v/>
      </c>
      <c r="L337" s="23" t="str">
        <f>IF($G337="", "", $G337*(1-$V337))</f>
        <v/>
      </c>
      <c r="M337" s="24" t="str">
        <f>IF(OR($L337="",$S337=""),"",$L337*$S337)</f>
        <v/>
      </c>
      <c r="N337" s="24" t="str">
        <f>IF(OR($L337="",$T337=""),"",$L337*$T337)</f>
        <v/>
      </c>
      <c r="O337" s="15" t="str">
        <f>IF(D337="","",
IF(AND(K337&lt;&gt;"SIM",V337&gt;0),"ERRO: % BC &gt; 0, mas NÃO permitida ❌",
IF(AND(K337="SIM",V337=0),"ATENÇÃO: BC permitida, mas % = 0 🔎",
"Base de cálculo aplicada corretamente ✅")))</f>
        <v/>
      </c>
      <c r="P337" s="31" t="str">
        <f>IF(D337="","",
IF(AND(Q337&lt;&gt;"SIM",U337&gt;0),"ERRO: % alíquota &gt; 0, mas NÃO permitida ❌",
IF(AND(Q337="SIM",U337=0),"ATENÇÃO: alíquota permitida, mas % = 0 🔎",
"Alíquota aplicada corretamente ✅")))</f>
        <v/>
      </c>
      <c r="Q337" s="8" t="str">
        <f>IF(E337="","",IFERROR(VLOOKUP(E337,REGRAS_CST!$A$2:$D$200,4,FALSE),""))</f>
        <v/>
      </c>
      <c r="S337" s="9">
        <f>IF($H337="","",$H337*(1-$U337))</f>
        <v>8.9999999999999993E-3</v>
      </c>
      <c r="T337" s="9">
        <f>IF($I337="","",$I337*(1-$U337))</f>
        <v>1E-3</v>
      </c>
      <c r="U337" s="16">
        <f>IFERROR(INDEX(BASE_CCLASSTRIB!$E:$E, MATCH(TEXT($D337,"000000"), BASE_CCLASSTRIB!$A:$A, 0))/100, 0)</f>
        <v>0</v>
      </c>
      <c r="V337" s="16">
        <f>IFERROR(INDEX(BASE_CCLASSTRIB!$F:$F, MATCH(TEXT($D337,"000000"), BASE_CCLASSTRIB!$A:$A, 0))/100, 0)</f>
        <v>0</v>
      </c>
    </row>
    <row r="338" spans="4:22" ht="32.25" customHeight="1">
      <c r="D338" s="40"/>
      <c r="E338" s="27" t="str">
        <f>IF(D338="","",LEFT(D338,3))</f>
        <v/>
      </c>
      <c r="F338" s="28" t="str">
        <f>IF(E338="","",IFERROR(VLOOKUP(E338,REGRAS_CST!$A$2:$B$200,2,FALSE),""))</f>
        <v/>
      </c>
      <c r="H338" s="29">
        <v>8.9999999999999993E-3</v>
      </c>
      <c r="I338" s="29">
        <v>1E-3</v>
      </c>
      <c r="K338" s="21" t="str">
        <f>IF(E338="","",IFERROR(VLOOKUP(E338,REGRAS_CST!$A$2:$C$200,3,FALSE),""))</f>
        <v/>
      </c>
      <c r="L338" s="23" t="str">
        <f>IF($G338="", "", $G338*(1-$V338))</f>
        <v/>
      </c>
      <c r="M338" s="24" t="str">
        <f>IF(OR($L338="",$S338=""),"",$L338*$S338)</f>
        <v/>
      </c>
      <c r="N338" s="24" t="str">
        <f>IF(OR($L338="",$T338=""),"",$L338*$T338)</f>
        <v/>
      </c>
      <c r="O338" s="15" t="str">
        <f>IF(D338="","",
IF(AND(K338&lt;&gt;"SIM",V338&gt;0),"ERRO: % BC &gt; 0, mas NÃO permitida ❌",
IF(AND(K338="SIM",V338=0),"ATENÇÃO: BC permitida, mas % = 0 🔎",
"Base de cálculo aplicada corretamente ✅")))</f>
        <v/>
      </c>
      <c r="P338" s="31" t="str">
        <f>IF(D338="","",
IF(AND(Q338&lt;&gt;"SIM",U338&gt;0),"ERRO: % alíquota &gt; 0, mas NÃO permitida ❌",
IF(AND(Q338="SIM",U338=0),"ATENÇÃO: alíquota permitida, mas % = 0 🔎",
"Alíquota aplicada corretamente ✅")))</f>
        <v/>
      </c>
      <c r="Q338" s="8" t="str">
        <f>IF(E338="","",IFERROR(VLOOKUP(E338,REGRAS_CST!$A$2:$D$200,4,FALSE),""))</f>
        <v/>
      </c>
      <c r="S338" s="9">
        <f>IF($H338="","",$H338*(1-$U338))</f>
        <v>8.9999999999999993E-3</v>
      </c>
      <c r="T338" s="9">
        <f>IF($I338="","",$I338*(1-$U338))</f>
        <v>1E-3</v>
      </c>
      <c r="U338" s="16">
        <f>IFERROR(INDEX(BASE_CCLASSTRIB!$E:$E, MATCH(TEXT($D338,"000000"), BASE_CCLASSTRIB!$A:$A, 0))/100, 0)</f>
        <v>0</v>
      </c>
      <c r="V338" s="16">
        <f>IFERROR(INDEX(BASE_CCLASSTRIB!$F:$F, MATCH(TEXT($D338,"000000"), BASE_CCLASSTRIB!$A:$A, 0))/100, 0)</f>
        <v>0</v>
      </c>
    </row>
    <row r="339" spans="4:22" ht="32.25" customHeight="1">
      <c r="D339" s="39"/>
      <c r="E339" s="27" t="str">
        <f>IF(D339="","",LEFT(D339,3))</f>
        <v/>
      </c>
      <c r="F339" s="28" t="str">
        <f>IF(E339="","",IFERROR(VLOOKUP(E339,REGRAS_CST!$A$2:$B$200,2,FALSE),""))</f>
        <v/>
      </c>
      <c r="H339" s="29">
        <v>8.9999999999999993E-3</v>
      </c>
      <c r="I339" s="29">
        <v>1E-3</v>
      </c>
      <c r="K339" s="21" t="str">
        <f>IF(E339="","",IFERROR(VLOOKUP(E339,REGRAS_CST!$A$2:$C$200,3,FALSE),""))</f>
        <v/>
      </c>
      <c r="L339" s="23" t="str">
        <f>IF($G339="", "", $G339*(1-$V339))</f>
        <v/>
      </c>
      <c r="M339" s="24" t="str">
        <f>IF(OR($L339="",$S339=""),"",$L339*$S339)</f>
        <v/>
      </c>
      <c r="N339" s="24" t="str">
        <f>IF(OR($L339="",$T339=""),"",$L339*$T339)</f>
        <v/>
      </c>
      <c r="O339" s="15" t="str">
        <f>IF(D339="","",
IF(AND(K339&lt;&gt;"SIM",V339&gt;0),"ERRO: % BC &gt; 0, mas NÃO permitida ❌",
IF(AND(K339="SIM",V339=0),"ATENÇÃO: BC permitida, mas % = 0 🔎",
"Base de cálculo aplicada corretamente ✅")))</f>
        <v/>
      </c>
      <c r="P339" s="31" t="str">
        <f>IF(D339="","",
IF(AND(Q339&lt;&gt;"SIM",U339&gt;0),"ERRO: % alíquota &gt; 0, mas NÃO permitida ❌",
IF(AND(Q339="SIM",U339=0),"ATENÇÃO: alíquota permitida, mas % = 0 🔎",
"Alíquota aplicada corretamente ✅")))</f>
        <v/>
      </c>
      <c r="Q339" s="8" t="str">
        <f>IF(E339="","",IFERROR(VLOOKUP(E339,REGRAS_CST!$A$2:$D$200,4,FALSE),""))</f>
        <v/>
      </c>
      <c r="S339" s="9">
        <f>IF($H339="","",$H339*(1-$U339))</f>
        <v>8.9999999999999993E-3</v>
      </c>
      <c r="T339" s="9">
        <f>IF($I339="","",$I339*(1-$U339))</f>
        <v>1E-3</v>
      </c>
      <c r="U339" s="16">
        <f>IFERROR(INDEX(BASE_CCLASSTRIB!$E:$E, MATCH(TEXT($D339,"000000"), BASE_CCLASSTRIB!$A:$A, 0))/100, 0)</f>
        <v>0</v>
      </c>
      <c r="V339" s="16">
        <f>IFERROR(INDEX(BASE_CCLASSTRIB!$F:$F, MATCH(TEXT($D339,"000000"), BASE_CCLASSTRIB!$A:$A, 0))/100, 0)</f>
        <v>0</v>
      </c>
    </row>
    <row r="340" spans="4:22" ht="32.25" customHeight="1">
      <c r="D340" s="39"/>
      <c r="E340" s="27" t="str">
        <f>IF(D340="","",LEFT(D340,3))</f>
        <v/>
      </c>
      <c r="F340" s="28" t="str">
        <f>IF(E340="","",IFERROR(VLOOKUP(E340,REGRAS_CST!$A$2:$B$200,2,FALSE),""))</f>
        <v/>
      </c>
      <c r="H340" s="29">
        <v>8.9999999999999993E-3</v>
      </c>
      <c r="I340" s="29">
        <v>1E-3</v>
      </c>
      <c r="K340" s="21" t="str">
        <f>IF(E340="","",IFERROR(VLOOKUP(E340,REGRAS_CST!$A$2:$C$200,3,FALSE),""))</f>
        <v/>
      </c>
      <c r="L340" s="23" t="str">
        <f>IF($G340="", "", $G340*(1-$V340))</f>
        <v/>
      </c>
      <c r="M340" s="24" t="str">
        <f>IF(OR($L340="",$S340=""),"",$L340*$S340)</f>
        <v/>
      </c>
      <c r="N340" s="24" t="str">
        <f>IF(OR($L340="",$T340=""),"",$L340*$T340)</f>
        <v/>
      </c>
      <c r="O340" s="15" t="str">
        <f>IF(D340="","",
IF(AND(K340&lt;&gt;"SIM",V340&gt;0),"ERRO: % BC &gt; 0, mas NÃO permitida ❌",
IF(AND(K340="SIM",V340=0),"ATENÇÃO: BC permitida, mas % = 0 🔎",
"Base de cálculo aplicada corretamente ✅")))</f>
        <v/>
      </c>
      <c r="P340" s="31" t="str">
        <f>IF(D340="","",
IF(AND(Q340&lt;&gt;"SIM",U340&gt;0),"ERRO: % alíquota &gt; 0, mas NÃO permitida ❌",
IF(AND(Q340="SIM",U340=0),"ATENÇÃO: alíquota permitida, mas % = 0 🔎",
"Alíquota aplicada corretamente ✅")))</f>
        <v/>
      </c>
      <c r="Q340" s="8" t="str">
        <f>IF(E340="","",IFERROR(VLOOKUP(E340,REGRAS_CST!$A$2:$D$200,4,FALSE),""))</f>
        <v/>
      </c>
      <c r="S340" s="9">
        <f>IF($H340="","",$H340*(1-$U340))</f>
        <v>8.9999999999999993E-3</v>
      </c>
      <c r="T340" s="9">
        <f>IF($I340="","",$I340*(1-$U340))</f>
        <v>1E-3</v>
      </c>
      <c r="U340" s="16">
        <f>IFERROR(INDEX(BASE_CCLASSTRIB!$E:$E, MATCH(TEXT($D340,"000000"), BASE_CCLASSTRIB!$A:$A, 0))/100, 0)</f>
        <v>0</v>
      </c>
      <c r="V340" s="16">
        <f>IFERROR(INDEX(BASE_CCLASSTRIB!$F:$F, MATCH(TEXT($D340,"000000"), BASE_CCLASSTRIB!$A:$A, 0))/100, 0)</f>
        <v>0</v>
      </c>
    </row>
    <row r="341" spans="4:22" ht="32.25" customHeight="1">
      <c r="D341" s="39"/>
      <c r="E341" s="27" t="str">
        <f>IF(D341="","",LEFT(D341,3))</f>
        <v/>
      </c>
      <c r="F341" s="28" t="str">
        <f>IF(E341="","",IFERROR(VLOOKUP(E341,REGRAS_CST!$A$2:$B$200,2,FALSE),""))</f>
        <v/>
      </c>
      <c r="H341" s="29">
        <v>8.9999999999999993E-3</v>
      </c>
      <c r="I341" s="29">
        <v>1E-3</v>
      </c>
      <c r="K341" s="21" t="str">
        <f>IF(E341="","",IFERROR(VLOOKUP(E341,REGRAS_CST!$A$2:$C$200,3,FALSE),""))</f>
        <v/>
      </c>
      <c r="L341" s="23" t="str">
        <f>IF($G341="", "", $G341*(1-$V341))</f>
        <v/>
      </c>
      <c r="M341" s="24" t="str">
        <f>IF(OR($L341="",$S341=""),"",$L341*$S341)</f>
        <v/>
      </c>
      <c r="N341" s="24" t="str">
        <f>IF(OR($L341="",$T341=""),"",$L341*$T341)</f>
        <v/>
      </c>
      <c r="O341" s="15" t="str">
        <f>IF(D341="","",
IF(AND(K341&lt;&gt;"SIM",V341&gt;0),"ERRO: % BC &gt; 0, mas NÃO permitida ❌",
IF(AND(K341="SIM",V341=0),"ATENÇÃO: BC permitida, mas % = 0 🔎",
"Base de cálculo aplicada corretamente ✅")))</f>
        <v/>
      </c>
      <c r="P341" s="31" t="str">
        <f>IF(D341="","",
IF(AND(Q341&lt;&gt;"SIM",U341&gt;0),"ERRO: % alíquota &gt; 0, mas NÃO permitida ❌",
IF(AND(Q341="SIM",U341=0),"ATENÇÃO: alíquota permitida, mas % = 0 🔎",
"Alíquota aplicada corretamente ✅")))</f>
        <v/>
      </c>
      <c r="Q341" s="8" t="str">
        <f>IF(E341="","",IFERROR(VLOOKUP(E341,REGRAS_CST!$A$2:$D$200,4,FALSE),""))</f>
        <v/>
      </c>
      <c r="S341" s="9">
        <f>IF($H341="","",$H341*(1-$U341))</f>
        <v>8.9999999999999993E-3</v>
      </c>
      <c r="T341" s="9">
        <f>IF($I341="","",$I341*(1-$U341))</f>
        <v>1E-3</v>
      </c>
      <c r="U341" s="16">
        <f>IFERROR(INDEX(BASE_CCLASSTRIB!$E:$E, MATCH(TEXT($D341,"000000"), BASE_CCLASSTRIB!$A:$A, 0))/100, 0)</f>
        <v>0</v>
      </c>
      <c r="V341" s="16">
        <f>IFERROR(INDEX(BASE_CCLASSTRIB!$F:$F, MATCH(TEXT($D341,"000000"), BASE_CCLASSTRIB!$A:$A, 0))/100, 0)</f>
        <v>0</v>
      </c>
    </row>
    <row r="342" spans="4:22" ht="32.25" customHeight="1">
      <c r="D342" s="40"/>
      <c r="E342" s="27" t="str">
        <f>IF(D342="","",LEFT(D342,3))</f>
        <v/>
      </c>
      <c r="F342" s="28" t="str">
        <f>IF(E342="","",IFERROR(VLOOKUP(E342,REGRAS_CST!$A$2:$B$200,2,FALSE),""))</f>
        <v/>
      </c>
      <c r="H342" s="29">
        <v>8.9999999999999993E-3</v>
      </c>
      <c r="I342" s="29">
        <v>1E-3</v>
      </c>
      <c r="K342" s="21" t="str">
        <f>IF(E342="","",IFERROR(VLOOKUP(E342,REGRAS_CST!$A$2:$C$200,3,FALSE),""))</f>
        <v/>
      </c>
      <c r="L342" s="23" t="str">
        <f>IF($G342="", "", $G342*(1-$V342))</f>
        <v/>
      </c>
      <c r="M342" s="24" t="str">
        <f>IF(OR($L342="",$S342=""),"",$L342*$S342)</f>
        <v/>
      </c>
      <c r="N342" s="24" t="str">
        <f>IF(OR($L342="",$T342=""),"",$L342*$T342)</f>
        <v/>
      </c>
      <c r="O342" s="15" t="str">
        <f>IF(D342="","",
IF(AND(K342&lt;&gt;"SIM",V342&gt;0),"ERRO: % BC &gt; 0, mas NÃO permitida ❌",
IF(AND(K342="SIM",V342=0),"ATENÇÃO: BC permitida, mas % = 0 🔎",
"Base de cálculo aplicada corretamente ✅")))</f>
        <v/>
      </c>
      <c r="P342" s="31" t="str">
        <f>IF(D342="","",
IF(AND(Q342&lt;&gt;"SIM",U342&gt;0),"ERRO: % alíquota &gt; 0, mas NÃO permitida ❌",
IF(AND(Q342="SIM",U342=0),"ATENÇÃO: alíquota permitida, mas % = 0 🔎",
"Alíquota aplicada corretamente ✅")))</f>
        <v/>
      </c>
      <c r="Q342" s="8" t="str">
        <f>IF(E342="","",IFERROR(VLOOKUP(E342,REGRAS_CST!$A$2:$D$200,4,FALSE),""))</f>
        <v/>
      </c>
      <c r="S342" s="9">
        <f>IF($H342="","",$H342*(1-$U342))</f>
        <v>8.9999999999999993E-3</v>
      </c>
      <c r="T342" s="9">
        <f>IF($I342="","",$I342*(1-$U342))</f>
        <v>1E-3</v>
      </c>
      <c r="U342" s="16">
        <f>IFERROR(INDEX(BASE_CCLASSTRIB!$E:$E, MATCH(TEXT($D342,"000000"), BASE_CCLASSTRIB!$A:$A, 0))/100, 0)</f>
        <v>0</v>
      </c>
      <c r="V342" s="16">
        <f>IFERROR(INDEX(BASE_CCLASSTRIB!$F:$F, MATCH(TEXT($D342,"000000"), BASE_CCLASSTRIB!$A:$A, 0))/100, 0)</f>
        <v>0</v>
      </c>
    </row>
    <row r="343" spans="4:22" ht="32.25" customHeight="1">
      <c r="D343" s="40"/>
      <c r="E343" s="27" t="str">
        <f>IF(D343="","",LEFT(D343,3))</f>
        <v/>
      </c>
      <c r="F343" s="28" t="str">
        <f>IF(E343="","",IFERROR(VLOOKUP(E343,REGRAS_CST!$A$2:$B$200,2,FALSE),""))</f>
        <v/>
      </c>
      <c r="H343" s="29">
        <v>8.9999999999999993E-3</v>
      </c>
      <c r="I343" s="29">
        <v>1E-3</v>
      </c>
      <c r="K343" s="21" t="str">
        <f>IF(E343="","",IFERROR(VLOOKUP(E343,REGRAS_CST!$A$2:$C$200,3,FALSE),""))</f>
        <v/>
      </c>
      <c r="L343" s="23" t="str">
        <f>IF($G343="", "", $G343*(1-$V343))</f>
        <v/>
      </c>
      <c r="M343" s="24" t="str">
        <f>IF(OR($L343="",$S343=""),"",$L343*$S343)</f>
        <v/>
      </c>
      <c r="N343" s="24" t="str">
        <f>IF(OR($L343="",$T343=""),"",$L343*$T343)</f>
        <v/>
      </c>
      <c r="O343" s="15" t="str">
        <f>IF(D343="","",
IF(AND(K343&lt;&gt;"SIM",V343&gt;0),"ERRO: % BC &gt; 0, mas NÃO permitida ❌",
IF(AND(K343="SIM",V343=0),"ATENÇÃO: BC permitida, mas % = 0 🔎",
"Base de cálculo aplicada corretamente ✅")))</f>
        <v/>
      </c>
      <c r="P343" s="31" t="str">
        <f>IF(D343="","",
IF(AND(Q343&lt;&gt;"SIM",U343&gt;0),"ERRO: % alíquota &gt; 0, mas NÃO permitida ❌",
IF(AND(Q343="SIM",U343=0),"ATENÇÃO: alíquota permitida, mas % = 0 🔎",
"Alíquota aplicada corretamente ✅")))</f>
        <v/>
      </c>
      <c r="Q343" s="8" t="str">
        <f>IF(E343="","",IFERROR(VLOOKUP(E343,REGRAS_CST!$A$2:$D$200,4,FALSE),""))</f>
        <v/>
      </c>
      <c r="S343" s="9">
        <f>IF($H343="","",$H343*(1-$U343))</f>
        <v>8.9999999999999993E-3</v>
      </c>
      <c r="T343" s="9">
        <f>IF($I343="","",$I343*(1-$U343))</f>
        <v>1E-3</v>
      </c>
      <c r="U343" s="16">
        <f>IFERROR(INDEX(BASE_CCLASSTRIB!$E:$E, MATCH(TEXT($D343,"000000"), BASE_CCLASSTRIB!$A:$A, 0))/100, 0)</f>
        <v>0</v>
      </c>
      <c r="V343" s="16">
        <f>IFERROR(INDEX(BASE_CCLASSTRIB!$F:$F, MATCH(TEXT($D343,"000000"), BASE_CCLASSTRIB!$A:$A, 0))/100, 0)</f>
        <v>0</v>
      </c>
    </row>
    <row r="344" spans="4:22" ht="32.25" customHeight="1">
      <c r="D344" s="40"/>
      <c r="E344" s="27" t="str">
        <f>IF(D344="","",LEFT(D344,3))</f>
        <v/>
      </c>
      <c r="F344" s="28" t="str">
        <f>IF(E344="","",IFERROR(VLOOKUP(E344,REGRAS_CST!$A$2:$B$200,2,FALSE),""))</f>
        <v/>
      </c>
      <c r="H344" s="29">
        <v>8.9999999999999993E-3</v>
      </c>
      <c r="I344" s="29">
        <v>1E-3</v>
      </c>
      <c r="K344" s="21" t="str">
        <f>IF(E344="","",IFERROR(VLOOKUP(E344,REGRAS_CST!$A$2:$C$200,3,FALSE),""))</f>
        <v/>
      </c>
      <c r="L344" s="23" t="str">
        <f>IF($G344="", "", $G344*(1-$V344))</f>
        <v/>
      </c>
      <c r="M344" s="24" t="str">
        <f>IF(OR($L344="",$S344=""),"",$L344*$S344)</f>
        <v/>
      </c>
      <c r="N344" s="24" t="str">
        <f>IF(OR($L344="",$T344=""),"",$L344*$T344)</f>
        <v/>
      </c>
      <c r="O344" s="15" t="str">
        <f>IF(D344="","",
IF(AND(K344&lt;&gt;"SIM",V344&gt;0),"ERRO: % BC &gt; 0, mas NÃO permitida ❌",
IF(AND(K344="SIM",V344=0),"ATENÇÃO: BC permitida, mas % = 0 🔎",
"Base de cálculo aplicada corretamente ✅")))</f>
        <v/>
      </c>
      <c r="P344" s="31" t="str">
        <f>IF(D344="","",
IF(AND(Q344&lt;&gt;"SIM",U344&gt;0),"ERRO: % alíquota &gt; 0, mas NÃO permitida ❌",
IF(AND(Q344="SIM",U344=0),"ATENÇÃO: alíquota permitida, mas % = 0 🔎",
"Alíquota aplicada corretamente ✅")))</f>
        <v/>
      </c>
      <c r="Q344" s="8" t="str">
        <f>IF(E344="","",IFERROR(VLOOKUP(E344,REGRAS_CST!$A$2:$D$200,4,FALSE),""))</f>
        <v/>
      </c>
      <c r="S344" s="9">
        <f>IF($H344="","",$H344*(1-$U344))</f>
        <v>8.9999999999999993E-3</v>
      </c>
      <c r="T344" s="9">
        <f>IF($I344="","",$I344*(1-$U344))</f>
        <v>1E-3</v>
      </c>
      <c r="U344" s="16">
        <f>IFERROR(INDEX(BASE_CCLASSTRIB!$E:$E, MATCH(TEXT($D344,"000000"), BASE_CCLASSTRIB!$A:$A, 0))/100, 0)</f>
        <v>0</v>
      </c>
      <c r="V344" s="16">
        <f>IFERROR(INDEX(BASE_CCLASSTRIB!$F:$F, MATCH(TEXT($D344,"000000"), BASE_CCLASSTRIB!$A:$A, 0))/100, 0)</f>
        <v>0</v>
      </c>
    </row>
    <row r="345" spans="4:22" ht="32.25" customHeight="1">
      <c r="D345" s="40"/>
      <c r="E345" s="27" t="str">
        <f>IF(D345="","",LEFT(D345,3))</f>
        <v/>
      </c>
      <c r="F345" s="28" t="str">
        <f>IF(E345="","",IFERROR(VLOOKUP(E345,REGRAS_CST!$A$2:$B$200,2,FALSE),""))</f>
        <v/>
      </c>
      <c r="H345" s="29">
        <v>8.9999999999999993E-3</v>
      </c>
      <c r="I345" s="29">
        <v>1E-3</v>
      </c>
      <c r="K345" s="21" t="str">
        <f>IF(E345="","",IFERROR(VLOOKUP(E345,REGRAS_CST!$A$2:$C$200,3,FALSE),""))</f>
        <v/>
      </c>
      <c r="L345" s="23" t="str">
        <f>IF($G345="", "", $G345*(1-$V345))</f>
        <v/>
      </c>
      <c r="M345" s="24" t="str">
        <f>IF(OR($L345="",$S345=""),"",$L345*$S345)</f>
        <v/>
      </c>
      <c r="N345" s="24" t="str">
        <f>IF(OR($L345="",$T345=""),"",$L345*$T345)</f>
        <v/>
      </c>
      <c r="O345" s="15" t="str">
        <f>IF(D345="","",
IF(AND(K345&lt;&gt;"SIM",V345&gt;0),"ERRO: % BC &gt; 0, mas NÃO permitida ❌",
IF(AND(K345="SIM",V345=0),"ATENÇÃO: BC permitida, mas % = 0 🔎",
"Base de cálculo aplicada corretamente ✅")))</f>
        <v/>
      </c>
      <c r="P345" s="31" t="str">
        <f>IF(D345="","",
IF(AND(Q345&lt;&gt;"SIM",U345&gt;0),"ERRO: % alíquota &gt; 0, mas NÃO permitida ❌",
IF(AND(Q345="SIM",U345=0),"ATENÇÃO: alíquota permitida, mas % = 0 🔎",
"Alíquota aplicada corretamente ✅")))</f>
        <v/>
      </c>
      <c r="Q345" s="8" t="str">
        <f>IF(E345="","",IFERROR(VLOOKUP(E345,REGRAS_CST!$A$2:$D$200,4,FALSE),""))</f>
        <v/>
      </c>
      <c r="S345" s="9">
        <f>IF($H345="","",$H345*(1-$U345))</f>
        <v>8.9999999999999993E-3</v>
      </c>
      <c r="T345" s="9">
        <f>IF($I345="","",$I345*(1-$U345))</f>
        <v>1E-3</v>
      </c>
      <c r="U345" s="16">
        <f>IFERROR(INDEX(BASE_CCLASSTRIB!$E:$E, MATCH(TEXT($D345,"000000"), BASE_CCLASSTRIB!$A:$A, 0))/100, 0)</f>
        <v>0</v>
      </c>
      <c r="V345" s="16">
        <f>IFERROR(INDEX(BASE_CCLASSTRIB!$F:$F, MATCH(TEXT($D345,"000000"), BASE_CCLASSTRIB!$A:$A, 0))/100, 0)</f>
        <v>0</v>
      </c>
    </row>
    <row r="346" spans="4:22" ht="32.25" customHeight="1">
      <c r="D346" s="39"/>
      <c r="E346" s="27" t="str">
        <f>IF(D346="","",LEFT(D346,3))</f>
        <v/>
      </c>
      <c r="F346" s="28" t="str">
        <f>IF(E346="","",IFERROR(VLOOKUP(E346,REGRAS_CST!$A$2:$B$200,2,FALSE),""))</f>
        <v/>
      </c>
      <c r="H346" s="29">
        <v>8.9999999999999993E-3</v>
      </c>
      <c r="I346" s="29">
        <v>1E-3</v>
      </c>
      <c r="K346" s="21" t="str">
        <f>IF(E346="","",IFERROR(VLOOKUP(E346,REGRAS_CST!$A$2:$C$200,3,FALSE),""))</f>
        <v/>
      </c>
      <c r="L346" s="23" t="str">
        <f>IF($G346="", "", $G346*(1-$V346))</f>
        <v/>
      </c>
      <c r="M346" s="24" t="str">
        <f>IF(OR($L346="",$S346=""),"",$L346*$S346)</f>
        <v/>
      </c>
      <c r="N346" s="24" t="str">
        <f>IF(OR($L346="",$T346=""),"",$L346*$T346)</f>
        <v/>
      </c>
      <c r="O346" s="15" t="str">
        <f>IF(D346="","",
IF(AND(K346&lt;&gt;"SIM",V346&gt;0),"ERRO: % BC &gt; 0, mas NÃO permitida ❌",
IF(AND(K346="SIM",V346=0),"ATENÇÃO: BC permitida, mas % = 0 🔎",
"Base de cálculo aplicada corretamente ✅")))</f>
        <v/>
      </c>
      <c r="P346" s="31" t="str">
        <f>IF(D346="","",
IF(AND(Q346&lt;&gt;"SIM",U346&gt;0),"ERRO: % alíquota &gt; 0, mas NÃO permitida ❌",
IF(AND(Q346="SIM",U346=0),"ATENÇÃO: alíquota permitida, mas % = 0 🔎",
"Alíquota aplicada corretamente ✅")))</f>
        <v/>
      </c>
      <c r="Q346" s="8" t="str">
        <f>IF(E346="","",IFERROR(VLOOKUP(E346,REGRAS_CST!$A$2:$D$200,4,FALSE),""))</f>
        <v/>
      </c>
      <c r="S346" s="9">
        <f>IF($H346="","",$H346*(1-$U346))</f>
        <v>8.9999999999999993E-3</v>
      </c>
      <c r="T346" s="9">
        <f>IF($I346="","",$I346*(1-$U346))</f>
        <v>1E-3</v>
      </c>
      <c r="U346" s="16">
        <f>IFERROR(INDEX(BASE_CCLASSTRIB!$E:$E, MATCH(TEXT($D346,"000000"), BASE_CCLASSTRIB!$A:$A, 0))/100, 0)</f>
        <v>0</v>
      </c>
      <c r="V346" s="16">
        <f>IFERROR(INDEX(BASE_CCLASSTRIB!$F:$F, MATCH(TEXT($D346,"000000"), BASE_CCLASSTRIB!$A:$A, 0))/100, 0)</f>
        <v>0</v>
      </c>
    </row>
    <row r="347" spans="4:22" ht="32.25" customHeight="1">
      <c r="D347" s="39"/>
      <c r="E347" s="27" t="str">
        <f>IF(D347="","",LEFT(D347,3))</f>
        <v/>
      </c>
      <c r="F347" s="28" t="str">
        <f>IF(E347="","",IFERROR(VLOOKUP(E347,REGRAS_CST!$A$2:$B$200,2,FALSE),""))</f>
        <v/>
      </c>
      <c r="H347" s="29">
        <v>8.9999999999999993E-3</v>
      </c>
      <c r="I347" s="29">
        <v>1E-3</v>
      </c>
      <c r="K347" s="21" t="str">
        <f>IF(E347="","",IFERROR(VLOOKUP(E347,REGRAS_CST!$A$2:$C$200,3,FALSE),""))</f>
        <v/>
      </c>
      <c r="L347" s="23" t="str">
        <f>IF($G347="", "", $G347*(1-$V347))</f>
        <v/>
      </c>
      <c r="M347" s="24" t="str">
        <f>IF(OR($L347="",$S347=""),"",$L347*$S347)</f>
        <v/>
      </c>
      <c r="N347" s="24" t="str">
        <f>IF(OR($L347="",$T347=""),"",$L347*$T347)</f>
        <v/>
      </c>
      <c r="O347" s="15" t="str">
        <f>IF(D347="","",
IF(AND(K347&lt;&gt;"SIM",V347&gt;0),"ERRO: % BC &gt; 0, mas NÃO permitida ❌",
IF(AND(K347="SIM",V347=0),"ATENÇÃO: BC permitida, mas % = 0 🔎",
"Base de cálculo aplicada corretamente ✅")))</f>
        <v/>
      </c>
      <c r="P347" s="31" t="str">
        <f>IF(D347="","",
IF(AND(Q347&lt;&gt;"SIM",U347&gt;0),"ERRO: % alíquota &gt; 0, mas NÃO permitida ❌",
IF(AND(Q347="SIM",U347=0),"ATENÇÃO: alíquota permitida, mas % = 0 🔎",
"Alíquota aplicada corretamente ✅")))</f>
        <v/>
      </c>
      <c r="Q347" s="8" t="str">
        <f>IF(E347="","",IFERROR(VLOOKUP(E347,REGRAS_CST!$A$2:$D$200,4,FALSE),""))</f>
        <v/>
      </c>
      <c r="S347" s="9">
        <f>IF($H347="","",$H347*(1-$U347))</f>
        <v>8.9999999999999993E-3</v>
      </c>
      <c r="T347" s="9">
        <f>IF($I347="","",$I347*(1-$U347))</f>
        <v>1E-3</v>
      </c>
      <c r="U347" s="16">
        <f>IFERROR(INDEX(BASE_CCLASSTRIB!$E:$E, MATCH(TEXT($D347,"000000"), BASE_CCLASSTRIB!$A:$A, 0))/100, 0)</f>
        <v>0</v>
      </c>
      <c r="V347" s="16">
        <f>IFERROR(INDEX(BASE_CCLASSTRIB!$F:$F, MATCH(TEXT($D347,"000000"), BASE_CCLASSTRIB!$A:$A, 0))/100, 0)</f>
        <v>0</v>
      </c>
    </row>
    <row r="348" spans="4:22" ht="32.25" customHeight="1">
      <c r="D348" s="39"/>
      <c r="E348" s="27" t="str">
        <f>IF(D348="","",LEFT(D348,3))</f>
        <v/>
      </c>
      <c r="F348" s="28" t="str">
        <f>IF(E348="","",IFERROR(VLOOKUP(E348,REGRAS_CST!$A$2:$B$200,2,FALSE),""))</f>
        <v/>
      </c>
      <c r="H348" s="29">
        <v>8.9999999999999993E-3</v>
      </c>
      <c r="I348" s="29">
        <v>1E-3</v>
      </c>
      <c r="K348" s="21" t="str">
        <f>IF(E348="","",IFERROR(VLOOKUP(E348,REGRAS_CST!$A$2:$C$200,3,FALSE),""))</f>
        <v/>
      </c>
      <c r="L348" s="23" t="str">
        <f>IF($G348="", "", $G348*(1-$V348))</f>
        <v/>
      </c>
      <c r="M348" s="24" t="str">
        <f>IF(OR($L348="",$S348=""),"",$L348*$S348)</f>
        <v/>
      </c>
      <c r="N348" s="24" t="str">
        <f>IF(OR($L348="",$T348=""),"",$L348*$T348)</f>
        <v/>
      </c>
      <c r="O348" s="15" t="str">
        <f>IF(D348="","",
IF(AND(K348&lt;&gt;"SIM",V348&gt;0),"ERRO: % BC &gt; 0, mas NÃO permitida ❌",
IF(AND(K348="SIM",V348=0),"ATENÇÃO: BC permitida, mas % = 0 🔎",
"Base de cálculo aplicada corretamente ✅")))</f>
        <v/>
      </c>
      <c r="P348" s="31" t="str">
        <f>IF(D348="","",
IF(AND(Q348&lt;&gt;"SIM",U348&gt;0),"ERRO: % alíquota &gt; 0, mas NÃO permitida ❌",
IF(AND(Q348="SIM",U348=0),"ATENÇÃO: alíquota permitida, mas % = 0 🔎",
"Alíquota aplicada corretamente ✅")))</f>
        <v/>
      </c>
      <c r="Q348" s="8" t="str">
        <f>IF(E348="","",IFERROR(VLOOKUP(E348,REGRAS_CST!$A$2:$D$200,4,FALSE),""))</f>
        <v/>
      </c>
      <c r="S348" s="9">
        <f>IF($H348="","",$H348*(1-$U348))</f>
        <v>8.9999999999999993E-3</v>
      </c>
      <c r="T348" s="9">
        <f>IF($I348="","",$I348*(1-$U348))</f>
        <v>1E-3</v>
      </c>
      <c r="U348" s="16">
        <f>IFERROR(INDEX(BASE_CCLASSTRIB!$E:$E, MATCH(TEXT($D348,"000000"), BASE_CCLASSTRIB!$A:$A, 0))/100, 0)</f>
        <v>0</v>
      </c>
      <c r="V348" s="16">
        <f>IFERROR(INDEX(BASE_CCLASSTRIB!$F:$F, MATCH(TEXT($D348,"000000"), BASE_CCLASSTRIB!$A:$A, 0))/100, 0)</f>
        <v>0</v>
      </c>
    </row>
    <row r="349" spans="4:22" ht="32.25" customHeight="1">
      <c r="D349" s="39"/>
      <c r="E349" s="27" t="str">
        <f>IF(D349="","",LEFT(D349,3))</f>
        <v/>
      </c>
      <c r="F349" s="28" t="str">
        <f>IF(E349="","",IFERROR(VLOOKUP(E349,REGRAS_CST!$A$2:$B$200,2,FALSE),""))</f>
        <v/>
      </c>
      <c r="H349" s="29">
        <v>8.9999999999999993E-3</v>
      </c>
      <c r="I349" s="29">
        <v>1E-3</v>
      </c>
      <c r="K349" s="21" t="str">
        <f>IF(E349="","",IFERROR(VLOOKUP(E349,REGRAS_CST!$A$2:$C$200,3,FALSE),""))</f>
        <v/>
      </c>
      <c r="L349" s="23" t="str">
        <f>IF($G349="", "", $G349*(1-$V349))</f>
        <v/>
      </c>
      <c r="M349" s="24" t="str">
        <f>IF(OR($L349="",$S349=""),"",$L349*$S349)</f>
        <v/>
      </c>
      <c r="N349" s="24" t="str">
        <f>IF(OR($L349="",$T349=""),"",$L349*$T349)</f>
        <v/>
      </c>
      <c r="O349" s="15" t="str">
        <f>IF(D349="","",
IF(AND(K349&lt;&gt;"SIM",V349&gt;0),"ERRO: % BC &gt; 0, mas NÃO permitida ❌",
IF(AND(K349="SIM",V349=0),"ATENÇÃO: BC permitida, mas % = 0 🔎",
"Base de cálculo aplicada corretamente ✅")))</f>
        <v/>
      </c>
      <c r="P349" s="31" t="str">
        <f>IF(D349="","",
IF(AND(Q349&lt;&gt;"SIM",U349&gt;0),"ERRO: % alíquota &gt; 0, mas NÃO permitida ❌",
IF(AND(Q349="SIM",U349=0),"ATENÇÃO: alíquota permitida, mas % = 0 🔎",
"Alíquota aplicada corretamente ✅")))</f>
        <v/>
      </c>
      <c r="Q349" s="8" t="str">
        <f>IF(E349="","",IFERROR(VLOOKUP(E349,REGRAS_CST!$A$2:$D$200,4,FALSE),""))</f>
        <v/>
      </c>
      <c r="S349" s="9">
        <f>IF($H349="","",$H349*(1-$U349))</f>
        <v>8.9999999999999993E-3</v>
      </c>
      <c r="T349" s="9">
        <f>IF($I349="","",$I349*(1-$U349))</f>
        <v>1E-3</v>
      </c>
      <c r="U349" s="16">
        <f>IFERROR(INDEX(BASE_CCLASSTRIB!$E:$E, MATCH(TEXT($D349,"000000"), BASE_CCLASSTRIB!$A:$A, 0))/100, 0)</f>
        <v>0</v>
      </c>
      <c r="V349" s="16">
        <f>IFERROR(INDEX(BASE_CCLASSTRIB!$F:$F, MATCH(TEXT($D349,"000000"), BASE_CCLASSTRIB!$A:$A, 0))/100, 0)</f>
        <v>0</v>
      </c>
    </row>
    <row r="350" spans="4:22" ht="32.25" customHeight="1">
      <c r="D350" s="39"/>
      <c r="E350" s="27" t="str">
        <f>IF(D350="","",LEFT(D350,3))</f>
        <v/>
      </c>
      <c r="F350" s="28" t="str">
        <f>IF(E350="","",IFERROR(VLOOKUP(E350,REGRAS_CST!$A$2:$B$200,2,FALSE),""))</f>
        <v/>
      </c>
      <c r="H350" s="29">
        <v>8.9999999999999993E-3</v>
      </c>
      <c r="I350" s="29">
        <v>1E-3</v>
      </c>
      <c r="K350" s="21" t="str">
        <f>IF(E350="","",IFERROR(VLOOKUP(E350,REGRAS_CST!$A$2:$C$200,3,FALSE),""))</f>
        <v/>
      </c>
      <c r="L350" s="23" t="str">
        <f>IF($G350="", "", $G350*(1-$V350))</f>
        <v/>
      </c>
      <c r="M350" s="24" t="str">
        <f>IF(OR($L350="",$S350=""),"",$L350*$S350)</f>
        <v/>
      </c>
      <c r="N350" s="24" t="str">
        <f>IF(OR($L350="",$T350=""),"",$L350*$T350)</f>
        <v/>
      </c>
      <c r="O350" s="15" t="str">
        <f>IF(D350="","",
IF(AND(K350&lt;&gt;"SIM",V350&gt;0),"ERRO: % BC &gt; 0, mas NÃO permitida ❌",
IF(AND(K350="SIM",V350=0),"ATENÇÃO: BC permitida, mas % = 0 🔎",
"Base de cálculo aplicada corretamente ✅")))</f>
        <v/>
      </c>
      <c r="P350" s="31" t="str">
        <f>IF(D350="","",
IF(AND(Q350&lt;&gt;"SIM",U350&gt;0),"ERRO: % alíquota &gt; 0, mas NÃO permitida ❌",
IF(AND(Q350="SIM",U350=0),"ATENÇÃO: alíquota permitida, mas % = 0 🔎",
"Alíquota aplicada corretamente ✅")))</f>
        <v/>
      </c>
      <c r="Q350" s="8" t="str">
        <f>IF(E350="","",IFERROR(VLOOKUP(E350,REGRAS_CST!$A$2:$D$200,4,FALSE),""))</f>
        <v/>
      </c>
      <c r="S350" s="9">
        <f>IF($H350="","",$H350*(1-$U350))</f>
        <v>8.9999999999999993E-3</v>
      </c>
      <c r="T350" s="9">
        <f>IF($I350="","",$I350*(1-$U350))</f>
        <v>1E-3</v>
      </c>
      <c r="U350" s="16">
        <f>IFERROR(INDEX(BASE_CCLASSTRIB!$E:$E, MATCH(TEXT($D350,"000000"), BASE_CCLASSTRIB!$A:$A, 0))/100, 0)</f>
        <v>0</v>
      </c>
      <c r="V350" s="16">
        <f>IFERROR(INDEX(BASE_CCLASSTRIB!$F:$F, MATCH(TEXT($D350,"000000"), BASE_CCLASSTRIB!$A:$A, 0))/100, 0)</f>
        <v>0</v>
      </c>
    </row>
    <row r="351" spans="4:22" ht="32.25" customHeight="1">
      <c r="D351" s="40"/>
      <c r="E351" s="27" t="str">
        <f>IF(D351="","",LEFT(D351,3))</f>
        <v/>
      </c>
      <c r="F351" s="28" t="str">
        <f>IF(E351="","",IFERROR(VLOOKUP(E351,REGRAS_CST!$A$2:$B$200,2,FALSE),""))</f>
        <v/>
      </c>
      <c r="H351" s="29">
        <v>8.9999999999999993E-3</v>
      </c>
      <c r="I351" s="29">
        <v>1E-3</v>
      </c>
      <c r="K351" s="21" t="str">
        <f>IF(E351="","",IFERROR(VLOOKUP(E351,REGRAS_CST!$A$2:$C$200,3,FALSE),""))</f>
        <v/>
      </c>
      <c r="L351" s="23" t="str">
        <f>IF($G351="", "", $G351*(1-$V351))</f>
        <v/>
      </c>
      <c r="M351" s="24" t="str">
        <f>IF(OR($L351="",$S351=""),"",$L351*$S351)</f>
        <v/>
      </c>
      <c r="N351" s="24" t="str">
        <f>IF(OR($L351="",$T351=""),"",$L351*$T351)</f>
        <v/>
      </c>
      <c r="O351" s="15" t="str">
        <f>IF(D351="","",
IF(AND(K351&lt;&gt;"SIM",V351&gt;0),"ERRO: % BC &gt; 0, mas NÃO permitida ❌",
IF(AND(K351="SIM",V351=0),"ATENÇÃO: BC permitida, mas % = 0 🔎",
"Base de cálculo aplicada corretamente ✅")))</f>
        <v/>
      </c>
      <c r="P351" s="31" t="str">
        <f>IF(D351="","",
IF(AND(Q351&lt;&gt;"SIM",U351&gt;0),"ERRO: % alíquota &gt; 0, mas NÃO permitida ❌",
IF(AND(Q351="SIM",U351=0),"ATENÇÃO: alíquota permitida, mas % = 0 🔎",
"Alíquota aplicada corretamente ✅")))</f>
        <v/>
      </c>
      <c r="Q351" s="8" t="str">
        <f>IF(E351="","",IFERROR(VLOOKUP(E351,REGRAS_CST!$A$2:$D$200,4,FALSE),""))</f>
        <v/>
      </c>
      <c r="S351" s="9">
        <f>IF($H351="","",$H351*(1-$U351))</f>
        <v>8.9999999999999993E-3</v>
      </c>
      <c r="T351" s="9">
        <f>IF($I351="","",$I351*(1-$U351))</f>
        <v>1E-3</v>
      </c>
      <c r="U351" s="16">
        <f>IFERROR(INDEX(BASE_CCLASSTRIB!$E:$E, MATCH(TEXT($D351,"000000"), BASE_CCLASSTRIB!$A:$A, 0))/100, 0)</f>
        <v>0</v>
      </c>
      <c r="V351" s="16">
        <f>IFERROR(INDEX(BASE_CCLASSTRIB!$F:$F, MATCH(TEXT($D351,"000000"), BASE_CCLASSTRIB!$A:$A, 0))/100, 0)</f>
        <v>0</v>
      </c>
    </row>
    <row r="352" spans="4:22" ht="32.25" customHeight="1">
      <c r="D352" s="40"/>
      <c r="E352" s="27" t="str">
        <f>IF(D352="","",LEFT(D352,3))</f>
        <v/>
      </c>
      <c r="F352" s="28" t="str">
        <f>IF(E352="","",IFERROR(VLOOKUP(E352,REGRAS_CST!$A$2:$B$200,2,FALSE),""))</f>
        <v/>
      </c>
      <c r="H352" s="29">
        <v>8.9999999999999993E-3</v>
      </c>
      <c r="I352" s="29">
        <v>1E-3</v>
      </c>
      <c r="K352" s="21" t="str">
        <f>IF(E352="","",IFERROR(VLOOKUP(E352,REGRAS_CST!$A$2:$C$200,3,FALSE),""))</f>
        <v/>
      </c>
      <c r="L352" s="23" t="str">
        <f>IF($G352="", "", $G352*(1-$V352))</f>
        <v/>
      </c>
      <c r="M352" s="24" t="str">
        <f>IF(OR($L352="",$S352=""),"",$L352*$S352)</f>
        <v/>
      </c>
      <c r="N352" s="24" t="str">
        <f>IF(OR($L352="",$T352=""),"",$L352*$T352)</f>
        <v/>
      </c>
      <c r="O352" s="15" t="str">
        <f>IF(D352="","",
IF(AND(K352&lt;&gt;"SIM",V352&gt;0),"ERRO: % BC &gt; 0, mas NÃO permitida ❌",
IF(AND(K352="SIM",V352=0),"ATENÇÃO: BC permitida, mas % = 0 🔎",
"Base de cálculo aplicada corretamente ✅")))</f>
        <v/>
      </c>
      <c r="P352" s="31" t="str">
        <f>IF(D352="","",
IF(AND(Q352&lt;&gt;"SIM",U352&gt;0),"ERRO: % alíquota &gt; 0, mas NÃO permitida ❌",
IF(AND(Q352="SIM",U352=0),"ATENÇÃO: alíquota permitida, mas % = 0 🔎",
"Alíquota aplicada corretamente ✅")))</f>
        <v/>
      </c>
      <c r="Q352" s="8" t="str">
        <f>IF(E352="","",IFERROR(VLOOKUP(E352,REGRAS_CST!$A$2:$D$200,4,FALSE),""))</f>
        <v/>
      </c>
      <c r="S352" s="9">
        <f>IF($H352="","",$H352*(1-$U352))</f>
        <v>8.9999999999999993E-3</v>
      </c>
      <c r="T352" s="9">
        <f>IF($I352="","",$I352*(1-$U352))</f>
        <v>1E-3</v>
      </c>
      <c r="U352" s="16">
        <f>IFERROR(INDEX(BASE_CCLASSTRIB!$E:$E, MATCH(TEXT($D352,"000000"), BASE_CCLASSTRIB!$A:$A, 0))/100, 0)</f>
        <v>0</v>
      </c>
      <c r="V352" s="16">
        <f>IFERROR(INDEX(BASE_CCLASSTRIB!$F:$F, MATCH(TEXT($D352,"000000"), BASE_CCLASSTRIB!$A:$A, 0))/100, 0)</f>
        <v>0</v>
      </c>
    </row>
    <row r="353" spans="4:22" ht="32.25" customHeight="1">
      <c r="D353" s="39"/>
      <c r="E353" s="27" t="str">
        <f>IF(D353="","",LEFT(D353,3))</f>
        <v/>
      </c>
      <c r="F353" s="28" t="str">
        <f>IF(E353="","",IFERROR(VLOOKUP(E353,REGRAS_CST!$A$2:$B$200,2,FALSE),""))</f>
        <v/>
      </c>
      <c r="H353" s="29">
        <v>8.9999999999999993E-3</v>
      </c>
      <c r="I353" s="29">
        <v>1E-3</v>
      </c>
      <c r="K353" s="21" t="str">
        <f>IF(E353="","",IFERROR(VLOOKUP(E353,REGRAS_CST!$A$2:$C$200,3,FALSE),""))</f>
        <v/>
      </c>
      <c r="L353" s="23" t="str">
        <f>IF($G353="", "", $G353*(1-$V353))</f>
        <v/>
      </c>
      <c r="M353" s="24" t="str">
        <f>IF(OR($L353="",$S353=""),"",$L353*$S353)</f>
        <v/>
      </c>
      <c r="N353" s="24" t="str">
        <f>IF(OR($L353="",$T353=""),"",$L353*$T353)</f>
        <v/>
      </c>
      <c r="O353" s="15" t="str">
        <f>IF(D353="","",
IF(AND(K353&lt;&gt;"SIM",V353&gt;0),"ERRO: % BC &gt; 0, mas NÃO permitida ❌",
IF(AND(K353="SIM",V353=0),"ATENÇÃO: BC permitida, mas % = 0 🔎",
"Base de cálculo aplicada corretamente ✅")))</f>
        <v/>
      </c>
      <c r="P353" s="31" t="str">
        <f>IF(D353="","",
IF(AND(Q353&lt;&gt;"SIM",U353&gt;0),"ERRO: % alíquota &gt; 0, mas NÃO permitida ❌",
IF(AND(Q353="SIM",U353=0),"ATENÇÃO: alíquota permitida, mas % = 0 🔎",
"Alíquota aplicada corretamente ✅")))</f>
        <v/>
      </c>
      <c r="Q353" s="8" t="str">
        <f>IF(E353="","",IFERROR(VLOOKUP(E353,REGRAS_CST!$A$2:$D$200,4,FALSE),""))</f>
        <v/>
      </c>
      <c r="S353" s="9">
        <f>IF($H353="","",$H353*(1-$U353))</f>
        <v>8.9999999999999993E-3</v>
      </c>
      <c r="T353" s="9">
        <f>IF($I353="","",$I353*(1-$U353))</f>
        <v>1E-3</v>
      </c>
      <c r="U353" s="16">
        <f>IFERROR(INDEX(BASE_CCLASSTRIB!$E:$E, MATCH(TEXT($D353,"000000"), BASE_CCLASSTRIB!$A:$A, 0))/100, 0)</f>
        <v>0</v>
      </c>
      <c r="V353" s="16">
        <f>IFERROR(INDEX(BASE_CCLASSTRIB!$F:$F, MATCH(TEXT($D353,"000000"), BASE_CCLASSTRIB!$A:$A, 0))/100, 0)</f>
        <v>0</v>
      </c>
    </row>
    <row r="354" spans="4:22" ht="32.25" customHeight="1">
      <c r="D354" s="39"/>
      <c r="E354" s="27" t="str">
        <f>IF(D354="","",LEFT(D354,3))</f>
        <v/>
      </c>
      <c r="F354" s="28" t="str">
        <f>IF(E354="","",IFERROR(VLOOKUP(E354,REGRAS_CST!$A$2:$B$200,2,FALSE),""))</f>
        <v/>
      </c>
      <c r="H354" s="29">
        <v>8.9999999999999993E-3</v>
      </c>
      <c r="I354" s="29">
        <v>1E-3</v>
      </c>
      <c r="K354" s="21" t="str">
        <f>IF(E354="","",IFERROR(VLOOKUP(E354,REGRAS_CST!$A$2:$C$200,3,FALSE),""))</f>
        <v/>
      </c>
      <c r="L354" s="23" t="str">
        <f>IF($G354="", "", $G354*(1-$V354))</f>
        <v/>
      </c>
      <c r="M354" s="24" t="str">
        <f>IF(OR($L354="",$S354=""),"",$L354*$S354)</f>
        <v/>
      </c>
      <c r="N354" s="24" t="str">
        <f>IF(OR($L354="",$T354=""),"",$L354*$T354)</f>
        <v/>
      </c>
      <c r="O354" s="15" t="str">
        <f>IF(D354="","",
IF(AND(K354&lt;&gt;"SIM",V354&gt;0),"ERRO: % BC &gt; 0, mas NÃO permitida ❌",
IF(AND(K354="SIM",V354=0),"ATENÇÃO: BC permitida, mas % = 0 🔎",
"Base de cálculo aplicada corretamente ✅")))</f>
        <v/>
      </c>
      <c r="P354" s="31" t="str">
        <f>IF(D354="","",
IF(AND(Q354&lt;&gt;"SIM",U354&gt;0),"ERRO: % alíquota &gt; 0, mas NÃO permitida ❌",
IF(AND(Q354="SIM",U354=0),"ATENÇÃO: alíquota permitida, mas % = 0 🔎",
"Alíquota aplicada corretamente ✅")))</f>
        <v/>
      </c>
      <c r="Q354" s="8" t="str">
        <f>IF(E354="","",IFERROR(VLOOKUP(E354,REGRAS_CST!$A$2:$D$200,4,FALSE),""))</f>
        <v/>
      </c>
      <c r="S354" s="9">
        <f>IF($H354="","",$H354*(1-$U354))</f>
        <v>8.9999999999999993E-3</v>
      </c>
      <c r="T354" s="9">
        <f>IF($I354="","",$I354*(1-$U354))</f>
        <v>1E-3</v>
      </c>
      <c r="U354" s="16">
        <f>IFERROR(INDEX(BASE_CCLASSTRIB!$E:$E, MATCH(TEXT($D354,"000000"), BASE_CCLASSTRIB!$A:$A, 0))/100, 0)</f>
        <v>0</v>
      </c>
      <c r="V354" s="16">
        <f>IFERROR(INDEX(BASE_CCLASSTRIB!$F:$F, MATCH(TEXT($D354,"000000"), BASE_CCLASSTRIB!$A:$A, 0))/100, 0)</f>
        <v>0</v>
      </c>
    </row>
    <row r="355" spans="4:22" ht="32.25" customHeight="1">
      <c r="D355" s="39"/>
      <c r="E355" s="27" t="str">
        <f>IF(D355="","",LEFT(D355,3))</f>
        <v/>
      </c>
      <c r="F355" s="28" t="str">
        <f>IF(E355="","",IFERROR(VLOOKUP(E355,REGRAS_CST!$A$2:$B$200,2,FALSE),""))</f>
        <v/>
      </c>
      <c r="H355" s="29">
        <v>8.9999999999999993E-3</v>
      </c>
      <c r="I355" s="29">
        <v>1E-3</v>
      </c>
      <c r="K355" s="21" t="str">
        <f>IF(E355="","",IFERROR(VLOOKUP(E355,REGRAS_CST!$A$2:$C$200,3,FALSE),""))</f>
        <v/>
      </c>
      <c r="L355" s="23" t="str">
        <f>IF($G355="", "", $G355*(1-$V355))</f>
        <v/>
      </c>
      <c r="M355" s="24" t="str">
        <f>IF(OR($L355="",$S355=""),"",$L355*$S355)</f>
        <v/>
      </c>
      <c r="N355" s="24" t="str">
        <f>IF(OR($L355="",$T355=""),"",$L355*$T355)</f>
        <v/>
      </c>
      <c r="O355" s="15" t="str">
        <f>IF(D355="","",
IF(AND(K355&lt;&gt;"SIM",V355&gt;0),"ERRO: % BC &gt; 0, mas NÃO permitida ❌",
IF(AND(K355="SIM",V355=0),"ATENÇÃO: BC permitida, mas % = 0 🔎",
"Base de cálculo aplicada corretamente ✅")))</f>
        <v/>
      </c>
      <c r="P355" s="31" t="str">
        <f>IF(D355="","",
IF(AND(Q355&lt;&gt;"SIM",U355&gt;0),"ERRO: % alíquota &gt; 0, mas NÃO permitida ❌",
IF(AND(Q355="SIM",U355=0),"ATENÇÃO: alíquota permitida, mas % = 0 🔎",
"Alíquota aplicada corretamente ✅")))</f>
        <v/>
      </c>
      <c r="Q355" s="8" t="str">
        <f>IF(E355="","",IFERROR(VLOOKUP(E355,REGRAS_CST!$A$2:$D$200,4,FALSE),""))</f>
        <v/>
      </c>
      <c r="S355" s="9">
        <f>IF($H355="","",$H355*(1-$U355))</f>
        <v>8.9999999999999993E-3</v>
      </c>
      <c r="T355" s="9">
        <f>IF($I355="","",$I355*(1-$U355))</f>
        <v>1E-3</v>
      </c>
      <c r="U355" s="16">
        <f>IFERROR(INDEX(BASE_CCLASSTRIB!$E:$E, MATCH(TEXT($D355,"000000"), BASE_CCLASSTRIB!$A:$A, 0))/100, 0)</f>
        <v>0</v>
      </c>
      <c r="V355" s="16">
        <f>IFERROR(INDEX(BASE_CCLASSTRIB!$F:$F, MATCH(TEXT($D355,"000000"), BASE_CCLASSTRIB!$A:$A, 0))/100, 0)</f>
        <v>0</v>
      </c>
    </row>
    <row r="356" spans="4:22" ht="32.25" customHeight="1">
      <c r="D356" s="39"/>
      <c r="E356" s="27" t="str">
        <f>IF(D356="","",LEFT(D356,3))</f>
        <v/>
      </c>
      <c r="F356" s="28" t="str">
        <f>IF(E356="","",IFERROR(VLOOKUP(E356,REGRAS_CST!$A$2:$B$200,2,FALSE),""))</f>
        <v/>
      </c>
      <c r="H356" s="29">
        <v>8.9999999999999993E-3</v>
      </c>
      <c r="I356" s="29">
        <v>1E-3</v>
      </c>
      <c r="K356" s="21" t="str">
        <f>IF(E356="","",IFERROR(VLOOKUP(E356,REGRAS_CST!$A$2:$C$200,3,FALSE),""))</f>
        <v/>
      </c>
      <c r="L356" s="23" t="str">
        <f>IF($G356="", "", $G356*(1-$V356))</f>
        <v/>
      </c>
      <c r="M356" s="24" t="str">
        <f>IF(OR($L356="",$S356=""),"",$L356*$S356)</f>
        <v/>
      </c>
      <c r="N356" s="24" t="str">
        <f>IF(OR($L356="",$T356=""),"",$L356*$T356)</f>
        <v/>
      </c>
      <c r="O356" s="15" t="str">
        <f>IF(D356="","",
IF(AND(K356&lt;&gt;"SIM",V356&gt;0),"ERRO: % BC &gt; 0, mas NÃO permitida ❌",
IF(AND(K356="SIM",V356=0),"ATENÇÃO: BC permitida, mas % = 0 🔎",
"Base de cálculo aplicada corretamente ✅")))</f>
        <v/>
      </c>
      <c r="P356" s="31" t="str">
        <f>IF(D356="","",
IF(AND(Q356&lt;&gt;"SIM",U356&gt;0),"ERRO: % alíquota &gt; 0, mas NÃO permitida ❌",
IF(AND(Q356="SIM",U356=0),"ATENÇÃO: alíquota permitida, mas % = 0 🔎",
"Alíquota aplicada corretamente ✅")))</f>
        <v/>
      </c>
      <c r="Q356" s="8" t="str">
        <f>IF(E356="","",IFERROR(VLOOKUP(E356,REGRAS_CST!$A$2:$D$200,4,FALSE),""))</f>
        <v/>
      </c>
      <c r="S356" s="9">
        <f>IF($H356="","",$H356*(1-$U356))</f>
        <v>8.9999999999999993E-3</v>
      </c>
      <c r="T356" s="9">
        <f>IF($I356="","",$I356*(1-$U356))</f>
        <v>1E-3</v>
      </c>
      <c r="U356" s="16">
        <f>IFERROR(INDEX(BASE_CCLASSTRIB!$E:$E, MATCH(TEXT($D356,"000000"), BASE_CCLASSTRIB!$A:$A, 0))/100, 0)</f>
        <v>0</v>
      </c>
      <c r="V356" s="16">
        <f>IFERROR(INDEX(BASE_CCLASSTRIB!$F:$F, MATCH(TEXT($D356,"000000"), BASE_CCLASSTRIB!$A:$A, 0))/100, 0)</f>
        <v>0</v>
      </c>
    </row>
    <row r="357" spans="4:22" ht="32.25" customHeight="1">
      <c r="D357" s="40"/>
      <c r="E357" s="27" t="str">
        <f>IF(D357="","",LEFT(D357,3))</f>
        <v/>
      </c>
      <c r="F357" s="28" t="str">
        <f>IF(E357="","",IFERROR(VLOOKUP(E357,REGRAS_CST!$A$2:$B$200,2,FALSE),""))</f>
        <v/>
      </c>
      <c r="H357" s="29">
        <v>8.9999999999999993E-3</v>
      </c>
      <c r="I357" s="29">
        <v>1E-3</v>
      </c>
      <c r="K357" s="21" t="str">
        <f>IF(E357="","",IFERROR(VLOOKUP(E357,REGRAS_CST!$A$2:$C$200,3,FALSE),""))</f>
        <v/>
      </c>
      <c r="L357" s="23" t="str">
        <f>IF($G357="", "", $G357*(1-$V357))</f>
        <v/>
      </c>
      <c r="M357" s="24" t="str">
        <f>IF(OR($L357="",$S357=""),"",$L357*$S357)</f>
        <v/>
      </c>
      <c r="N357" s="24" t="str">
        <f>IF(OR($L357="",$T357=""),"",$L357*$T357)</f>
        <v/>
      </c>
      <c r="O357" s="15" t="str">
        <f>IF(D357="","",
IF(AND(K357&lt;&gt;"SIM",V357&gt;0),"ERRO: % BC &gt; 0, mas NÃO permitida ❌",
IF(AND(K357="SIM",V357=0),"ATENÇÃO: BC permitida, mas % = 0 🔎",
"Base de cálculo aplicada corretamente ✅")))</f>
        <v/>
      </c>
      <c r="P357" s="31" t="str">
        <f>IF(D357="","",
IF(AND(Q357&lt;&gt;"SIM",U357&gt;0),"ERRO: % alíquota &gt; 0, mas NÃO permitida ❌",
IF(AND(Q357="SIM",U357=0),"ATENÇÃO: alíquota permitida, mas % = 0 🔎",
"Alíquota aplicada corretamente ✅")))</f>
        <v/>
      </c>
      <c r="Q357" s="8" t="str">
        <f>IF(E357="","",IFERROR(VLOOKUP(E357,REGRAS_CST!$A$2:$D$200,4,FALSE),""))</f>
        <v/>
      </c>
      <c r="S357" s="9">
        <f>IF($H357="","",$H357*(1-$U357))</f>
        <v>8.9999999999999993E-3</v>
      </c>
      <c r="T357" s="9">
        <f>IF($I357="","",$I357*(1-$U357))</f>
        <v>1E-3</v>
      </c>
      <c r="U357" s="16">
        <f>IFERROR(INDEX(BASE_CCLASSTRIB!$E:$E, MATCH(TEXT($D357,"000000"), BASE_CCLASSTRIB!$A:$A, 0))/100, 0)</f>
        <v>0</v>
      </c>
      <c r="V357" s="16">
        <f>IFERROR(INDEX(BASE_CCLASSTRIB!$F:$F, MATCH(TEXT($D357,"000000"), BASE_CCLASSTRIB!$A:$A, 0))/100, 0)</f>
        <v>0</v>
      </c>
    </row>
    <row r="358" spans="4:22" ht="32.25" customHeight="1">
      <c r="D358" s="39"/>
      <c r="E358" s="27" t="str">
        <f>IF(D358="","",LEFT(D358,3))</f>
        <v/>
      </c>
      <c r="F358" s="28" t="str">
        <f>IF(E358="","",IFERROR(VLOOKUP(E358,REGRAS_CST!$A$2:$B$200,2,FALSE),""))</f>
        <v/>
      </c>
      <c r="H358" s="29">
        <v>8.9999999999999993E-3</v>
      </c>
      <c r="I358" s="29">
        <v>1E-3</v>
      </c>
      <c r="K358" s="21" t="str">
        <f>IF(E358="","",IFERROR(VLOOKUP(E358,REGRAS_CST!$A$2:$C$200,3,FALSE),""))</f>
        <v/>
      </c>
      <c r="L358" s="23" t="str">
        <f>IF($G358="", "", $G358*(1-$V358))</f>
        <v/>
      </c>
      <c r="M358" s="24" t="str">
        <f>IF(OR($L358="",$S358=""),"",$L358*$S358)</f>
        <v/>
      </c>
      <c r="N358" s="24" t="str">
        <f>IF(OR($L358="",$T358=""),"",$L358*$T358)</f>
        <v/>
      </c>
      <c r="O358" s="15" t="str">
        <f>IF(D358="","",
IF(AND(K358&lt;&gt;"SIM",V358&gt;0),"ERRO: % BC &gt; 0, mas NÃO permitida ❌",
IF(AND(K358="SIM",V358=0),"ATENÇÃO: BC permitida, mas % = 0 🔎",
"Base de cálculo aplicada corretamente ✅")))</f>
        <v/>
      </c>
      <c r="P358" s="31" t="str">
        <f>IF(D358="","",
IF(AND(Q358&lt;&gt;"SIM",U358&gt;0),"ERRO: % alíquota &gt; 0, mas NÃO permitida ❌",
IF(AND(Q358="SIM",U358=0),"ATENÇÃO: alíquota permitida, mas % = 0 🔎",
"Alíquota aplicada corretamente ✅")))</f>
        <v/>
      </c>
      <c r="Q358" s="8" t="str">
        <f>IF(E358="","",IFERROR(VLOOKUP(E358,REGRAS_CST!$A$2:$D$200,4,FALSE),""))</f>
        <v/>
      </c>
      <c r="S358" s="9">
        <f>IF($H358="","",$H358*(1-$U358))</f>
        <v>8.9999999999999993E-3</v>
      </c>
      <c r="T358" s="9">
        <f>IF($I358="","",$I358*(1-$U358))</f>
        <v>1E-3</v>
      </c>
      <c r="U358" s="16">
        <f>IFERROR(INDEX(BASE_CCLASSTRIB!$E:$E, MATCH(TEXT($D358,"000000"), BASE_CCLASSTRIB!$A:$A, 0))/100, 0)</f>
        <v>0</v>
      </c>
      <c r="V358" s="16">
        <f>IFERROR(INDEX(BASE_CCLASSTRIB!$F:$F, MATCH(TEXT($D358,"000000"), BASE_CCLASSTRIB!$A:$A, 0))/100, 0)</f>
        <v>0</v>
      </c>
    </row>
    <row r="359" spans="4:22" ht="32.25" customHeight="1">
      <c r="D359" s="39"/>
      <c r="E359" s="27" t="str">
        <f>IF(D359="","",LEFT(D359,3))</f>
        <v/>
      </c>
      <c r="F359" s="28" t="str">
        <f>IF(E359="","",IFERROR(VLOOKUP(E359,REGRAS_CST!$A$2:$B$200,2,FALSE),""))</f>
        <v/>
      </c>
      <c r="H359" s="29">
        <v>8.9999999999999993E-3</v>
      </c>
      <c r="I359" s="29">
        <v>1E-3</v>
      </c>
      <c r="K359" s="21" t="str">
        <f>IF(E359="","",IFERROR(VLOOKUP(E359,REGRAS_CST!$A$2:$C$200,3,FALSE),""))</f>
        <v/>
      </c>
      <c r="L359" s="23" t="str">
        <f>IF($G359="", "", $G359*(1-$V359))</f>
        <v/>
      </c>
      <c r="M359" s="24" t="str">
        <f>IF(OR($L359="",$S359=""),"",$L359*$S359)</f>
        <v/>
      </c>
      <c r="N359" s="24" t="str">
        <f>IF(OR($L359="",$T359=""),"",$L359*$T359)</f>
        <v/>
      </c>
      <c r="O359" s="15" t="str">
        <f>IF(D359="","",
IF(AND(K359&lt;&gt;"SIM",V359&gt;0),"ERRO: % BC &gt; 0, mas NÃO permitida ❌",
IF(AND(K359="SIM",V359=0),"ATENÇÃO: BC permitida, mas % = 0 🔎",
"Base de cálculo aplicada corretamente ✅")))</f>
        <v/>
      </c>
      <c r="P359" s="31" t="str">
        <f>IF(D359="","",
IF(AND(Q359&lt;&gt;"SIM",U359&gt;0),"ERRO: % alíquota &gt; 0, mas NÃO permitida ❌",
IF(AND(Q359="SIM",U359=0),"ATENÇÃO: alíquota permitida, mas % = 0 🔎",
"Alíquota aplicada corretamente ✅")))</f>
        <v/>
      </c>
      <c r="Q359" s="8" t="str">
        <f>IF(E359="","",IFERROR(VLOOKUP(E359,REGRAS_CST!$A$2:$D$200,4,FALSE),""))</f>
        <v/>
      </c>
      <c r="S359" s="9">
        <f>IF($H359="","",$H359*(1-$U359))</f>
        <v>8.9999999999999993E-3</v>
      </c>
      <c r="T359" s="9">
        <f>IF($I359="","",$I359*(1-$U359))</f>
        <v>1E-3</v>
      </c>
      <c r="U359" s="16">
        <f>IFERROR(INDEX(BASE_CCLASSTRIB!$E:$E, MATCH(TEXT($D359,"000000"), BASE_CCLASSTRIB!$A:$A, 0))/100, 0)</f>
        <v>0</v>
      </c>
      <c r="V359" s="16">
        <f>IFERROR(INDEX(BASE_CCLASSTRIB!$F:$F, MATCH(TEXT($D359,"000000"), BASE_CCLASSTRIB!$A:$A, 0))/100, 0)</f>
        <v>0</v>
      </c>
    </row>
    <row r="360" spans="4:22" ht="32.25" customHeight="1">
      <c r="D360" s="39"/>
      <c r="E360" s="27" t="str">
        <f>IF(D360="","",LEFT(D360,3))</f>
        <v/>
      </c>
      <c r="F360" s="28" t="str">
        <f>IF(E360="","",IFERROR(VLOOKUP(E360,REGRAS_CST!$A$2:$B$200,2,FALSE),""))</f>
        <v/>
      </c>
      <c r="H360" s="29">
        <v>8.9999999999999993E-3</v>
      </c>
      <c r="I360" s="29">
        <v>1E-3</v>
      </c>
      <c r="K360" s="21" t="str">
        <f>IF(E360="","",IFERROR(VLOOKUP(E360,REGRAS_CST!$A$2:$C$200,3,FALSE),""))</f>
        <v/>
      </c>
      <c r="L360" s="23" t="str">
        <f>IF($G360="", "", $G360*(1-$V360))</f>
        <v/>
      </c>
      <c r="M360" s="24" t="str">
        <f>IF(OR($L360="",$S360=""),"",$L360*$S360)</f>
        <v/>
      </c>
      <c r="N360" s="24" t="str">
        <f>IF(OR($L360="",$T360=""),"",$L360*$T360)</f>
        <v/>
      </c>
      <c r="O360" s="15" t="str">
        <f>IF(D360="","",
IF(AND(K360&lt;&gt;"SIM",V360&gt;0),"ERRO: % BC &gt; 0, mas NÃO permitida ❌",
IF(AND(K360="SIM",V360=0),"ATENÇÃO: BC permitida, mas % = 0 🔎",
"Base de cálculo aplicada corretamente ✅")))</f>
        <v/>
      </c>
      <c r="P360" s="31" t="str">
        <f>IF(D360="","",
IF(AND(Q360&lt;&gt;"SIM",U360&gt;0),"ERRO: % alíquota &gt; 0, mas NÃO permitida ❌",
IF(AND(Q360="SIM",U360=0),"ATENÇÃO: alíquota permitida, mas % = 0 🔎",
"Alíquota aplicada corretamente ✅")))</f>
        <v/>
      </c>
      <c r="Q360" s="8" t="str">
        <f>IF(E360="","",IFERROR(VLOOKUP(E360,REGRAS_CST!$A$2:$D$200,4,FALSE),""))</f>
        <v/>
      </c>
      <c r="S360" s="9">
        <f>IF($H360="","",$H360*(1-$U360))</f>
        <v>8.9999999999999993E-3</v>
      </c>
      <c r="T360" s="9">
        <f>IF($I360="","",$I360*(1-$U360))</f>
        <v>1E-3</v>
      </c>
      <c r="U360" s="16">
        <f>IFERROR(INDEX(BASE_CCLASSTRIB!$E:$E, MATCH(TEXT($D360,"000000"), BASE_CCLASSTRIB!$A:$A, 0))/100, 0)</f>
        <v>0</v>
      </c>
      <c r="V360" s="16">
        <f>IFERROR(INDEX(BASE_CCLASSTRIB!$F:$F, MATCH(TEXT($D360,"000000"), BASE_CCLASSTRIB!$A:$A, 0))/100, 0)</f>
        <v>0</v>
      </c>
    </row>
    <row r="361" spans="4:22" ht="32.25" customHeight="1">
      <c r="D361" s="39"/>
      <c r="E361" s="27" t="str">
        <f>IF(D361="","",LEFT(D361,3))</f>
        <v/>
      </c>
      <c r="F361" s="28" t="str">
        <f>IF(E361="","",IFERROR(VLOOKUP(E361,REGRAS_CST!$A$2:$B$200,2,FALSE),""))</f>
        <v/>
      </c>
      <c r="H361" s="29">
        <v>8.9999999999999993E-3</v>
      </c>
      <c r="I361" s="29">
        <v>1E-3</v>
      </c>
      <c r="K361" s="21" t="str">
        <f>IF(E361="","",IFERROR(VLOOKUP(E361,REGRAS_CST!$A$2:$C$200,3,FALSE),""))</f>
        <v/>
      </c>
      <c r="L361" s="23" t="str">
        <f>IF($G361="", "", $G361*(1-$V361))</f>
        <v/>
      </c>
      <c r="M361" s="24" t="str">
        <f>IF(OR($L361="",$S361=""),"",$L361*$S361)</f>
        <v/>
      </c>
      <c r="N361" s="24" t="str">
        <f>IF(OR($L361="",$T361=""),"",$L361*$T361)</f>
        <v/>
      </c>
      <c r="O361" s="15" t="str">
        <f>IF(D361="","",
IF(AND(K361&lt;&gt;"SIM",V361&gt;0),"ERRO: % BC &gt; 0, mas NÃO permitida ❌",
IF(AND(K361="SIM",V361=0),"ATENÇÃO: BC permitida, mas % = 0 🔎",
"Base de cálculo aplicada corretamente ✅")))</f>
        <v/>
      </c>
      <c r="P361" s="31" t="str">
        <f>IF(D361="","",
IF(AND(Q361&lt;&gt;"SIM",U361&gt;0),"ERRO: % alíquota &gt; 0, mas NÃO permitida ❌",
IF(AND(Q361="SIM",U361=0),"ATENÇÃO: alíquota permitida, mas % = 0 🔎",
"Alíquota aplicada corretamente ✅")))</f>
        <v/>
      </c>
      <c r="Q361" s="8" t="str">
        <f>IF(E361="","",IFERROR(VLOOKUP(E361,REGRAS_CST!$A$2:$D$200,4,FALSE),""))</f>
        <v/>
      </c>
      <c r="S361" s="9">
        <f>IF($H361="","",$H361*(1-$U361))</f>
        <v>8.9999999999999993E-3</v>
      </c>
      <c r="T361" s="9">
        <f>IF($I361="","",$I361*(1-$U361))</f>
        <v>1E-3</v>
      </c>
      <c r="U361" s="16">
        <f>IFERROR(INDEX(BASE_CCLASSTRIB!$E:$E, MATCH(TEXT($D361,"000000"), BASE_CCLASSTRIB!$A:$A, 0))/100, 0)</f>
        <v>0</v>
      </c>
      <c r="V361" s="16">
        <f>IFERROR(INDEX(BASE_CCLASSTRIB!$F:$F, MATCH(TEXT($D361,"000000"), BASE_CCLASSTRIB!$A:$A, 0))/100, 0)</f>
        <v>0</v>
      </c>
    </row>
    <row r="362" spans="4:22" ht="32.25" customHeight="1">
      <c r="D362" s="39"/>
      <c r="E362" s="27" t="str">
        <f>IF(D362="","",LEFT(D362,3))</f>
        <v/>
      </c>
      <c r="F362" s="28" t="str">
        <f>IF(E362="","",IFERROR(VLOOKUP(E362,REGRAS_CST!$A$2:$B$200,2,FALSE),""))</f>
        <v/>
      </c>
      <c r="H362" s="29">
        <v>8.9999999999999993E-3</v>
      </c>
      <c r="I362" s="29">
        <v>1E-3</v>
      </c>
      <c r="K362" s="21" t="str">
        <f>IF(E362="","",IFERROR(VLOOKUP(E362,REGRAS_CST!$A$2:$C$200,3,FALSE),""))</f>
        <v/>
      </c>
      <c r="L362" s="23" t="str">
        <f>IF($G362="", "", $G362*(1-$V362))</f>
        <v/>
      </c>
      <c r="M362" s="24" t="str">
        <f>IF(OR($L362="",$S362=""),"",$L362*$S362)</f>
        <v/>
      </c>
      <c r="N362" s="24" t="str">
        <f>IF(OR($L362="",$T362=""),"",$L362*$T362)</f>
        <v/>
      </c>
      <c r="O362" s="15" t="str">
        <f>IF(D362="","",
IF(AND(K362&lt;&gt;"SIM",V362&gt;0),"ERRO: % BC &gt; 0, mas NÃO permitida ❌",
IF(AND(K362="SIM",V362=0),"ATENÇÃO: BC permitida, mas % = 0 🔎",
"Base de cálculo aplicada corretamente ✅")))</f>
        <v/>
      </c>
      <c r="P362" s="31" t="str">
        <f>IF(D362="","",
IF(AND(Q362&lt;&gt;"SIM",U362&gt;0),"ERRO: % alíquota &gt; 0, mas NÃO permitida ❌",
IF(AND(Q362="SIM",U362=0),"ATENÇÃO: alíquota permitida, mas % = 0 🔎",
"Alíquota aplicada corretamente ✅")))</f>
        <v/>
      </c>
      <c r="Q362" s="8" t="str">
        <f>IF(E362="","",IFERROR(VLOOKUP(E362,REGRAS_CST!$A$2:$D$200,4,FALSE),""))</f>
        <v/>
      </c>
      <c r="S362" s="9">
        <f>IF($H362="","",$H362*(1-$U362))</f>
        <v>8.9999999999999993E-3</v>
      </c>
      <c r="T362" s="9">
        <f>IF($I362="","",$I362*(1-$U362))</f>
        <v>1E-3</v>
      </c>
      <c r="U362" s="16">
        <f>IFERROR(INDEX(BASE_CCLASSTRIB!$E:$E, MATCH(TEXT($D362,"000000"), BASE_CCLASSTRIB!$A:$A, 0))/100, 0)</f>
        <v>0</v>
      </c>
      <c r="V362" s="16">
        <f>IFERROR(INDEX(BASE_CCLASSTRIB!$F:$F, MATCH(TEXT($D362,"000000"), BASE_CCLASSTRIB!$A:$A, 0))/100, 0)</f>
        <v>0</v>
      </c>
    </row>
    <row r="363" spans="4:22" ht="32.25" customHeight="1">
      <c r="D363" s="39"/>
      <c r="E363" s="27" t="str">
        <f>IF(D363="","",LEFT(D363,3))</f>
        <v/>
      </c>
      <c r="F363" s="28" t="str">
        <f>IF(E363="","",IFERROR(VLOOKUP(E363,REGRAS_CST!$A$2:$B$200,2,FALSE),""))</f>
        <v/>
      </c>
      <c r="H363" s="29">
        <v>8.9999999999999993E-3</v>
      </c>
      <c r="I363" s="29">
        <v>1E-3</v>
      </c>
      <c r="K363" s="21" t="str">
        <f>IF(E363="","",IFERROR(VLOOKUP(E363,REGRAS_CST!$A$2:$C$200,3,FALSE),""))</f>
        <v/>
      </c>
      <c r="L363" s="23" t="str">
        <f>IF($G363="", "", $G363*(1-$V363))</f>
        <v/>
      </c>
      <c r="M363" s="24" t="str">
        <f>IF(OR($L363="",$S363=""),"",$L363*$S363)</f>
        <v/>
      </c>
      <c r="N363" s="24" t="str">
        <f>IF(OR($L363="",$T363=""),"",$L363*$T363)</f>
        <v/>
      </c>
      <c r="O363" s="15" t="str">
        <f>IF(D363="","",
IF(AND(K363&lt;&gt;"SIM",V363&gt;0),"ERRO: % BC &gt; 0, mas NÃO permitida ❌",
IF(AND(K363="SIM",V363=0),"ATENÇÃO: BC permitida, mas % = 0 🔎",
"Base de cálculo aplicada corretamente ✅")))</f>
        <v/>
      </c>
      <c r="P363" s="31" t="str">
        <f>IF(D363="","",
IF(AND(Q363&lt;&gt;"SIM",U363&gt;0),"ERRO: % alíquota &gt; 0, mas NÃO permitida ❌",
IF(AND(Q363="SIM",U363=0),"ATENÇÃO: alíquota permitida, mas % = 0 🔎",
"Alíquota aplicada corretamente ✅")))</f>
        <v/>
      </c>
      <c r="Q363" s="8" t="str">
        <f>IF(E363="","",IFERROR(VLOOKUP(E363,REGRAS_CST!$A$2:$D$200,4,FALSE),""))</f>
        <v/>
      </c>
      <c r="S363" s="9">
        <f>IF($H363="","",$H363*(1-$U363))</f>
        <v>8.9999999999999993E-3</v>
      </c>
      <c r="T363" s="9">
        <f>IF($I363="","",$I363*(1-$U363))</f>
        <v>1E-3</v>
      </c>
      <c r="U363" s="16">
        <f>IFERROR(INDEX(BASE_CCLASSTRIB!$E:$E, MATCH(TEXT($D363,"000000"), BASE_CCLASSTRIB!$A:$A, 0))/100, 0)</f>
        <v>0</v>
      </c>
      <c r="V363" s="16">
        <f>IFERROR(INDEX(BASE_CCLASSTRIB!$F:$F, MATCH(TEXT($D363,"000000"), BASE_CCLASSTRIB!$A:$A, 0))/100, 0)</f>
        <v>0</v>
      </c>
    </row>
    <row r="364" spans="4:22" ht="32.25" customHeight="1">
      <c r="D364" s="39"/>
      <c r="E364" s="27" t="str">
        <f>IF(D364="","",LEFT(D364,3))</f>
        <v/>
      </c>
      <c r="F364" s="28" t="str">
        <f>IF(E364="","",IFERROR(VLOOKUP(E364,REGRAS_CST!$A$2:$B$200,2,FALSE),""))</f>
        <v/>
      </c>
      <c r="H364" s="29">
        <v>8.9999999999999993E-3</v>
      </c>
      <c r="I364" s="29">
        <v>1E-3</v>
      </c>
      <c r="K364" s="21" t="str">
        <f>IF(E364="","",IFERROR(VLOOKUP(E364,REGRAS_CST!$A$2:$C$200,3,FALSE),""))</f>
        <v/>
      </c>
      <c r="L364" s="23" t="str">
        <f>IF($G364="", "", $G364*(1-$V364))</f>
        <v/>
      </c>
      <c r="M364" s="24" t="str">
        <f>IF(OR($L364="",$S364=""),"",$L364*$S364)</f>
        <v/>
      </c>
      <c r="N364" s="24" t="str">
        <f>IF(OR($L364="",$T364=""),"",$L364*$T364)</f>
        <v/>
      </c>
      <c r="O364" s="15" t="str">
        <f>IF(D364="","",
IF(AND(K364&lt;&gt;"SIM",V364&gt;0),"ERRO: % BC &gt; 0, mas NÃO permitida ❌",
IF(AND(K364="SIM",V364=0),"ATENÇÃO: BC permitida, mas % = 0 🔎",
"Base de cálculo aplicada corretamente ✅")))</f>
        <v/>
      </c>
      <c r="P364" s="31" t="str">
        <f>IF(D364="","",
IF(AND(Q364&lt;&gt;"SIM",U364&gt;0),"ERRO: % alíquota &gt; 0, mas NÃO permitida ❌",
IF(AND(Q364="SIM",U364=0),"ATENÇÃO: alíquota permitida, mas % = 0 🔎",
"Alíquota aplicada corretamente ✅")))</f>
        <v/>
      </c>
      <c r="Q364" s="8" t="str">
        <f>IF(E364="","",IFERROR(VLOOKUP(E364,REGRAS_CST!$A$2:$D$200,4,FALSE),""))</f>
        <v/>
      </c>
      <c r="S364" s="9">
        <f>IF($H364="","",$H364*(1-$U364))</f>
        <v>8.9999999999999993E-3</v>
      </c>
      <c r="T364" s="9">
        <f>IF($I364="","",$I364*(1-$U364))</f>
        <v>1E-3</v>
      </c>
      <c r="U364" s="16">
        <f>IFERROR(INDEX(BASE_CCLASSTRIB!$E:$E, MATCH(TEXT($D364,"000000"), BASE_CCLASSTRIB!$A:$A, 0))/100, 0)</f>
        <v>0</v>
      </c>
      <c r="V364" s="16">
        <f>IFERROR(INDEX(BASE_CCLASSTRIB!$F:$F, MATCH(TEXT($D364,"000000"), BASE_CCLASSTRIB!$A:$A, 0))/100, 0)</f>
        <v>0</v>
      </c>
    </row>
    <row r="365" spans="4:22" ht="32.25" customHeight="1">
      <c r="D365" s="39"/>
      <c r="E365" s="27" t="str">
        <f>IF(D365="","",LEFT(D365,3))</f>
        <v/>
      </c>
      <c r="F365" s="28" t="str">
        <f>IF(E365="","",IFERROR(VLOOKUP(E365,REGRAS_CST!$A$2:$B$200,2,FALSE),""))</f>
        <v/>
      </c>
      <c r="H365" s="29">
        <v>8.9999999999999993E-3</v>
      </c>
      <c r="I365" s="29">
        <v>1E-3</v>
      </c>
      <c r="K365" s="21" t="str">
        <f>IF(E365="","",IFERROR(VLOOKUP(E365,REGRAS_CST!$A$2:$C$200,3,FALSE),""))</f>
        <v/>
      </c>
      <c r="L365" s="23" t="str">
        <f>IF($G365="", "", $G365*(1-$V365))</f>
        <v/>
      </c>
      <c r="M365" s="24" t="str">
        <f>IF(OR($L365="",$S365=""),"",$L365*$S365)</f>
        <v/>
      </c>
      <c r="N365" s="24" t="str">
        <f>IF(OR($L365="",$T365=""),"",$L365*$T365)</f>
        <v/>
      </c>
      <c r="O365" s="15" t="str">
        <f>IF(D365="","",
IF(AND(K365&lt;&gt;"SIM",V365&gt;0),"ERRO: % BC &gt; 0, mas NÃO permitida ❌",
IF(AND(K365="SIM",V365=0),"ATENÇÃO: BC permitida, mas % = 0 🔎",
"Base de cálculo aplicada corretamente ✅")))</f>
        <v/>
      </c>
      <c r="P365" s="31" t="str">
        <f>IF(D365="","",
IF(AND(Q365&lt;&gt;"SIM",U365&gt;0),"ERRO: % alíquota &gt; 0, mas NÃO permitida ❌",
IF(AND(Q365="SIM",U365=0),"ATENÇÃO: alíquota permitida, mas % = 0 🔎",
"Alíquota aplicada corretamente ✅")))</f>
        <v/>
      </c>
      <c r="Q365" s="8" t="str">
        <f>IF(E365="","",IFERROR(VLOOKUP(E365,REGRAS_CST!$A$2:$D$200,4,FALSE),""))</f>
        <v/>
      </c>
      <c r="S365" s="9">
        <f>IF($H365="","",$H365*(1-$U365))</f>
        <v>8.9999999999999993E-3</v>
      </c>
      <c r="T365" s="9">
        <f>IF($I365="","",$I365*(1-$U365))</f>
        <v>1E-3</v>
      </c>
      <c r="U365" s="16">
        <f>IFERROR(INDEX(BASE_CCLASSTRIB!$E:$E, MATCH(TEXT($D365,"000000"), BASE_CCLASSTRIB!$A:$A, 0))/100, 0)</f>
        <v>0</v>
      </c>
      <c r="V365" s="16">
        <f>IFERROR(INDEX(BASE_CCLASSTRIB!$F:$F, MATCH(TEXT($D365,"000000"), BASE_CCLASSTRIB!$A:$A, 0))/100, 0)</f>
        <v>0</v>
      </c>
    </row>
    <row r="366" spans="4:22" ht="32.25" customHeight="1">
      <c r="D366" s="39"/>
      <c r="E366" s="27" t="str">
        <f>IF(D366="","",LEFT(D366,3))</f>
        <v/>
      </c>
      <c r="F366" s="28" t="str">
        <f>IF(E366="","",IFERROR(VLOOKUP(E366,REGRAS_CST!$A$2:$B$200,2,FALSE),""))</f>
        <v/>
      </c>
      <c r="H366" s="29">
        <v>8.9999999999999993E-3</v>
      </c>
      <c r="I366" s="29">
        <v>1E-3</v>
      </c>
      <c r="K366" s="21" t="str">
        <f>IF(E366="","",IFERROR(VLOOKUP(E366,REGRAS_CST!$A$2:$C$200,3,FALSE),""))</f>
        <v/>
      </c>
      <c r="L366" s="23" t="str">
        <f>IF($G366="", "", $G366*(1-$V366))</f>
        <v/>
      </c>
      <c r="M366" s="24" t="str">
        <f>IF(OR($L366="",$S366=""),"",$L366*$S366)</f>
        <v/>
      </c>
      <c r="N366" s="24" t="str">
        <f>IF(OR($L366="",$T366=""),"",$L366*$T366)</f>
        <v/>
      </c>
      <c r="O366" s="15" t="str">
        <f>IF(D366="","",
IF(AND(K366&lt;&gt;"SIM",V366&gt;0),"ERRO: % BC &gt; 0, mas NÃO permitida ❌",
IF(AND(K366="SIM",V366=0),"ATENÇÃO: BC permitida, mas % = 0 🔎",
"Base de cálculo aplicada corretamente ✅")))</f>
        <v/>
      </c>
      <c r="P366" s="31" t="str">
        <f>IF(D366="","",
IF(AND(Q366&lt;&gt;"SIM",U366&gt;0),"ERRO: % alíquota &gt; 0, mas NÃO permitida ❌",
IF(AND(Q366="SIM",U366=0),"ATENÇÃO: alíquota permitida, mas % = 0 🔎",
"Alíquota aplicada corretamente ✅")))</f>
        <v/>
      </c>
      <c r="Q366" s="8" t="str">
        <f>IF(E366="","",IFERROR(VLOOKUP(E366,REGRAS_CST!$A$2:$D$200,4,FALSE),""))</f>
        <v/>
      </c>
      <c r="S366" s="9">
        <f>IF($H366="","",$H366*(1-$U366))</f>
        <v>8.9999999999999993E-3</v>
      </c>
      <c r="T366" s="9">
        <f>IF($I366="","",$I366*(1-$U366))</f>
        <v>1E-3</v>
      </c>
      <c r="U366" s="16">
        <f>IFERROR(INDEX(BASE_CCLASSTRIB!$E:$E, MATCH(TEXT($D366,"000000"), BASE_CCLASSTRIB!$A:$A, 0))/100, 0)</f>
        <v>0</v>
      </c>
      <c r="V366" s="16">
        <f>IFERROR(INDEX(BASE_CCLASSTRIB!$F:$F, MATCH(TEXT($D366,"000000"), BASE_CCLASSTRIB!$A:$A, 0))/100, 0)</f>
        <v>0</v>
      </c>
    </row>
    <row r="367" spans="4:22" ht="32.25" customHeight="1">
      <c r="D367" s="39"/>
      <c r="E367" s="27" t="str">
        <f>IF(D367="","",LEFT(D367,3))</f>
        <v/>
      </c>
      <c r="F367" s="28" t="str">
        <f>IF(E367="","",IFERROR(VLOOKUP(E367,REGRAS_CST!$A$2:$B$200,2,FALSE),""))</f>
        <v/>
      </c>
      <c r="H367" s="29">
        <v>8.9999999999999993E-3</v>
      </c>
      <c r="I367" s="29">
        <v>1E-3</v>
      </c>
      <c r="K367" s="21" t="str">
        <f>IF(E367="","",IFERROR(VLOOKUP(E367,REGRAS_CST!$A$2:$C$200,3,FALSE),""))</f>
        <v/>
      </c>
      <c r="L367" s="23" t="str">
        <f>IF($G367="", "", $G367*(1-$V367))</f>
        <v/>
      </c>
      <c r="M367" s="24" t="str">
        <f>IF(OR($L367="",$S367=""),"",$L367*$S367)</f>
        <v/>
      </c>
      <c r="N367" s="24" t="str">
        <f>IF(OR($L367="",$T367=""),"",$L367*$T367)</f>
        <v/>
      </c>
      <c r="O367" s="15" t="str">
        <f>IF(D367="","",
IF(AND(K367&lt;&gt;"SIM",V367&gt;0),"ERRO: % BC &gt; 0, mas NÃO permitida ❌",
IF(AND(K367="SIM",V367=0),"ATENÇÃO: BC permitida, mas % = 0 🔎",
"Base de cálculo aplicada corretamente ✅")))</f>
        <v/>
      </c>
      <c r="P367" s="31" t="str">
        <f>IF(D367="","",
IF(AND(Q367&lt;&gt;"SIM",U367&gt;0),"ERRO: % alíquota &gt; 0, mas NÃO permitida ❌",
IF(AND(Q367="SIM",U367=0),"ATENÇÃO: alíquota permitida, mas % = 0 🔎",
"Alíquota aplicada corretamente ✅")))</f>
        <v/>
      </c>
      <c r="Q367" s="8" t="str">
        <f>IF(E367="","",IFERROR(VLOOKUP(E367,REGRAS_CST!$A$2:$D$200,4,FALSE),""))</f>
        <v/>
      </c>
      <c r="S367" s="9">
        <f>IF($H367="","",$H367*(1-$U367))</f>
        <v>8.9999999999999993E-3</v>
      </c>
      <c r="T367" s="9">
        <f>IF($I367="","",$I367*(1-$U367))</f>
        <v>1E-3</v>
      </c>
      <c r="U367" s="16">
        <f>IFERROR(INDEX(BASE_CCLASSTRIB!$E:$E, MATCH(TEXT($D367,"000000"), BASE_CCLASSTRIB!$A:$A, 0))/100, 0)</f>
        <v>0</v>
      </c>
      <c r="V367" s="16">
        <f>IFERROR(INDEX(BASE_CCLASSTRIB!$F:$F, MATCH(TEXT($D367,"000000"), BASE_CCLASSTRIB!$A:$A, 0))/100, 0)</f>
        <v>0</v>
      </c>
    </row>
    <row r="368" spans="4:22" ht="32.25" customHeight="1">
      <c r="D368" s="39"/>
      <c r="E368" s="27" t="str">
        <f>IF(D368="","",LEFT(D368,3))</f>
        <v/>
      </c>
      <c r="F368" s="28" t="str">
        <f>IF(E368="","",IFERROR(VLOOKUP(E368,REGRAS_CST!$A$2:$B$200,2,FALSE),""))</f>
        <v/>
      </c>
      <c r="H368" s="29">
        <v>8.9999999999999993E-3</v>
      </c>
      <c r="I368" s="29">
        <v>1E-3</v>
      </c>
      <c r="K368" s="21" t="str">
        <f>IF(E368="","",IFERROR(VLOOKUP(E368,REGRAS_CST!$A$2:$C$200,3,FALSE),""))</f>
        <v/>
      </c>
      <c r="L368" s="23" t="str">
        <f>IF($G368="", "", $G368*(1-$V368))</f>
        <v/>
      </c>
      <c r="M368" s="24" t="str">
        <f>IF(OR($L368="",$S368=""),"",$L368*$S368)</f>
        <v/>
      </c>
      <c r="N368" s="24" t="str">
        <f>IF(OR($L368="",$T368=""),"",$L368*$T368)</f>
        <v/>
      </c>
      <c r="O368" s="15" t="str">
        <f>IF(D368="","",
IF(AND(K368&lt;&gt;"SIM",V368&gt;0),"ERRO: % BC &gt; 0, mas NÃO permitida ❌",
IF(AND(K368="SIM",V368=0),"ATENÇÃO: BC permitida, mas % = 0 🔎",
"Base de cálculo aplicada corretamente ✅")))</f>
        <v/>
      </c>
      <c r="P368" s="31" t="str">
        <f>IF(D368="","",
IF(AND(Q368&lt;&gt;"SIM",U368&gt;0),"ERRO: % alíquota &gt; 0, mas NÃO permitida ❌",
IF(AND(Q368="SIM",U368=0),"ATENÇÃO: alíquota permitida, mas % = 0 🔎",
"Alíquota aplicada corretamente ✅")))</f>
        <v/>
      </c>
      <c r="Q368" s="8" t="str">
        <f>IF(E368="","",IFERROR(VLOOKUP(E368,REGRAS_CST!$A$2:$D$200,4,FALSE),""))</f>
        <v/>
      </c>
      <c r="S368" s="9">
        <f>IF($H368="","",$H368*(1-$U368))</f>
        <v>8.9999999999999993E-3</v>
      </c>
      <c r="T368" s="9">
        <f>IF($I368="","",$I368*(1-$U368))</f>
        <v>1E-3</v>
      </c>
      <c r="U368" s="16">
        <f>IFERROR(INDEX(BASE_CCLASSTRIB!$E:$E, MATCH(TEXT($D368,"000000"), BASE_CCLASSTRIB!$A:$A, 0))/100, 0)</f>
        <v>0</v>
      </c>
      <c r="V368" s="16">
        <f>IFERROR(INDEX(BASE_CCLASSTRIB!$F:$F, MATCH(TEXT($D368,"000000"), BASE_CCLASSTRIB!$A:$A, 0))/100, 0)</f>
        <v>0</v>
      </c>
    </row>
    <row r="369" spans="4:22" ht="32.25" customHeight="1">
      <c r="D369" s="39"/>
      <c r="E369" s="27" t="str">
        <f>IF(D369="","",LEFT(D369,3))</f>
        <v/>
      </c>
      <c r="F369" s="28" t="str">
        <f>IF(E369="","",IFERROR(VLOOKUP(E369,REGRAS_CST!$A$2:$B$200,2,FALSE),""))</f>
        <v/>
      </c>
      <c r="H369" s="29">
        <v>8.9999999999999993E-3</v>
      </c>
      <c r="I369" s="29">
        <v>1E-3</v>
      </c>
      <c r="K369" s="21" t="str">
        <f>IF(E369="","",IFERROR(VLOOKUP(E369,REGRAS_CST!$A$2:$C$200,3,FALSE),""))</f>
        <v/>
      </c>
      <c r="L369" s="23" t="str">
        <f>IF($G369="", "", $G369*(1-$V369))</f>
        <v/>
      </c>
      <c r="M369" s="24" t="str">
        <f>IF(OR($L369="",$S369=""),"",$L369*$S369)</f>
        <v/>
      </c>
      <c r="N369" s="24" t="str">
        <f>IF(OR($L369="",$T369=""),"",$L369*$T369)</f>
        <v/>
      </c>
      <c r="O369" s="15" t="str">
        <f>IF(D369="","",
IF(AND(K369&lt;&gt;"SIM",V369&gt;0),"ERRO: % BC &gt; 0, mas NÃO permitida ❌",
IF(AND(K369="SIM",V369=0),"ATENÇÃO: BC permitida, mas % = 0 🔎",
"Base de cálculo aplicada corretamente ✅")))</f>
        <v/>
      </c>
      <c r="P369" s="31" t="str">
        <f>IF(D369="","",
IF(AND(Q369&lt;&gt;"SIM",U369&gt;0),"ERRO: % alíquota &gt; 0, mas NÃO permitida ❌",
IF(AND(Q369="SIM",U369=0),"ATENÇÃO: alíquota permitida, mas % = 0 🔎",
"Alíquota aplicada corretamente ✅")))</f>
        <v/>
      </c>
      <c r="Q369" s="8" t="str">
        <f>IF(E369="","",IFERROR(VLOOKUP(E369,REGRAS_CST!$A$2:$D$200,4,FALSE),""))</f>
        <v/>
      </c>
      <c r="S369" s="9">
        <f>IF($H369="","",$H369*(1-$U369))</f>
        <v>8.9999999999999993E-3</v>
      </c>
      <c r="T369" s="9">
        <f>IF($I369="","",$I369*(1-$U369))</f>
        <v>1E-3</v>
      </c>
      <c r="U369" s="16">
        <f>IFERROR(INDEX(BASE_CCLASSTRIB!$E:$E, MATCH(TEXT($D369,"000000"), BASE_CCLASSTRIB!$A:$A, 0))/100, 0)</f>
        <v>0</v>
      </c>
      <c r="V369" s="16">
        <f>IFERROR(INDEX(BASE_CCLASSTRIB!$F:$F, MATCH(TEXT($D369,"000000"), BASE_CCLASSTRIB!$A:$A, 0))/100, 0)</f>
        <v>0</v>
      </c>
    </row>
    <row r="370" spans="4:22" ht="32.25" customHeight="1">
      <c r="D370" s="40"/>
      <c r="E370" s="27" t="str">
        <f>IF(D370="","",LEFT(D370,3))</f>
        <v/>
      </c>
      <c r="F370" s="28" t="str">
        <f>IF(E370="","",IFERROR(VLOOKUP(E370,REGRAS_CST!$A$2:$B$200,2,FALSE),""))</f>
        <v/>
      </c>
      <c r="H370" s="29">
        <v>8.9999999999999993E-3</v>
      </c>
      <c r="I370" s="29">
        <v>1E-3</v>
      </c>
      <c r="K370" s="21" t="str">
        <f>IF(E370="","",IFERROR(VLOOKUP(E370,REGRAS_CST!$A$2:$C$200,3,FALSE),""))</f>
        <v/>
      </c>
      <c r="L370" s="23" t="str">
        <f>IF($G370="", "", $G370*(1-$V370))</f>
        <v/>
      </c>
      <c r="M370" s="24" t="str">
        <f>IF(OR($L370="",$S370=""),"",$L370*$S370)</f>
        <v/>
      </c>
      <c r="N370" s="24" t="str">
        <f>IF(OR($L370="",$T370=""),"",$L370*$T370)</f>
        <v/>
      </c>
      <c r="O370" s="15" t="str">
        <f>IF(D370="","",
IF(AND(K370&lt;&gt;"SIM",V370&gt;0),"ERRO: % BC &gt; 0, mas NÃO permitida ❌",
IF(AND(K370="SIM",V370=0),"ATENÇÃO: BC permitida, mas % = 0 🔎",
"Base de cálculo aplicada corretamente ✅")))</f>
        <v/>
      </c>
      <c r="P370" s="31" t="str">
        <f>IF(D370="","",
IF(AND(Q370&lt;&gt;"SIM",U370&gt;0),"ERRO: % alíquota &gt; 0, mas NÃO permitida ❌",
IF(AND(Q370="SIM",U370=0),"ATENÇÃO: alíquota permitida, mas % = 0 🔎",
"Alíquota aplicada corretamente ✅")))</f>
        <v/>
      </c>
      <c r="Q370" s="8" t="str">
        <f>IF(E370="","",IFERROR(VLOOKUP(E370,REGRAS_CST!$A$2:$D$200,4,FALSE),""))</f>
        <v/>
      </c>
      <c r="S370" s="9">
        <f>IF($H370="","",$H370*(1-$U370))</f>
        <v>8.9999999999999993E-3</v>
      </c>
      <c r="T370" s="9">
        <f>IF($I370="","",$I370*(1-$U370))</f>
        <v>1E-3</v>
      </c>
      <c r="U370" s="16">
        <f>IFERROR(INDEX(BASE_CCLASSTRIB!$E:$E, MATCH(TEXT($D370,"000000"), BASE_CCLASSTRIB!$A:$A, 0))/100, 0)</f>
        <v>0</v>
      </c>
      <c r="V370" s="16">
        <f>IFERROR(INDEX(BASE_CCLASSTRIB!$F:$F, MATCH(TEXT($D370,"000000"), BASE_CCLASSTRIB!$A:$A, 0))/100, 0)</f>
        <v>0</v>
      </c>
    </row>
    <row r="371" spans="4:22" ht="32.25" customHeight="1">
      <c r="D371" s="40"/>
      <c r="E371" s="27" t="str">
        <f>IF(D371="","",LEFT(D371,3))</f>
        <v/>
      </c>
      <c r="F371" s="28" t="str">
        <f>IF(E371="","",IFERROR(VLOOKUP(E371,REGRAS_CST!$A$2:$B$200,2,FALSE),""))</f>
        <v/>
      </c>
      <c r="H371" s="29">
        <v>8.9999999999999993E-3</v>
      </c>
      <c r="I371" s="29">
        <v>1E-3</v>
      </c>
      <c r="K371" s="21" t="str">
        <f>IF(E371="","",IFERROR(VLOOKUP(E371,REGRAS_CST!$A$2:$C$200,3,FALSE),""))</f>
        <v/>
      </c>
      <c r="L371" s="23" t="str">
        <f>IF($G371="", "", $G371*(1-$V371))</f>
        <v/>
      </c>
      <c r="M371" s="24" t="str">
        <f>IF(OR($L371="",$S371=""),"",$L371*$S371)</f>
        <v/>
      </c>
      <c r="N371" s="24" t="str">
        <f>IF(OR($L371="",$T371=""),"",$L371*$T371)</f>
        <v/>
      </c>
      <c r="O371" s="15" t="str">
        <f>IF(D371="","",
IF(AND(K371&lt;&gt;"SIM",V371&gt;0),"ERRO: % BC &gt; 0, mas NÃO permitida ❌",
IF(AND(K371="SIM",V371=0),"ATENÇÃO: BC permitida, mas % = 0 🔎",
"Base de cálculo aplicada corretamente ✅")))</f>
        <v/>
      </c>
      <c r="P371" s="31" t="str">
        <f>IF(D371="","",
IF(AND(Q371&lt;&gt;"SIM",U371&gt;0),"ERRO: % alíquota &gt; 0, mas NÃO permitida ❌",
IF(AND(Q371="SIM",U371=0),"ATENÇÃO: alíquota permitida, mas % = 0 🔎",
"Alíquota aplicada corretamente ✅")))</f>
        <v/>
      </c>
      <c r="Q371" s="8" t="str">
        <f>IF(E371="","",IFERROR(VLOOKUP(E371,REGRAS_CST!$A$2:$D$200,4,FALSE),""))</f>
        <v/>
      </c>
      <c r="S371" s="9">
        <f>IF($H371="","",$H371*(1-$U371))</f>
        <v>8.9999999999999993E-3</v>
      </c>
      <c r="T371" s="9">
        <f>IF($I371="","",$I371*(1-$U371))</f>
        <v>1E-3</v>
      </c>
      <c r="U371" s="16">
        <f>IFERROR(INDEX(BASE_CCLASSTRIB!$E:$E, MATCH(TEXT($D371,"000000"), BASE_CCLASSTRIB!$A:$A, 0))/100, 0)</f>
        <v>0</v>
      </c>
      <c r="V371" s="16">
        <f>IFERROR(INDEX(BASE_CCLASSTRIB!$F:$F, MATCH(TEXT($D371,"000000"), BASE_CCLASSTRIB!$A:$A, 0))/100, 0)</f>
        <v>0</v>
      </c>
    </row>
    <row r="372" spans="4:22" ht="32.25" customHeight="1">
      <c r="D372" s="40"/>
      <c r="E372" s="27" t="str">
        <f>IF(D372="","",LEFT(D372,3))</f>
        <v/>
      </c>
      <c r="F372" s="28" t="str">
        <f>IF(E372="","",IFERROR(VLOOKUP(E372,REGRAS_CST!$A$2:$B$200,2,FALSE),""))</f>
        <v/>
      </c>
      <c r="H372" s="29">
        <v>8.9999999999999993E-3</v>
      </c>
      <c r="I372" s="29">
        <v>1E-3</v>
      </c>
      <c r="K372" s="21" t="str">
        <f>IF(E372="","",IFERROR(VLOOKUP(E372,REGRAS_CST!$A$2:$C$200,3,FALSE),""))</f>
        <v/>
      </c>
      <c r="L372" s="23" t="str">
        <f>IF($G372="", "", $G372*(1-$V372))</f>
        <v/>
      </c>
      <c r="M372" s="24" t="str">
        <f>IF(OR($L372="",$S372=""),"",$L372*$S372)</f>
        <v/>
      </c>
      <c r="N372" s="24" t="str">
        <f>IF(OR($L372="",$T372=""),"",$L372*$T372)</f>
        <v/>
      </c>
      <c r="O372" s="15" t="str">
        <f>IF(D372="","",
IF(AND(K372&lt;&gt;"SIM",V372&gt;0),"ERRO: % BC &gt; 0, mas NÃO permitida ❌",
IF(AND(K372="SIM",V372=0),"ATENÇÃO: BC permitida, mas % = 0 🔎",
"Base de cálculo aplicada corretamente ✅")))</f>
        <v/>
      </c>
      <c r="P372" s="31" t="str">
        <f>IF(D372="","",
IF(AND(Q372&lt;&gt;"SIM",U372&gt;0),"ERRO: % alíquota &gt; 0, mas NÃO permitida ❌",
IF(AND(Q372="SIM",U372=0),"ATENÇÃO: alíquota permitida, mas % = 0 🔎",
"Alíquota aplicada corretamente ✅")))</f>
        <v/>
      </c>
      <c r="Q372" s="8" t="str">
        <f>IF(E372="","",IFERROR(VLOOKUP(E372,REGRAS_CST!$A$2:$D$200,4,FALSE),""))</f>
        <v/>
      </c>
      <c r="S372" s="9">
        <f>IF($H372="","",$H372*(1-$U372))</f>
        <v>8.9999999999999993E-3</v>
      </c>
      <c r="T372" s="9">
        <f>IF($I372="","",$I372*(1-$U372))</f>
        <v>1E-3</v>
      </c>
      <c r="U372" s="16">
        <f>IFERROR(INDEX(BASE_CCLASSTRIB!$E:$E, MATCH(TEXT($D372,"000000"), BASE_CCLASSTRIB!$A:$A, 0))/100, 0)</f>
        <v>0</v>
      </c>
      <c r="V372" s="16">
        <f>IFERROR(INDEX(BASE_CCLASSTRIB!$F:$F, MATCH(TEXT($D372,"000000"), BASE_CCLASSTRIB!$A:$A, 0))/100, 0)</f>
        <v>0</v>
      </c>
    </row>
    <row r="373" spans="4:22" ht="32.25" customHeight="1">
      <c r="D373" s="39"/>
      <c r="E373" s="27" t="str">
        <f>IF(D373="","",LEFT(D373,3))</f>
        <v/>
      </c>
      <c r="F373" s="28" t="str">
        <f>IF(E373="","",IFERROR(VLOOKUP(E373,REGRAS_CST!$A$2:$B$200,2,FALSE),""))</f>
        <v/>
      </c>
      <c r="H373" s="29">
        <v>8.9999999999999993E-3</v>
      </c>
      <c r="I373" s="29">
        <v>1E-3</v>
      </c>
      <c r="K373" s="21" t="str">
        <f>IF(E373="","",IFERROR(VLOOKUP(E373,REGRAS_CST!$A$2:$C$200,3,FALSE),""))</f>
        <v/>
      </c>
      <c r="L373" s="23" t="str">
        <f>IF($G373="", "", $G373*(1-$V373))</f>
        <v/>
      </c>
      <c r="M373" s="24" t="str">
        <f>IF(OR($L373="",$S373=""),"",$L373*$S373)</f>
        <v/>
      </c>
      <c r="N373" s="24" t="str">
        <f>IF(OR($L373="",$T373=""),"",$L373*$T373)</f>
        <v/>
      </c>
      <c r="O373" s="15" t="str">
        <f>IF(D373="","",
IF(AND(K373&lt;&gt;"SIM",V373&gt;0),"ERRO: % BC &gt; 0, mas NÃO permitida ❌",
IF(AND(K373="SIM",V373=0),"ATENÇÃO: BC permitida, mas % = 0 🔎",
"Base de cálculo aplicada corretamente ✅")))</f>
        <v/>
      </c>
      <c r="P373" s="31" t="str">
        <f>IF(D373="","",
IF(AND(Q373&lt;&gt;"SIM",U373&gt;0),"ERRO: % alíquota &gt; 0, mas NÃO permitida ❌",
IF(AND(Q373="SIM",U373=0),"ATENÇÃO: alíquota permitida, mas % = 0 🔎",
"Alíquota aplicada corretamente ✅")))</f>
        <v/>
      </c>
      <c r="Q373" s="8" t="str">
        <f>IF(E373="","",IFERROR(VLOOKUP(E373,REGRAS_CST!$A$2:$D$200,4,FALSE),""))</f>
        <v/>
      </c>
      <c r="S373" s="9">
        <f>IF($H373="","",$H373*(1-$U373))</f>
        <v>8.9999999999999993E-3</v>
      </c>
      <c r="T373" s="9">
        <f>IF($I373="","",$I373*(1-$U373))</f>
        <v>1E-3</v>
      </c>
      <c r="U373" s="16">
        <f>IFERROR(INDEX(BASE_CCLASSTRIB!$E:$E, MATCH(TEXT($D373,"000000"), BASE_CCLASSTRIB!$A:$A, 0))/100, 0)</f>
        <v>0</v>
      </c>
      <c r="V373" s="16">
        <f>IFERROR(INDEX(BASE_CCLASSTRIB!$F:$F, MATCH(TEXT($D373,"000000"), BASE_CCLASSTRIB!$A:$A, 0))/100, 0)</f>
        <v>0</v>
      </c>
    </row>
    <row r="374" spans="4:22" ht="32.25" customHeight="1">
      <c r="D374" s="39"/>
      <c r="E374" s="27" t="str">
        <f>IF(D374="","",LEFT(D374,3))</f>
        <v/>
      </c>
      <c r="F374" s="28" t="str">
        <f>IF(E374="","",IFERROR(VLOOKUP(E374,REGRAS_CST!$A$2:$B$200,2,FALSE),""))</f>
        <v/>
      </c>
      <c r="H374" s="29">
        <v>8.9999999999999993E-3</v>
      </c>
      <c r="I374" s="29">
        <v>1E-3</v>
      </c>
      <c r="K374" s="21" t="str">
        <f>IF(E374="","",IFERROR(VLOOKUP(E374,REGRAS_CST!$A$2:$C$200,3,FALSE),""))</f>
        <v/>
      </c>
      <c r="L374" s="23" t="str">
        <f>IF($G374="", "", $G374*(1-$V374))</f>
        <v/>
      </c>
      <c r="M374" s="24" t="str">
        <f>IF(OR($L374="",$S374=""),"",$L374*$S374)</f>
        <v/>
      </c>
      <c r="N374" s="24" t="str">
        <f>IF(OR($L374="",$T374=""),"",$L374*$T374)</f>
        <v/>
      </c>
      <c r="O374" s="15" t="str">
        <f>IF(D374="","",
IF(AND(K374&lt;&gt;"SIM",V374&gt;0),"ERRO: % BC &gt; 0, mas NÃO permitida ❌",
IF(AND(K374="SIM",V374=0),"ATENÇÃO: BC permitida, mas % = 0 🔎",
"Base de cálculo aplicada corretamente ✅")))</f>
        <v/>
      </c>
      <c r="P374" s="31" t="str">
        <f>IF(D374="","",
IF(AND(Q374&lt;&gt;"SIM",U374&gt;0),"ERRO: % alíquota &gt; 0, mas NÃO permitida ❌",
IF(AND(Q374="SIM",U374=0),"ATENÇÃO: alíquota permitida, mas % = 0 🔎",
"Alíquota aplicada corretamente ✅")))</f>
        <v/>
      </c>
      <c r="Q374" s="8" t="str">
        <f>IF(E374="","",IFERROR(VLOOKUP(E374,REGRAS_CST!$A$2:$D$200,4,FALSE),""))</f>
        <v/>
      </c>
      <c r="S374" s="9">
        <f>IF($H374="","",$H374*(1-$U374))</f>
        <v>8.9999999999999993E-3</v>
      </c>
      <c r="T374" s="9">
        <f>IF($I374="","",$I374*(1-$U374))</f>
        <v>1E-3</v>
      </c>
      <c r="U374" s="16">
        <f>IFERROR(INDEX(BASE_CCLASSTRIB!$E:$E, MATCH(TEXT($D374,"000000"), BASE_CCLASSTRIB!$A:$A, 0))/100, 0)</f>
        <v>0</v>
      </c>
      <c r="V374" s="16">
        <f>IFERROR(INDEX(BASE_CCLASSTRIB!$F:$F, MATCH(TEXT($D374,"000000"), BASE_CCLASSTRIB!$A:$A, 0))/100, 0)</f>
        <v>0</v>
      </c>
    </row>
    <row r="375" spans="4:22" ht="32.25" customHeight="1">
      <c r="D375" s="39"/>
      <c r="E375" s="27" t="str">
        <f>IF(D375="","",LEFT(D375,3))</f>
        <v/>
      </c>
      <c r="F375" s="28" t="str">
        <f>IF(E375="","",IFERROR(VLOOKUP(E375,REGRAS_CST!$A$2:$B$200,2,FALSE),""))</f>
        <v/>
      </c>
      <c r="H375" s="29">
        <v>8.9999999999999993E-3</v>
      </c>
      <c r="I375" s="29">
        <v>1E-3</v>
      </c>
      <c r="K375" s="21" t="str">
        <f>IF(E375="","",IFERROR(VLOOKUP(E375,REGRAS_CST!$A$2:$C$200,3,FALSE),""))</f>
        <v/>
      </c>
      <c r="L375" s="23" t="str">
        <f>IF($G375="", "", $G375*(1-$V375))</f>
        <v/>
      </c>
      <c r="M375" s="24" t="str">
        <f>IF(OR($L375="",$S375=""),"",$L375*$S375)</f>
        <v/>
      </c>
      <c r="N375" s="24" t="str">
        <f>IF(OR($L375="",$T375=""),"",$L375*$T375)</f>
        <v/>
      </c>
      <c r="O375" s="15" t="str">
        <f>IF(D375="","",
IF(AND(K375&lt;&gt;"SIM",V375&gt;0),"ERRO: % BC &gt; 0, mas NÃO permitida ❌",
IF(AND(K375="SIM",V375=0),"ATENÇÃO: BC permitida, mas % = 0 🔎",
"Base de cálculo aplicada corretamente ✅")))</f>
        <v/>
      </c>
      <c r="P375" s="31" t="str">
        <f>IF(D375="","",
IF(AND(Q375&lt;&gt;"SIM",U375&gt;0),"ERRO: % alíquota &gt; 0, mas NÃO permitida ❌",
IF(AND(Q375="SIM",U375=0),"ATENÇÃO: alíquota permitida, mas % = 0 🔎",
"Alíquota aplicada corretamente ✅")))</f>
        <v/>
      </c>
      <c r="Q375" s="8" t="str">
        <f>IF(E375="","",IFERROR(VLOOKUP(E375,REGRAS_CST!$A$2:$D$200,4,FALSE),""))</f>
        <v/>
      </c>
      <c r="S375" s="9">
        <f>IF($H375="","",$H375*(1-$U375))</f>
        <v>8.9999999999999993E-3</v>
      </c>
      <c r="T375" s="9">
        <f>IF($I375="","",$I375*(1-$U375))</f>
        <v>1E-3</v>
      </c>
      <c r="U375" s="16">
        <f>IFERROR(INDEX(BASE_CCLASSTRIB!$E:$E, MATCH(TEXT($D375,"000000"), BASE_CCLASSTRIB!$A:$A, 0))/100, 0)</f>
        <v>0</v>
      </c>
      <c r="V375" s="16">
        <f>IFERROR(INDEX(BASE_CCLASSTRIB!$F:$F, MATCH(TEXT($D375,"000000"), BASE_CCLASSTRIB!$A:$A, 0))/100, 0)</f>
        <v>0</v>
      </c>
    </row>
    <row r="376" spans="4:22" ht="32.25" customHeight="1">
      <c r="D376" s="39"/>
      <c r="E376" s="27" t="str">
        <f>IF(D376="","",LEFT(D376,3))</f>
        <v/>
      </c>
      <c r="F376" s="28" t="str">
        <f>IF(E376="","",IFERROR(VLOOKUP(E376,REGRAS_CST!$A$2:$B$200,2,FALSE),""))</f>
        <v/>
      </c>
      <c r="H376" s="29">
        <v>8.9999999999999993E-3</v>
      </c>
      <c r="I376" s="29">
        <v>1E-3</v>
      </c>
      <c r="K376" s="21" t="str">
        <f>IF(E376="","",IFERROR(VLOOKUP(E376,REGRAS_CST!$A$2:$C$200,3,FALSE),""))</f>
        <v/>
      </c>
      <c r="L376" s="23" t="str">
        <f>IF($G376="", "", $G376*(1-$V376))</f>
        <v/>
      </c>
      <c r="M376" s="24" t="str">
        <f>IF(OR($L376="",$S376=""),"",$L376*$S376)</f>
        <v/>
      </c>
      <c r="N376" s="24" t="str">
        <f>IF(OR($L376="",$T376=""),"",$L376*$T376)</f>
        <v/>
      </c>
      <c r="O376" s="15" t="str">
        <f>IF(D376="","",
IF(AND(K376&lt;&gt;"SIM",V376&gt;0),"ERRO: % BC &gt; 0, mas NÃO permitida ❌",
IF(AND(K376="SIM",V376=0),"ATENÇÃO: BC permitida, mas % = 0 🔎",
"Base de cálculo aplicada corretamente ✅")))</f>
        <v/>
      </c>
      <c r="P376" s="31" t="str">
        <f>IF(D376="","",
IF(AND(Q376&lt;&gt;"SIM",U376&gt;0),"ERRO: % alíquota &gt; 0, mas NÃO permitida ❌",
IF(AND(Q376="SIM",U376=0),"ATENÇÃO: alíquota permitida, mas % = 0 🔎",
"Alíquota aplicada corretamente ✅")))</f>
        <v/>
      </c>
      <c r="Q376" s="8" t="str">
        <f>IF(E376="","",IFERROR(VLOOKUP(E376,REGRAS_CST!$A$2:$D$200,4,FALSE),""))</f>
        <v/>
      </c>
      <c r="S376" s="9">
        <f>IF($H376="","",$H376*(1-$U376))</f>
        <v>8.9999999999999993E-3</v>
      </c>
      <c r="T376" s="9">
        <f>IF($I376="","",$I376*(1-$U376))</f>
        <v>1E-3</v>
      </c>
      <c r="U376" s="16">
        <f>IFERROR(INDEX(BASE_CCLASSTRIB!$E:$E, MATCH(TEXT($D376,"000000"), BASE_CCLASSTRIB!$A:$A, 0))/100, 0)</f>
        <v>0</v>
      </c>
      <c r="V376" s="16">
        <f>IFERROR(INDEX(BASE_CCLASSTRIB!$F:$F, MATCH(TEXT($D376,"000000"), BASE_CCLASSTRIB!$A:$A, 0))/100, 0)</f>
        <v>0</v>
      </c>
    </row>
    <row r="377" spans="4:22" ht="32.25" customHeight="1">
      <c r="D377" s="39"/>
      <c r="E377" s="27" t="str">
        <f>IF(D377="","",LEFT(D377,3))</f>
        <v/>
      </c>
      <c r="F377" s="28" t="str">
        <f>IF(E377="","",IFERROR(VLOOKUP(E377,REGRAS_CST!$A$2:$B$200,2,FALSE),""))</f>
        <v/>
      </c>
      <c r="H377" s="29">
        <v>8.9999999999999993E-3</v>
      </c>
      <c r="I377" s="29">
        <v>1E-3</v>
      </c>
      <c r="K377" s="21" t="str">
        <f>IF(E377="","",IFERROR(VLOOKUP(E377,REGRAS_CST!$A$2:$C$200,3,FALSE),""))</f>
        <v/>
      </c>
      <c r="L377" s="23" t="str">
        <f>IF($G377="", "", $G377*(1-$V377))</f>
        <v/>
      </c>
      <c r="M377" s="24" t="str">
        <f>IF(OR($L377="",$S377=""),"",$L377*$S377)</f>
        <v/>
      </c>
      <c r="N377" s="24" t="str">
        <f>IF(OR($L377="",$T377=""),"",$L377*$T377)</f>
        <v/>
      </c>
      <c r="O377" s="15" t="str">
        <f>IF(D377="","",
IF(AND(K377&lt;&gt;"SIM",V377&gt;0),"ERRO: % BC &gt; 0, mas NÃO permitida ❌",
IF(AND(K377="SIM",V377=0),"ATENÇÃO: BC permitida, mas % = 0 🔎",
"Base de cálculo aplicada corretamente ✅")))</f>
        <v/>
      </c>
      <c r="P377" s="31" t="str">
        <f>IF(D377="","",
IF(AND(Q377&lt;&gt;"SIM",U377&gt;0),"ERRO: % alíquota &gt; 0, mas NÃO permitida ❌",
IF(AND(Q377="SIM",U377=0),"ATENÇÃO: alíquota permitida, mas % = 0 🔎",
"Alíquota aplicada corretamente ✅")))</f>
        <v/>
      </c>
      <c r="Q377" s="8" t="str">
        <f>IF(E377="","",IFERROR(VLOOKUP(E377,REGRAS_CST!$A$2:$D$200,4,FALSE),""))</f>
        <v/>
      </c>
      <c r="S377" s="9">
        <f>IF($H377="","",$H377*(1-$U377))</f>
        <v>8.9999999999999993E-3</v>
      </c>
      <c r="T377" s="9">
        <f>IF($I377="","",$I377*(1-$U377))</f>
        <v>1E-3</v>
      </c>
      <c r="U377" s="16">
        <f>IFERROR(INDEX(BASE_CCLASSTRIB!$E:$E, MATCH(TEXT($D377,"000000"), BASE_CCLASSTRIB!$A:$A, 0))/100, 0)</f>
        <v>0</v>
      </c>
      <c r="V377" s="16">
        <f>IFERROR(INDEX(BASE_CCLASSTRIB!$F:$F, MATCH(TEXT($D377,"000000"), BASE_CCLASSTRIB!$A:$A, 0))/100, 0)</f>
        <v>0</v>
      </c>
    </row>
    <row r="378" spans="4:22" ht="32.25" customHeight="1">
      <c r="D378" s="39"/>
      <c r="E378" s="27" t="str">
        <f>IF(D378="","",LEFT(D378,3))</f>
        <v/>
      </c>
      <c r="F378" s="28" t="str">
        <f>IF(E378="","",IFERROR(VLOOKUP(E378,REGRAS_CST!$A$2:$B$200,2,FALSE),""))</f>
        <v/>
      </c>
      <c r="H378" s="29">
        <v>8.9999999999999993E-3</v>
      </c>
      <c r="I378" s="29">
        <v>1E-3</v>
      </c>
      <c r="K378" s="21" t="str">
        <f>IF(E378="","",IFERROR(VLOOKUP(E378,REGRAS_CST!$A$2:$C$200,3,FALSE),""))</f>
        <v/>
      </c>
      <c r="L378" s="23" t="str">
        <f>IF($G378="", "", $G378*(1-$V378))</f>
        <v/>
      </c>
      <c r="M378" s="24" t="str">
        <f>IF(OR($L378="",$S378=""),"",$L378*$S378)</f>
        <v/>
      </c>
      <c r="N378" s="24" t="str">
        <f>IF(OR($L378="",$T378=""),"",$L378*$T378)</f>
        <v/>
      </c>
      <c r="O378" s="15" t="str">
        <f>IF(D378="","",
IF(AND(K378&lt;&gt;"SIM",V378&gt;0),"ERRO: % BC &gt; 0, mas NÃO permitida ❌",
IF(AND(K378="SIM",V378=0),"ATENÇÃO: BC permitida, mas % = 0 🔎",
"Base de cálculo aplicada corretamente ✅")))</f>
        <v/>
      </c>
      <c r="P378" s="31" t="str">
        <f>IF(D378="","",
IF(AND(Q378&lt;&gt;"SIM",U378&gt;0),"ERRO: % alíquota &gt; 0, mas NÃO permitida ❌",
IF(AND(Q378="SIM",U378=0),"ATENÇÃO: alíquota permitida, mas % = 0 🔎",
"Alíquota aplicada corretamente ✅")))</f>
        <v/>
      </c>
      <c r="Q378" s="8" t="str">
        <f>IF(E378="","",IFERROR(VLOOKUP(E378,REGRAS_CST!$A$2:$D$200,4,FALSE),""))</f>
        <v/>
      </c>
      <c r="S378" s="9">
        <f>IF($H378="","",$H378*(1-$U378))</f>
        <v>8.9999999999999993E-3</v>
      </c>
      <c r="T378" s="9">
        <f>IF($I378="","",$I378*(1-$U378))</f>
        <v>1E-3</v>
      </c>
      <c r="U378" s="16">
        <f>IFERROR(INDEX(BASE_CCLASSTRIB!$E:$E, MATCH(TEXT($D378,"000000"), BASE_CCLASSTRIB!$A:$A, 0))/100, 0)</f>
        <v>0</v>
      </c>
      <c r="V378" s="16">
        <f>IFERROR(INDEX(BASE_CCLASSTRIB!$F:$F, MATCH(TEXT($D378,"000000"), BASE_CCLASSTRIB!$A:$A, 0))/100, 0)</f>
        <v>0</v>
      </c>
    </row>
    <row r="379" spans="4:22" ht="32.25" customHeight="1">
      <c r="D379" s="39"/>
      <c r="E379" s="27" t="str">
        <f>IF(D379="","",LEFT(D379,3))</f>
        <v/>
      </c>
      <c r="F379" s="28" t="str">
        <f>IF(E379="","",IFERROR(VLOOKUP(E379,REGRAS_CST!$A$2:$B$200,2,FALSE),""))</f>
        <v/>
      </c>
      <c r="H379" s="29">
        <v>8.9999999999999993E-3</v>
      </c>
      <c r="I379" s="29">
        <v>1E-3</v>
      </c>
      <c r="K379" s="21" t="str">
        <f>IF(E379="","",IFERROR(VLOOKUP(E379,REGRAS_CST!$A$2:$C$200,3,FALSE),""))</f>
        <v/>
      </c>
      <c r="L379" s="23" t="str">
        <f>IF($G379="", "", $G379*(1-$V379))</f>
        <v/>
      </c>
      <c r="M379" s="24" t="str">
        <f>IF(OR($L379="",$S379=""),"",$L379*$S379)</f>
        <v/>
      </c>
      <c r="N379" s="24" t="str">
        <f>IF(OR($L379="",$T379=""),"",$L379*$T379)</f>
        <v/>
      </c>
      <c r="O379" s="15" t="str">
        <f>IF(D379="","",
IF(AND(K379&lt;&gt;"SIM",V379&gt;0),"ERRO: % BC &gt; 0, mas NÃO permitida ❌",
IF(AND(K379="SIM",V379=0),"ATENÇÃO: BC permitida, mas % = 0 🔎",
"Base de cálculo aplicada corretamente ✅")))</f>
        <v/>
      </c>
      <c r="P379" s="31" t="str">
        <f>IF(D379="","",
IF(AND(Q379&lt;&gt;"SIM",U379&gt;0),"ERRO: % alíquota &gt; 0, mas NÃO permitida ❌",
IF(AND(Q379="SIM",U379=0),"ATENÇÃO: alíquota permitida, mas % = 0 🔎",
"Alíquota aplicada corretamente ✅")))</f>
        <v/>
      </c>
      <c r="Q379" s="8" t="str">
        <f>IF(E379="","",IFERROR(VLOOKUP(E379,REGRAS_CST!$A$2:$D$200,4,FALSE),""))</f>
        <v/>
      </c>
      <c r="S379" s="9">
        <f>IF($H379="","",$H379*(1-$U379))</f>
        <v>8.9999999999999993E-3</v>
      </c>
      <c r="T379" s="9">
        <f>IF($I379="","",$I379*(1-$U379))</f>
        <v>1E-3</v>
      </c>
      <c r="U379" s="16">
        <f>IFERROR(INDEX(BASE_CCLASSTRIB!$E:$E, MATCH(TEXT($D379,"000000"), BASE_CCLASSTRIB!$A:$A, 0))/100, 0)</f>
        <v>0</v>
      </c>
      <c r="V379" s="16">
        <f>IFERROR(INDEX(BASE_CCLASSTRIB!$F:$F, MATCH(TEXT($D379,"000000"), BASE_CCLASSTRIB!$A:$A, 0))/100, 0)</f>
        <v>0</v>
      </c>
    </row>
    <row r="380" spans="4:22" ht="32.25" customHeight="1">
      <c r="D380" s="39"/>
      <c r="E380" s="27" t="str">
        <f>IF(D380="","",LEFT(D380,3))</f>
        <v/>
      </c>
      <c r="F380" s="28" t="str">
        <f>IF(E380="","",IFERROR(VLOOKUP(E380,REGRAS_CST!$A$2:$B$200,2,FALSE),""))</f>
        <v/>
      </c>
      <c r="H380" s="29">
        <v>8.9999999999999993E-3</v>
      </c>
      <c r="I380" s="29">
        <v>1E-3</v>
      </c>
      <c r="K380" s="21" t="str">
        <f>IF(E380="","",IFERROR(VLOOKUP(E380,REGRAS_CST!$A$2:$C$200,3,FALSE),""))</f>
        <v/>
      </c>
      <c r="L380" s="23" t="str">
        <f>IF($G380="", "", $G380*(1-$V380))</f>
        <v/>
      </c>
      <c r="M380" s="24" t="str">
        <f>IF(OR($L380="",$S380=""),"",$L380*$S380)</f>
        <v/>
      </c>
      <c r="N380" s="24" t="str">
        <f>IF(OR($L380="",$T380=""),"",$L380*$T380)</f>
        <v/>
      </c>
      <c r="O380" s="15" t="str">
        <f>IF(D380="","",
IF(AND(K380&lt;&gt;"SIM",V380&gt;0),"ERRO: % BC &gt; 0, mas NÃO permitida ❌",
IF(AND(K380="SIM",V380=0),"ATENÇÃO: BC permitida, mas % = 0 🔎",
"Base de cálculo aplicada corretamente ✅")))</f>
        <v/>
      </c>
      <c r="P380" s="31" t="str">
        <f>IF(D380="","",
IF(AND(Q380&lt;&gt;"SIM",U380&gt;0),"ERRO: % alíquota &gt; 0, mas NÃO permitida ❌",
IF(AND(Q380="SIM",U380=0),"ATENÇÃO: alíquota permitida, mas % = 0 🔎",
"Alíquota aplicada corretamente ✅")))</f>
        <v/>
      </c>
      <c r="Q380" s="8" t="str">
        <f>IF(E380="","",IFERROR(VLOOKUP(E380,REGRAS_CST!$A$2:$D$200,4,FALSE),""))</f>
        <v/>
      </c>
      <c r="S380" s="9">
        <f>IF($H380="","",$H380*(1-$U380))</f>
        <v>8.9999999999999993E-3</v>
      </c>
      <c r="T380" s="9">
        <f>IF($I380="","",$I380*(1-$U380))</f>
        <v>1E-3</v>
      </c>
      <c r="U380" s="16">
        <f>IFERROR(INDEX(BASE_CCLASSTRIB!$E:$E, MATCH(TEXT($D380,"000000"), BASE_CCLASSTRIB!$A:$A, 0))/100, 0)</f>
        <v>0</v>
      </c>
      <c r="V380" s="16">
        <f>IFERROR(INDEX(BASE_CCLASSTRIB!$F:$F, MATCH(TEXT($D380,"000000"), BASE_CCLASSTRIB!$A:$A, 0))/100, 0)</f>
        <v>0</v>
      </c>
    </row>
    <row r="381" spans="4:22" ht="32.25" customHeight="1">
      <c r="D381" s="39"/>
      <c r="E381" s="27" t="str">
        <f>IF(D381="","",LEFT(D381,3))</f>
        <v/>
      </c>
      <c r="F381" s="28" t="str">
        <f>IF(E381="","",IFERROR(VLOOKUP(E381,REGRAS_CST!$A$2:$B$200,2,FALSE),""))</f>
        <v/>
      </c>
      <c r="H381" s="29">
        <v>8.9999999999999993E-3</v>
      </c>
      <c r="I381" s="29">
        <v>1E-3</v>
      </c>
      <c r="K381" s="21" t="str">
        <f>IF(E381="","",IFERROR(VLOOKUP(E381,REGRAS_CST!$A$2:$C$200,3,FALSE),""))</f>
        <v/>
      </c>
      <c r="L381" s="23" t="str">
        <f>IF($G381="", "", $G381*(1-$V381))</f>
        <v/>
      </c>
      <c r="M381" s="24" t="str">
        <f>IF(OR($L381="",$S381=""),"",$L381*$S381)</f>
        <v/>
      </c>
      <c r="N381" s="24" t="str">
        <f>IF(OR($L381="",$T381=""),"",$L381*$T381)</f>
        <v/>
      </c>
      <c r="O381" s="15" t="str">
        <f>IF(D381="","",
IF(AND(K381&lt;&gt;"SIM",V381&gt;0),"ERRO: % BC &gt; 0, mas NÃO permitida ❌",
IF(AND(K381="SIM",V381=0),"ATENÇÃO: BC permitida, mas % = 0 🔎",
"Base de cálculo aplicada corretamente ✅")))</f>
        <v/>
      </c>
      <c r="P381" s="31" t="str">
        <f>IF(D381="","",
IF(AND(Q381&lt;&gt;"SIM",U381&gt;0),"ERRO: % alíquota &gt; 0, mas NÃO permitida ❌",
IF(AND(Q381="SIM",U381=0),"ATENÇÃO: alíquota permitida, mas % = 0 🔎",
"Alíquota aplicada corretamente ✅")))</f>
        <v/>
      </c>
      <c r="Q381" s="8" t="str">
        <f>IF(E381="","",IFERROR(VLOOKUP(E381,REGRAS_CST!$A$2:$D$200,4,FALSE),""))</f>
        <v/>
      </c>
      <c r="S381" s="9">
        <f>IF($H381="","",$H381*(1-$U381))</f>
        <v>8.9999999999999993E-3</v>
      </c>
      <c r="T381" s="9">
        <f>IF($I381="","",$I381*(1-$U381))</f>
        <v>1E-3</v>
      </c>
      <c r="U381" s="16">
        <f>IFERROR(INDEX(BASE_CCLASSTRIB!$E:$E, MATCH(TEXT($D381,"000000"), BASE_CCLASSTRIB!$A:$A, 0))/100, 0)</f>
        <v>0</v>
      </c>
      <c r="V381" s="16">
        <f>IFERROR(INDEX(BASE_CCLASSTRIB!$F:$F, MATCH(TEXT($D381,"000000"), BASE_CCLASSTRIB!$A:$A, 0))/100, 0)</f>
        <v>0</v>
      </c>
    </row>
    <row r="382" spans="4:22" ht="32.25" customHeight="1">
      <c r="D382" s="39"/>
      <c r="E382" s="27" t="str">
        <f>IF(D382="","",LEFT(D382,3))</f>
        <v/>
      </c>
      <c r="F382" s="28" t="str">
        <f>IF(E382="","",IFERROR(VLOOKUP(E382,REGRAS_CST!$A$2:$B$200,2,FALSE),""))</f>
        <v/>
      </c>
      <c r="H382" s="29">
        <v>8.9999999999999993E-3</v>
      </c>
      <c r="I382" s="29">
        <v>1E-3</v>
      </c>
      <c r="K382" s="21" t="str">
        <f>IF(E382="","",IFERROR(VLOOKUP(E382,REGRAS_CST!$A$2:$C$200,3,FALSE),""))</f>
        <v/>
      </c>
      <c r="L382" s="23" t="str">
        <f>IF($G382="", "", $G382*(1-$V382))</f>
        <v/>
      </c>
      <c r="M382" s="24" t="str">
        <f>IF(OR($L382="",$S382=""),"",$L382*$S382)</f>
        <v/>
      </c>
      <c r="N382" s="24" t="str">
        <f>IF(OR($L382="",$T382=""),"",$L382*$T382)</f>
        <v/>
      </c>
      <c r="O382" s="15" t="str">
        <f>IF(D382="","",
IF(AND(K382&lt;&gt;"SIM",V382&gt;0),"ERRO: % BC &gt; 0, mas NÃO permitida ❌",
IF(AND(K382="SIM",V382=0),"ATENÇÃO: BC permitida, mas % = 0 🔎",
"Base de cálculo aplicada corretamente ✅")))</f>
        <v/>
      </c>
      <c r="P382" s="31" t="str">
        <f>IF(D382="","",
IF(AND(Q382&lt;&gt;"SIM",U382&gt;0),"ERRO: % alíquota &gt; 0, mas NÃO permitida ❌",
IF(AND(Q382="SIM",U382=0),"ATENÇÃO: alíquota permitida, mas % = 0 🔎",
"Alíquota aplicada corretamente ✅")))</f>
        <v/>
      </c>
      <c r="Q382" s="8" t="str">
        <f>IF(E382="","",IFERROR(VLOOKUP(E382,REGRAS_CST!$A$2:$D$200,4,FALSE),""))</f>
        <v/>
      </c>
      <c r="S382" s="9">
        <f>IF($H382="","",$H382*(1-$U382))</f>
        <v>8.9999999999999993E-3</v>
      </c>
      <c r="T382" s="9">
        <f>IF($I382="","",$I382*(1-$U382))</f>
        <v>1E-3</v>
      </c>
      <c r="U382" s="16">
        <f>IFERROR(INDEX(BASE_CCLASSTRIB!$E:$E, MATCH(TEXT($D382,"000000"), BASE_CCLASSTRIB!$A:$A, 0))/100, 0)</f>
        <v>0</v>
      </c>
      <c r="V382" s="16">
        <f>IFERROR(INDEX(BASE_CCLASSTRIB!$F:$F, MATCH(TEXT($D382,"000000"), BASE_CCLASSTRIB!$A:$A, 0))/100, 0)</f>
        <v>0</v>
      </c>
    </row>
    <row r="383" spans="4:22" ht="32.25" customHeight="1">
      <c r="D383" s="39"/>
      <c r="E383" s="27" t="str">
        <f>IF(D383="","",LEFT(D383,3))</f>
        <v/>
      </c>
      <c r="F383" s="28" t="str">
        <f>IF(E383="","",IFERROR(VLOOKUP(E383,REGRAS_CST!$A$2:$B$200,2,FALSE),""))</f>
        <v/>
      </c>
      <c r="H383" s="29">
        <v>8.9999999999999993E-3</v>
      </c>
      <c r="I383" s="29">
        <v>1E-3</v>
      </c>
      <c r="K383" s="21" t="str">
        <f>IF(E383="","",IFERROR(VLOOKUP(E383,REGRAS_CST!$A$2:$C$200,3,FALSE),""))</f>
        <v/>
      </c>
      <c r="L383" s="23" t="str">
        <f>IF($G383="", "", $G383*(1-$V383))</f>
        <v/>
      </c>
      <c r="M383" s="24" t="str">
        <f>IF(OR($L383="",$S383=""),"",$L383*$S383)</f>
        <v/>
      </c>
      <c r="N383" s="24" t="str">
        <f>IF(OR($L383="",$T383=""),"",$L383*$T383)</f>
        <v/>
      </c>
      <c r="O383" s="15" t="str">
        <f>IF(D383="","",
IF(AND(K383&lt;&gt;"SIM",V383&gt;0),"ERRO: % BC &gt; 0, mas NÃO permitida ❌",
IF(AND(K383="SIM",V383=0),"ATENÇÃO: BC permitida, mas % = 0 🔎",
"Base de cálculo aplicada corretamente ✅")))</f>
        <v/>
      </c>
      <c r="P383" s="31" t="str">
        <f>IF(D383="","",
IF(AND(Q383&lt;&gt;"SIM",U383&gt;0),"ERRO: % alíquota &gt; 0, mas NÃO permitida ❌",
IF(AND(Q383="SIM",U383=0),"ATENÇÃO: alíquota permitida, mas % = 0 🔎",
"Alíquota aplicada corretamente ✅")))</f>
        <v/>
      </c>
      <c r="Q383" s="8" t="str">
        <f>IF(E383="","",IFERROR(VLOOKUP(E383,REGRAS_CST!$A$2:$D$200,4,FALSE),""))</f>
        <v/>
      </c>
      <c r="S383" s="9">
        <f>IF($H383="","",$H383*(1-$U383))</f>
        <v>8.9999999999999993E-3</v>
      </c>
      <c r="T383" s="9">
        <f>IF($I383="","",$I383*(1-$U383))</f>
        <v>1E-3</v>
      </c>
      <c r="U383" s="16">
        <f>IFERROR(INDEX(BASE_CCLASSTRIB!$E:$E, MATCH(TEXT($D383,"000000"), BASE_CCLASSTRIB!$A:$A, 0))/100, 0)</f>
        <v>0</v>
      </c>
      <c r="V383" s="16">
        <f>IFERROR(INDEX(BASE_CCLASSTRIB!$F:$F, MATCH(TEXT($D383,"000000"), BASE_CCLASSTRIB!$A:$A, 0))/100, 0)</f>
        <v>0</v>
      </c>
    </row>
    <row r="384" spans="4:22" ht="32.25" customHeight="1">
      <c r="D384" s="40"/>
      <c r="E384" s="27" t="str">
        <f>IF(D384="","",LEFT(D384,3))</f>
        <v/>
      </c>
      <c r="F384" s="28" t="str">
        <f>IF(E384="","",IFERROR(VLOOKUP(E384,REGRAS_CST!$A$2:$B$200,2,FALSE),""))</f>
        <v/>
      </c>
      <c r="H384" s="29">
        <v>8.9999999999999993E-3</v>
      </c>
      <c r="I384" s="29">
        <v>1E-3</v>
      </c>
      <c r="K384" s="21" t="str">
        <f>IF(E384="","",IFERROR(VLOOKUP(E384,REGRAS_CST!$A$2:$C$200,3,FALSE),""))</f>
        <v/>
      </c>
      <c r="L384" s="23" t="str">
        <f>IF($G384="", "", $G384*(1-$V384))</f>
        <v/>
      </c>
      <c r="M384" s="24" t="str">
        <f>IF(OR($L384="",$S384=""),"",$L384*$S384)</f>
        <v/>
      </c>
      <c r="N384" s="24" t="str">
        <f>IF(OR($L384="",$T384=""),"",$L384*$T384)</f>
        <v/>
      </c>
      <c r="O384" s="15" t="str">
        <f>IF(D384="","",
IF(AND(K384&lt;&gt;"SIM",V384&gt;0),"ERRO: % BC &gt; 0, mas NÃO permitida ❌",
IF(AND(K384="SIM",V384=0),"ATENÇÃO: BC permitida, mas % = 0 🔎",
"Base de cálculo aplicada corretamente ✅")))</f>
        <v/>
      </c>
      <c r="P384" s="31" t="str">
        <f>IF(D384="","",
IF(AND(Q384&lt;&gt;"SIM",U384&gt;0),"ERRO: % alíquota &gt; 0, mas NÃO permitida ❌",
IF(AND(Q384="SIM",U384=0),"ATENÇÃO: alíquota permitida, mas % = 0 🔎",
"Alíquota aplicada corretamente ✅")))</f>
        <v/>
      </c>
      <c r="Q384" s="8" t="str">
        <f>IF(E384="","",IFERROR(VLOOKUP(E384,REGRAS_CST!$A$2:$D$200,4,FALSE),""))</f>
        <v/>
      </c>
      <c r="S384" s="9">
        <f>IF($H384="","",$H384*(1-$U384))</f>
        <v>8.9999999999999993E-3</v>
      </c>
      <c r="T384" s="9">
        <f>IF($I384="","",$I384*(1-$U384))</f>
        <v>1E-3</v>
      </c>
      <c r="U384" s="16">
        <f>IFERROR(INDEX(BASE_CCLASSTRIB!$E:$E, MATCH(TEXT($D384,"000000"), BASE_CCLASSTRIB!$A:$A, 0))/100, 0)</f>
        <v>0</v>
      </c>
      <c r="V384" s="16">
        <f>IFERROR(INDEX(BASE_CCLASSTRIB!$F:$F, MATCH(TEXT($D384,"000000"), BASE_CCLASSTRIB!$A:$A, 0))/100, 0)</f>
        <v>0</v>
      </c>
    </row>
    <row r="385" spans="4:22" ht="32.25" customHeight="1">
      <c r="D385" s="39"/>
      <c r="E385" s="27" t="str">
        <f>IF(D385="","",LEFT(D385,3))</f>
        <v/>
      </c>
      <c r="F385" s="28" t="str">
        <f>IF(E385="","",IFERROR(VLOOKUP(E385,REGRAS_CST!$A$2:$B$200,2,FALSE),""))</f>
        <v/>
      </c>
      <c r="H385" s="29">
        <v>8.9999999999999993E-3</v>
      </c>
      <c r="I385" s="29">
        <v>1E-3</v>
      </c>
      <c r="K385" s="21" t="str">
        <f>IF(E385="","",IFERROR(VLOOKUP(E385,REGRAS_CST!$A$2:$C$200,3,FALSE),""))</f>
        <v/>
      </c>
      <c r="L385" s="23" t="str">
        <f>IF($G385="", "", $G385*(1-$V385))</f>
        <v/>
      </c>
      <c r="M385" s="24" t="str">
        <f>IF(OR($L385="",$S385=""),"",$L385*$S385)</f>
        <v/>
      </c>
      <c r="N385" s="24" t="str">
        <f>IF(OR($L385="",$T385=""),"",$L385*$T385)</f>
        <v/>
      </c>
      <c r="O385" s="15" t="str">
        <f>IF(D385="","",
IF(AND(K385&lt;&gt;"SIM",V385&gt;0),"ERRO: % BC &gt; 0, mas NÃO permitida ❌",
IF(AND(K385="SIM",V385=0),"ATENÇÃO: BC permitida, mas % = 0 🔎",
"Base de cálculo aplicada corretamente ✅")))</f>
        <v/>
      </c>
      <c r="P385" s="31" t="str">
        <f>IF(D385="","",
IF(AND(Q385&lt;&gt;"SIM",U385&gt;0),"ERRO: % alíquota &gt; 0, mas NÃO permitida ❌",
IF(AND(Q385="SIM",U385=0),"ATENÇÃO: alíquota permitida, mas % = 0 🔎",
"Alíquota aplicada corretamente ✅")))</f>
        <v/>
      </c>
      <c r="Q385" s="8" t="str">
        <f>IF(E385="","",IFERROR(VLOOKUP(E385,REGRAS_CST!$A$2:$D$200,4,FALSE),""))</f>
        <v/>
      </c>
      <c r="S385" s="9">
        <f>IF($H385="","",$H385*(1-$U385))</f>
        <v>8.9999999999999993E-3</v>
      </c>
      <c r="T385" s="9">
        <f>IF($I385="","",$I385*(1-$U385))</f>
        <v>1E-3</v>
      </c>
      <c r="U385" s="16">
        <f>IFERROR(INDEX(BASE_CCLASSTRIB!$E:$E, MATCH(TEXT($D385,"000000"), BASE_CCLASSTRIB!$A:$A, 0))/100, 0)</f>
        <v>0</v>
      </c>
      <c r="V385" s="16">
        <f>IFERROR(INDEX(BASE_CCLASSTRIB!$F:$F, MATCH(TEXT($D385,"000000"), BASE_CCLASSTRIB!$A:$A, 0))/100, 0)</f>
        <v>0</v>
      </c>
    </row>
    <row r="386" spans="4:22" ht="32.25" customHeight="1">
      <c r="D386" s="39"/>
      <c r="E386" s="27" t="str">
        <f>IF(D386="","",LEFT(D386,3))</f>
        <v/>
      </c>
      <c r="F386" s="28" t="str">
        <f>IF(E386="","",IFERROR(VLOOKUP(E386,REGRAS_CST!$A$2:$B$200,2,FALSE),""))</f>
        <v/>
      </c>
      <c r="H386" s="29">
        <v>8.9999999999999993E-3</v>
      </c>
      <c r="I386" s="29">
        <v>1E-3</v>
      </c>
      <c r="K386" s="21" t="str">
        <f>IF(E386="","",IFERROR(VLOOKUP(E386,REGRAS_CST!$A$2:$C$200,3,FALSE),""))</f>
        <v/>
      </c>
      <c r="L386" s="23" t="str">
        <f>IF($G386="", "", $G386*(1-$V386))</f>
        <v/>
      </c>
      <c r="M386" s="24" t="str">
        <f>IF(OR($L386="",$S386=""),"",$L386*$S386)</f>
        <v/>
      </c>
      <c r="N386" s="24" t="str">
        <f>IF(OR($L386="",$T386=""),"",$L386*$T386)</f>
        <v/>
      </c>
      <c r="O386" s="15" t="str">
        <f>IF(D386="","",
IF(AND(K386&lt;&gt;"SIM",V386&gt;0),"ERRO: % BC &gt; 0, mas NÃO permitida ❌",
IF(AND(K386="SIM",V386=0),"ATENÇÃO: BC permitida, mas % = 0 🔎",
"Base de cálculo aplicada corretamente ✅")))</f>
        <v/>
      </c>
      <c r="P386" s="31" t="str">
        <f>IF(D386="","",
IF(AND(Q386&lt;&gt;"SIM",U386&gt;0),"ERRO: % alíquota &gt; 0, mas NÃO permitida ❌",
IF(AND(Q386="SIM",U386=0),"ATENÇÃO: alíquota permitida, mas % = 0 🔎",
"Alíquota aplicada corretamente ✅")))</f>
        <v/>
      </c>
      <c r="Q386" s="8" t="str">
        <f>IF(E386="","",IFERROR(VLOOKUP(E386,REGRAS_CST!$A$2:$D$200,4,FALSE),""))</f>
        <v/>
      </c>
      <c r="S386" s="9">
        <f>IF($H386="","",$H386*(1-$U386))</f>
        <v>8.9999999999999993E-3</v>
      </c>
      <c r="T386" s="9">
        <f>IF($I386="","",$I386*(1-$U386))</f>
        <v>1E-3</v>
      </c>
      <c r="U386" s="16">
        <f>IFERROR(INDEX(BASE_CCLASSTRIB!$E:$E, MATCH(TEXT($D386,"000000"), BASE_CCLASSTRIB!$A:$A, 0))/100, 0)</f>
        <v>0</v>
      </c>
      <c r="V386" s="16">
        <f>IFERROR(INDEX(BASE_CCLASSTRIB!$F:$F, MATCH(TEXT($D386,"000000"), BASE_CCLASSTRIB!$A:$A, 0))/100, 0)</f>
        <v>0</v>
      </c>
    </row>
    <row r="387" spans="4:22" ht="32.25" customHeight="1">
      <c r="D387" s="40"/>
      <c r="E387" s="27" t="str">
        <f>IF(D387="","",LEFT(D387,3))</f>
        <v/>
      </c>
      <c r="F387" s="28" t="str">
        <f>IF(E387="","",IFERROR(VLOOKUP(E387,REGRAS_CST!$A$2:$B$200,2,FALSE),""))</f>
        <v/>
      </c>
      <c r="H387" s="29">
        <v>8.9999999999999993E-3</v>
      </c>
      <c r="I387" s="29">
        <v>1E-3</v>
      </c>
      <c r="K387" s="21" t="str">
        <f>IF(E387="","",IFERROR(VLOOKUP(E387,REGRAS_CST!$A$2:$C$200,3,FALSE),""))</f>
        <v/>
      </c>
      <c r="L387" s="23" t="str">
        <f>IF($G387="", "", $G387*(1-$V387))</f>
        <v/>
      </c>
      <c r="M387" s="24" t="str">
        <f>IF(OR($L387="",$S387=""),"",$L387*$S387)</f>
        <v/>
      </c>
      <c r="N387" s="24" t="str">
        <f>IF(OR($L387="",$T387=""),"",$L387*$T387)</f>
        <v/>
      </c>
      <c r="O387" s="15" t="str">
        <f>IF(D387="","",
IF(AND(K387&lt;&gt;"SIM",V387&gt;0),"ERRO: % BC &gt; 0, mas NÃO permitida ❌",
IF(AND(K387="SIM",V387=0),"ATENÇÃO: BC permitida, mas % = 0 🔎",
"Base de cálculo aplicada corretamente ✅")))</f>
        <v/>
      </c>
      <c r="P387" s="31" t="str">
        <f>IF(D387="","",
IF(AND(Q387&lt;&gt;"SIM",U387&gt;0),"ERRO: % alíquota &gt; 0, mas NÃO permitida ❌",
IF(AND(Q387="SIM",U387=0),"ATENÇÃO: alíquota permitida, mas % = 0 🔎",
"Alíquota aplicada corretamente ✅")))</f>
        <v/>
      </c>
      <c r="Q387" s="8" t="str">
        <f>IF(E387="","",IFERROR(VLOOKUP(E387,REGRAS_CST!$A$2:$D$200,4,FALSE),""))</f>
        <v/>
      </c>
      <c r="S387" s="9">
        <f>IF($H387="","",$H387*(1-$U387))</f>
        <v>8.9999999999999993E-3</v>
      </c>
      <c r="T387" s="9">
        <f>IF($I387="","",$I387*(1-$U387))</f>
        <v>1E-3</v>
      </c>
      <c r="U387" s="16">
        <f>IFERROR(INDEX(BASE_CCLASSTRIB!$E:$E, MATCH(TEXT($D387,"000000"), BASE_CCLASSTRIB!$A:$A, 0))/100, 0)</f>
        <v>0</v>
      </c>
      <c r="V387" s="16">
        <f>IFERROR(INDEX(BASE_CCLASSTRIB!$F:$F, MATCH(TEXT($D387,"000000"), BASE_CCLASSTRIB!$A:$A, 0))/100, 0)</f>
        <v>0</v>
      </c>
    </row>
    <row r="388" spans="4:22" ht="32.25" customHeight="1">
      <c r="D388" s="39"/>
      <c r="E388" s="27" t="str">
        <f>IF(D388="","",LEFT(D388,3))</f>
        <v/>
      </c>
      <c r="F388" s="28" t="str">
        <f>IF(E388="","",IFERROR(VLOOKUP(E388,REGRAS_CST!$A$2:$B$200,2,FALSE),""))</f>
        <v/>
      </c>
      <c r="H388" s="29">
        <v>8.9999999999999993E-3</v>
      </c>
      <c r="I388" s="29">
        <v>1E-3</v>
      </c>
      <c r="K388" s="21" t="str">
        <f>IF(E388="","",IFERROR(VLOOKUP(E388,REGRAS_CST!$A$2:$C$200,3,FALSE),""))</f>
        <v/>
      </c>
      <c r="L388" s="23" t="str">
        <f>IF($G388="", "", $G388*(1-$V388))</f>
        <v/>
      </c>
      <c r="M388" s="24" t="str">
        <f>IF(OR($L388="",$S388=""),"",$L388*$S388)</f>
        <v/>
      </c>
      <c r="N388" s="24" t="str">
        <f>IF(OR($L388="",$T388=""),"",$L388*$T388)</f>
        <v/>
      </c>
      <c r="O388" s="15" t="str">
        <f>IF(D388="","",
IF(AND(K388&lt;&gt;"SIM",V388&gt;0),"ERRO: % BC &gt; 0, mas NÃO permitida ❌",
IF(AND(K388="SIM",V388=0),"ATENÇÃO: BC permitida, mas % = 0 🔎",
"Base de cálculo aplicada corretamente ✅")))</f>
        <v/>
      </c>
      <c r="P388" s="31" t="str">
        <f>IF(D388="","",
IF(AND(Q388&lt;&gt;"SIM",U388&gt;0),"ERRO: % alíquota &gt; 0, mas NÃO permitida ❌",
IF(AND(Q388="SIM",U388=0),"ATENÇÃO: alíquota permitida, mas % = 0 🔎",
"Alíquota aplicada corretamente ✅")))</f>
        <v/>
      </c>
      <c r="Q388" s="8" t="str">
        <f>IF(E388="","",IFERROR(VLOOKUP(E388,REGRAS_CST!$A$2:$D$200,4,FALSE),""))</f>
        <v/>
      </c>
      <c r="S388" s="9">
        <f>IF($H388="","",$H388*(1-$U388))</f>
        <v>8.9999999999999993E-3</v>
      </c>
      <c r="T388" s="9">
        <f>IF($I388="","",$I388*(1-$U388))</f>
        <v>1E-3</v>
      </c>
      <c r="U388" s="16">
        <f>IFERROR(INDEX(BASE_CCLASSTRIB!$E:$E, MATCH(TEXT($D388,"000000"), BASE_CCLASSTRIB!$A:$A, 0))/100, 0)</f>
        <v>0</v>
      </c>
      <c r="V388" s="16">
        <f>IFERROR(INDEX(BASE_CCLASSTRIB!$F:$F, MATCH(TEXT($D388,"000000"), BASE_CCLASSTRIB!$A:$A, 0))/100, 0)</f>
        <v>0</v>
      </c>
    </row>
    <row r="389" spans="4:22" ht="32.25" customHeight="1">
      <c r="D389" s="39"/>
      <c r="E389" s="27" t="str">
        <f>IF(D389="","",LEFT(D389,3))</f>
        <v/>
      </c>
      <c r="F389" s="28" t="str">
        <f>IF(E389="","",IFERROR(VLOOKUP(E389,REGRAS_CST!$A$2:$B$200,2,FALSE),""))</f>
        <v/>
      </c>
      <c r="H389" s="29">
        <v>8.9999999999999993E-3</v>
      </c>
      <c r="I389" s="29">
        <v>1E-3</v>
      </c>
      <c r="K389" s="21" t="str">
        <f>IF(E389="","",IFERROR(VLOOKUP(E389,REGRAS_CST!$A$2:$C$200,3,FALSE),""))</f>
        <v/>
      </c>
      <c r="L389" s="23" t="str">
        <f>IF($G389="", "", $G389*(1-$V389))</f>
        <v/>
      </c>
      <c r="M389" s="24" t="str">
        <f>IF(OR($L389="",$S389=""),"",$L389*$S389)</f>
        <v/>
      </c>
      <c r="N389" s="24" t="str">
        <f>IF(OR($L389="",$T389=""),"",$L389*$T389)</f>
        <v/>
      </c>
      <c r="O389" s="15" t="str">
        <f>IF(D389="","",
IF(AND(K389&lt;&gt;"SIM",V389&gt;0),"ERRO: % BC &gt; 0, mas NÃO permitida ❌",
IF(AND(K389="SIM",V389=0),"ATENÇÃO: BC permitida, mas % = 0 🔎",
"Base de cálculo aplicada corretamente ✅")))</f>
        <v/>
      </c>
      <c r="P389" s="31" t="str">
        <f>IF(D389="","",
IF(AND(Q389&lt;&gt;"SIM",U389&gt;0),"ERRO: % alíquota &gt; 0, mas NÃO permitida ❌",
IF(AND(Q389="SIM",U389=0),"ATENÇÃO: alíquota permitida, mas % = 0 🔎",
"Alíquota aplicada corretamente ✅")))</f>
        <v/>
      </c>
      <c r="Q389" s="8" t="str">
        <f>IF(E389="","",IFERROR(VLOOKUP(E389,REGRAS_CST!$A$2:$D$200,4,FALSE),""))</f>
        <v/>
      </c>
      <c r="S389" s="9">
        <f>IF($H389="","",$H389*(1-$U389))</f>
        <v>8.9999999999999993E-3</v>
      </c>
      <c r="T389" s="9">
        <f>IF($I389="","",$I389*(1-$U389))</f>
        <v>1E-3</v>
      </c>
      <c r="U389" s="16">
        <f>IFERROR(INDEX(BASE_CCLASSTRIB!$E:$E, MATCH(TEXT($D389,"000000"), BASE_CCLASSTRIB!$A:$A, 0))/100, 0)</f>
        <v>0</v>
      </c>
      <c r="V389" s="16">
        <f>IFERROR(INDEX(BASE_CCLASSTRIB!$F:$F, MATCH(TEXT($D389,"000000"), BASE_CCLASSTRIB!$A:$A, 0))/100, 0)</f>
        <v>0</v>
      </c>
    </row>
    <row r="390" spans="4:22" ht="32.25" customHeight="1">
      <c r="D390" s="39"/>
      <c r="E390" s="27" t="str">
        <f>IF(D390="","",LEFT(D390,3))</f>
        <v/>
      </c>
      <c r="F390" s="28" t="str">
        <f>IF(E390="","",IFERROR(VLOOKUP(E390,REGRAS_CST!$A$2:$B$200,2,FALSE),""))</f>
        <v/>
      </c>
      <c r="H390" s="29">
        <v>8.9999999999999993E-3</v>
      </c>
      <c r="I390" s="29">
        <v>1E-3</v>
      </c>
      <c r="K390" s="21" t="str">
        <f>IF(E390="","",IFERROR(VLOOKUP(E390,REGRAS_CST!$A$2:$C$200,3,FALSE),""))</f>
        <v/>
      </c>
      <c r="L390" s="23" t="str">
        <f>IF($G390="", "", $G390*(1-$V390))</f>
        <v/>
      </c>
      <c r="M390" s="24" t="str">
        <f>IF(OR($L390="",$S390=""),"",$L390*$S390)</f>
        <v/>
      </c>
      <c r="N390" s="24" t="str">
        <f>IF(OR($L390="",$T390=""),"",$L390*$T390)</f>
        <v/>
      </c>
      <c r="O390" s="15" t="str">
        <f>IF(D390="","",
IF(AND(K390&lt;&gt;"SIM",V390&gt;0),"ERRO: % BC &gt; 0, mas NÃO permitida ❌",
IF(AND(K390="SIM",V390=0),"ATENÇÃO: BC permitida, mas % = 0 🔎",
"Base de cálculo aplicada corretamente ✅")))</f>
        <v/>
      </c>
      <c r="P390" s="31" t="str">
        <f>IF(D390="","",
IF(AND(Q390&lt;&gt;"SIM",U390&gt;0),"ERRO: % alíquota &gt; 0, mas NÃO permitida ❌",
IF(AND(Q390="SIM",U390=0),"ATENÇÃO: alíquota permitida, mas % = 0 🔎",
"Alíquota aplicada corretamente ✅")))</f>
        <v/>
      </c>
      <c r="Q390" s="8" t="str">
        <f>IF(E390="","",IFERROR(VLOOKUP(E390,REGRAS_CST!$A$2:$D$200,4,FALSE),""))</f>
        <v/>
      </c>
      <c r="S390" s="9">
        <f>IF($H390="","",$H390*(1-$U390))</f>
        <v>8.9999999999999993E-3</v>
      </c>
      <c r="T390" s="9">
        <f>IF($I390="","",$I390*(1-$U390))</f>
        <v>1E-3</v>
      </c>
      <c r="U390" s="16">
        <f>IFERROR(INDEX(BASE_CCLASSTRIB!$E:$E, MATCH(TEXT($D390,"000000"), BASE_CCLASSTRIB!$A:$A, 0))/100, 0)</f>
        <v>0</v>
      </c>
      <c r="V390" s="16">
        <f>IFERROR(INDEX(BASE_CCLASSTRIB!$F:$F, MATCH(TEXT($D390,"000000"), BASE_CCLASSTRIB!$A:$A, 0))/100, 0)</f>
        <v>0</v>
      </c>
    </row>
    <row r="391" spans="4:22" ht="32.25" customHeight="1">
      <c r="D391" s="39"/>
      <c r="E391" s="27" t="str">
        <f>IF(D391="","",LEFT(D391,3))</f>
        <v/>
      </c>
      <c r="F391" s="28" t="str">
        <f>IF(E391="","",IFERROR(VLOOKUP(E391,REGRAS_CST!$A$2:$B$200,2,FALSE),""))</f>
        <v/>
      </c>
      <c r="H391" s="29">
        <v>8.9999999999999993E-3</v>
      </c>
      <c r="I391" s="29">
        <v>1E-3</v>
      </c>
      <c r="K391" s="21" t="str">
        <f>IF(E391="","",IFERROR(VLOOKUP(E391,REGRAS_CST!$A$2:$C$200,3,FALSE),""))</f>
        <v/>
      </c>
      <c r="L391" s="23" t="str">
        <f>IF($G391="", "", $G391*(1-$V391))</f>
        <v/>
      </c>
      <c r="M391" s="24" t="str">
        <f>IF(OR($L391="",$S391=""),"",$L391*$S391)</f>
        <v/>
      </c>
      <c r="N391" s="24" t="str">
        <f>IF(OR($L391="",$T391=""),"",$L391*$T391)</f>
        <v/>
      </c>
      <c r="O391" s="15" t="str">
        <f>IF(D391="","",
IF(AND(K391&lt;&gt;"SIM",V391&gt;0),"ERRO: % BC &gt; 0, mas NÃO permitida ❌",
IF(AND(K391="SIM",V391=0),"ATENÇÃO: BC permitida, mas % = 0 🔎",
"Base de cálculo aplicada corretamente ✅")))</f>
        <v/>
      </c>
      <c r="P391" s="31" t="str">
        <f>IF(D391="","",
IF(AND(Q391&lt;&gt;"SIM",U391&gt;0),"ERRO: % alíquota &gt; 0, mas NÃO permitida ❌",
IF(AND(Q391="SIM",U391=0),"ATENÇÃO: alíquota permitida, mas % = 0 🔎",
"Alíquota aplicada corretamente ✅")))</f>
        <v/>
      </c>
      <c r="Q391" s="8" t="str">
        <f>IF(E391="","",IFERROR(VLOOKUP(E391,REGRAS_CST!$A$2:$D$200,4,FALSE),""))</f>
        <v/>
      </c>
      <c r="S391" s="9">
        <f>IF($H391="","",$H391*(1-$U391))</f>
        <v>8.9999999999999993E-3</v>
      </c>
      <c r="T391" s="9">
        <f>IF($I391="","",$I391*(1-$U391))</f>
        <v>1E-3</v>
      </c>
      <c r="U391" s="16">
        <f>IFERROR(INDEX(BASE_CCLASSTRIB!$E:$E, MATCH(TEXT($D391,"000000"), BASE_CCLASSTRIB!$A:$A, 0))/100, 0)</f>
        <v>0</v>
      </c>
      <c r="V391" s="16">
        <f>IFERROR(INDEX(BASE_CCLASSTRIB!$F:$F, MATCH(TEXT($D391,"000000"), BASE_CCLASSTRIB!$A:$A, 0))/100, 0)</f>
        <v>0</v>
      </c>
    </row>
    <row r="392" spans="4:22" ht="32.25" customHeight="1">
      <c r="D392" s="39"/>
      <c r="E392" s="27" t="str">
        <f>IF(D392="","",LEFT(D392,3))</f>
        <v/>
      </c>
      <c r="F392" s="28" t="str">
        <f>IF(E392="","",IFERROR(VLOOKUP(E392,REGRAS_CST!$A$2:$B$200,2,FALSE),""))</f>
        <v/>
      </c>
      <c r="H392" s="29">
        <v>8.9999999999999993E-3</v>
      </c>
      <c r="I392" s="29">
        <v>1E-3</v>
      </c>
      <c r="K392" s="21" t="str">
        <f>IF(E392="","",IFERROR(VLOOKUP(E392,REGRAS_CST!$A$2:$C$200,3,FALSE),""))</f>
        <v/>
      </c>
      <c r="L392" s="23" t="str">
        <f>IF($G392="", "", $G392*(1-$V392))</f>
        <v/>
      </c>
      <c r="M392" s="24" t="str">
        <f>IF(OR($L392="",$S392=""),"",$L392*$S392)</f>
        <v/>
      </c>
      <c r="N392" s="24" t="str">
        <f>IF(OR($L392="",$T392=""),"",$L392*$T392)</f>
        <v/>
      </c>
      <c r="O392" s="15" t="str">
        <f>IF(D392="","",
IF(AND(K392&lt;&gt;"SIM",V392&gt;0),"ERRO: % BC &gt; 0, mas NÃO permitida ❌",
IF(AND(K392="SIM",V392=0),"ATENÇÃO: BC permitida, mas % = 0 🔎",
"Base de cálculo aplicada corretamente ✅")))</f>
        <v/>
      </c>
      <c r="P392" s="31" t="str">
        <f>IF(D392="","",
IF(AND(Q392&lt;&gt;"SIM",U392&gt;0),"ERRO: % alíquota &gt; 0, mas NÃO permitida ❌",
IF(AND(Q392="SIM",U392=0),"ATENÇÃO: alíquota permitida, mas % = 0 🔎",
"Alíquota aplicada corretamente ✅")))</f>
        <v/>
      </c>
      <c r="Q392" s="8" t="str">
        <f>IF(E392="","",IFERROR(VLOOKUP(E392,REGRAS_CST!$A$2:$D$200,4,FALSE),""))</f>
        <v/>
      </c>
      <c r="S392" s="9">
        <f>IF($H392="","",$H392*(1-$U392))</f>
        <v>8.9999999999999993E-3</v>
      </c>
      <c r="T392" s="9">
        <f>IF($I392="","",$I392*(1-$U392))</f>
        <v>1E-3</v>
      </c>
      <c r="U392" s="16">
        <f>IFERROR(INDEX(BASE_CCLASSTRIB!$E:$E, MATCH(TEXT($D392,"000000"), BASE_CCLASSTRIB!$A:$A, 0))/100, 0)</f>
        <v>0</v>
      </c>
      <c r="V392" s="16">
        <f>IFERROR(INDEX(BASE_CCLASSTRIB!$F:$F, MATCH(TEXT($D392,"000000"), BASE_CCLASSTRIB!$A:$A, 0))/100, 0)</f>
        <v>0</v>
      </c>
    </row>
    <row r="393" spans="4:22" ht="32.25" customHeight="1">
      <c r="D393" s="39"/>
      <c r="E393" s="27" t="str">
        <f>IF(D393="","",LEFT(D393,3))</f>
        <v/>
      </c>
      <c r="F393" s="28" t="str">
        <f>IF(E393="","",IFERROR(VLOOKUP(E393,REGRAS_CST!$A$2:$B$200,2,FALSE),""))</f>
        <v/>
      </c>
      <c r="H393" s="29">
        <v>8.9999999999999993E-3</v>
      </c>
      <c r="I393" s="29">
        <v>1E-3</v>
      </c>
      <c r="K393" s="21" t="str">
        <f>IF(E393="","",IFERROR(VLOOKUP(E393,REGRAS_CST!$A$2:$C$200,3,FALSE),""))</f>
        <v/>
      </c>
      <c r="L393" s="23" t="str">
        <f>IF($G393="", "", $G393*(1-$V393))</f>
        <v/>
      </c>
      <c r="M393" s="24" t="str">
        <f>IF(OR($L393="",$S393=""),"",$L393*$S393)</f>
        <v/>
      </c>
      <c r="N393" s="24" t="str">
        <f>IF(OR($L393="",$T393=""),"",$L393*$T393)</f>
        <v/>
      </c>
      <c r="O393" s="15" t="str">
        <f>IF(D393="","",
IF(AND(K393&lt;&gt;"SIM",V393&gt;0),"ERRO: % BC &gt; 0, mas NÃO permitida ❌",
IF(AND(K393="SIM",V393=0),"ATENÇÃO: BC permitida, mas % = 0 🔎",
"Base de cálculo aplicada corretamente ✅")))</f>
        <v/>
      </c>
      <c r="P393" s="31" t="str">
        <f>IF(D393="","",
IF(AND(Q393&lt;&gt;"SIM",U393&gt;0),"ERRO: % alíquota &gt; 0, mas NÃO permitida ❌",
IF(AND(Q393="SIM",U393=0),"ATENÇÃO: alíquota permitida, mas % = 0 🔎",
"Alíquota aplicada corretamente ✅")))</f>
        <v/>
      </c>
      <c r="Q393" s="8" t="str">
        <f>IF(E393="","",IFERROR(VLOOKUP(E393,REGRAS_CST!$A$2:$D$200,4,FALSE),""))</f>
        <v/>
      </c>
      <c r="S393" s="9">
        <f>IF($H393="","",$H393*(1-$U393))</f>
        <v>8.9999999999999993E-3</v>
      </c>
      <c r="T393" s="9">
        <f>IF($I393="","",$I393*(1-$U393))</f>
        <v>1E-3</v>
      </c>
      <c r="U393" s="16">
        <f>IFERROR(INDEX(BASE_CCLASSTRIB!$E:$E, MATCH(TEXT($D393,"000000"), BASE_CCLASSTRIB!$A:$A, 0))/100, 0)</f>
        <v>0</v>
      </c>
      <c r="V393" s="16">
        <f>IFERROR(INDEX(BASE_CCLASSTRIB!$F:$F, MATCH(TEXT($D393,"000000"), BASE_CCLASSTRIB!$A:$A, 0))/100, 0)</f>
        <v>0</v>
      </c>
    </row>
    <row r="394" spans="4:22" ht="32.25" customHeight="1">
      <c r="D394" s="39"/>
      <c r="E394" s="27" t="str">
        <f>IF(D394="","",LEFT(D394,3))</f>
        <v/>
      </c>
      <c r="F394" s="28" t="str">
        <f>IF(E394="","",IFERROR(VLOOKUP(E394,REGRAS_CST!$A$2:$B$200,2,FALSE),""))</f>
        <v/>
      </c>
      <c r="H394" s="29">
        <v>8.9999999999999993E-3</v>
      </c>
      <c r="I394" s="29">
        <v>1E-3</v>
      </c>
      <c r="K394" s="21" t="str">
        <f>IF(E394="","",IFERROR(VLOOKUP(E394,REGRAS_CST!$A$2:$C$200,3,FALSE),""))</f>
        <v/>
      </c>
      <c r="L394" s="23" t="str">
        <f>IF($G394="", "", $G394*(1-$V394))</f>
        <v/>
      </c>
      <c r="M394" s="24" t="str">
        <f>IF(OR($L394="",$S394=""),"",$L394*$S394)</f>
        <v/>
      </c>
      <c r="N394" s="24" t="str">
        <f>IF(OR($L394="",$T394=""),"",$L394*$T394)</f>
        <v/>
      </c>
      <c r="O394" s="15" t="str">
        <f>IF(D394="","",
IF(AND(K394&lt;&gt;"SIM",V394&gt;0),"ERRO: % BC &gt; 0, mas NÃO permitida ❌",
IF(AND(K394="SIM",V394=0),"ATENÇÃO: BC permitida, mas % = 0 🔎",
"Base de cálculo aplicada corretamente ✅")))</f>
        <v/>
      </c>
      <c r="P394" s="31" t="str">
        <f>IF(D394="","",
IF(AND(Q394&lt;&gt;"SIM",U394&gt;0),"ERRO: % alíquota &gt; 0, mas NÃO permitida ❌",
IF(AND(Q394="SIM",U394=0),"ATENÇÃO: alíquota permitida, mas % = 0 🔎",
"Alíquota aplicada corretamente ✅")))</f>
        <v/>
      </c>
      <c r="Q394" s="8" t="str">
        <f>IF(E394="","",IFERROR(VLOOKUP(E394,REGRAS_CST!$A$2:$D$200,4,FALSE),""))</f>
        <v/>
      </c>
      <c r="S394" s="9">
        <f>IF($H394="","",$H394*(1-$U394))</f>
        <v>8.9999999999999993E-3</v>
      </c>
      <c r="T394" s="9">
        <f>IF($I394="","",$I394*(1-$U394))</f>
        <v>1E-3</v>
      </c>
      <c r="U394" s="16">
        <f>IFERROR(INDEX(BASE_CCLASSTRIB!$E:$E, MATCH(TEXT($D394,"000000"), BASE_CCLASSTRIB!$A:$A, 0))/100, 0)</f>
        <v>0</v>
      </c>
      <c r="V394" s="16">
        <f>IFERROR(INDEX(BASE_CCLASSTRIB!$F:$F, MATCH(TEXT($D394,"000000"), BASE_CCLASSTRIB!$A:$A, 0))/100, 0)</f>
        <v>0</v>
      </c>
    </row>
    <row r="395" spans="4:22" ht="32.25" customHeight="1">
      <c r="D395" s="39"/>
      <c r="E395" s="27" t="str">
        <f>IF(D395="","",LEFT(D395,3))</f>
        <v/>
      </c>
      <c r="F395" s="28" t="str">
        <f>IF(E395="","",IFERROR(VLOOKUP(E395,REGRAS_CST!$A$2:$B$200,2,FALSE),""))</f>
        <v/>
      </c>
      <c r="H395" s="29">
        <v>8.9999999999999993E-3</v>
      </c>
      <c r="I395" s="29">
        <v>1E-3</v>
      </c>
      <c r="K395" s="21" t="str">
        <f>IF(E395="","",IFERROR(VLOOKUP(E395,REGRAS_CST!$A$2:$C$200,3,FALSE),""))</f>
        <v/>
      </c>
      <c r="L395" s="23" t="str">
        <f>IF($G395="", "", $G395*(1-$V395))</f>
        <v/>
      </c>
      <c r="M395" s="24" t="str">
        <f>IF(OR($L395="",$S395=""),"",$L395*$S395)</f>
        <v/>
      </c>
      <c r="N395" s="24" t="str">
        <f>IF(OR($L395="",$T395=""),"",$L395*$T395)</f>
        <v/>
      </c>
      <c r="O395" s="15" t="str">
        <f>IF(D395="","",
IF(AND(K395&lt;&gt;"SIM",V395&gt;0),"ERRO: % BC &gt; 0, mas NÃO permitida ❌",
IF(AND(K395="SIM",V395=0),"ATENÇÃO: BC permitida, mas % = 0 🔎",
"Base de cálculo aplicada corretamente ✅")))</f>
        <v/>
      </c>
      <c r="P395" s="31" t="str">
        <f>IF(D395="","",
IF(AND(Q395&lt;&gt;"SIM",U395&gt;0),"ERRO: % alíquota &gt; 0, mas NÃO permitida ❌",
IF(AND(Q395="SIM",U395=0),"ATENÇÃO: alíquota permitida, mas % = 0 🔎",
"Alíquota aplicada corretamente ✅")))</f>
        <v/>
      </c>
      <c r="Q395" s="8" t="str">
        <f>IF(E395="","",IFERROR(VLOOKUP(E395,REGRAS_CST!$A$2:$D$200,4,FALSE),""))</f>
        <v/>
      </c>
      <c r="S395" s="9">
        <f>IF($H395="","",$H395*(1-$U395))</f>
        <v>8.9999999999999993E-3</v>
      </c>
      <c r="T395" s="9">
        <f>IF($I395="","",$I395*(1-$U395))</f>
        <v>1E-3</v>
      </c>
      <c r="U395" s="16">
        <f>IFERROR(INDEX(BASE_CCLASSTRIB!$E:$E, MATCH(TEXT($D395,"000000"), BASE_CCLASSTRIB!$A:$A, 0))/100, 0)</f>
        <v>0</v>
      </c>
      <c r="V395" s="16">
        <f>IFERROR(INDEX(BASE_CCLASSTRIB!$F:$F, MATCH(TEXT($D395,"000000"), BASE_CCLASSTRIB!$A:$A, 0))/100, 0)</f>
        <v>0</v>
      </c>
    </row>
    <row r="396" spans="4:22" ht="32.25" customHeight="1">
      <c r="D396" s="39"/>
      <c r="E396" s="27" t="str">
        <f>IF(D396="","",LEFT(D396,3))</f>
        <v/>
      </c>
      <c r="F396" s="28" t="str">
        <f>IF(E396="","",IFERROR(VLOOKUP(E396,REGRAS_CST!$A$2:$B$200,2,FALSE),""))</f>
        <v/>
      </c>
      <c r="H396" s="29">
        <v>8.9999999999999993E-3</v>
      </c>
      <c r="I396" s="29">
        <v>1E-3</v>
      </c>
      <c r="K396" s="21" t="str">
        <f>IF(E396="","",IFERROR(VLOOKUP(E396,REGRAS_CST!$A$2:$C$200,3,FALSE),""))</f>
        <v/>
      </c>
      <c r="L396" s="23" t="str">
        <f>IF($G396="", "", $G396*(1-$V396))</f>
        <v/>
      </c>
      <c r="M396" s="24" t="str">
        <f>IF(OR($L396="",$S396=""),"",$L396*$S396)</f>
        <v/>
      </c>
      <c r="N396" s="24" t="str">
        <f>IF(OR($L396="",$T396=""),"",$L396*$T396)</f>
        <v/>
      </c>
      <c r="O396" s="15" t="str">
        <f>IF(D396="","",
IF(AND(K396&lt;&gt;"SIM",V396&gt;0),"ERRO: % BC &gt; 0, mas NÃO permitida ❌",
IF(AND(K396="SIM",V396=0),"ATENÇÃO: BC permitida, mas % = 0 🔎",
"Base de cálculo aplicada corretamente ✅")))</f>
        <v/>
      </c>
      <c r="P396" s="31" t="str">
        <f>IF(D396="","",
IF(AND(Q396&lt;&gt;"SIM",U396&gt;0),"ERRO: % alíquota &gt; 0, mas NÃO permitida ❌",
IF(AND(Q396="SIM",U396=0),"ATENÇÃO: alíquota permitida, mas % = 0 🔎",
"Alíquota aplicada corretamente ✅")))</f>
        <v/>
      </c>
      <c r="Q396" s="8" t="str">
        <f>IF(E396="","",IFERROR(VLOOKUP(E396,REGRAS_CST!$A$2:$D$200,4,FALSE),""))</f>
        <v/>
      </c>
      <c r="S396" s="9">
        <f>IF($H396="","",$H396*(1-$U396))</f>
        <v>8.9999999999999993E-3</v>
      </c>
      <c r="T396" s="9">
        <f>IF($I396="","",$I396*(1-$U396))</f>
        <v>1E-3</v>
      </c>
      <c r="U396" s="16">
        <f>IFERROR(INDEX(BASE_CCLASSTRIB!$E:$E, MATCH(TEXT($D396,"000000"), BASE_CCLASSTRIB!$A:$A, 0))/100, 0)</f>
        <v>0</v>
      </c>
      <c r="V396" s="16">
        <f>IFERROR(INDEX(BASE_CCLASSTRIB!$F:$F, MATCH(TEXT($D396,"000000"), BASE_CCLASSTRIB!$A:$A, 0))/100, 0)</f>
        <v>0</v>
      </c>
    </row>
    <row r="397" spans="4:22" ht="32.25" customHeight="1">
      <c r="D397" s="39"/>
      <c r="E397" s="27" t="str">
        <f>IF(D397="","",LEFT(D397,3))</f>
        <v/>
      </c>
      <c r="F397" s="28" t="str">
        <f>IF(E397="","",IFERROR(VLOOKUP(E397,REGRAS_CST!$A$2:$B$200,2,FALSE),""))</f>
        <v/>
      </c>
      <c r="H397" s="29">
        <v>8.9999999999999993E-3</v>
      </c>
      <c r="I397" s="29">
        <v>1E-3</v>
      </c>
      <c r="K397" s="21" t="str">
        <f>IF(E397="","",IFERROR(VLOOKUP(E397,REGRAS_CST!$A$2:$C$200,3,FALSE),""))</f>
        <v/>
      </c>
      <c r="L397" s="23" t="str">
        <f>IF($G397="", "", $G397*(1-$V397))</f>
        <v/>
      </c>
      <c r="M397" s="24" t="str">
        <f>IF(OR($L397="",$S397=""),"",$L397*$S397)</f>
        <v/>
      </c>
      <c r="N397" s="24" t="str">
        <f>IF(OR($L397="",$T397=""),"",$L397*$T397)</f>
        <v/>
      </c>
      <c r="O397" s="15" t="str">
        <f>IF(D397="","",
IF(AND(K397&lt;&gt;"SIM",V397&gt;0),"ERRO: % BC &gt; 0, mas NÃO permitida ❌",
IF(AND(K397="SIM",V397=0),"ATENÇÃO: BC permitida, mas % = 0 🔎",
"Base de cálculo aplicada corretamente ✅")))</f>
        <v/>
      </c>
      <c r="P397" s="31" t="str">
        <f>IF(D397="","",
IF(AND(Q397&lt;&gt;"SIM",U397&gt;0),"ERRO: % alíquota &gt; 0, mas NÃO permitida ❌",
IF(AND(Q397="SIM",U397=0),"ATENÇÃO: alíquota permitida, mas % = 0 🔎",
"Alíquota aplicada corretamente ✅")))</f>
        <v/>
      </c>
      <c r="Q397" s="8" t="str">
        <f>IF(E397="","",IFERROR(VLOOKUP(E397,REGRAS_CST!$A$2:$D$200,4,FALSE),""))</f>
        <v/>
      </c>
      <c r="S397" s="9">
        <f>IF($H397="","",$H397*(1-$U397))</f>
        <v>8.9999999999999993E-3</v>
      </c>
      <c r="T397" s="9">
        <f>IF($I397="","",$I397*(1-$U397))</f>
        <v>1E-3</v>
      </c>
      <c r="U397" s="16">
        <f>IFERROR(INDEX(BASE_CCLASSTRIB!$E:$E, MATCH(TEXT($D397,"000000"), BASE_CCLASSTRIB!$A:$A, 0))/100, 0)</f>
        <v>0</v>
      </c>
      <c r="V397" s="16">
        <f>IFERROR(INDEX(BASE_CCLASSTRIB!$F:$F, MATCH(TEXT($D397,"000000"), BASE_CCLASSTRIB!$A:$A, 0))/100, 0)</f>
        <v>0</v>
      </c>
    </row>
    <row r="398" spans="4:22" ht="32.25" customHeight="1">
      <c r="D398" s="40"/>
      <c r="E398" s="27" t="str">
        <f>IF(D398="","",LEFT(D398,3))</f>
        <v/>
      </c>
      <c r="F398" s="28" t="str">
        <f>IF(E398="","",IFERROR(VLOOKUP(E398,REGRAS_CST!$A$2:$B$200,2,FALSE),""))</f>
        <v/>
      </c>
      <c r="H398" s="29">
        <v>8.9999999999999993E-3</v>
      </c>
      <c r="I398" s="29">
        <v>1E-3</v>
      </c>
      <c r="K398" s="21" t="str">
        <f>IF(E398="","",IFERROR(VLOOKUP(E398,REGRAS_CST!$A$2:$C$200,3,FALSE),""))</f>
        <v/>
      </c>
      <c r="L398" s="23" t="str">
        <f>IF($G398="", "", $G398*(1-$V398))</f>
        <v/>
      </c>
      <c r="M398" s="24" t="str">
        <f>IF(OR($L398="",$S398=""),"",$L398*$S398)</f>
        <v/>
      </c>
      <c r="N398" s="24" t="str">
        <f>IF(OR($L398="",$T398=""),"",$L398*$T398)</f>
        <v/>
      </c>
      <c r="O398" s="15" t="str">
        <f>IF(D398="","",
IF(AND(K398&lt;&gt;"SIM",V398&gt;0),"ERRO: % BC &gt; 0, mas NÃO permitida ❌",
IF(AND(K398="SIM",V398=0),"ATENÇÃO: BC permitida, mas % = 0 🔎",
"Base de cálculo aplicada corretamente ✅")))</f>
        <v/>
      </c>
      <c r="P398" s="31" t="str">
        <f>IF(D398="","",
IF(AND(Q398&lt;&gt;"SIM",U398&gt;0),"ERRO: % alíquota &gt; 0, mas NÃO permitida ❌",
IF(AND(Q398="SIM",U398=0),"ATENÇÃO: alíquota permitida, mas % = 0 🔎",
"Alíquota aplicada corretamente ✅")))</f>
        <v/>
      </c>
      <c r="Q398" s="8" t="str">
        <f>IF(E398="","",IFERROR(VLOOKUP(E398,REGRAS_CST!$A$2:$D$200,4,FALSE),""))</f>
        <v/>
      </c>
      <c r="S398" s="9">
        <f>IF($H398="","",$H398*(1-$U398))</f>
        <v>8.9999999999999993E-3</v>
      </c>
      <c r="T398" s="9">
        <f>IF($I398="","",$I398*(1-$U398))</f>
        <v>1E-3</v>
      </c>
      <c r="U398" s="16">
        <f>IFERROR(INDEX(BASE_CCLASSTRIB!$E:$E, MATCH(TEXT($D398,"000000"), BASE_CCLASSTRIB!$A:$A, 0))/100, 0)</f>
        <v>0</v>
      </c>
      <c r="V398" s="16">
        <f>IFERROR(INDEX(BASE_CCLASSTRIB!$F:$F, MATCH(TEXT($D398,"000000"), BASE_CCLASSTRIB!$A:$A, 0))/100, 0)</f>
        <v>0</v>
      </c>
    </row>
    <row r="399" spans="4:22" ht="32.25" customHeight="1">
      <c r="D399" s="39"/>
      <c r="E399" s="27" t="str">
        <f>IF(D399="","",LEFT(D399,3))</f>
        <v/>
      </c>
      <c r="F399" s="28" t="str">
        <f>IF(E399="","",IFERROR(VLOOKUP(E399,REGRAS_CST!$A$2:$B$200,2,FALSE),""))</f>
        <v/>
      </c>
      <c r="H399" s="29">
        <v>8.9999999999999993E-3</v>
      </c>
      <c r="I399" s="29">
        <v>1E-3</v>
      </c>
      <c r="K399" s="21" t="str">
        <f>IF(E399="","",IFERROR(VLOOKUP(E399,REGRAS_CST!$A$2:$C$200,3,FALSE),""))</f>
        <v/>
      </c>
      <c r="L399" s="23" t="str">
        <f>IF($G399="", "", $G399*(1-$V399))</f>
        <v/>
      </c>
      <c r="M399" s="24" t="str">
        <f>IF(OR($L399="",$S399=""),"",$L399*$S399)</f>
        <v/>
      </c>
      <c r="N399" s="24" t="str">
        <f>IF(OR($L399="",$T399=""),"",$L399*$T399)</f>
        <v/>
      </c>
      <c r="O399" s="15" t="str">
        <f>IF(D399="","",
IF(AND(K399&lt;&gt;"SIM",V399&gt;0),"ERRO: % BC &gt; 0, mas NÃO permitida ❌",
IF(AND(K399="SIM",V399=0),"ATENÇÃO: BC permitida, mas % = 0 🔎",
"Base de cálculo aplicada corretamente ✅")))</f>
        <v/>
      </c>
      <c r="P399" s="31" t="str">
        <f>IF(D399="","",
IF(AND(Q399&lt;&gt;"SIM",U399&gt;0),"ERRO: % alíquota &gt; 0, mas NÃO permitida ❌",
IF(AND(Q399="SIM",U399=0),"ATENÇÃO: alíquota permitida, mas % = 0 🔎",
"Alíquota aplicada corretamente ✅")))</f>
        <v/>
      </c>
      <c r="Q399" s="8" t="str">
        <f>IF(E399="","",IFERROR(VLOOKUP(E399,REGRAS_CST!$A$2:$D$200,4,FALSE),""))</f>
        <v/>
      </c>
      <c r="S399" s="9">
        <f>IF($H399="","",$H399*(1-$U399))</f>
        <v>8.9999999999999993E-3</v>
      </c>
      <c r="T399" s="9">
        <f>IF($I399="","",$I399*(1-$U399))</f>
        <v>1E-3</v>
      </c>
      <c r="U399" s="16">
        <f>IFERROR(INDEX(BASE_CCLASSTRIB!$E:$E, MATCH(TEXT($D399,"000000"), BASE_CCLASSTRIB!$A:$A, 0))/100, 0)</f>
        <v>0</v>
      </c>
      <c r="V399" s="16">
        <f>IFERROR(INDEX(BASE_CCLASSTRIB!$F:$F, MATCH(TEXT($D399,"000000"), BASE_CCLASSTRIB!$A:$A, 0))/100, 0)</f>
        <v>0</v>
      </c>
    </row>
    <row r="400" spans="4:22" ht="32.25" customHeight="1">
      <c r="D400" s="40"/>
      <c r="E400" s="27" t="str">
        <f>IF(D400="","",LEFT(D400,3))</f>
        <v/>
      </c>
      <c r="F400" s="28" t="str">
        <f>IF(E400="","",IFERROR(VLOOKUP(E400,REGRAS_CST!$A$2:$B$200,2,FALSE),""))</f>
        <v/>
      </c>
      <c r="H400" s="29">
        <v>8.9999999999999993E-3</v>
      </c>
      <c r="I400" s="29">
        <v>1E-3</v>
      </c>
      <c r="K400" s="21" t="str">
        <f>IF(E400="","",IFERROR(VLOOKUP(E400,REGRAS_CST!$A$2:$C$200,3,FALSE),""))</f>
        <v/>
      </c>
      <c r="L400" s="23" t="str">
        <f>IF($G400="", "", $G400*(1-$V400))</f>
        <v/>
      </c>
      <c r="M400" s="24" t="str">
        <f>IF(OR($L400="",$S400=""),"",$L400*$S400)</f>
        <v/>
      </c>
      <c r="N400" s="24" t="str">
        <f>IF(OR($L400="",$T400=""),"",$L400*$T400)</f>
        <v/>
      </c>
      <c r="O400" s="15" t="str">
        <f>IF(D400="","",
IF(AND(K400&lt;&gt;"SIM",V400&gt;0),"ERRO: % BC &gt; 0, mas NÃO permitida ❌",
IF(AND(K400="SIM",V400=0),"ATENÇÃO: BC permitida, mas % = 0 🔎",
"Base de cálculo aplicada corretamente ✅")))</f>
        <v/>
      </c>
      <c r="P400" s="31" t="str">
        <f>IF(D400="","",
IF(AND(Q400&lt;&gt;"SIM",U400&gt;0),"ERRO: % alíquota &gt; 0, mas NÃO permitida ❌",
IF(AND(Q400="SIM",U400=0),"ATENÇÃO: alíquota permitida, mas % = 0 🔎",
"Alíquota aplicada corretamente ✅")))</f>
        <v/>
      </c>
      <c r="Q400" s="8" t="str">
        <f>IF(E400="","",IFERROR(VLOOKUP(E400,REGRAS_CST!$A$2:$D$200,4,FALSE),""))</f>
        <v/>
      </c>
      <c r="S400" s="9">
        <f>IF($H400="","",$H400*(1-$U400))</f>
        <v>8.9999999999999993E-3</v>
      </c>
      <c r="T400" s="9">
        <f>IF($I400="","",$I400*(1-$U400))</f>
        <v>1E-3</v>
      </c>
      <c r="U400" s="16">
        <f>IFERROR(INDEX(BASE_CCLASSTRIB!$E:$E, MATCH(TEXT($D400,"000000"), BASE_CCLASSTRIB!$A:$A, 0))/100, 0)</f>
        <v>0</v>
      </c>
      <c r="V400" s="16">
        <f>IFERROR(INDEX(BASE_CCLASSTRIB!$F:$F, MATCH(TEXT($D400,"000000"), BASE_CCLASSTRIB!$A:$A, 0))/100, 0)</f>
        <v>0</v>
      </c>
    </row>
    <row r="401" spans="4:22" ht="32.25" customHeight="1">
      <c r="D401" s="40"/>
      <c r="E401" s="27" t="str">
        <f>IF(D401="","",LEFT(D401,3))</f>
        <v/>
      </c>
      <c r="F401" s="28" t="str">
        <f>IF(E401="","",IFERROR(VLOOKUP(E401,REGRAS_CST!$A$2:$B$200,2,FALSE),""))</f>
        <v/>
      </c>
      <c r="H401" s="29">
        <v>8.9999999999999993E-3</v>
      </c>
      <c r="I401" s="29">
        <v>1E-3</v>
      </c>
      <c r="K401" s="21" t="str">
        <f>IF(E401="","",IFERROR(VLOOKUP(E401,REGRAS_CST!$A$2:$C$200,3,FALSE),""))</f>
        <v/>
      </c>
      <c r="L401" s="23" t="str">
        <f>IF($G401="", "", $G401*(1-$V401))</f>
        <v/>
      </c>
      <c r="M401" s="24" t="str">
        <f>IF(OR($L401="",$S401=""),"",$L401*$S401)</f>
        <v/>
      </c>
      <c r="N401" s="24" t="str">
        <f>IF(OR($L401="",$T401=""),"",$L401*$T401)</f>
        <v/>
      </c>
      <c r="O401" s="15" t="str">
        <f>IF(D401="","",
IF(AND(K401&lt;&gt;"SIM",V401&gt;0),"ERRO: % BC &gt; 0, mas NÃO permitida ❌",
IF(AND(K401="SIM",V401=0),"ATENÇÃO: BC permitida, mas % = 0 🔎",
"Base de cálculo aplicada corretamente ✅")))</f>
        <v/>
      </c>
      <c r="P401" s="31" t="str">
        <f>IF(D401="","",
IF(AND(Q401&lt;&gt;"SIM",U401&gt;0),"ERRO: % alíquota &gt; 0, mas NÃO permitida ❌",
IF(AND(Q401="SIM",U401=0),"ATENÇÃO: alíquota permitida, mas % = 0 🔎",
"Alíquota aplicada corretamente ✅")))</f>
        <v/>
      </c>
      <c r="Q401" s="8" t="str">
        <f>IF(E401="","",IFERROR(VLOOKUP(E401,REGRAS_CST!$A$2:$D$200,4,FALSE),""))</f>
        <v/>
      </c>
      <c r="S401" s="9">
        <f>IF($H401="","",$H401*(1-$U401))</f>
        <v>8.9999999999999993E-3</v>
      </c>
      <c r="T401" s="9">
        <f>IF($I401="","",$I401*(1-$U401))</f>
        <v>1E-3</v>
      </c>
      <c r="U401" s="16">
        <f>IFERROR(INDEX(BASE_CCLASSTRIB!$E:$E, MATCH(TEXT($D401,"000000"), BASE_CCLASSTRIB!$A:$A, 0))/100, 0)</f>
        <v>0</v>
      </c>
      <c r="V401" s="16">
        <f>IFERROR(INDEX(BASE_CCLASSTRIB!$F:$F, MATCH(TEXT($D401,"000000"), BASE_CCLASSTRIB!$A:$A, 0))/100, 0)</f>
        <v>0</v>
      </c>
    </row>
    <row r="402" spans="4:22" ht="32.25" customHeight="1">
      <c r="D402" s="39"/>
      <c r="E402" s="27" t="str">
        <f>IF(D402="","",LEFT(D402,3))</f>
        <v/>
      </c>
      <c r="F402" s="28" t="str">
        <f>IF(E402="","",IFERROR(VLOOKUP(E402,REGRAS_CST!$A$2:$B$200,2,FALSE),""))</f>
        <v/>
      </c>
      <c r="H402" s="29">
        <v>8.9999999999999993E-3</v>
      </c>
      <c r="I402" s="29">
        <v>1E-3</v>
      </c>
      <c r="K402" s="21" t="str">
        <f>IF(E402="","",IFERROR(VLOOKUP(E402,REGRAS_CST!$A$2:$C$200,3,FALSE),""))</f>
        <v/>
      </c>
      <c r="L402" s="23" t="str">
        <f>IF($G402="", "", $G402*(1-$V402))</f>
        <v/>
      </c>
      <c r="M402" s="24" t="str">
        <f>IF(OR($L402="",$S402=""),"",$L402*$S402)</f>
        <v/>
      </c>
      <c r="N402" s="24" t="str">
        <f>IF(OR($L402="",$T402=""),"",$L402*$T402)</f>
        <v/>
      </c>
      <c r="O402" s="15" t="str">
        <f>IF(D402="","",
IF(AND(K402&lt;&gt;"SIM",V402&gt;0),"ERRO: % BC &gt; 0, mas NÃO permitida ❌",
IF(AND(K402="SIM",V402=0),"ATENÇÃO: BC permitida, mas % = 0 🔎",
"Base de cálculo aplicada corretamente ✅")))</f>
        <v/>
      </c>
      <c r="P402" s="31" t="str">
        <f>IF(D402="","",
IF(AND(Q402&lt;&gt;"SIM",U402&gt;0),"ERRO: % alíquota &gt; 0, mas NÃO permitida ❌",
IF(AND(Q402="SIM",U402=0),"ATENÇÃO: alíquota permitida, mas % = 0 🔎",
"Alíquota aplicada corretamente ✅")))</f>
        <v/>
      </c>
      <c r="Q402" s="8" t="str">
        <f>IF(E402="","",IFERROR(VLOOKUP(E402,REGRAS_CST!$A$2:$D$200,4,FALSE),""))</f>
        <v/>
      </c>
      <c r="S402" s="9">
        <f>IF($H402="","",$H402*(1-$U402))</f>
        <v>8.9999999999999993E-3</v>
      </c>
      <c r="T402" s="9">
        <f>IF($I402="","",$I402*(1-$U402))</f>
        <v>1E-3</v>
      </c>
      <c r="U402" s="16">
        <f>IFERROR(INDEX(BASE_CCLASSTRIB!$E:$E, MATCH(TEXT($D402,"000000"), BASE_CCLASSTRIB!$A:$A, 0))/100, 0)</f>
        <v>0</v>
      </c>
      <c r="V402" s="16">
        <f>IFERROR(INDEX(BASE_CCLASSTRIB!$F:$F, MATCH(TEXT($D402,"000000"), BASE_CCLASSTRIB!$A:$A, 0))/100, 0)</f>
        <v>0</v>
      </c>
    </row>
    <row r="403" spans="4:22" ht="32.25" customHeight="1">
      <c r="D403" s="39"/>
      <c r="E403" s="27" t="str">
        <f>IF(D403="","",LEFT(D403,3))</f>
        <v/>
      </c>
      <c r="F403" s="28" t="str">
        <f>IF(E403="","",IFERROR(VLOOKUP(E403,REGRAS_CST!$A$2:$B$200,2,FALSE),""))</f>
        <v/>
      </c>
      <c r="H403" s="29">
        <v>8.9999999999999993E-3</v>
      </c>
      <c r="I403" s="29">
        <v>1E-3</v>
      </c>
      <c r="K403" s="21" t="str">
        <f>IF(E403="","",IFERROR(VLOOKUP(E403,REGRAS_CST!$A$2:$C$200,3,FALSE),""))</f>
        <v/>
      </c>
      <c r="L403" s="23" t="str">
        <f>IF($G403="", "", $G403*(1-$V403))</f>
        <v/>
      </c>
      <c r="M403" s="24" t="str">
        <f>IF(OR($L403="",$S403=""),"",$L403*$S403)</f>
        <v/>
      </c>
      <c r="N403" s="24" t="str">
        <f>IF(OR($L403="",$T403=""),"",$L403*$T403)</f>
        <v/>
      </c>
      <c r="O403" s="15" t="str">
        <f>IF(D403="","",
IF(AND(K403&lt;&gt;"SIM",V403&gt;0),"ERRO: % BC &gt; 0, mas NÃO permitida ❌",
IF(AND(K403="SIM",V403=0),"ATENÇÃO: BC permitida, mas % = 0 🔎",
"Base de cálculo aplicada corretamente ✅")))</f>
        <v/>
      </c>
      <c r="P403" s="31" t="str">
        <f>IF(D403="","",
IF(AND(Q403&lt;&gt;"SIM",U403&gt;0),"ERRO: % alíquota &gt; 0, mas NÃO permitida ❌",
IF(AND(Q403="SIM",U403=0),"ATENÇÃO: alíquota permitida, mas % = 0 🔎",
"Alíquota aplicada corretamente ✅")))</f>
        <v/>
      </c>
      <c r="Q403" s="8" t="str">
        <f>IF(E403="","",IFERROR(VLOOKUP(E403,REGRAS_CST!$A$2:$D$200,4,FALSE),""))</f>
        <v/>
      </c>
      <c r="S403" s="9">
        <f>IF($H403="","",$H403*(1-$U403))</f>
        <v>8.9999999999999993E-3</v>
      </c>
      <c r="T403" s="9">
        <f>IF($I403="","",$I403*(1-$U403))</f>
        <v>1E-3</v>
      </c>
      <c r="U403" s="16">
        <f>IFERROR(INDEX(BASE_CCLASSTRIB!$E:$E, MATCH(TEXT($D403,"000000"), BASE_CCLASSTRIB!$A:$A, 0))/100, 0)</f>
        <v>0</v>
      </c>
      <c r="V403" s="16">
        <f>IFERROR(INDEX(BASE_CCLASSTRIB!$F:$F, MATCH(TEXT($D403,"000000"), BASE_CCLASSTRIB!$A:$A, 0))/100, 0)</f>
        <v>0</v>
      </c>
    </row>
    <row r="404" spans="4:22" ht="32.25" customHeight="1">
      <c r="D404" s="40"/>
      <c r="E404" s="27" t="str">
        <f>IF(D404="","",LEFT(D404,3))</f>
        <v/>
      </c>
      <c r="F404" s="28" t="str">
        <f>IF(E404="","",IFERROR(VLOOKUP(E404,REGRAS_CST!$A$2:$B$200,2,FALSE),""))</f>
        <v/>
      </c>
      <c r="H404" s="29">
        <v>8.9999999999999993E-3</v>
      </c>
      <c r="I404" s="29">
        <v>1E-3</v>
      </c>
      <c r="K404" s="21" t="str">
        <f>IF(E404="","",IFERROR(VLOOKUP(E404,REGRAS_CST!$A$2:$C$200,3,FALSE),""))</f>
        <v/>
      </c>
      <c r="L404" s="23" t="str">
        <f>IF($G404="", "", $G404*(1-$V404))</f>
        <v/>
      </c>
      <c r="M404" s="24" t="str">
        <f>IF(OR($L404="",$S404=""),"",$L404*$S404)</f>
        <v/>
      </c>
      <c r="N404" s="24" t="str">
        <f>IF(OR($L404="",$T404=""),"",$L404*$T404)</f>
        <v/>
      </c>
      <c r="O404" s="15" t="str">
        <f>IF(D404="","",
IF(AND(K404&lt;&gt;"SIM",V404&gt;0),"ERRO: % BC &gt; 0, mas NÃO permitida ❌",
IF(AND(K404="SIM",V404=0),"ATENÇÃO: BC permitida, mas % = 0 🔎",
"Base de cálculo aplicada corretamente ✅")))</f>
        <v/>
      </c>
      <c r="P404" s="31" t="str">
        <f>IF(D404="","",
IF(AND(Q404&lt;&gt;"SIM",U404&gt;0),"ERRO: % alíquota &gt; 0, mas NÃO permitida ❌",
IF(AND(Q404="SIM",U404=0),"ATENÇÃO: alíquota permitida, mas % = 0 🔎",
"Alíquota aplicada corretamente ✅")))</f>
        <v/>
      </c>
      <c r="Q404" s="8" t="str">
        <f>IF(E404="","",IFERROR(VLOOKUP(E404,REGRAS_CST!$A$2:$D$200,4,FALSE),""))</f>
        <v/>
      </c>
      <c r="S404" s="9">
        <f>IF($H404="","",$H404*(1-$U404))</f>
        <v>8.9999999999999993E-3</v>
      </c>
      <c r="T404" s="9">
        <f>IF($I404="","",$I404*(1-$U404))</f>
        <v>1E-3</v>
      </c>
      <c r="U404" s="16">
        <f>IFERROR(INDEX(BASE_CCLASSTRIB!$E:$E, MATCH(TEXT($D404,"000000"), BASE_CCLASSTRIB!$A:$A, 0))/100, 0)</f>
        <v>0</v>
      </c>
      <c r="V404" s="16">
        <f>IFERROR(INDEX(BASE_CCLASSTRIB!$F:$F, MATCH(TEXT($D404,"000000"), BASE_CCLASSTRIB!$A:$A, 0))/100, 0)</f>
        <v>0</v>
      </c>
    </row>
    <row r="405" spans="4:22" ht="32.25" customHeight="1">
      <c r="D405" s="40"/>
      <c r="E405" s="27" t="str">
        <f>IF(D405="","",LEFT(D405,3))</f>
        <v/>
      </c>
      <c r="F405" s="28" t="str">
        <f>IF(E405="","",IFERROR(VLOOKUP(E405,REGRAS_CST!$A$2:$B$200,2,FALSE),""))</f>
        <v/>
      </c>
      <c r="H405" s="29">
        <v>8.9999999999999993E-3</v>
      </c>
      <c r="I405" s="29">
        <v>1E-3</v>
      </c>
      <c r="K405" s="21" t="str">
        <f>IF(E405="","",IFERROR(VLOOKUP(E405,REGRAS_CST!$A$2:$C$200,3,FALSE),""))</f>
        <v/>
      </c>
      <c r="L405" s="23" t="str">
        <f>IF($G405="", "", $G405*(1-$V405))</f>
        <v/>
      </c>
      <c r="M405" s="24" t="str">
        <f>IF(OR($L405="",$S405=""),"",$L405*$S405)</f>
        <v/>
      </c>
      <c r="N405" s="24" t="str">
        <f>IF(OR($L405="",$T405=""),"",$L405*$T405)</f>
        <v/>
      </c>
      <c r="O405" s="15" t="str">
        <f>IF(D405="","",
IF(AND(K405&lt;&gt;"SIM",V405&gt;0),"ERRO: % BC &gt; 0, mas NÃO permitida ❌",
IF(AND(K405="SIM",V405=0),"ATENÇÃO: BC permitida, mas % = 0 🔎",
"Base de cálculo aplicada corretamente ✅")))</f>
        <v/>
      </c>
      <c r="P405" s="31" t="str">
        <f>IF(D405="","",
IF(AND(Q405&lt;&gt;"SIM",U405&gt;0),"ERRO: % alíquota &gt; 0, mas NÃO permitida ❌",
IF(AND(Q405="SIM",U405=0),"ATENÇÃO: alíquota permitida, mas % = 0 🔎",
"Alíquota aplicada corretamente ✅")))</f>
        <v/>
      </c>
      <c r="Q405" s="8" t="str">
        <f>IF(E405="","",IFERROR(VLOOKUP(E405,REGRAS_CST!$A$2:$D$200,4,FALSE),""))</f>
        <v/>
      </c>
      <c r="S405" s="9">
        <f>IF($H405="","",$H405*(1-$U405))</f>
        <v>8.9999999999999993E-3</v>
      </c>
      <c r="T405" s="9">
        <f>IF($I405="","",$I405*(1-$U405))</f>
        <v>1E-3</v>
      </c>
      <c r="U405" s="16">
        <f>IFERROR(INDEX(BASE_CCLASSTRIB!$E:$E, MATCH(TEXT($D405,"000000"), BASE_CCLASSTRIB!$A:$A, 0))/100, 0)</f>
        <v>0</v>
      </c>
      <c r="V405" s="16">
        <f>IFERROR(INDEX(BASE_CCLASSTRIB!$F:$F, MATCH(TEXT($D405,"000000"), BASE_CCLASSTRIB!$A:$A, 0))/100, 0)</f>
        <v>0</v>
      </c>
    </row>
    <row r="406" spans="4:22" ht="32.25" customHeight="1">
      <c r="D406" s="39"/>
      <c r="E406" s="27" t="str">
        <f>IF(D406="","",LEFT(D406,3))</f>
        <v/>
      </c>
      <c r="F406" s="28" t="str">
        <f>IF(E406="","",IFERROR(VLOOKUP(E406,REGRAS_CST!$A$2:$B$200,2,FALSE),""))</f>
        <v/>
      </c>
      <c r="H406" s="29">
        <v>8.9999999999999993E-3</v>
      </c>
      <c r="I406" s="29">
        <v>1E-3</v>
      </c>
      <c r="K406" s="21" t="str">
        <f>IF(E406="","",IFERROR(VLOOKUP(E406,REGRAS_CST!$A$2:$C$200,3,FALSE),""))</f>
        <v/>
      </c>
      <c r="L406" s="23" t="str">
        <f>IF($G406="", "", $G406*(1-$V406))</f>
        <v/>
      </c>
      <c r="M406" s="24" t="str">
        <f>IF(OR($L406="",$S406=""),"",$L406*$S406)</f>
        <v/>
      </c>
      <c r="N406" s="24" t="str">
        <f>IF(OR($L406="",$T406=""),"",$L406*$T406)</f>
        <v/>
      </c>
      <c r="O406" s="15" t="str">
        <f>IF(D406="","",
IF(AND(K406&lt;&gt;"SIM",V406&gt;0),"ERRO: % BC &gt; 0, mas NÃO permitida ❌",
IF(AND(K406="SIM",V406=0),"ATENÇÃO: BC permitida, mas % = 0 🔎",
"Base de cálculo aplicada corretamente ✅")))</f>
        <v/>
      </c>
      <c r="P406" s="31" t="str">
        <f>IF(D406="","",
IF(AND(Q406&lt;&gt;"SIM",U406&gt;0),"ERRO: % alíquota &gt; 0, mas NÃO permitida ❌",
IF(AND(Q406="SIM",U406=0),"ATENÇÃO: alíquota permitida, mas % = 0 🔎",
"Alíquota aplicada corretamente ✅")))</f>
        <v/>
      </c>
      <c r="Q406" s="8" t="str">
        <f>IF(E406="","",IFERROR(VLOOKUP(E406,REGRAS_CST!$A$2:$D$200,4,FALSE),""))</f>
        <v/>
      </c>
      <c r="S406" s="9">
        <f>IF($H406="","",$H406*(1-$U406))</f>
        <v>8.9999999999999993E-3</v>
      </c>
      <c r="T406" s="9">
        <f>IF($I406="","",$I406*(1-$U406))</f>
        <v>1E-3</v>
      </c>
      <c r="U406" s="16">
        <f>IFERROR(INDEX(BASE_CCLASSTRIB!$E:$E, MATCH(TEXT($D406,"000000"), BASE_CCLASSTRIB!$A:$A, 0))/100, 0)</f>
        <v>0</v>
      </c>
      <c r="V406" s="16">
        <f>IFERROR(INDEX(BASE_CCLASSTRIB!$F:$F, MATCH(TEXT($D406,"000000"), BASE_CCLASSTRIB!$A:$A, 0))/100, 0)</f>
        <v>0</v>
      </c>
    </row>
    <row r="407" spans="4:22" ht="32.25" customHeight="1">
      <c r="D407" s="39"/>
      <c r="E407" s="27" t="str">
        <f>IF(D407="","",LEFT(D407,3))</f>
        <v/>
      </c>
      <c r="F407" s="28" t="str">
        <f>IF(E407="","",IFERROR(VLOOKUP(E407,REGRAS_CST!$A$2:$B$200,2,FALSE),""))</f>
        <v/>
      </c>
      <c r="H407" s="29">
        <v>8.9999999999999993E-3</v>
      </c>
      <c r="I407" s="29">
        <v>1E-3</v>
      </c>
      <c r="K407" s="21" t="str">
        <f>IF(E407="","",IFERROR(VLOOKUP(E407,REGRAS_CST!$A$2:$C$200,3,FALSE),""))</f>
        <v/>
      </c>
      <c r="L407" s="23" t="str">
        <f>IF($G407="", "", $G407*(1-$V407))</f>
        <v/>
      </c>
      <c r="M407" s="24" t="str">
        <f>IF(OR($L407="",$S407=""),"",$L407*$S407)</f>
        <v/>
      </c>
      <c r="N407" s="24" t="str">
        <f>IF(OR($L407="",$T407=""),"",$L407*$T407)</f>
        <v/>
      </c>
      <c r="O407" s="15" t="str">
        <f>IF(D407="","",
IF(AND(K407&lt;&gt;"SIM",V407&gt;0),"ERRO: % BC &gt; 0, mas NÃO permitida ❌",
IF(AND(K407="SIM",V407=0),"ATENÇÃO: BC permitida, mas % = 0 🔎",
"Base de cálculo aplicada corretamente ✅")))</f>
        <v/>
      </c>
      <c r="P407" s="31" t="str">
        <f>IF(D407="","",
IF(AND(Q407&lt;&gt;"SIM",U407&gt;0),"ERRO: % alíquota &gt; 0, mas NÃO permitida ❌",
IF(AND(Q407="SIM",U407=0),"ATENÇÃO: alíquota permitida, mas % = 0 🔎",
"Alíquota aplicada corretamente ✅")))</f>
        <v/>
      </c>
      <c r="Q407" s="8" t="str">
        <f>IF(E407="","",IFERROR(VLOOKUP(E407,REGRAS_CST!$A$2:$D$200,4,FALSE),""))</f>
        <v/>
      </c>
      <c r="S407" s="9">
        <f>IF($H407="","",$H407*(1-$U407))</f>
        <v>8.9999999999999993E-3</v>
      </c>
      <c r="T407" s="9">
        <f>IF($I407="","",$I407*(1-$U407))</f>
        <v>1E-3</v>
      </c>
      <c r="U407" s="16">
        <f>IFERROR(INDEX(BASE_CCLASSTRIB!$E:$E, MATCH(TEXT($D407,"000000"), BASE_CCLASSTRIB!$A:$A, 0))/100, 0)</f>
        <v>0</v>
      </c>
      <c r="V407" s="16">
        <f>IFERROR(INDEX(BASE_CCLASSTRIB!$F:$F, MATCH(TEXT($D407,"000000"), BASE_CCLASSTRIB!$A:$A, 0))/100, 0)</f>
        <v>0</v>
      </c>
    </row>
    <row r="408" spans="4:22" ht="32.25" customHeight="1">
      <c r="D408" s="39"/>
      <c r="E408" s="27" t="str">
        <f>IF(D408="","",LEFT(D408,3))</f>
        <v/>
      </c>
      <c r="F408" s="28" t="str">
        <f>IF(E408="","",IFERROR(VLOOKUP(E408,REGRAS_CST!$A$2:$B$200,2,FALSE),""))</f>
        <v/>
      </c>
      <c r="H408" s="29">
        <v>8.9999999999999993E-3</v>
      </c>
      <c r="I408" s="29">
        <v>1E-3</v>
      </c>
      <c r="K408" s="21" t="str">
        <f>IF(E408="","",IFERROR(VLOOKUP(E408,REGRAS_CST!$A$2:$C$200,3,FALSE),""))</f>
        <v/>
      </c>
      <c r="L408" s="23" t="str">
        <f>IF($G408="", "", $G408*(1-$V408))</f>
        <v/>
      </c>
      <c r="M408" s="24" t="str">
        <f>IF(OR($L408="",$S408=""),"",$L408*$S408)</f>
        <v/>
      </c>
      <c r="N408" s="24" t="str">
        <f>IF(OR($L408="",$T408=""),"",$L408*$T408)</f>
        <v/>
      </c>
      <c r="O408" s="15" t="str">
        <f>IF(D408="","",
IF(AND(K408&lt;&gt;"SIM",V408&gt;0),"ERRO: % BC &gt; 0, mas NÃO permitida ❌",
IF(AND(K408="SIM",V408=0),"ATENÇÃO: BC permitida, mas % = 0 🔎",
"Base de cálculo aplicada corretamente ✅")))</f>
        <v/>
      </c>
      <c r="P408" s="31" t="str">
        <f>IF(D408="","",
IF(AND(Q408&lt;&gt;"SIM",U408&gt;0),"ERRO: % alíquota &gt; 0, mas NÃO permitida ❌",
IF(AND(Q408="SIM",U408=0),"ATENÇÃO: alíquota permitida, mas % = 0 🔎",
"Alíquota aplicada corretamente ✅")))</f>
        <v/>
      </c>
      <c r="Q408" s="8" t="str">
        <f>IF(E408="","",IFERROR(VLOOKUP(E408,REGRAS_CST!$A$2:$D$200,4,FALSE),""))</f>
        <v/>
      </c>
      <c r="S408" s="9">
        <f>IF($H408="","",$H408*(1-$U408))</f>
        <v>8.9999999999999993E-3</v>
      </c>
      <c r="T408" s="9">
        <f>IF($I408="","",$I408*(1-$U408))</f>
        <v>1E-3</v>
      </c>
      <c r="U408" s="16">
        <f>IFERROR(INDEX(BASE_CCLASSTRIB!$E:$E, MATCH(TEXT($D408,"000000"), BASE_CCLASSTRIB!$A:$A, 0))/100, 0)</f>
        <v>0</v>
      </c>
      <c r="V408" s="16">
        <f>IFERROR(INDEX(BASE_CCLASSTRIB!$F:$F, MATCH(TEXT($D408,"000000"), BASE_CCLASSTRIB!$A:$A, 0))/100, 0)</f>
        <v>0</v>
      </c>
    </row>
    <row r="409" spans="4:22" ht="32.25" customHeight="1">
      <c r="D409" s="40"/>
      <c r="E409" s="27" t="str">
        <f>IF(D409="","",LEFT(D409,3))</f>
        <v/>
      </c>
      <c r="F409" s="28" t="str">
        <f>IF(E409="","",IFERROR(VLOOKUP(E409,REGRAS_CST!$A$2:$B$200,2,FALSE),""))</f>
        <v/>
      </c>
      <c r="H409" s="29">
        <v>8.9999999999999993E-3</v>
      </c>
      <c r="I409" s="29">
        <v>1E-3</v>
      </c>
      <c r="K409" s="21" t="str">
        <f>IF(E409="","",IFERROR(VLOOKUP(E409,REGRAS_CST!$A$2:$C$200,3,FALSE),""))</f>
        <v/>
      </c>
      <c r="L409" s="23" t="str">
        <f>IF($G409="", "", $G409*(1-$V409))</f>
        <v/>
      </c>
      <c r="M409" s="24" t="str">
        <f>IF(OR($L409="",$S409=""),"",$L409*$S409)</f>
        <v/>
      </c>
      <c r="N409" s="24" t="str">
        <f>IF(OR($L409="",$T409=""),"",$L409*$T409)</f>
        <v/>
      </c>
      <c r="O409" s="15" t="str">
        <f>IF(D409="","",
IF(AND(K409&lt;&gt;"SIM",V409&gt;0),"ERRO: % BC &gt; 0, mas NÃO permitida ❌",
IF(AND(K409="SIM",V409=0),"ATENÇÃO: BC permitida, mas % = 0 🔎",
"Base de cálculo aplicada corretamente ✅")))</f>
        <v/>
      </c>
      <c r="P409" s="31" t="str">
        <f>IF(D409="","",
IF(AND(Q409&lt;&gt;"SIM",U409&gt;0),"ERRO: % alíquota &gt; 0, mas NÃO permitida ❌",
IF(AND(Q409="SIM",U409=0),"ATENÇÃO: alíquota permitida, mas % = 0 🔎",
"Alíquota aplicada corretamente ✅")))</f>
        <v/>
      </c>
      <c r="Q409" s="8" t="str">
        <f>IF(E409="","",IFERROR(VLOOKUP(E409,REGRAS_CST!$A$2:$D$200,4,FALSE),""))</f>
        <v/>
      </c>
      <c r="S409" s="9">
        <f>IF($H409="","",$H409*(1-$U409))</f>
        <v>8.9999999999999993E-3</v>
      </c>
      <c r="T409" s="9">
        <f>IF($I409="","",$I409*(1-$U409))</f>
        <v>1E-3</v>
      </c>
      <c r="U409" s="16">
        <f>IFERROR(INDEX(BASE_CCLASSTRIB!$E:$E, MATCH(TEXT($D409,"000000"), BASE_CCLASSTRIB!$A:$A, 0))/100, 0)</f>
        <v>0</v>
      </c>
      <c r="V409" s="16">
        <f>IFERROR(INDEX(BASE_CCLASSTRIB!$F:$F, MATCH(TEXT($D409,"000000"), BASE_CCLASSTRIB!$A:$A, 0))/100, 0)</f>
        <v>0</v>
      </c>
    </row>
    <row r="410" spans="4:22" ht="32.25" customHeight="1">
      <c r="D410" s="39"/>
      <c r="E410" s="27" t="str">
        <f>IF(D410="","",LEFT(D410,3))</f>
        <v/>
      </c>
      <c r="F410" s="28" t="str">
        <f>IF(E410="","",IFERROR(VLOOKUP(E410,REGRAS_CST!$A$2:$B$200,2,FALSE),""))</f>
        <v/>
      </c>
      <c r="H410" s="29">
        <v>8.9999999999999993E-3</v>
      </c>
      <c r="I410" s="29">
        <v>1E-3</v>
      </c>
      <c r="K410" s="21" t="str">
        <f>IF(E410="","",IFERROR(VLOOKUP(E410,REGRAS_CST!$A$2:$C$200,3,FALSE),""))</f>
        <v/>
      </c>
      <c r="L410" s="23" t="str">
        <f>IF($G410="", "", $G410*(1-$V410))</f>
        <v/>
      </c>
      <c r="M410" s="24" t="str">
        <f>IF(OR($L410="",$S410=""),"",$L410*$S410)</f>
        <v/>
      </c>
      <c r="N410" s="24" t="str">
        <f>IF(OR($L410="",$T410=""),"",$L410*$T410)</f>
        <v/>
      </c>
      <c r="O410" s="15" t="str">
        <f>IF(D410="","",
IF(AND(K410&lt;&gt;"SIM",V410&gt;0),"ERRO: % BC &gt; 0, mas NÃO permitida ❌",
IF(AND(K410="SIM",V410=0),"ATENÇÃO: BC permitida, mas % = 0 🔎",
"Base de cálculo aplicada corretamente ✅")))</f>
        <v/>
      </c>
      <c r="P410" s="31" t="str">
        <f>IF(D410="","",
IF(AND(Q410&lt;&gt;"SIM",U410&gt;0),"ERRO: % alíquota &gt; 0, mas NÃO permitida ❌",
IF(AND(Q410="SIM",U410=0),"ATENÇÃO: alíquota permitida, mas % = 0 🔎",
"Alíquota aplicada corretamente ✅")))</f>
        <v/>
      </c>
      <c r="Q410" s="8" t="str">
        <f>IF(E410="","",IFERROR(VLOOKUP(E410,REGRAS_CST!$A$2:$D$200,4,FALSE),""))</f>
        <v/>
      </c>
      <c r="S410" s="9">
        <f>IF($H410="","",$H410*(1-$U410))</f>
        <v>8.9999999999999993E-3</v>
      </c>
      <c r="T410" s="9">
        <f>IF($I410="","",$I410*(1-$U410))</f>
        <v>1E-3</v>
      </c>
      <c r="U410" s="16">
        <f>IFERROR(INDEX(BASE_CCLASSTRIB!$E:$E, MATCH(TEXT($D410,"000000"), BASE_CCLASSTRIB!$A:$A, 0))/100, 0)</f>
        <v>0</v>
      </c>
      <c r="V410" s="16">
        <f>IFERROR(INDEX(BASE_CCLASSTRIB!$F:$F, MATCH(TEXT($D410,"000000"), BASE_CCLASSTRIB!$A:$A, 0))/100, 0)</f>
        <v>0</v>
      </c>
    </row>
    <row r="411" spans="4:22" ht="32.25" customHeight="1">
      <c r="D411" s="39"/>
      <c r="E411" s="27" t="str">
        <f>IF(D411="","",LEFT(D411,3))</f>
        <v/>
      </c>
      <c r="F411" s="28" t="str">
        <f>IF(E411="","",IFERROR(VLOOKUP(E411,REGRAS_CST!$A$2:$B$200,2,FALSE),""))</f>
        <v/>
      </c>
      <c r="H411" s="29">
        <v>8.9999999999999993E-3</v>
      </c>
      <c r="I411" s="29">
        <v>1E-3</v>
      </c>
      <c r="K411" s="21" t="str">
        <f>IF(E411="","",IFERROR(VLOOKUP(E411,REGRAS_CST!$A$2:$C$200,3,FALSE),""))</f>
        <v/>
      </c>
      <c r="L411" s="23" t="str">
        <f>IF($G411="", "", $G411*(1-$V411))</f>
        <v/>
      </c>
      <c r="M411" s="24" t="str">
        <f>IF(OR($L411="",$S411=""),"",$L411*$S411)</f>
        <v/>
      </c>
      <c r="N411" s="24" t="str">
        <f>IF(OR($L411="",$T411=""),"",$L411*$T411)</f>
        <v/>
      </c>
      <c r="O411" s="15" t="str">
        <f>IF(D411="","",
IF(AND(K411&lt;&gt;"SIM",V411&gt;0),"ERRO: % BC &gt; 0, mas NÃO permitida ❌",
IF(AND(K411="SIM",V411=0),"ATENÇÃO: BC permitida, mas % = 0 🔎",
"Base de cálculo aplicada corretamente ✅")))</f>
        <v/>
      </c>
      <c r="P411" s="31" t="str">
        <f>IF(D411="","",
IF(AND(Q411&lt;&gt;"SIM",U411&gt;0),"ERRO: % alíquota &gt; 0, mas NÃO permitida ❌",
IF(AND(Q411="SIM",U411=0),"ATENÇÃO: alíquota permitida, mas % = 0 🔎",
"Alíquota aplicada corretamente ✅")))</f>
        <v/>
      </c>
      <c r="Q411" s="8" t="str">
        <f>IF(E411="","",IFERROR(VLOOKUP(E411,REGRAS_CST!$A$2:$D$200,4,FALSE),""))</f>
        <v/>
      </c>
      <c r="S411" s="9">
        <f>IF($H411="","",$H411*(1-$U411))</f>
        <v>8.9999999999999993E-3</v>
      </c>
      <c r="T411" s="9">
        <f>IF($I411="","",$I411*(1-$U411))</f>
        <v>1E-3</v>
      </c>
      <c r="U411" s="16">
        <f>IFERROR(INDEX(BASE_CCLASSTRIB!$E:$E, MATCH(TEXT($D411,"000000"), BASE_CCLASSTRIB!$A:$A, 0))/100, 0)</f>
        <v>0</v>
      </c>
      <c r="V411" s="16">
        <f>IFERROR(INDEX(BASE_CCLASSTRIB!$F:$F, MATCH(TEXT($D411,"000000"), BASE_CCLASSTRIB!$A:$A, 0))/100, 0)</f>
        <v>0</v>
      </c>
    </row>
    <row r="412" spans="4:22" ht="32.25" customHeight="1">
      <c r="D412" s="40"/>
      <c r="E412" s="27" t="str">
        <f>IF(D412="","",LEFT(D412,3))</f>
        <v/>
      </c>
      <c r="F412" s="28" t="str">
        <f>IF(E412="","",IFERROR(VLOOKUP(E412,REGRAS_CST!$A$2:$B$200,2,FALSE),""))</f>
        <v/>
      </c>
      <c r="H412" s="29">
        <v>8.9999999999999993E-3</v>
      </c>
      <c r="I412" s="29">
        <v>1E-3</v>
      </c>
      <c r="K412" s="21" t="str">
        <f>IF(E412="","",IFERROR(VLOOKUP(E412,REGRAS_CST!$A$2:$C$200,3,FALSE),""))</f>
        <v/>
      </c>
      <c r="L412" s="23" t="str">
        <f>IF($G412="", "", $G412*(1-$V412))</f>
        <v/>
      </c>
      <c r="M412" s="24" t="str">
        <f>IF(OR($L412="",$S412=""),"",$L412*$S412)</f>
        <v/>
      </c>
      <c r="N412" s="24" t="str">
        <f>IF(OR($L412="",$T412=""),"",$L412*$T412)</f>
        <v/>
      </c>
      <c r="O412" s="15" t="str">
        <f>IF(D412="","",
IF(AND(K412&lt;&gt;"SIM",V412&gt;0),"ERRO: % BC &gt; 0, mas NÃO permitida ❌",
IF(AND(K412="SIM",V412=0),"ATENÇÃO: BC permitida, mas % = 0 🔎",
"Base de cálculo aplicada corretamente ✅")))</f>
        <v/>
      </c>
      <c r="P412" s="31" t="str">
        <f>IF(D412="","",
IF(AND(Q412&lt;&gt;"SIM",U412&gt;0),"ERRO: % alíquota &gt; 0, mas NÃO permitida ❌",
IF(AND(Q412="SIM",U412=0),"ATENÇÃO: alíquota permitida, mas % = 0 🔎",
"Alíquota aplicada corretamente ✅")))</f>
        <v/>
      </c>
      <c r="Q412" s="8" t="str">
        <f>IF(E412="","",IFERROR(VLOOKUP(E412,REGRAS_CST!$A$2:$D$200,4,FALSE),""))</f>
        <v/>
      </c>
      <c r="S412" s="9">
        <f>IF($H412="","",$H412*(1-$U412))</f>
        <v>8.9999999999999993E-3</v>
      </c>
      <c r="T412" s="9">
        <f>IF($I412="","",$I412*(1-$U412))</f>
        <v>1E-3</v>
      </c>
      <c r="U412" s="16">
        <f>IFERROR(INDEX(BASE_CCLASSTRIB!$E:$E, MATCH(TEXT($D412,"000000"), BASE_CCLASSTRIB!$A:$A, 0))/100, 0)</f>
        <v>0</v>
      </c>
      <c r="V412" s="16">
        <f>IFERROR(INDEX(BASE_CCLASSTRIB!$F:$F, MATCH(TEXT($D412,"000000"), BASE_CCLASSTRIB!$A:$A, 0))/100, 0)</f>
        <v>0</v>
      </c>
    </row>
    <row r="413" spans="4:22" ht="32.25" customHeight="1">
      <c r="D413" s="39"/>
      <c r="E413" s="27" t="str">
        <f>IF(D413="","",LEFT(D413,3))</f>
        <v/>
      </c>
      <c r="F413" s="28" t="str">
        <f>IF(E413="","",IFERROR(VLOOKUP(E413,REGRAS_CST!$A$2:$B$200,2,FALSE),""))</f>
        <v/>
      </c>
      <c r="H413" s="29">
        <v>8.9999999999999993E-3</v>
      </c>
      <c r="I413" s="29">
        <v>1E-3</v>
      </c>
      <c r="K413" s="21" t="str">
        <f>IF(E413="","",IFERROR(VLOOKUP(E413,REGRAS_CST!$A$2:$C$200,3,FALSE),""))</f>
        <v/>
      </c>
      <c r="L413" s="23" t="str">
        <f>IF($G413="", "", $G413*(1-$V413))</f>
        <v/>
      </c>
      <c r="M413" s="24" t="str">
        <f>IF(OR($L413="",$S413=""),"",$L413*$S413)</f>
        <v/>
      </c>
      <c r="N413" s="24" t="str">
        <f>IF(OR($L413="",$T413=""),"",$L413*$T413)</f>
        <v/>
      </c>
      <c r="O413" s="15" t="str">
        <f>IF(D413="","",
IF(AND(K413&lt;&gt;"SIM",V413&gt;0),"ERRO: % BC &gt; 0, mas NÃO permitida ❌",
IF(AND(K413="SIM",V413=0),"ATENÇÃO: BC permitida, mas % = 0 🔎",
"Base de cálculo aplicada corretamente ✅")))</f>
        <v/>
      </c>
      <c r="P413" s="31" t="str">
        <f>IF(D413="","",
IF(AND(Q413&lt;&gt;"SIM",U413&gt;0),"ERRO: % alíquota &gt; 0, mas NÃO permitida ❌",
IF(AND(Q413="SIM",U413=0),"ATENÇÃO: alíquota permitida, mas % = 0 🔎",
"Alíquota aplicada corretamente ✅")))</f>
        <v/>
      </c>
      <c r="Q413" s="8" t="str">
        <f>IF(E413="","",IFERROR(VLOOKUP(E413,REGRAS_CST!$A$2:$D$200,4,FALSE),""))</f>
        <v/>
      </c>
      <c r="S413" s="9">
        <f>IF($H413="","",$H413*(1-$U413))</f>
        <v>8.9999999999999993E-3</v>
      </c>
      <c r="T413" s="9">
        <f>IF($I413="","",$I413*(1-$U413))</f>
        <v>1E-3</v>
      </c>
      <c r="U413" s="16">
        <f>IFERROR(INDEX(BASE_CCLASSTRIB!$E:$E, MATCH(TEXT($D413,"000000"), BASE_CCLASSTRIB!$A:$A, 0))/100, 0)</f>
        <v>0</v>
      </c>
      <c r="V413" s="16">
        <f>IFERROR(INDEX(BASE_CCLASSTRIB!$F:$F, MATCH(TEXT($D413,"000000"), BASE_CCLASSTRIB!$A:$A, 0))/100, 0)</f>
        <v>0</v>
      </c>
    </row>
    <row r="414" spans="4:22" ht="32.25" customHeight="1">
      <c r="D414" s="39"/>
      <c r="E414" s="27" t="str">
        <f>IF(D414="","",LEFT(D414,3))</f>
        <v/>
      </c>
      <c r="F414" s="28" t="str">
        <f>IF(E414="","",IFERROR(VLOOKUP(E414,REGRAS_CST!$A$2:$B$200,2,FALSE),""))</f>
        <v/>
      </c>
      <c r="H414" s="29">
        <v>8.9999999999999993E-3</v>
      </c>
      <c r="I414" s="29">
        <v>1E-3</v>
      </c>
      <c r="K414" s="21" t="str">
        <f>IF(E414="","",IFERROR(VLOOKUP(E414,REGRAS_CST!$A$2:$C$200,3,FALSE),""))</f>
        <v/>
      </c>
      <c r="L414" s="23" t="str">
        <f>IF($G414="", "", $G414*(1-$V414))</f>
        <v/>
      </c>
      <c r="M414" s="24" t="str">
        <f>IF(OR($L414="",$S414=""),"",$L414*$S414)</f>
        <v/>
      </c>
      <c r="N414" s="24" t="str">
        <f>IF(OR($L414="",$T414=""),"",$L414*$T414)</f>
        <v/>
      </c>
      <c r="O414" s="15" t="str">
        <f>IF(D414="","",
IF(AND(K414&lt;&gt;"SIM",V414&gt;0),"ERRO: % BC &gt; 0, mas NÃO permitida ❌",
IF(AND(K414="SIM",V414=0),"ATENÇÃO: BC permitida, mas % = 0 🔎",
"Base de cálculo aplicada corretamente ✅")))</f>
        <v/>
      </c>
      <c r="P414" s="31" t="str">
        <f>IF(D414="","",
IF(AND(Q414&lt;&gt;"SIM",U414&gt;0),"ERRO: % alíquota &gt; 0, mas NÃO permitida ❌",
IF(AND(Q414="SIM",U414=0),"ATENÇÃO: alíquota permitida, mas % = 0 🔎",
"Alíquota aplicada corretamente ✅")))</f>
        <v/>
      </c>
      <c r="Q414" s="8" t="str">
        <f>IF(E414="","",IFERROR(VLOOKUP(E414,REGRAS_CST!$A$2:$D$200,4,FALSE),""))</f>
        <v/>
      </c>
      <c r="S414" s="9">
        <f>IF($H414="","",$H414*(1-$U414))</f>
        <v>8.9999999999999993E-3</v>
      </c>
      <c r="T414" s="9">
        <f>IF($I414="","",$I414*(1-$U414))</f>
        <v>1E-3</v>
      </c>
      <c r="U414" s="16">
        <f>IFERROR(INDEX(BASE_CCLASSTRIB!$E:$E, MATCH(TEXT($D414,"000000"), BASE_CCLASSTRIB!$A:$A, 0))/100, 0)</f>
        <v>0</v>
      </c>
      <c r="V414" s="16">
        <f>IFERROR(INDEX(BASE_CCLASSTRIB!$F:$F, MATCH(TEXT($D414,"000000"), BASE_CCLASSTRIB!$A:$A, 0))/100, 0)</f>
        <v>0</v>
      </c>
    </row>
    <row r="415" spans="4:22" ht="32.25" customHeight="1">
      <c r="D415" s="39"/>
      <c r="E415" s="27" t="str">
        <f>IF(D415="","",LEFT(D415,3))</f>
        <v/>
      </c>
      <c r="F415" s="28" t="str">
        <f>IF(E415="","",IFERROR(VLOOKUP(E415,REGRAS_CST!$A$2:$B$200,2,FALSE),""))</f>
        <v/>
      </c>
      <c r="H415" s="29">
        <v>8.9999999999999993E-3</v>
      </c>
      <c r="I415" s="29">
        <v>1E-3</v>
      </c>
      <c r="K415" s="21" t="str">
        <f>IF(E415="","",IFERROR(VLOOKUP(E415,REGRAS_CST!$A$2:$C$200,3,FALSE),""))</f>
        <v/>
      </c>
      <c r="L415" s="23" t="str">
        <f>IF($G415="", "", $G415*(1-$V415))</f>
        <v/>
      </c>
      <c r="M415" s="24" t="str">
        <f>IF(OR($L415="",$S415=""),"",$L415*$S415)</f>
        <v/>
      </c>
      <c r="N415" s="24" t="str">
        <f>IF(OR($L415="",$T415=""),"",$L415*$T415)</f>
        <v/>
      </c>
      <c r="O415" s="15" t="str">
        <f>IF(D415="","",
IF(AND(K415&lt;&gt;"SIM",V415&gt;0),"ERRO: % BC &gt; 0, mas NÃO permitida ❌",
IF(AND(K415="SIM",V415=0),"ATENÇÃO: BC permitida, mas % = 0 🔎",
"Base de cálculo aplicada corretamente ✅")))</f>
        <v/>
      </c>
      <c r="P415" s="31" t="str">
        <f>IF(D415="","",
IF(AND(Q415&lt;&gt;"SIM",U415&gt;0),"ERRO: % alíquota &gt; 0, mas NÃO permitida ❌",
IF(AND(Q415="SIM",U415=0),"ATENÇÃO: alíquota permitida, mas % = 0 🔎",
"Alíquota aplicada corretamente ✅")))</f>
        <v/>
      </c>
      <c r="Q415" s="8" t="str">
        <f>IF(E415="","",IFERROR(VLOOKUP(E415,REGRAS_CST!$A$2:$D$200,4,FALSE),""))</f>
        <v/>
      </c>
      <c r="S415" s="9">
        <f>IF($H415="","",$H415*(1-$U415))</f>
        <v>8.9999999999999993E-3</v>
      </c>
      <c r="T415" s="9">
        <f>IF($I415="","",$I415*(1-$U415))</f>
        <v>1E-3</v>
      </c>
      <c r="U415" s="16">
        <f>IFERROR(INDEX(BASE_CCLASSTRIB!$E:$E, MATCH(TEXT($D415,"000000"), BASE_CCLASSTRIB!$A:$A, 0))/100, 0)</f>
        <v>0</v>
      </c>
      <c r="V415" s="16">
        <f>IFERROR(INDEX(BASE_CCLASSTRIB!$F:$F, MATCH(TEXT($D415,"000000"), BASE_CCLASSTRIB!$A:$A, 0))/100, 0)</f>
        <v>0</v>
      </c>
    </row>
    <row r="416" spans="4:22" ht="32.25" customHeight="1">
      <c r="D416" s="40"/>
      <c r="E416" s="27" t="str">
        <f>IF(D416="","",LEFT(D416,3))</f>
        <v/>
      </c>
      <c r="F416" s="28" t="str">
        <f>IF(E416="","",IFERROR(VLOOKUP(E416,REGRAS_CST!$A$2:$B$200,2,FALSE),""))</f>
        <v/>
      </c>
      <c r="H416" s="29">
        <v>8.9999999999999993E-3</v>
      </c>
      <c r="I416" s="29">
        <v>1E-3</v>
      </c>
      <c r="K416" s="21" t="str">
        <f>IF(E416="","",IFERROR(VLOOKUP(E416,REGRAS_CST!$A$2:$C$200,3,FALSE),""))</f>
        <v/>
      </c>
      <c r="L416" s="23" t="str">
        <f>IF($G416="", "", $G416*(1-$V416))</f>
        <v/>
      </c>
      <c r="M416" s="24" t="str">
        <f>IF(OR($L416="",$S416=""),"",$L416*$S416)</f>
        <v/>
      </c>
      <c r="N416" s="24" t="str">
        <f>IF(OR($L416="",$T416=""),"",$L416*$T416)</f>
        <v/>
      </c>
      <c r="O416" s="15" t="str">
        <f>IF(D416="","",
IF(AND(K416&lt;&gt;"SIM",V416&gt;0),"ERRO: % BC &gt; 0, mas NÃO permitida ❌",
IF(AND(K416="SIM",V416=0),"ATENÇÃO: BC permitida, mas % = 0 🔎",
"Base de cálculo aplicada corretamente ✅")))</f>
        <v/>
      </c>
      <c r="P416" s="31" t="str">
        <f>IF(D416="","",
IF(AND(Q416&lt;&gt;"SIM",U416&gt;0),"ERRO: % alíquota &gt; 0, mas NÃO permitida ❌",
IF(AND(Q416="SIM",U416=0),"ATENÇÃO: alíquota permitida, mas % = 0 🔎",
"Alíquota aplicada corretamente ✅")))</f>
        <v/>
      </c>
      <c r="Q416" s="8" t="str">
        <f>IF(E416="","",IFERROR(VLOOKUP(E416,REGRAS_CST!$A$2:$D$200,4,FALSE),""))</f>
        <v/>
      </c>
      <c r="S416" s="9">
        <f>IF($H416="","",$H416*(1-$U416))</f>
        <v>8.9999999999999993E-3</v>
      </c>
      <c r="T416" s="9">
        <f>IF($I416="","",$I416*(1-$U416))</f>
        <v>1E-3</v>
      </c>
      <c r="U416" s="16">
        <f>IFERROR(INDEX(BASE_CCLASSTRIB!$E:$E, MATCH(TEXT($D416,"000000"), BASE_CCLASSTRIB!$A:$A, 0))/100, 0)</f>
        <v>0</v>
      </c>
      <c r="V416" s="16">
        <f>IFERROR(INDEX(BASE_CCLASSTRIB!$F:$F, MATCH(TEXT($D416,"000000"), BASE_CCLASSTRIB!$A:$A, 0))/100, 0)</f>
        <v>0</v>
      </c>
    </row>
    <row r="417" spans="4:22" ht="32.25" customHeight="1">
      <c r="D417" s="39"/>
      <c r="E417" s="27" t="str">
        <f>IF(D417="","",LEFT(D417,3))</f>
        <v/>
      </c>
      <c r="F417" s="28" t="str">
        <f>IF(E417="","",IFERROR(VLOOKUP(E417,REGRAS_CST!$A$2:$B$200,2,FALSE),""))</f>
        <v/>
      </c>
      <c r="H417" s="29">
        <v>8.9999999999999993E-3</v>
      </c>
      <c r="I417" s="29">
        <v>1E-3</v>
      </c>
      <c r="K417" s="21" t="str">
        <f>IF(E417="","",IFERROR(VLOOKUP(E417,REGRAS_CST!$A$2:$C$200,3,FALSE),""))</f>
        <v/>
      </c>
      <c r="L417" s="23" t="str">
        <f>IF($G417="", "", $G417*(1-$V417))</f>
        <v/>
      </c>
      <c r="M417" s="24" t="str">
        <f>IF(OR($L417="",$S417=""),"",$L417*$S417)</f>
        <v/>
      </c>
      <c r="N417" s="24" t="str">
        <f>IF(OR($L417="",$T417=""),"",$L417*$T417)</f>
        <v/>
      </c>
      <c r="O417" s="15" t="str">
        <f>IF(D417="","",
IF(AND(K417&lt;&gt;"SIM",V417&gt;0),"ERRO: % BC &gt; 0, mas NÃO permitida ❌",
IF(AND(K417="SIM",V417=0),"ATENÇÃO: BC permitida, mas % = 0 🔎",
"Base de cálculo aplicada corretamente ✅")))</f>
        <v/>
      </c>
      <c r="P417" s="31" t="str">
        <f>IF(D417="","",
IF(AND(Q417&lt;&gt;"SIM",U417&gt;0),"ERRO: % alíquota &gt; 0, mas NÃO permitida ❌",
IF(AND(Q417="SIM",U417=0),"ATENÇÃO: alíquota permitida, mas % = 0 🔎",
"Alíquota aplicada corretamente ✅")))</f>
        <v/>
      </c>
      <c r="Q417" s="8" t="str">
        <f>IF(E417="","",IFERROR(VLOOKUP(E417,REGRAS_CST!$A$2:$D$200,4,FALSE),""))</f>
        <v/>
      </c>
      <c r="S417" s="9">
        <f>IF($H417="","",$H417*(1-$U417))</f>
        <v>8.9999999999999993E-3</v>
      </c>
      <c r="T417" s="9">
        <f>IF($I417="","",$I417*(1-$U417))</f>
        <v>1E-3</v>
      </c>
      <c r="U417" s="16">
        <f>IFERROR(INDEX(BASE_CCLASSTRIB!$E:$E, MATCH(TEXT($D417,"000000"), BASE_CCLASSTRIB!$A:$A, 0))/100, 0)</f>
        <v>0</v>
      </c>
      <c r="V417" s="16">
        <f>IFERROR(INDEX(BASE_CCLASSTRIB!$F:$F, MATCH(TEXT($D417,"000000"), BASE_CCLASSTRIB!$A:$A, 0))/100, 0)</f>
        <v>0</v>
      </c>
    </row>
    <row r="418" spans="4:22" ht="32.25" customHeight="1">
      <c r="D418" s="40"/>
      <c r="E418" s="27" t="str">
        <f>IF(D418="","",LEFT(D418,3))</f>
        <v/>
      </c>
      <c r="F418" s="28" t="str">
        <f>IF(E418="","",IFERROR(VLOOKUP(E418,REGRAS_CST!$A$2:$B$200,2,FALSE),""))</f>
        <v/>
      </c>
      <c r="H418" s="29">
        <v>8.9999999999999993E-3</v>
      </c>
      <c r="I418" s="29">
        <v>1E-3</v>
      </c>
      <c r="K418" s="21" t="str">
        <f>IF(E418="","",IFERROR(VLOOKUP(E418,REGRAS_CST!$A$2:$C$200,3,FALSE),""))</f>
        <v/>
      </c>
      <c r="L418" s="23" t="str">
        <f>IF($G418="", "", $G418*(1-$V418))</f>
        <v/>
      </c>
      <c r="M418" s="24" t="str">
        <f>IF(OR($L418="",$S418=""),"",$L418*$S418)</f>
        <v/>
      </c>
      <c r="N418" s="24" t="str">
        <f>IF(OR($L418="",$T418=""),"",$L418*$T418)</f>
        <v/>
      </c>
      <c r="O418" s="15" t="str">
        <f>IF(D418="","",
IF(AND(K418&lt;&gt;"SIM",V418&gt;0),"ERRO: % BC &gt; 0, mas NÃO permitida ❌",
IF(AND(K418="SIM",V418=0),"ATENÇÃO: BC permitida, mas % = 0 🔎",
"Base de cálculo aplicada corretamente ✅")))</f>
        <v/>
      </c>
      <c r="P418" s="31" t="str">
        <f>IF(D418="","",
IF(AND(Q418&lt;&gt;"SIM",U418&gt;0),"ERRO: % alíquota &gt; 0, mas NÃO permitida ❌",
IF(AND(Q418="SIM",U418=0),"ATENÇÃO: alíquota permitida, mas % = 0 🔎",
"Alíquota aplicada corretamente ✅")))</f>
        <v/>
      </c>
      <c r="Q418" s="8" t="str">
        <f>IF(E418="","",IFERROR(VLOOKUP(E418,REGRAS_CST!$A$2:$D$200,4,FALSE),""))</f>
        <v/>
      </c>
      <c r="S418" s="9">
        <f>IF($H418="","",$H418*(1-$U418))</f>
        <v>8.9999999999999993E-3</v>
      </c>
      <c r="T418" s="9">
        <f>IF($I418="","",$I418*(1-$U418))</f>
        <v>1E-3</v>
      </c>
      <c r="U418" s="16">
        <f>IFERROR(INDEX(BASE_CCLASSTRIB!$E:$E, MATCH(TEXT($D418,"000000"), BASE_CCLASSTRIB!$A:$A, 0))/100, 0)</f>
        <v>0</v>
      </c>
      <c r="V418" s="16">
        <f>IFERROR(INDEX(BASE_CCLASSTRIB!$F:$F, MATCH(TEXT($D418,"000000"), BASE_CCLASSTRIB!$A:$A, 0))/100, 0)</f>
        <v>0</v>
      </c>
    </row>
    <row r="419" spans="4:22" ht="32.25" customHeight="1">
      <c r="D419" s="39"/>
      <c r="E419" s="27" t="str">
        <f>IF(D419="","",LEFT(D419,3))</f>
        <v/>
      </c>
      <c r="F419" s="28" t="str">
        <f>IF(E419="","",IFERROR(VLOOKUP(E419,REGRAS_CST!$A$2:$B$200,2,FALSE),""))</f>
        <v/>
      </c>
      <c r="H419" s="29">
        <v>8.9999999999999993E-3</v>
      </c>
      <c r="I419" s="29">
        <v>1E-3</v>
      </c>
      <c r="K419" s="21" t="str">
        <f>IF(E419="","",IFERROR(VLOOKUP(E419,REGRAS_CST!$A$2:$C$200,3,FALSE),""))</f>
        <v/>
      </c>
      <c r="L419" s="23" t="str">
        <f>IF($G419="", "", $G419*(1-$V419))</f>
        <v/>
      </c>
      <c r="M419" s="24" t="str">
        <f>IF(OR($L419="",$S419=""),"",$L419*$S419)</f>
        <v/>
      </c>
      <c r="N419" s="24" t="str">
        <f>IF(OR($L419="",$T419=""),"",$L419*$T419)</f>
        <v/>
      </c>
      <c r="O419" s="15" t="str">
        <f>IF(D419="","",
IF(AND(K419&lt;&gt;"SIM",V419&gt;0),"ERRO: % BC &gt; 0, mas NÃO permitida ❌",
IF(AND(K419="SIM",V419=0),"ATENÇÃO: BC permitida, mas % = 0 🔎",
"Base de cálculo aplicada corretamente ✅")))</f>
        <v/>
      </c>
      <c r="P419" s="31" t="str">
        <f>IF(D419="","",
IF(AND(Q419&lt;&gt;"SIM",U419&gt;0),"ERRO: % alíquota &gt; 0, mas NÃO permitida ❌",
IF(AND(Q419="SIM",U419=0),"ATENÇÃO: alíquota permitida, mas % = 0 🔎",
"Alíquota aplicada corretamente ✅")))</f>
        <v/>
      </c>
      <c r="Q419" s="8" t="str">
        <f>IF(E419="","",IFERROR(VLOOKUP(E419,REGRAS_CST!$A$2:$D$200,4,FALSE),""))</f>
        <v/>
      </c>
      <c r="S419" s="9">
        <f>IF($H419="","",$H419*(1-$U419))</f>
        <v>8.9999999999999993E-3</v>
      </c>
      <c r="T419" s="9">
        <f>IF($I419="","",$I419*(1-$U419))</f>
        <v>1E-3</v>
      </c>
      <c r="U419" s="16">
        <f>IFERROR(INDEX(BASE_CCLASSTRIB!$E:$E, MATCH(TEXT($D419,"000000"), BASE_CCLASSTRIB!$A:$A, 0))/100, 0)</f>
        <v>0</v>
      </c>
      <c r="V419" s="16">
        <f>IFERROR(INDEX(BASE_CCLASSTRIB!$F:$F, MATCH(TEXT($D419,"000000"), BASE_CCLASSTRIB!$A:$A, 0))/100, 0)</f>
        <v>0</v>
      </c>
    </row>
    <row r="420" spans="4:22" ht="32.25" customHeight="1">
      <c r="D420" s="39"/>
      <c r="E420" s="27" t="str">
        <f>IF(D420="","",LEFT(D420,3))</f>
        <v/>
      </c>
      <c r="F420" s="28" t="str">
        <f>IF(E420="","",IFERROR(VLOOKUP(E420,REGRAS_CST!$A$2:$B$200,2,FALSE),""))</f>
        <v/>
      </c>
      <c r="H420" s="29">
        <v>8.9999999999999993E-3</v>
      </c>
      <c r="I420" s="29">
        <v>1E-3</v>
      </c>
      <c r="K420" s="21" t="str">
        <f>IF(E420="","",IFERROR(VLOOKUP(E420,REGRAS_CST!$A$2:$C$200,3,FALSE),""))</f>
        <v/>
      </c>
      <c r="L420" s="23" t="str">
        <f>IF($G420="", "", $G420*(1-$V420))</f>
        <v/>
      </c>
      <c r="M420" s="24" t="str">
        <f>IF(OR($L420="",$S420=""),"",$L420*$S420)</f>
        <v/>
      </c>
      <c r="N420" s="24" t="str">
        <f>IF(OR($L420="",$T420=""),"",$L420*$T420)</f>
        <v/>
      </c>
      <c r="O420" s="15" t="str">
        <f>IF(D420="","",
IF(AND(K420&lt;&gt;"SIM",V420&gt;0),"ERRO: % BC &gt; 0, mas NÃO permitida ❌",
IF(AND(K420="SIM",V420=0),"ATENÇÃO: BC permitida, mas % = 0 🔎",
"Base de cálculo aplicada corretamente ✅")))</f>
        <v/>
      </c>
      <c r="P420" s="31" t="str">
        <f>IF(D420="","",
IF(AND(Q420&lt;&gt;"SIM",U420&gt;0),"ERRO: % alíquota &gt; 0, mas NÃO permitida ❌",
IF(AND(Q420="SIM",U420=0),"ATENÇÃO: alíquota permitida, mas % = 0 🔎",
"Alíquota aplicada corretamente ✅")))</f>
        <v/>
      </c>
      <c r="Q420" s="8" t="str">
        <f>IF(E420="","",IFERROR(VLOOKUP(E420,REGRAS_CST!$A$2:$D$200,4,FALSE),""))</f>
        <v/>
      </c>
      <c r="S420" s="9">
        <f>IF($H420="","",$H420*(1-$U420))</f>
        <v>8.9999999999999993E-3</v>
      </c>
      <c r="T420" s="9">
        <f>IF($I420="","",$I420*(1-$U420))</f>
        <v>1E-3</v>
      </c>
      <c r="U420" s="16">
        <f>IFERROR(INDEX(BASE_CCLASSTRIB!$E:$E, MATCH(TEXT($D420,"000000"), BASE_CCLASSTRIB!$A:$A, 0))/100, 0)</f>
        <v>0</v>
      </c>
      <c r="V420" s="16">
        <f>IFERROR(INDEX(BASE_CCLASSTRIB!$F:$F, MATCH(TEXT($D420,"000000"), BASE_CCLASSTRIB!$A:$A, 0))/100, 0)</f>
        <v>0</v>
      </c>
    </row>
    <row r="421" spans="4:22" ht="32.25" customHeight="1">
      <c r="D421" s="39"/>
      <c r="E421" s="27" t="str">
        <f>IF(D421="","",LEFT(D421,3))</f>
        <v/>
      </c>
      <c r="F421" s="28" t="str">
        <f>IF(E421="","",IFERROR(VLOOKUP(E421,REGRAS_CST!$A$2:$B$200,2,FALSE),""))</f>
        <v/>
      </c>
      <c r="H421" s="29">
        <v>8.9999999999999993E-3</v>
      </c>
      <c r="I421" s="29">
        <v>1E-3</v>
      </c>
      <c r="K421" s="21" t="str">
        <f>IF(E421="","",IFERROR(VLOOKUP(E421,REGRAS_CST!$A$2:$C$200,3,FALSE),""))</f>
        <v/>
      </c>
      <c r="L421" s="23" t="str">
        <f>IF($G421="", "", $G421*(1-$V421))</f>
        <v/>
      </c>
      <c r="M421" s="24" t="str">
        <f>IF(OR($L421="",$S421=""),"",$L421*$S421)</f>
        <v/>
      </c>
      <c r="N421" s="24" t="str">
        <f>IF(OR($L421="",$T421=""),"",$L421*$T421)</f>
        <v/>
      </c>
      <c r="O421" s="15" t="str">
        <f>IF(D421="","",
IF(AND(K421&lt;&gt;"SIM",V421&gt;0),"ERRO: % BC &gt; 0, mas NÃO permitida ❌",
IF(AND(K421="SIM",V421=0),"ATENÇÃO: BC permitida, mas % = 0 🔎",
"Base de cálculo aplicada corretamente ✅")))</f>
        <v/>
      </c>
      <c r="P421" s="31" t="str">
        <f>IF(D421="","",
IF(AND(Q421&lt;&gt;"SIM",U421&gt;0),"ERRO: % alíquota &gt; 0, mas NÃO permitida ❌",
IF(AND(Q421="SIM",U421=0),"ATENÇÃO: alíquota permitida, mas % = 0 🔎",
"Alíquota aplicada corretamente ✅")))</f>
        <v/>
      </c>
      <c r="Q421" s="8" t="str">
        <f>IF(E421="","",IFERROR(VLOOKUP(E421,REGRAS_CST!$A$2:$D$200,4,FALSE),""))</f>
        <v/>
      </c>
      <c r="S421" s="9">
        <f>IF($H421="","",$H421*(1-$U421))</f>
        <v>8.9999999999999993E-3</v>
      </c>
      <c r="T421" s="9">
        <f>IF($I421="","",$I421*(1-$U421))</f>
        <v>1E-3</v>
      </c>
      <c r="U421" s="16">
        <f>IFERROR(INDEX(BASE_CCLASSTRIB!$E:$E, MATCH(TEXT($D421,"000000"), BASE_CCLASSTRIB!$A:$A, 0))/100, 0)</f>
        <v>0</v>
      </c>
      <c r="V421" s="16">
        <f>IFERROR(INDEX(BASE_CCLASSTRIB!$F:$F, MATCH(TEXT($D421,"000000"), BASE_CCLASSTRIB!$A:$A, 0))/100, 0)</f>
        <v>0</v>
      </c>
    </row>
    <row r="422" spans="4:22" ht="32.25" customHeight="1">
      <c r="D422" s="39"/>
      <c r="E422" s="27" t="str">
        <f>IF(D422="","",LEFT(D422,3))</f>
        <v/>
      </c>
      <c r="F422" s="28" t="str">
        <f>IF(E422="","",IFERROR(VLOOKUP(E422,REGRAS_CST!$A$2:$B$200,2,FALSE),""))</f>
        <v/>
      </c>
      <c r="H422" s="29">
        <v>8.9999999999999993E-3</v>
      </c>
      <c r="I422" s="29">
        <v>1E-3</v>
      </c>
      <c r="K422" s="21" t="str">
        <f>IF(E422="","",IFERROR(VLOOKUP(E422,REGRAS_CST!$A$2:$C$200,3,FALSE),""))</f>
        <v/>
      </c>
      <c r="L422" s="23" t="str">
        <f>IF($G422="", "", $G422*(1-$V422))</f>
        <v/>
      </c>
      <c r="M422" s="24" t="str">
        <f>IF(OR($L422="",$S422=""),"",$L422*$S422)</f>
        <v/>
      </c>
      <c r="N422" s="24" t="str">
        <f>IF(OR($L422="",$T422=""),"",$L422*$T422)</f>
        <v/>
      </c>
      <c r="O422" s="15" t="str">
        <f>IF(D422="","",
IF(AND(K422&lt;&gt;"SIM",V422&gt;0),"ERRO: % BC &gt; 0, mas NÃO permitida ❌",
IF(AND(K422="SIM",V422=0),"ATENÇÃO: BC permitida, mas % = 0 🔎",
"Base de cálculo aplicada corretamente ✅")))</f>
        <v/>
      </c>
      <c r="P422" s="31" t="str">
        <f>IF(D422="","",
IF(AND(Q422&lt;&gt;"SIM",U422&gt;0),"ERRO: % alíquota &gt; 0, mas NÃO permitida ❌",
IF(AND(Q422="SIM",U422=0),"ATENÇÃO: alíquota permitida, mas % = 0 🔎",
"Alíquota aplicada corretamente ✅")))</f>
        <v/>
      </c>
      <c r="Q422" s="8" t="str">
        <f>IF(E422="","",IFERROR(VLOOKUP(E422,REGRAS_CST!$A$2:$D$200,4,FALSE),""))</f>
        <v/>
      </c>
      <c r="S422" s="9">
        <f>IF($H422="","",$H422*(1-$U422))</f>
        <v>8.9999999999999993E-3</v>
      </c>
      <c r="T422" s="9">
        <f>IF($I422="","",$I422*(1-$U422))</f>
        <v>1E-3</v>
      </c>
      <c r="U422" s="16">
        <f>IFERROR(INDEX(BASE_CCLASSTRIB!$E:$E, MATCH(TEXT($D422,"000000"), BASE_CCLASSTRIB!$A:$A, 0))/100, 0)</f>
        <v>0</v>
      </c>
      <c r="V422" s="16">
        <f>IFERROR(INDEX(BASE_CCLASSTRIB!$F:$F, MATCH(TEXT($D422,"000000"), BASE_CCLASSTRIB!$A:$A, 0))/100, 0)</f>
        <v>0</v>
      </c>
    </row>
    <row r="423" spans="4:22" ht="32.25" customHeight="1">
      <c r="D423" s="39"/>
      <c r="E423" s="27" t="str">
        <f>IF(D423="","",LEFT(D423,3))</f>
        <v/>
      </c>
      <c r="F423" s="28" t="str">
        <f>IF(E423="","",IFERROR(VLOOKUP(E423,REGRAS_CST!$A$2:$B$200,2,FALSE),""))</f>
        <v/>
      </c>
      <c r="H423" s="29">
        <v>8.9999999999999993E-3</v>
      </c>
      <c r="I423" s="29">
        <v>1E-3</v>
      </c>
      <c r="K423" s="21" t="str">
        <f>IF(E423="","",IFERROR(VLOOKUP(E423,REGRAS_CST!$A$2:$C$200,3,FALSE),""))</f>
        <v/>
      </c>
      <c r="L423" s="23" t="str">
        <f>IF($G423="", "", $G423*(1-$V423))</f>
        <v/>
      </c>
      <c r="M423" s="24" t="str">
        <f>IF(OR($L423="",$S423=""),"",$L423*$S423)</f>
        <v/>
      </c>
      <c r="N423" s="24" t="str">
        <f>IF(OR($L423="",$T423=""),"",$L423*$T423)</f>
        <v/>
      </c>
      <c r="O423" s="15" t="str">
        <f>IF(D423="","",
IF(AND(K423&lt;&gt;"SIM",V423&gt;0),"ERRO: % BC &gt; 0, mas NÃO permitida ❌",
IF(AND(K423="SIM",V423=0),"ATENÇÃO: BC permitida, mas % = 0 🔎",
"Base de cálculo aplicada corretamente ✅")))</f>
        <v/>
      </c>
      <c r="P423" s="31" t="str">
        <f>IF(D423="","",
IF(AND(Q423&lt;&gt;"SIM",U423&gt;0),"ERRO: % alíquota &gt; 0, mas NÃO permitida ❌",
IF(AND(Q423="SIM",U423=0),"ATENÇÃO: alíquota permitida, mas % = 0 🔎",
"Alíquota aplicada corretamente ✅")))</f>
        <v/>
      </c>
      <c r="Q423" s="8" t="str">
        <f>IF(E423="","",IFERROR(VLOOKUP(E423,REGRAS_CST!$A$2:$D$200,4,FALSE),""))</f>
        <v/>
      </c>
      <c r="S423" s="9">
        <f>IF($H423="","",$H423*(1-$U423))</f>
        <v>8.9999999999999993E-3</v>
      </c>
      <c r="T423" s="9">
        <f>IF($I423="","",$I423*(1-$U423))</f>
        <v>1E-3</v>
      </c>
      <c r="U423" s="16">
        <f>IFERROR(INDEX(BASE_CCLASSTRIB!$E:$E, MATCH(TEXT($D423,"000000"), BASE_CCLASSTRIB!$A:$A, 0))/100, 0)</f>
        <v>0</v>
      </c>
      <c r="V423" s="16">
        <f>IFERROR(INDEX(BASE_CCLASSTRIB!$F:$F, MATCH(TEXT($D423,"000000"), BASE_CCLASSTRIB!$A:$A, 0))/100, 0)</f>
        <v>0</v>
      </c>
    </row>
    <row r="424" spans="4:22" ht="32.25" customHeight="1">
      <c r="D424" s="39"/>
      <c r="E424" s="27" t="str">
        <f>IF(D424="","",LEFT(D424,3))</f>
        <v/>
      </c>
      <c r="F424" s="28" t="str">
        <f>IF(E424="","",IFERROR(VLOOKUP(E424,REGRAS_CST!$A$2:$B$200,2,FALSE),""))</f>
        <v/>
      </c>
      <c r="H424" s="29">
        <v>8.9999999999999993E-3</v>
      </c>
      <c r="I424" s="29">
        <v>1E-3</v>
      </c>
      <c r="K424" s="21" t="str">
        <f>IF(E424="","",IFERROR(VLOOKUP(E424,REGRAS_CST!$A$2:$C$200,3,FALSE),""))</f>
        <v/>
      </c>
      <c r="L424" s="23" t="str">
        <f>IF($G424="", "", $G424*(1-$V424))</f>
        <v/>
      </c>
      <c r="M424" s="24" t="str">
        <f>IF(OR($L424="",$S424=""),"",$L424*$S424)</f>
        <v/>
      </c>
      <c r="N424" s="24" t="str">
        <f>IF(OR($L424="",$T424=""),"",$L424*$T424)</f>
        <v/>
      </c>
      <c r="O424" s="15" t="str">
        <f>IF(D424="","",
IF(AND(K424&lt;&gt;"SIM",V424&gt;0),"ERRO: % BC &gt; 0, mas NÃO permitida ❌",
IF(AND(K424="SIM",V424=0),"ATENÇÃO: BC permitida, mas % = 0 🔎",
"Base de cálculo aplicada corretamente ✅")))</f>
        <v/>
      </c>
      <c r="P424" s="31" t="str">
        <f>IF(D424="","",
IF(AND(Q424&lt;&gt;"SIM",U424&gt;0),"ERRO: % alíquota &gt; 0, mas NÃO permitida ❌",
IF(AND(Q424="SIM",U424=0),"ATENÇÃO: alíquota permitida, mas % = 0 🔎",
"Alíquota aplicada corretamente ✅")))</f>
        <v/>
      </c>
      <c r="Q424" s="8" t="str">
        <f>IF(E424="","",IFERROR(VLOOKUP(E424,REGRAS_CST!$A$2:$D$200,4,FALSE),""))</f>
        <v/>
      </c>
      <c r="S424" s="9">
        <f>IF($H424="","",$H424*(1-$U424))</f>
        <v>8.9999999999999993E-3</v>
      </c>
      <c r="T424" s="9">
        <f>IF($I424="","",$I424*(1-$U424))</f>
        <v>1E-3</v>
      </c>
      <c r="U424" s="16">
        <f>IFERROR(INDEX(BASE_CCLASSTRIB!$E:$E, MATCH(TEXT($D424,"000000"), BASE_CCLASSTRIB!$A:$A, 0))/100, 0)</f>
        <v>0</v>
      </c>
      <c r="V424" s="16">
        <f>IFERROR(INDEX(BASE_CCLASSTRIB!$F:$F, MATCH(TEXT($D424,"000000"), BASE_CCLASSTRIB!$A:$A, 0))/100, 0)</f>
        <v>0</v>
      </c>
    </row>
    <row r="425" spans="4:22" ht="32.25" customHeight="1">
      <c r="D425" s="39"/>
      <c r="E425" s="27" t="str">
        <f>IF(D425="","",LEFT(D425,3))</f>
        <v/>
      </c>
      <c r="F425" s="28" t="str">
        <f>IF(E425="","",IFERROR(VLOOKUP(E425,REGRAS_CST!$A$2:$B$200,2,FALSE),""))</f>
        <v/>
      </c>
      <c r="H425" s="29">
        <v>8.9999999999999993E-3</v>
      </c>
      <c r="I425" s="29">
        <v>1E-3</v>
      </c>
      <c r="K425" s="21" t="str">
        <f>IF(E425="","",IFERROR(VLOOKUP(E425,REGRAS_CST!$A$2:$C$200,3,FALSE),""))</f>
        <v/>
      </c>
      <c r="L425" s="23" t="str">
        <f>IF($G425="", "", $G425*(1-$V425))</f>
        <v/>
      </c>
      <c r="M425" s="24" t="str">
        <f>IF(OR($L425="",$S425=""),"",$L425*$S425)</f>
        <v/>
      </c>
      <c r="N425" s="24" t="str">
        <f>IF(OR($L425="",$T425=""),"",$L425*$T425)</f>
        <v/>
      </c>
      <c r="O425" s="15" t="str">
        <f>IF(D425="","",
IF(AND(K425&lt;&gt;"SIM",V425&gt;0),"ERRO: % BC &gt; 0, mas NÃO permitida ❌",
IF(AND(K425="SIM",V425=0),"ATENÇÃO: BC permitida, mas % = 0 🔎",
"Base de cálculo aplicada corretamente ✅")))</f>
        <v/>
      </c>
      <c r="P425" s="31" t="str">
        <f>IF(D425="","",
IF(AND(Q425&lt;&gt;"SIM",U425&gt;0),"ERRO: % alíquota &gt; 0, mas NÃO permitida ❌",
IF(AND(Q425="SIM",U425=0),"ATENÇÃO: alíquota permitida, mas % = 0 🔎",
"Alíquota aplicada corretamente ✅")))</f>
        <v/>
      </c>
      <c r="Q425" s="8" t="str">
        <f>IF(E425="","",IFERROR(VLOOKUP(E425,REGRAS_CST!$A$2:$D$200,4,FALSE),""))</f>
        <v/>
      </c>
      <c r="S425" s="9">
        <f>IF($H425="","",$H425*(1-$U425))</f>
        <v>8.9999999999999993E-3</v>
      </c>
      <c r="T425" s="9">
        <f>IF($I425="","",$I425*(1-$U425))</f>
        <v>1E-3</v>
      </c>
      <c r="U425" s="16">
        <f>IFERROR(INDEX(BASE_CCLASSTRIB!$E:$E, MATCH(TEXT($D425,"000000"), BASE_CCLASSTRIB!$A:$A, 0))/100, 0)</f>
        <v>0</v>
      </c>
      <c r="V425" s="16">
        <f>IFERROR(INDEX(BASE_CCLASSTRIB!$F:$F, MATCH(TEXT($D425,"000000"), BASE_CCLASSTRIB!$A:$A, 0))/100, 0)</f>
        <v>0</v>
      </c>
    </row>
    <row r="426" spans="4:22" ht="32.25" customHeight="1">
      <c r="D426" s="39"/>
      <c r="E426" s="27" t="str">
        <f>IF(D426="","",LEFT(D426,3))</f>
        <v/>
      </c>
      <c r="F426" s="28" t="str">
        <f>IF(E426="","",IFERROR(VLOOKUP(E426,REGRAS_CST!$A$2:$B$200,2,FALSE),""))</f>
        <v/>
      </c>
      <c r="H426" s="29">
        <v>8.9999999999999993E-3</v>
      </c>
      <c r="I426" s="29">
        <v>1E-3</v>
      </c>
      <c r="K426" s="21" t="str">
        <f>IF(E426="","",IFERROR(VLOOKUP(E426,REGRAS_CST!$A$2:$C$200,3,FALSE),""))</f>
        <v/>
      </c>
      <c r="L426" s="23" t="str">
        <f>IF($G426="", "", $G426*(1-$V426))</f>
        <v/>
      </c>
      <c r="M426" s="24" t="str">
        <f>IF(OR($L426="",$S426=""),"",$L426*$S426)</f>
        <v/>
      </c>
      <c r="N426" s="24" t="str">
        <f>IF(OR($L426="",$T426=""),"",$L426*$T426)</f>
        <v/>
      </c>
      <c r="O426" s="15" t="str">
        <f>IF(D426="","",
IF(AND(K426&lt;&gt;"SIM",V426&gt;0),"ERRO: % BC &gt; 0, mas NÃO permitida ❌",
IF(AND(K426="SIM",V426=0),"ATENÇÃO: BC permitida, mas % = 0 🔎",
"Base de cálculo aplicada corretamente ✅")))</f>
        <v/>
      </c>
      <c r="P426" s="31" t="str">
        <f>IF(D426="","",
IF(AND(Q426&lt;&gt;"SIM",U426&gt;0),"ERRO: % alíquota &gt; 0, mas NÃO permitida ❌",
IF(AND(Q426="SIM",U426=0),"ATENÇÃO: alíquota permitida, mas % = 0 🔎",
"Alíquota aplicada corretamente ✅")))</f>
        <v/>
      </c>
      <c r="Q426" s="8" t="str">
        <f>IF(E426="","",IFERROR(VLOOKUP(E426,REGRAS_CST!$A$2:$D$200,4,FALSE),""))</f>
        <v/>
      </c>
      <c r="S426" s="9">
        <f>IF($H426="","",$H426*(1-$U426))</f>
        <v>8.9999999999999993E-3</v>
      </c>
      <c r="T426" s="9">
        <f>IF($I426="","",$I426*(1-$U426))</f>
        <v>1E-3</v>
      </c>
      <c r="U426" s="16">
        <f>IFERROR(INDEX(BASE_CCLASSTRIB!$E:$E, MATCH(TEXT($D426,"000000"), BASE_CCLASSTRIB!$A:$A, 0))/100, 0)</f>
        <v>0</v>
      </c>
      <c r="V426" s="16">
        <f>IFERROR(INDEX(BASE_CCLASSTRIB!$F:$F, MATCH(TEXT($D426,"000000"), BASE_CCLASSTRIB!$A:$A, 0))/100, 0)</f>
        <v>0</v>
      </c>
    </row>
    <row r="427" spans="4:22" ht="32.25" customHeight="1">
      <c r="D427" s="39"/>
      <c r="E427" s="27" t="str">
        <f>IF(D427="","",LEFT(D427,3))</f>
        <v/>
      </c>
      <c r="F427" s="28" t="str">
        <f>IF(E427="","",IFERROR(VLOOKUP(E427,REGRAS_CST!$A$2:$B$200,2,FALSE),""))</f>
        <v/>
      </c>
      <c r="H427" s="29">
        <v>8.9999999999999993E-3</v>
      </c>
      <c r="I427" s="29">
        <v>1E-3</v>
      </c>
      <c r="K427" s="21" t="str">
        <f>IF(E427="","",IFERROR(VLOOKUP(E427,REGRAS_CST!$A$2:$C$200,3,FALSE),""))</f>
        <v/>
      </c>
      <c r="L427" s="23" t="str">
        <f>IF($G427="", "", $G427*(1-$V427))</f>
        <v/>
      </c>
      <c r="M427" s="24" t="str">
        <f>IF(OR($L427="",$S427=""),"",$L427*$S427)</f>
        <v/>
      </c>
      <c r="N427" s="24" t="str">
        <f>IF(OR($L427="",$T427=""),"",$L427*$T427)</f>
        <v/>
      </c>
      <c r="O427" s="15" t="str">
        <f>IF(D427="","",
IF(AND(K427&lt;&gt;"SIM",V427&gt;0),"ERRO: % BC &gt; 0, mas NÃO permitida ❌",
IF(AND(K427="SIM",V427=0),"ATENÇÃO: BC permitida, mas % = 0 🔎",
"Base de cálculo aplicada corretamente ✅")))</f>
        <v/>
      </c>
      <c r="P427" s="31" t="str">
        <f>IF(D427="","",
IF(AND(Q427&lt;&gt;"SIM",U427&gt;0),"ERRO: % alíquota &gt; 0, mas NÃO permitida ❌",
IF(AND(Q427="SIM",U427=0),"ATENÇÃO: alíquota permitida, mas % = 0 🔎",
"Alíquota aplicada corretamente ✅")))</f>
        <v/>
      </c>
      <c r="Q427" s="8" t="str">
        <f>IF(E427="","",IFERROR(VLOOKUP(E427,REGRAS_CST!$A$2:$D$200,4,FALSE),""))</f>
        <v/>
      </c>
      <c r="S427" s="9">
        <f>IF($H427="","",$H427*(1-$U427))</f>
        <v>8.9999999999999993E-3</v>
      </c>
      <c r="T427" s="9">
        <f>IF($I427="","",$I427*(1-$U427))</f>
        <v>1E-3</v>
      </c>
      <c r="U427" s="16">
        <f>IFERROR(INDEX(BASE_CCLASSTRIB!$E:$E, MATCH(TEXT($D427,"000000"), BASE_CCLASSTRIB!$A:$A, 0))/100, 0)</f>
        <v>0</v>
      </c>
      <c r="V427" s="16">
        <f>IFERROR(INDEX(BASE_CCLASSTRIB!$F:$F, MATCH(TEXT($D427,"000000"), BASE_CCLASSTRIB!$A:$A, 0))/100, 0)</f>
        <v>0</v>
      </c>
    </row>
    <row r="428" spans="4:22" ht="32.25" customHeight="1">
      <c r="D428" s="39"/>
      <c r="E428" s="27" t="str">
        <f>IF(D428="","",LEFT(D428,3))</f>
        <v/>
      </c>
      <c r="F428" s="28" t="str">
        <f>IF(E428="","",IFERROR(VLOOKUP(E428,REGRAS_CST!$A$2:$B$200,2,FALSE),""))</f>
        <v/>
      </c>
      <c r="H428" s="29">
        <v>8.9999999999999993E-3</v>
      </c>
      <c r="I428" s="29">
        <v>1E-3</v>
      </c>
      <c r="K428" s="21" t="str">
        <f>IF(E428="","",IFERROR(VLOOKUP(E428,REGRAS_CST!$A$2:$C$200,3,FALSE),""))</f>
        <v/>
      </c>
      <c r="L428" s="23" t="str">
        <f>IF($G428="", "", $G428*(1-$V428))</f>
        <v/>
      </c>
      <c r="M428" s="24" t="str">
        <f>IF(OR($L428="",$S428=""),"",$L428*$S428)</f>
        <v/>
      </c>
      <c r="N428" s="24" t="str">
        <f>IF(OR($L428="",$T428=""),"",$L428*$T428)</f>
        <v/>
      </c>
      <c r="O428" s="15" t="str">
        <f>IF(D428="","",
IF(AND(K428&lt;&gt;"SIM",V428&gt;0),"ERRO: % BC &gt; 0, mas NÃO permitida ❌",
IF(AND(K428="SIM",V428=0),"ATENÇÃO: BC permitida, mas % = 0 🔎",
"Base de cálculo aplicada corretamente ✅")))</f>
        <v/>
      </c>
      <c r="P428" s="31" t="str">
        <f>IF(D428="","",
IF(AND(Q428&lt;&gt;"SIM",U428&gt;0),"ERRO: % alíquota &gt; 0, mas NÃO permitida ❌",
IF(AND(Q428="SIM",U428=0),"ATENÇÃO: alíquota permitida, mas % = 0 🔎",
"Alíquota aplicada corretamente ✅")))</f>
        <v/>
      </c>
      <c r="Q428" s="8" t="str">
        <f>IF(E428="","",IFERROR(VLOOKUP(E428,REGRAS_CST!$A$2:$D$200,4,FALSE),""))</f>
        <v/>
      </c>
      <c r="S428" s="9">
        <f>IF($H428="","",$H428*(1-$U428))</f>
        <v>8.9999999999999993E-3</v>
      </c>
      <c r="T428" s="9">
        <f>IF($I428="","",$I428*(1-$U428))</f>
        <v>1E-3</v>
      </c>
      <c r="U428" s="16">
        <f>IFERROR(INDEX(BASE_CCLASSTRIB!$E:$E, MATCH(TEXT($D428,"000000"), BASE_CCLASSTRIB!$A:$A, 0))/100, 0)</f>
        <v>0</v>
      </c>
      <c r="V428" s="16">
        <f>IFERROR(INDEX(BASE_CCLASSTRIB!$F:$F, MATCH(TEXT($D428,"000000"), BASE_CCLASSTRIB!$A:$A, 0))/100, 0)</f>
        <v>0</v>
      </c>
    </row>
    <row r="429" spans="4:22" ht="32.25" customHeight="1">
      <c r="D429" s="39"/>
      <c r="E429" s="27" t="str">
        <f>IF(D429="","",LEFT(D429,3))</f>
        <v/>
      </c>
      <c r="F429" s="28" t="str">
        <f>IF(E429="","",IFERROR(VLOOKUP(E429,REGRAS_CST!$A$2:$B$200,2,FALSE),""))</f>
        <v/>
      </c>
      <c r="H429" s="29">
        <v>8.9999999999999993E-3</v>
      </c>
      <c r="I429" s="29">
        <v>1E-3</v>
      </c>
      <c r="K429" s="21" t="str">
        <f>IF(E429="","",IFERROR(VLOOKUP(E429,REGRAS_CST!$A$2:$C$200,3,FALSE),""))</f>
        <v/>
      </c>
      <c r="L429" s="23" t="str">
        <f>IF($G429="", "", $G429*(1-$V429))</f>
        <v/>
      </c>
      <c r="M429" s="24" t="str">
        <f>IF(OR($L429="",$S429=""),"",$L429*$S429)</f>
        <v/>
      </c>
      <c r="N429" s="24" t="str">
        <f>IF(OR($L429="",$T429=""),"",$L429*$T429)</f>
        <v/>
      </c>
      <c r="O429" s="15" t="str">
        <f>IF(D429="","",
IF(AND(K429&lt;&gt;"SIM",V429&gt;0),"ERRO: % BC &gt; 0, mas NÃO permitida ❌",
IF(AND(K429="SIM",V429=0),"ATENÇÃO: BC permitida, mas % = 0 🔎",
"Base de cálculo aplicada corretamente ✅")))</f>
        <v/>
      </c>
      <c r="P429" s="31" t="str">
        <f>IF(D429="","",
IF(AND(Q429&lt;&gt;"SIM",U429&gt;0),"ERRO: % alíquota &gt; 0, mas NÃO permitida ❌",
IF(AND(Q429="SIM",U429=0),"ATENÇÃO: alíquota permitida, mas % = 0 🔎",
"Alíquota aplicada corretamente ✅")))</f>
        <v/>
      </c>
      <c r="Q429" s="8" t="str">
        <f>IF(E429="","",IFERROR(VLOOKUP(E429,REGRAS_CST!$A$2:$D$200,4,FALSE),""))</f>
        <v/>
      </c>
      <c r="S429" s="9">
        <f>IF($H429="","",$H429*(1-$U429))</f>
        <v>8.9999999999999993E-3</v>
      </c>
      <c r="T429" s="9">
        <f>IF($I429="","",$I429*(1-$U429))</f>
        <v>1E-3</v>
      </c>
      <c r="U429" s="16">
        <f>IFERROR(INDEX(BASE_CCLASSTRIB!$E:$E, MATCH(TEXT($D429,"000000"), BASE_CCLASSTRIB!$A:$A, 0))/100, 0)</f>
        <v>0</v>
      </c>
      <c r="V429" s="16">
        <f>IFERROR(INDEX(BASE_CCLASSTRIB!$F:$F, MATCH(TEXT($D429,"000000"), BASE_CCLASSTRIB!$A:$A, 0))/100, 0)</f>
        <v>0</v>
      </c>
    </row>
    <row r="430" spans="4:22" ht="32.25" customHeight="1">
      <c r="D430" s="40"/>
      <c r="E430" s="27" t="str">
        <f>IF(D430="","",LEFT(D430,3))</f>
        <v/>
      </c>
      <c r="F430" s="28" t="str">
        <f>IF(E430="","",IFERROR(VLOOKUP(E430,REGRAS_CST!$A$2:$B$200,2,FALSE),""))</f>
        <v/>
      </c>
      <c r="H430" s="29">
        <v>8.9999999999999993E-3</v>
      </c>
      <c r="I430" s="29">
        <v>1E-3</v>
      </c>
      <c r="K430" s="21" t="str">
        <f>IF(E430="","",IFERROR(VLOOKUP(E430,REGRAS_CST!$A$2:$C$200,3,FALSE),""))</f>
        <v/>
      </c>
      <c r="L430" s="23" t="str">
        <f>IF($G430="", "", $G430*(1-$V430))</f>
        <v/>
      </c>
      <c r="M430" s="24" t="str">
        <f>IF(OR($L430="",$S430=""),"",$L430*$S430)</f>
        <v/>
      </c>
      <c r="N430" s="24" t="str">
        <f>IF(OR($L430="",$T430=""),"",$L430*$T430)</f>
        <v/>
      </c>
      <c r="O430" s="15" t="str">
        <f>IF(D430="","",
IF(AND(K430&lt;&gt;"SIM",V430&gt;0),"ERRO: % BC &gt; 0, mas NÃO permitida ❌",
IF(AND(K430="SIM",V430=0),"ATENÇÃO: BC permitida, mas % = 0 🔎",
"Base de cálculo aplicada corretamente ✅")))</f>
        <v/>
      </c>
      <c r="P430" s="31" t="str">
        <f>IF(D430="","",
IF(AND(Q430&lt;&gt;"SIM",U430&gt;0),"ERRO: % alíquota &gt; 0, mas NÃO permitida ❌",
IF(AND(Q430="SIM",U430=0),"ATENÇÃO: alíquota permitida, mas % = 0 🔎",
"Alíquota aplicada corretamente ✅")))</f>
        <v/>
      </c>
      <c r="Q430" s="8" t="str">
        <f>IF(E430="","",IFERROR(VLOOKUP(E430,REGRAS_CST!$A$2:$D$200,4,FALSE),""))</f>
        <v/>
      </c>
      <c r="S430" s="9">
        <f>IF($H430="","",$H430*(1-$U430))</f>
        <v>8.9999999999999993E-3</v>
      </c>
      <c r="T430" s="9">
        <f>IF($I430="","",$I430*(1-$U430))</f>
        <v>1E-3</v>
      </c>
      <c r="U430" s="16">
        <f>IFERROR(INDEX(BASE_CCLASSTRIB!$E:$E, MATCH(TEXT($D430,"000000"), BASE_CCLASSTRIB!$A:$A, 0))/100, 0)</f>
        <v>0</v>
      </c>
      <c r="V430" s="16">
        <f>IFERROR(INDEX(BASE_CCLASSTRIB!$F:$F, MATCH(TEXT($D430,"000000"), BASE_CCLASSTRIB!$A:$A, 0))/100, 0)</f>
        <v>0</v>
      </c>
    </row>
    <row r="431" spans="4:22" ht="32.25" customHeight="1">
      <c r="D431" s="39"/>
      <c r="E431" s="27" t="str">
        <f>IF(D431="","",LEFT(D431,3))</f>
        <v/>
      </c>
      <c r="F431" s="28" t="str">
        <f>IF(E431="","",IFERROR(VLOOKUP(E431,REGRAS_CST!$A$2:$B$200,2,FALSE),""))</f>
        <v/>
      </c>
      <c r="H431" s="29">
        <v>8.9999999999999993E-3</v>
      </c>
      <c r="I431" s="29">
        <v>1E-3</v>
      </c>
      <c r="K431" s="21" t="str">
        <f>IF(E431="","",IFERROR(VLOOKUP(E431,REGRAS_CST!$A$2:$C$200,3,FALSE),""))</f>
        <v/>
      </c>
      <c r="L431" s="23" t="str">
        <f>IF($G431="", "", $G431*(1-$V431))</f>
        <v/>
      </c>
      <c r="M431" s="24" t="str">
        <f>IF(OR($L431="",$S431=""),"",$L431*$S431)</f>
        <v/>
      </c>
      <c r="N431" s="24" t="str">
        <f>IF(OR($L431="",$T431=""),"",$L431*$T431)</f>
        <v/>
      </c>
      <c r="O431" s="15" t="str">
        <f>IF(D431="","",
IF(AND(K431&lt;&gt;"SIM",V431&gt;0),"ERRO: % BC &gt; 0, mas NÃO permitida ❌",
IF(AND(K431="SIM",V431=0),"ATENÇÃO: BC permitida, mas % = 0 🔎",
"Base de cálculo aplicada corretamente ✅")))</f>
        <v/>
      </c>
      <c r="P431" s="31" t="str">
        <f>IF(D431="","",
IF(AND(Q431&lt;&gt;"SIM",U431&gt;0),"ERRO: % alíquota &gt; 0, mas NÃO permitida ❌",
IF(AND(Q431="SIM",U431=0),"ATENÇÃO: alíquota permitida, mas % = 0 🔎",
"Alíquota aplicada corretamente ✅")))</f>
        <v/>
      </c>
      <c r="Q431" s="8" t="str">
        <f>IF(E431="","",IFERROR(VLOOKUP(E431,REGRAS_CST!$A$2:$D$200,4,FALSE),""))</f>
        <v/>
      </c>
      <c r="S431" s="9">
        <f>IF($H431="","",$H431*(1-$U431))</f>
        <v>8.9999999999999993E-3</v>
      </c>
      <c r="T431" s="9">
        <f>IF($I431="","",$I431*(1-$U431))</f>
        <v>1E-3</v>
      </c>
      <c r="U431" s="16">
        <f>IFERROR(INDEX(BASE_CCLASSTRIB!$E:$E, MATCH(TEXT($D431,"000000"), BASE_CCLASSTRIB!$A:$A, 0))/100, 0)</f>
        <v>0</v>
      </c>
      <c r="V431" s="16">
        <f>IFERROR(INDEX(BASE_CCLASSTRIB!$F:$F, MATCH(TEXT($D431,"000000"), BASE_CCLASSTRIB!$A:$A, 0))/100, 0)</f>
        <v>0</v>
      </c>
    </row>
    <row r="432" spans="4:22" ht="32.25" customHeight="1">
      <c r="D432" s="39"/>
      <c r="E432" s="27" t="str">
        <f>IF(D432="","",LEFT(D432,3))</f>
        <v/>
      </c>
      <c r="F432" s="28" t="str">
        <f>IF(E432="","",IFERROR(VLOOKUP(E432,REGRAS_CST!$A$2:$B$200,2,FALSE),""))</f>
        <v/>
      </c>
      <c r="H432" s="29">
        <v>8.9999999999999993E-3</v>
      </c>
      <c r="I432" s="29">
        <v>1E-3</v>
      </c>
      <c r="K432" s="21" t="str">
        <f>IF(E432="","",IFERROR(VLOOKUP(E432,REGRAS_CST!$A$2:$C$200,3,FALSE),""))</f>
        <v/>
      </c>
      <c r="L432" s="23" t="str">
        <f>IF($G432="", "", $G432*(1-$V432))</f>
        <v/>
      </c>
      <c r="M432" s="24" t="str">
        <f>IF(OR($L432="",$S432=""),"",$L432*$S432)</f>
        <v/>
      </c>
      <c r="N432" s="24" t="str">
        <f>IF(OR($L432="",$T432=""),"",$L432*$T432)</f>
        <v/>
      </c>
      <c r="O432" s="15" t="str">
        <f>IF(D432="","",
IF(AND(K432&lt;&gt;"SIM",V432&gt;0),"ERRO: % BC &gt; 0, mas NÃO permitida ❌",
IF(AND(K432="SIM",V432=0),"ATENÇÃO: BC permitida, mas % = 0 🔎",
"Base de cálculo aplicada corretamente ✅")))</f>
        <v/>
      </c>
      <c r="P432" s="31" t="str">
        <f>IF(D432="","",
IF(AND(Q432&lt;&gt;"SIM",U432&gt;0),"ERRO: % alíquota &gt; 0, mas NÃO permitida ❌",
IF(AND(Q432="SIM",U432=0),"ATENÇÃO: alíquota permitida, mas % = 0 🔎",
"Alíquota aplicada corretamente ✅")))</f>
        <v/>
      </c>
      <c r="Q432" s="8" t="str">
        <f>IF(E432="","",IFERROR(VLOOKUP(E432,REGRAS_CST!$A$2:$D$200,4,FALSE),""))</f>
        <v/>
      </c>
      <c r="S432" s="9">
        <f>IF($H432="","",$H432*(1-$U432))</f>
        <v>8.9999999999999993E-3</v>
      </c>
      <c r="T432" s="9">
        <f>IF($I432="","",$I432*(1-$U432))</f>
        <v>1E-3</v>
      </c>
      <c r="U432" s="16">
        <f>IFERROR(INDEX(BASE_CCLASSTRIB!$E:$E, MATCH(TEXT($D432,"000000"), BASE_CCLASSTRIB!$A:$A, 0))/100, 0)</f>
        <v>0</v>
      </c>
      <c r="V432" s="16">
        <f>IFERROR(INDEX(BASE_CCLASSTRIB!$F:$F, MATCH(TEXT($D432,"000000"), BASE_CCLASSTRIB!$A:$A, 0))/100, 0)</f>
        <v>0</v>
      </c>
    </row>
    <row r="433" spans="4:22" ht="32.25" customHeight="1">
      <c r="D433" s="39"/>
      <c r="E433" s="27" t="str">
        <f>IF(D433="","",LEFT(D433,3))</f>
        <v/>
      </c>
      <c r="F433" s="28" t="str">
        <f>IF(E433="","",IFERROR(VLOOKUP(E433,REGRAS_CST!$A$2:$B$200,2,FALSE),""))</f>
        <v/>
      </c>
      <c r="H433" s="29">
        <v>8.9999999999999993E-3</v>
      </c>
      <c r="I433" s="29">
        <v>1E-3</v>
      </c>
      <c r="K433" s="21" t="str">
        <f>IF(E433="","",IFERROR(VLOOKUP(E433,REGRAS_CST!$A$2:$C$200,3,FALSE),""))</f>
        <v/>
      </c>
      <c r="L433" s="23" t="str">
        <f>IF($G433="", "", $G433*(1-$V433))</f>
        <v/>
      </c>
      <c r="M433" s="24" t="str">
        <f>IF(OR($L433="",$S433=""),"",$L433*$S433)</f>
        <v/>
      </c>
      <c r="N433" s="24" t="str">
        <f>IF(OR($L433="",$T433=""),"",$L433*$T433)</f>
        <v/>
      </c>
      <c r="O433" s="15" t="str">
        <f>IF(D433="","",
IF(AND(K433&lt;&gt;"SIM",V433&gt;0),"ERRO: % BC &gt; 0, mas NÃO permitida ❌",
IF(AND(K433="SIM",V433=0),"ATENÇÃO: BC permitida, mas % = 0 🔎",
"Base de cálculo aplicada corretamente ✅")))</f>
        <v/>
      </c>
      <c r="P433" s="31" t="str">
        <f>IF(D433="","",
IF(AND(Q433&lt;&gt;"SIM",U433&gt;0),"ERRO: % alíquota &gt; 0, mas NÃO permitida ❌",
IF(AND(Q433="SIM",U433=0),"ATENÇÃO: alíquota permitida, mas % = 0 🔎",
"Alíquota aplicada corretamente ✅")))</f>
        <v/>
      </c>
      <c r="Q433" s="8" t="str">
        <f>IF(E433="","",IFERROR(VLOOKUP(E433,REGRAS_CST!$A$2:$D$200,4,FALSE),""))</f>
        <v/>
      </c>
      <c r="S433" s="9">
        <f>IF($H433="","",$H433*(1-$U433))</f>
        <v>8.9999999999999993E-3</v>
      </c>
      <c r="T433" s="9">
        <f>IF($I433="","",$I433*(1-$U433))</f>
        <v>1E-3</v>
      </c>
      <c r="U433" s="16">
        <f>IFERROR(INDEX(BASE_CCLASSTRIB!$E:$E, MATCH(TEXT($D433,"000000"), BASE_CCLASSTRIB!$A:$A, 0))/100, 0)</f>
        <v>0</v>
      </c>
      <c r="V433" s="16">
        <f>IFERROR(INDEX(BASE_CCLASSTRIB!$F:$F, MATCH(TEXT($D433,"000000"), BASE_CCLASSTRIB!$A:$A, 0))/100, 0)</f>
        <v>0</v>
      </c>
    </row>
    <row r="434" spans="4:22" ht="32.25" customHeight="1">
      <c r="D434" s="39"/>
      <c r="E434" s="27" t="str">
        <f>IF(D434="","",LEFT(D434,3))</f>
        <v/>
      </c>
      <c r="F434" s="28" t="str">
        <f>IF(E434="","",IFERROR(VLOOKUP(E434,REGRAS_CST!$A$2:$B$200,2,FALSE),""))</f>
        <v/>
      </c>
      <c r="H434" s="29">
        <v>8.9999999999999993E-3</v>
      </c>
      <c r="I434" s="29">
        <v>1E-3</v>
      </c>
      <c r="K434" s="21" t="str">
        <f>IF(E434="","",IFERROR(VLOOKUP(E434,REGRAS_CST!$A$2:$C$200,3,FALSE),""))</f>
        <v/>
      </c>
      <c r="L434" s="23" t="str">
        <f>IF($G434="", "", $G434*(1-$V434))</f>
        <v/>
      </c>
      <c r="M434" s="24" t="str">
        <f>IF(OR($L434="",$S434=""),"",$L434*$S434)</f>
        <v/>
      </c>
      <c r="N434" s="24" t="str">
        <f>IF(OR($L434="",$T434=""),"",$L434*$T434)</f>
        <v/>
      </c>
      <c r="O434" s="15" t="str">
        <f>IF(D434="","",
IF(AND(K434&lt;&gt;"SIM",V434&gt;0),"ERRO: % BC &gt; 0, mas NÃO permitida ❌",
IF(AND(K434="SIM",V434=0),"ATENÇÃO: BC permitida, mas % = 0 🔎",
"Base de cálculo aplicada corretamente ✅")))</f>
        <v/>
      </c>
      <c r="P434" s="31" t="str">
        <f>IF(D434="","",
IF(AND(Q434&lt;&gt;"SIM",U434&gt;0),"ERRO: % alíquota &gt; 0, mas NÃO permitida ❌",
IF(AND(Q434="SIM",U434=0),"ATENÇÃO: alíquota permitida, mas % = 0 🔎",
"Alíquota aplicada corretamente ✅")))</f>
        <v/>
      </c>
      <c r="Q434" s="8" t="str">
        <f>IF(E434="","",IFERROR(VLOOKUP(E434,REGRAS_CST!$A$2:$D$200,4,FALSE),""))</f>
        <v/>
      </c>
      <c r="S434" s="9">
        <f>IF($H434="","",$H434*(1-$U434))</f>
        <v>8.9999999999999993E-3</v>
      </c>
      <c r="T434" s="9">
        <f>IF($I434="","",$I434*(1-$U434))</f>
        <v>1E-3</v>
      </c>
      <c r="U434" s="16">
        <f>IFERROR(INDEX(BASE_CCLASSTRIB!$E:$E, MATCH(TEXT($D434,"000000"), BASE_CCLASSTRIB!$A:$A, 0))/100, 0)</f>
        <v>0</v>
      </c>
      <c r="V434" s="16">
        <f>IFERROR(INDEX(BASE_CCLASSTRIB!$F:$F, MATCH(TEXT($D434,"000000"), BASE_CCLASSTRIB!$A:$A, 0))/100, 0)</f>
        <v>0</v>
      </c>
    </row>
    <row r="435" spans="4:22" ht="32.25" customHeight="1">
      <c r="D435" s="39"/>
      <c r="E435" s="27" t="str">
        <f>IF(D435="","",LEFT(D435,3))</f>
        <v/>
      </c>
      <c r="F435" s="28" t="str">
        <f>IF(E435="","",IFERROR(VLOOKUP(E435,REGRAS_CST!$A$2:$B$200,2,FALSE),""))</f>
        <v/>
      </c>
      <c r="H435" s="29">
        <v>8.9999999999999993E-3</v>
      </c>
      <c r="I435" s="29">
        <v>1E-3</v>
      </c>
      <c r="K435" s="21" t="str">
        <f>IF(E435="","",IFERROR(VLOOKUP(E435,REGRAS_CST!$A$2:$C$200,3,FALSE),""))</f>
        <v/>
      </c>
      <c r="L435" s="23" t="str">
        <f>IF($G435="", "", $G435*(1-$V435))</f>
        <v/>
      </c>
      <c r="M435" s="24" t="str">
        <f>IF(OR($L435="",$S435=""),"",$L435*$S435)</f>
        <v/>
      </c>
      <c r="N435" s="24" t="str">
        <f>IF(OR($L435="",$T435=""),"",$L435*$T435)</f>
        <v/>
      </c>
      <c r="O435" s="15" t="str">
        <f>IF(D435="","",
IF(AND(K435&lt;&gt;"SIM",V435&gt;0),"ERRO: % BC &gt; 0, mas NÃO permitida ❌",
IF(AND(K435="SIM",V435=0),"ATENÇÃO: BC permitida, mas % = 0 🔎",
"Base de cálculo aplicada corretamente ✅")))</f>
        <v/>
      </c>
      <c r="P435" s="31" t="str">
        <f>IF(D435="","",
IF(AND(Q435&lt;&gt;"SIM",U435&gt;0),"ERRO: % alíquota &gt; 0, mas NÃO permitida ❌",
IF(AND(Q435="SIM",U435=0),"ATENÇÃO: alíquota permitida, mas % = 0 🔎",
"Alíquota aplicada corretamente ✅")))</f>
        <v/>
      </c>
      <c r="Q435" s="8" t="str">
        <f>IF(E435="","",IFERROR(VLOOKUP(E435,REGRAS_CST!$A$2:$D$200,4,FALSE),""))</f>
        <v/>
      </c>
      <c r="S435" s="9">
        <f>IF($H435="","",$H435*(1-$U435))</f>
        <v>8.9999999999999993E-3</v>
      </c>
      <c r="T435" s="9">
        <f>IF($I435="","",$I435*(1-$U435))</f>
        <v>1E-3</v>
      </c>
      <c r="U435" s="16">
        <f>IFERROR(INDEX(BASE_CCLASSTRIB!$E:$E, MATCH(TEXT($D435,"000000"), BASE_CCLASSTRIB!$A:$A, 0))/100, 0)</f>
        <v>0</v>
      </c>
      <c r="V435" s="16">
        <f>IFERROR(INDEX(BASE_CCLASSTRIB!$F:$F, MATCH(TEXT($D435,"000000"), BASE_CCLASSTRIB!$A:$A, 0))/100, 0)</f>
        <v>0</v>
      </c>
    </row>
    <row r="436" spans="4:22" ht="32.25" customHeight="1">
      <c r="D436" s="39"/>
      <c r="E436" s="27" t="str">
        <f>IF(D436="","",LEFT(D436,3))</f>
        <v/>
      </c>
      <c r="F436" s="28" t="str">
        <f>IF(E436="","",IFERROR(VLOOKUP(E436,REGRAS_CST!$A$2:$B$200,2,FALSE),""))</f>
        <v/>
      </c>
      <c r="H436" s="29">
        <v>8.9999999999999993E-3</v>
      </c>
      <c r="I436" s="29">
        <v>1E-3</v>
      </c>
      <c r="K436" s="21" t="str">
        <f>IF(E436="","",IFERROR(VLOOKUP(E436,REGRAS_CST!$A$2:$C$200,3,FALSE),""))</f>
        <v/>
      </c>
      <c r="L436" s="23" t="str">
        <f>IF($G436="", "", $G436*(1-$V436))</f>
        <v/>
      </c>
      <c r="M436" s="24" t="str">
        <f>IF(OR($L436="",$S436=""),"",$L436*$S436)</f>
        <v/>
      </c>
      <c r="N436" s="24" t="str">
        <f>IF(OR($L436="",$T436=""),"",$L436*$T436)</f>
        <v/>
      </c>
      <c r="O436" s="15" t="str">
        <f>IF(D436="","",
IF(AND(K436&lt;&gt;"SIM",V436&gt;0),"ERRO: % BC &gt; 0, mas NÃO permitida ❌",
IF(AND(K436="SIM",V436=0),"ATENÇÃO: BC permitida, mas % = 0 🔎",
"Base de cálculo aplicada corretamente ✅")))</f>
        <v/>
      </c>
      <c r="P436" s="31" t="str">
        <f>IF(D436="","",
IF(AND(Q436&lt;&gt;"SIM",U436&gt;0),"ERRO: % alíquota &gt; 0, mas NÃO permitida ❌",
IF(AND(Q436="SIM",U436=0),"ATENÇÃO: alíquota permitida, mas % = 0 🔎",
"Alíquota aplicada corretamente ✅")))</f>
        <v/>
      </c>
      <c r="Q436" s="8" t="str">
        <f>IF(E436="","",IFERROR(VLOOKUP(E436,REGRAS_CST!$A$2:$D$200,4,FALSE),""))</f>
        <v/>
      </c>
      <c r="S436" s="9">
        <f>IF($H436="","",$H436*(1-$U436))</f>
        <v>8.9999999999999993E-3</v>
      </c>
      <c r="T436" s="9">
        <f>IF($I436="","",$I436*(1-$U436))</f>
        <v>1E-3</v>
      </c>
      <c r="U436" s="16">
        <f>IFERROR(INDEX(BASE_CCLASSTRIB!$E:$E, MATCH(TEXT($D436,"000000"), BASE_CCLASSTRIB!$A:$A, 0))/100, 0)</f>
        <v>0</v>
      </c>
      <c r="V436" s="16">
        <f>IFERROR(INDEX(BASE_CCLASSTRIB!$F:$F, MATCH(TEXT($D436,"000000"), BASE_CCLASSTRIB!$A:$A, 0))/100, 0)</f>
        <v>0</v>
      </c>
    </row>
    <row r="437" spans="4:22" ht="32.25" customHeight="1">
      <c r="D437" s="40"/>
      <c r="E437" s="27" t="str">
        <f>IF(D437="","",LEFT(D437,3))</f>
        <v/>
      </c>
      <c r="F437" s="28" t="str">
        <f>IF(E437="","",IFERROR(VLOOKUP(E437,REGRAS_CST!$A$2:$B$200,2,FALSE),""))</f>
        <v/>
      </c>
      <c r="H437" s="29">
        <v>8.9999999999999993E-3</v>
      </c>
      <c r="I437" s="29">
        <v>1E-3</v>
      </c>
      <c r="K437" s="21" t="str">
        <f>IF(E437="","",IFERROR(VLOOKUP(E437,REGRAS_CST!$A$2:$C$200,3,FALSE),""))</f>
        <v/>
      </c>
      <c r="L437" s="23" t="str">
        <f>IF($G437="", "", $G437*(1-$V437))</f>
        <v/>
      </c>
      <c r="M437" s="24" t="str">
        <f>IF(OR($L437="",$S437=""),"",$L437*$S437)</f>
        <v/>
      </c>
      <c r="N437" s="24" t="str">
        <f>IF(OR($L437="",$T437=""),"",$L437*$T437)</f>
        <v/>
      </c>
      <c r="O437" s="15" t="str">
        <f>IF(D437="","",
IF(AND(K437&lt;&gt;"SIM",V437&gt;0),"ERRO: % BC &gt; 0, mas NÃO permitida ❌",
IF(AND(K437="SIM",V437=0),"ATENÇÃO: BC permitida, mas % = 0 🔎",
"Base de cálculo aplicada corretamente ✅")))</f>
        <v/>
      </c>
      <c r="P437" s="31" t="str">
        <f>IF(D437="","",
IF(AND(Q437&lt;&gt;"SIM",U437&gt;0),"ERRO: % alíquota &gt; 0, mas NÃO permitida ❌",
IF(AND(Q437="SIM",U437=0),"ATENÇÃO: alíquota permitida, mas % = 0 🔎",
"Alíquota aplicada corretamente ✅")))</f>
        <v/>
      </c>
      <c r="Q437" s="8" t="str">
        <f>IF(E437="","",IFERROR(VLOOKUP(E437,REGRAS_CST!$A$2:$D$200,4,FALSE),""))</f>
        <v/>
      </c>
      <c r="S437" s="9">
        <f>IF($H437="","",$H437*(1-$U437))</f>
        <v>8.9999999999999993E-3</v>
      </c>
      <c r="T437" s="9">
        <f>IF($I437="","",$I437*(1-$U437))</f>
        <v>1E-3</v>
      </c>
      <c r="U437" s="16">
        <f>IFERROR(INDEX(BASE_CCLASSTRIB!$E:$E, MATCH(TEXT($D437,"000000"), BASE_CCLASSTRIB!$A:$A, 0))/100, 0)</f>
        <v>0</v>
      </c>
      <c r="V437" s="16">
        <f>IFERROR(INDEX(BASE_CCLASSTRIB!$F:$F, MATCH(TEXT($D437,"000000"), BASE_CCLASSTRIB!$A:$A, 0))/100, 0)</f>
        <v>0</v>
      </c>
    </row>
    <row r="438" spans="4:22" ht="32.25" customHeight="1">
      <c r="D438" s="39"/>
      <c r="E438" s="27" t="str">
        <f>IF(D438="","",LEFT(D438,3))</f>
        <v/>
      </c>
      <c r="F438" s="28" t="str">
        <f>IF(E438="","",IFERROR(VLOOKUP(E438,REGRAS_CST!$A$2:$B$200,2,FALSE),""))</f>
        <v/>
      </c>
      <c r="H438" s="29">
        <v>8.9999999999999993E-3</v>
      </c>
      <c r="I438" s="29">
        <v>1E-3</v>
      </c>
      <c r="K438" s="21" t="str">
        <f>IF(E438="","",IFERROR(VLOOKUP(E438,REGRAS_CST!$A$2:$C$200,3,FALSE),""))</f>
        <v/>
      </c>
      <c r="L438" s="23" t="str">
        <f>IF($G438="", "", $G438*(1-$V438))</f>
        <v/>
      </c>
      <c r="M438" s="24" t="str">
        <f>IF(OR($L438="",$S438=""),"",$L438*$S438)</f>
        <v/>
      </c>
      <c r="N438" s="24" t="str">
        <f>IF(OR($L438="",$T438=""),"",$L438*$T438)</f>
        <v/>
      </c>
      <c r="O438" s="15" t="str">
        <f>IF(D438="","",
IF(AND(K438&lt;&gt;"SIM",V438&gt;0),"ERRO: % BC &gt; 0, mas NÃO permitida ❌",
IF(AND(K438="SIM",V438=0),"ATENÇÃO: BC permitida, mas % = 0 🔎",
"Base de cálculo aplicada corretamente ✅")))</f>
        <v/>
      </c>
      <c r="P438" s="31" t="str">
        <f>IF(D438="","",
IF(AND(Q438&lt;&gt;"SIM",U438&gt;0),"ERRO: % alíquota &gt; 0, mas NÃO permitida ❌",
IF(AND(Q438="SIM",U438=0),"ATENÇÃO: alíquota permitida, mas % = 0 🔎",
"Alíquota aplicada corretamente ✅")))</f>
        <v/>
      </c>
      <c r="Q438" s="8" t="str">
        <f>IF(E438="","",IFERROR(VLOOKUP(E438,REGRAS_CST!$A$2:$D$200,4,FALSE),""))</f>
        <v/>
      </c>
      <c r="S438" s="9">
        <f>IF($H438="","",$H438*(1-$U438))</f>
        <v>8.9999999999999993E-3</v>
      </c>
      <c r="T438" s="9">
        <f>IF($I438="","",$I438*(1-$U438))</f>
        <v>1E-3</v>
      </c>
      <c r="U438" s="16">
        <f>IFERROR(INDEX(BASE_CCLASSTRIB!$E:$E, MATCH(TEXT($D438,"000000"), BASE_CCLASSTRIB!$A:$A, 0))/100, 0)</f>
        <v>0</v>
      </c>
      <c r="V438" s="16">
        <f>IFERROR(INDEX(BASE_CCLASSTRIB!$F:$F, MATCH(TEXT($D438,"000000"), BASE_CCLASSTRIB!$A:$A, 0))/100, 0)</f>
        <v>0</v>
      </c>
    </row>
    <row r="439" spans="4:22" ht="32.25" customHeight="1">
      <c r="D439" s="39"/>
      <c r="E439" s="27" t="str">
        <f>IF(D439="","",LEFT(D439,3))</f>
        <v/>
      </c>
      <c r="F439" s="28" t="str">
        <f>IF(E439="","",IFERROR(VLOOKUP(E439,REGRAS_CST!$A$2:$B$200,2,FALSE),""))</f>
        <v/>
      </c>
      <c r="H439" s="29">
        <v>8.9999999999999993E-3</v>
      </c>
      <c r="I439" s="29">
        <v>1E-3</v>
      </c>
      <c r="K439" s="21" t="str">
        <f>IF(E439="","",IFERROR(VLOOKUP(E439,REGRAS_CST!$A$2:$C$200,3,FALSE),""))</f>
        <v/>
      </c>
      <c r="L439" s="23" t="str">
        <f>IF($G439="", "", $G439*(1-$V439))</f>
        <v/>
      </c>
      <c r="M439" s="24" t="str">
        <f>IF(OR($L439="",$S439=""),"",$L439*$S439)</f>
        <v/>
      </c>
      <c r="N439" s="24" t="str">
        <f>IF(OR($L439="",$T439=""),"",$L439*$T439)</f>
        <v/>
      </c>
      <c r="O439" s="15" t="str">
        <f>IF(D439="","",
IF(AND(K439&lt;&gt;"SIM",V439&gt;0),"ERRO: % BC &gt; 0, mas NÃO permitida ❌",
IF(AND(K439="SIM",V439=0),"ATENÇÃO: BC permitida, mas % = 0 🔎",
"Base de cálculo aplicada corretamente ✅")))</f>
        <v/>
      </c>
      <c r="P439" s="31" t="str">
        <f>IF(D439="","",
IF(AND(Q439&lt;&gt;"SIM",U439&gt;0),"ERRO: % alíquota &gt; 0, mas NÃO permitida ❌",
IF(AND(Q439="SIM",U439=0),"ATENÇÃO: alíquota permitida, mas % = 0 🔎",
"Alíquota aplicada corretamente ✅")))</f>
        <v/>
      </c>
      <c r="Q439" s="8" t="str">
        <f>IF(E439="","",IFERROR(VLOOKUP(E439,REGRAS_CST!$A$2:$D$200,4,FALSE),""))</f>
        <v/>
      </c>
      <c r="S439" s="9">
        <f>IF($H439="","",$H439*(1-$U439))</f>
        <v>8.9999999999999993E-3</v>
      </c>
      <c r="T439" s="9">
        <f>IF($I439="","",$I439*(1-$U439))</f>
        <v>1E-3</v>
      </c>
      <c r="U439" s="16">
        <f>IFERROR(INDEX(BASE_CCLASSTRIB!$E:$E, MATCH(TEXT($D439,"000000"), BASE_CCLASSTRIB!$A:$A, 0))/100, 0)</f>
        <v>0</v>
      </c>
      <c r="V439" s="16">
        <f>IFERROR(INDEX(BASE_CCLASSTRIB!$F:$F, MATCH(TEXT($D439,"000000"), BASE_CCLASSTRIB!$A:$A, 0))/100, 0)</f>
        <v>0</v>
      </c>
    </row>
    <row r="440" spans="4:22" ht="32.25" customHeight="1">
      <c r="D440" s="39"/>
      <c r="E440" s="27" t="str">
        <f>IF(D440="","",LEFT(D440,3))</f>
        <v/>
      </c>
      <c r="F440" s="28" t="str">
        <f>IF(E440="","",IFERROR(VLOOKUP(E440,REGRAS_CST!$A$2:$B$200,2,FALSE),""))</f>
        <v/>
      </c>
      <c r="H440" s="29">
        <v>8.9999999999999993E-3</v>
      </c>
      <c r="I440" s="29">
        <v>1E-3</v>
      </c>
      <c r="K440" s="21" t="str">
        <f>IF(E440="","",IFERROR(VLOOKUP(E440,REGRAS_CST!$A$2:$C$200,3,FALSE),""))</f>
        <v/>
      </c>
      <c r="L440" s="23" t="str">
        <f>IF($G440="", "", $G440*(1-$V440))</f>
        <v/>
      </c>
      <c r="M440" s="24" t="str">
        <f>IF(OR($L440="",$S440=""),"",$L440*$S440)</f>
        <v/>
      </c>
      <c r="N440" s="24" t="str">
        <f>IF(OR($L440="",$T440=""),"",$L440*$T440)</f>
        <v/>
      </c>
      <c r="O440" s="15" t="str">
        <f>IF(D440="","",
IF(AND(K440&lt;&gt;"SIM",V440&gt;0),"ERRO: % BC &gt; 0, mas NÃO permitida ❌",
IF(AND(K440="SIM",V440=0),"ATENÇÃO: BC permitida, mas % = 0 🔎",
"Base de cálculo aplicada corretamente ✅")))</f>
        <v/>
      </c>
      <c r="P440" s="31" t="str">
        <f>IF(D440="","",
IF(AND(Q440&lt;&gt;"SIM",U440&gt;0),"ERRO: % alíquota &gt; 0, mas NÃO permitida ❌",
IF(AND(Q440="SIM",U440=0),"ATENÇÃO: alíquota permitida, mas % = 0 🔎",
"Alíquota aplicada corretamente ✅")))</f>
        <v/>
      </c>
      <c r="Q440" s="8" t="str">
        <f>IF(E440="","",IFERROR(VLOOKUP(E440,REGRAS_CST!$A$2:$D$200,4,FALSE),""))</f>
        <v/>
      </c>
      <c r="S440" s="9">
        <f>IF($H440="","",$H440*(1-$U440))</f>
        <v>8.9999999999999993E-3</v>
      </c>
      <c r="T440" s="9">
        <f>IF($I440="","",$I440*(1-$U440))</f>
        <v>1E-3</v>
      </c>
      <c r="U440" s="16">
        <f>IFERROR(INDEX(BASE_CCLASSTRIB!$E:$E, MATCH(TEXT($D440,"000000"), BASE_CCLASSTRIB!$A:$A, 0))/100, 0)</f>
        <v>0</v>
      </c>
      <c r="V440" s="16">
        <f>IFERROR(INDEX(BASE_CCLASSTRIB!$F:$F, MATCH(TEXT($D440,"000000"), BASE_CCLASSTRIB!$A:$A, 0))/100, 0)</f>
        <v>0</v>
      </c>
    </row>
    <row r="441" spans="4:22" ht="32.25" customHeight="1">
      <c r="D441" s="39"/>
      <c r="E441" s="27" t="str">
        <f>IF(D441="","",LEFT(D441,3))</f>
        <v/>
      </c>
      <c r="F441" s="28" t="str">
        <f>IF(E441="","",IFERROR(VLOOKUP(E441,REGRAS_CST!$A$2:$B$200,2,FALSE),""))</f>
        <v/>
      </c>
      <c r="H441" s="29">
        <v>8.9999999999999993E-3</v>
      </c>
      <c r="I441" s="29">
        <v>1E-3</v>
      </c>
      <c r="K441" s="21" t="str">
        <f>IF(E441="","",IFERROR(VLOOKUP(E441,REGRAS_CST!$A$2:$C$200,3,FALSE),""))</f>
        <v/>
      </c>
      <c r="L441" s="23" t="str">
        <f>IF($G441="", "", $G441*(1-$V441))</f>
        <v/>
      </c>
      <c r="M441" s="24" t="str">
        <f>IF(OR($L441="",$S441=""),"",$L441*$S441)</f>
        <v/>
      </c>
      <c r="N441" s="24" t="str">
        <f>IF(OR($L441="",$T441=""),"",$L441*$T441)</f>
        <v/>
      </c>
      <c r="O441" s="15" t="str">
        <f>IF(D441="","",
IF(AND(K441&lt;&gt;"SIM",V441&gt;0),"ERRO: % BC &gt; 0, mas NÃO permitida ❌",
IF(AND(K441="SIM",V441=0),"ATENÇÃO: BC permitida, mas % = 0 🔎",
"Base de cálculo aplicada corretamente ✅")))</f>
        <v/>
      </c>
      <c r="P441" s="31" t="str">
        <f>IF(D441="","",
IF(AND(Q441&lt;&gt;"SIM",U441&gt;0),"ERRO: % alíquota &gt; 0, mas NÃO permitida ❌",
IF(AND(Q441="SIM",U441=0),"ATENÇÃO: alíquota permitida, mas % = 0 🔎",
"Alíquota aplicada corretamente ✅")))</f>
        <v/>
      </c>
      <c r="Q441" s="8" t="str">
        <f>IF(E441="","",IFERROR(VLOOKUP(E441,REGRAS_CST!$A$2:$D$200,4,FALSE),""))</f>
        <v/>
      </c>
      <c r="S441" s="9">
        <f>IF($H441="","",$H441*(1-$U441))</f>
        <v>8.9999999999999993E-3</v>
      </c>
      <c r="T441" s="9">
        <f>IF($I441="","",$I441*(1-$U441))</f>
        <v>1E-3</v>
      </c>
      <c r="U441" s="16">
        <f>IFERROR(INDEX(BASE_CCLASSTRIB!$E:$E, MATCH(TEXT($D441,"000000"), BASE_CCLASSTRIB!$A:$A, 0))/100, 0)</f>
        <v>0</v>
      </c>
      <c r="V441" s="16">
        <f>IFERROR(INDEX(BASE_CCLASSTRIB!$F:$F, MATCH(TEXT($D441,"000000"), BASE_CCLASSTRIB!$A:$A, 0))/100, 0)</f>
        <v>0</v>
      </c>
    </row>
    <row r="442" spans="4:22" ht="32.25" customHeight="1">
      <c r="D442" s="39"/>
      <c r="E442" s="27" t="str">
        <f>IF(D442="","",LEFT(D442,3))</f>
        <v/>
      </c>
      <c r="F442" s="28" t="str">
        <f>IF(E442="","",IFERROR(VLOOKUP(E442,REGRAS_CST!$A$2:$B$200,2,FALSE),""))</f>
        <v/>
      </c>
      <c r="H442" s="29">
        <v>8.9999999999999993E-3</v>
      </c>
      <c r="I442" s="29">
        <v>1E-3</v>
      </c>
      <c r="K442" s="21" t="str">
        <f>IF(E442="","",IFERROR(VLOOKUP(E442,REGRAS_CST!$A$2:$C$200,3,FALSE),""))</f>
        <v/>
      </c>
      <c r="L442" s="23" t="str">
        <f>IF($G442="", "", $G442*(1-$V442))</f>
        <v/>
      </c>
      <c r="M442" s="24" t="str">
        <f>IF(OR($L442="",$S442=""),"",$L442*$S442)</f>
        <v/>
      </c>
      <c r="N442" s="24" t="str">
        <f>IF(OR($L442="",$T442=""),"",$L442*$T442)</f>
        <v/>
      </c>
      <c r="O442" s="15" t="str">
        <f>IF(D442="","",
IF(AND(K442&lt;&gt;"SIM",V442&gt;0),"ERRO: % BC &gt; 0, mas NÃO permitida ❌",
IF(AND(K442="SIM",V442=0),"ATENÇÃO: BC permitida, mas % = 0 🔎",
"Base de cálculo aplicada corretamente ✅")))</f>
        <v/>
      </c>
      <c r="P442" s="31" t="str">
        <f>IF(D442="","",
IF(AND(Q442&lt;&gt;"SIM",U442&gt;0),"ERRO: % alíquota &gt; 0, mas NÃO permitida ❌",
IF(AND(Q442="SIM",U442=0),"ATENÇÃO: alíquota permitida, mas % = 0 🔎",
"Alíquota aplicada corretamente ✅")))</f>
        <v/>
      </c>
      <c r="Q442" s="8" t="str">
        <f>IF(E442="","",IFERROR(VLOOKUP(E442,REGRAS_CST!$A$2:$D$200,4,FALSE),""))</f>
        <v/>
      </c>
      <c r="S442" s="9">
        <f>IF($H442="","",$H442*(1-$U442))</f>
        <v>8.9999999999999993E-3</v>
      </c>
      <c r="T442" s="9">
        <f>IF($I442="","",$I442*(1-$U442))</f>
        <v>1E-3</v>
      </c>
      <c r="U442" s="16">
        <f>IFERROR(INDEX(BASE_CCLASSTRIB!$E:$E, MATCH(TEXT($D442,"000000"), BASE_CCLASSTRIB!$A:$A, 0))/100, 0)</f>
        <v>0</v>
      </c>
      <c r="V442" s="16">
        <f>IFERROR(INDEX(BASE_CCLASSTRIB!$F:$F, MATCH(TEXT($D442,"000000"), BASE_CCLASSTRIB!$A:$A, 0))/100, 0)</f>
        <v>0</v>
      </c>
    </row>
    <row r="443" spans="4:22" ht="32.25" customHeight="1">
      <c r="D443" s="39"/>
      <c r="E443" s="27" t="str">
        <f>IF(D443="","",LEFT(D443,3))</f>
        <v/>
      </c>
      <c r="F443" s="28" t="str">
        <f>IF(E443="","",IFERROR(VLOOKUP(E443,REGRAS_CST!$A$2:$B$200,2,FALSE),""))</f>
        <v/>
      </c>
      <c r="H443" s="29">
        <v>8.9999999999999993E-3</v>
      </c>
      <c r="I443" s="29">
        <v>1E-3</v>
      </c>
      <c r="K443" s="21" t="str">
        <f>IF(E443="","",IFERROR(VLOOKUP(E443,REGRAS_CST!$A$2:$C$200,3,FALSE),""))</f>
        <v/>
      </c>
      <c r="L443" s="23" t="str">
        <f>IF($G443="", "", $G443*(1-$V443))</f>
        <v/>
      </c>
      <c r="M443" s="24" t="str">
        <f>IF(OR($L443="",$S443=""),"",$L443*$S443)</f>
        <v/>
      </c>
      <c r="N443" s="24" t="str">
        <f>IF(OR($L443="",$T443=""),"",$L443*$T443)</f>
        <v/>
      </c>
      <c r="O443" s="15" t="str">
        <f>IF(D443="","",
IF(AND(K443&lt;&gt;"SIM",V443&gt;0),"ERRO: % BC &gt; 0, mas NÃO permitida ❌",
IF(AND(K443="SIM",V443=0),"ATENÇÃO: BC permitida, mas % = 0 🔎",
"Base de cálculo aplicada corretamente ✅")))</f>
        <v/>
      </c>
      <c r="P443" s="31" t="str">
        <f>IF(D443="","",
IF(AND(Q443&lt;&gt;"SIM",U443&gt;0),"ERRO: % alíquota &gt; 0, mas NÃO permitida ❌",
IF(AND(Q443="SIM",U443=0),"ATENÇÃO: alíquota permitida, mas % = 0 🔎",
"Alíquota aplicada corretamente ✅")))</f>
        <v/>
      </c>
      <c r="Q443" s="8" t="str">
        <f>IF(E443="","",IFERROR(VLOOKUP(E443,REGRAS_CST!$A$2:$D$200,4,FALSE),""))</f>
        <v/>
      </c>
      <c r="S443" s="9">
        <f>IF($H443="","",$H443*(1-$U443))</f>
        <v>8.9999999999999993E-3</v>
      </c>
      <c r="T443" s="9">
        <f>IF($I443="","",$I443*(1-$U443))</f>
        <v>1E-3</v>
      </c>
      <c r="U443" s="16">
        <f>IFERROR(INDEX(BASE_CCLASSTRIB!$E:$E, MATCH(TEXT($D443,"000000"), BASE_CCLASSTRIB!$A:$A, 0))/100, 0)</f>
        <v>0</v>
      </c>
      <c r="V443" s="16">
        <f>IFERROR(INDEX(BASE_CCLASSTRIB!$F:$F, MATCH(TEXT($D443,"000000"), BASE_CCLASSTRIB!$A:$A, 0))/100, 0)</f>
        <v>0</v>
      </c>
    </row>
    <row r="444" spans="4:22" ht="32.25" customHeight="1">
      <c r="D444" s="39"/>
      <c r="E444" s="27" t="str">
        <f>IF(D444="","",LEFT(D444,3))</f>
        <v/>
      </c>
      <c r="F444" s="28" t="str">
        <f>IF(E444="","",IFERROR(VLOOKUP(E444,REGRAS_CST!$A$2:$B$200,2,FALSE),""))</f>
        <v/>
      </c>
      <c r="H444" s="29">
        <v>8.9999999999999993E-3</v>
      </c>
      <c r="I444" s="29">
        <v>1E-3</v>
      </c>
      <c r="K444" s="21" t="str">
        <f>IF(E444="","",IFERROR(VLOOKUP(E444,REGRAS_CST!$A$2:$C$200,3,FALSE),""))</f>
        <v/>
      </c>
      <c r="L444" s="23" t="str">
        <f>IF($G444="", "", $G444*(1-$V444))</f>
        <v/>
      </c>
      <c r="M444" s="24" t="str">
        <f>IF(OR($L444="",$S444=""),"",$L444*$S444)</f>
        <v/>
      </c>
      <c r="N444" s="24" t="str">
        <f>IF(OR($L444="",$T444=""),"",$L444*$T444)</f>
        <v/>
      </c>
      <c r="O444" s="15" t="str">
        <f>IF(D444="","",
IF(AND(K444&lt;&gt;"SIM",V444&gt;0),"ERRO: % BC &gt; 0, mas NÃO permitida ❌",
IF(AND(K444="SIM",V444=0),"ATENÇÃO: BC permitida, mas % = 0 🔎",
"Base de cálculo aplicada corretamente ✅")))</f>
        <v/>
      </c>
      <c r="P444" s="31" t="str">
        <f>IF(D444="","",
IF(AND(Q444&lt;&gt;"SIM",U444&gt;0),"ERRO: % alíquota &gt; 0, mas NÃO permitida ❌",
IF(AND(Q444="SIM",U444=0),"ATENÇÃO: alíquota permitida, mas % = 0 🔎",
"Alíquota aplicada corretamente ✅")))</f>
        <v/>
      </c>
      <c r="Q444" s="8" t="str">
        <f>IF(E444="","",IFERROR(VLOOKUP(E444,REGRAS_CST!$A$2:$D$200,4,FALSE),""))</f>
        <v/>
      </c>
      <c r="S444" s="9">
        <f>IF($H444="","",$H444*(1-$U444))</f>
        <v>8.9999999999999993E-3</v>
      </c>
      <c r="T444" s="9">
        <f>IF($I444="","",$I444*(1-$U444))</f>
        <v>1E-3</v>
      </c>
      <c r="U444" s="16">
        <f>IFERROR(INDEX(BASE_CCLASSTRIB!$E:$E, MATCH(TEXT($D444,"000000"), BASE_CCLASSTRIB!$A:$A, 0))/100, 0)</f>
        <v>0</v>
      </c>
      <c r="V444" s="16">
        <f>IFERROR(INDEX(BASE_CCLASSTRIB!$F:$F, MATCH(TEXT($D444,"000000"), BASE_CCLASSTRIB!$A:$A, 0))/100, 0)</f>
        <v>0</v>
      </c>
    </row>
    <row r="445" spans="4:22" ht="32.25" customHeight="1">
      <c r="D445" s="39"/>
      <c r="E445" s="27" t="str">
        <f>IF(D445="","",LEFT(D445,3))</f>
        <v/>
      </c>
      <c r="F445" s="28" t="str">
        <f>IF(E445="","",IFERROR(VLOOKUP(E445,REGRAS_CST!$A$2:$B$200,2,FALSE),""))</f>
        <v/>
      </c>
      <c r="H445" s="29">
        <v>8.9999999999999993E-3</v>
      </c>
      <c r="I445" s="29">
        <v>1E-3</v>
      </c>
      <c r="K445" s="21" t="str">
        <f>IF(E445="","",IFERROR(VLOOKUP(E445,REGRAS_CST!$A$2:$C$200,3,FALSE),""))</f>
        <v/>
      </c>
      <c r="L445" s="23" t="str">
        <f>IF($G445="", "", $G445*(1-$V445))</f>
        <v/>
      </c>
      <c r="M445" s="24" t="str">
        <f>IF(OR($L445="",$S445=""),"",$L445*$S445)</f>
        <v/>
      </c>
      <c r="N445" s="24" t="str">
        <f>IF(OR($L445="",$T445=""),"",$L445*$T445)</f>
        <v/>
      </c>
      <c r="O445" s="15" t="str">
        <f>IF(D445="","",
IF(AND(K445&lt;&gt;"SIM",V445&gt;0),"ERRO: % BC &gt; 0, mas NÃO permitida ❌",
IF(AND(K445="SIM",V445=0),"ATENÇÃO: BC permitida, mas % = 0 🔎",
"Base de cálculo aplicada corretamente ✅")))</f>
        <v/>
      </c>
      <c r="P445" s="31" t="str">
        <f>IF(D445="","",
IF(AND(Q445&lt;&gt;"SIM",U445&gt;0),"ERRO: % alíquota &gt; 0, mas NÃO permitida ❌",
IF(AND(Q445="SIM",U445=0),"ATENÇÃO: alíquota permitida, mas % = 0 🔎",
"Alíquota aplicada corretamente ✅")))</f>
        <v/>
      </c>
      <c r="Q445" s="8" t="str">
        <f>IF(E445="","",IFERROR(VLOOKUP(E445,REGRAS_CST!$A$2:$D$200,4,FALSE),""))</f>
        <v/>
      </c>
      <c r="S445" s="9">
        <f>IF($H445="","",$H445*(1-$U445))</f>
        <v>8.9999999999999993E-3</v>
      </c>
      <c r="T445" s="9">
        <f>IF($I445="","",$I445*(1-$U445))</f>
        <v>1E-3</v>
      </c>
      <c r="U445" s="16">
        <f>IFERROR(INDEX(BASE_CCLASSTRIB!$E:$E, MATCH(TEXT($D445,"000000"), BASE_CCLASSTRIB!$A:$A, 0))/100, 0)</f>
        <v>0</v>
      </c>
      <c r="V445" s="16">
        <f>IFERROR(INDEX(BASE_CCLASSTRIB!$F:$F, MATCH(TEXT($D445,"000000"), BASE_CCLASSTRIB!$A:$A, 0))/100, 0)</f>
        <v>0</v>
      </c>
    </row>
    <row r="446" spans="4:22" ht="32.25" customHeight="1">
      <c r="D446" s="39"/>
      <c r="E446" s="27" t="str">
        <f>IF(D446="","",LEFT(D446,3))</f>
        <v/>
      </c>
      <c r="F446" s="28" t="str">
        <f>IF(E446="","",IFERROR(VLOOKUP(E446,REGRAS_CST!$A$2:$B$200,2,FALSE),""))</f>
        <v/>
      </c>
      <c r="H446" s="29">
        <v>8.9999999999999993E-3</v>
      </c>
      <c r="I446" s="29">
        <v>1E-3</v>
      </c>
      <c r="K446" s="21" t="str">
        <f>IF(E446="","",IFERROR(VLOOKUP(E446,REGRAS_CST!$A$2:$C$200,3,FALSE),""))</f>
        <v/>
      </c>
      <c r="L446" s="23" t="str">
        <f>IF($G446="", "", $G446*(1-$V446))</f>
        <v/>
      </c>
      <c r="M446" s="24" t="str">
        <f>IF(OR($L446="",$S446=""),"",$L446*$S446)</f>
        <v/>
      </c>
      <c r="N446" s="24" t="str">
        <f>IF(OR($L446="",$T446=""),"",$L446*$T446)</f>
        <v/>
      </c>
      <c r="O446" s="15" t="str">
        <f>IF(D446="","",
IF(AND(K446&lt;&gt;"SIM",V446&gt;0),"ERRO: % BC &gt; 0, mas NÃO permitida ❌",
IF(AND(K446="SIM",V446=0),"ATENÇÃO: BC permitida, mas % = 0 🔎",
"Base de cálculo aplicada corretamente ✅")))</f>
        <v/>
      </c>
      <c r="P446" s="31" t="str">
        <f>IF(D446="","",
IF(AND(Q446&lt;&gt;"SIM",U446&gt;0),"ERRO: % alíquota &gt; 0, mas NÃO permitida ❌",
IF(AND(Q446="SIM",U446=0),"ATENÇÃO: alíquota permitida, mas % = 0 🔎",
"Alíquota aplicada corretamente ✅")))</f>
        <v/>
      </c>
      <c r="Q446" s="8" t="str">
        <f>IF(E446="","",IFERROR(VLOOKUP(E446,REGRAS_CST!$A$2:$D$200,4,FALSE),""))</f>
        <v/>
      </c>
      <c r="S446" s="9">
        <f>IF($H446="","",$H446*(1-$U446))</f>
        <v>8.9999999999999993E-3</v>
      </c>
      <c r="T446" s="9">
        <f>IF($I446="","",$I446*(1-$U446))</f>
        <v>1E-3</v>
      </c>
      <c r="U446" s="16">
        <f>IFERROR(INDEX(BASE_CCLASSTRIB!$E:$E, MATCH(TEXT($D446,"000000"), BASE_CCLASSTRIB!$A:$A, 0))/100, 0)</f>
        <v>0</v>
      </c>
      <c r="V446" s="16">
        <f>IFERROR(INDEX(BASE_CCLASSTRIB!$F:$F, MATCH(TEXT($D446,"000000"), BASE_CCLASSTRIB!$A:$A, 0))/100, 0)</f>
        <v>0</v>
      </c>
    </row>
    <row r="447" spans="4:22" ht="32.25" customHeight="1">
      <c r="D447" s="39"/>
      <c r="E447" s="27" t="str">
        <f>IF(D447="","",LEFT(D447,3))</f>
        <v/>
      </c>
      <c r="F447" s="28" t="str">
        <f>IF(E447="","",IFERROR(VLOOKUP(E447,REGRAS_CST!$A$2:$B$200,2,FALSE),""))</f>
        <v/>
      </c>
      <c r="H447" s="29">
        <v>8.9999999999999993E-3</v>
      </c>
      <c r="I447" s="29">
        <v>1E-3</v>
      </c>
      <c r="K447" s="21" t="str">
        <f>IF(E447="","",IFERROR(VLOOKUP(E447,REGRAS_CST!$A$2:$C$200,3,FALSE),""))</f>
        <v/>
      </c>
      <c r="L447" s="23" t="str">
        <f>IF($G447="", "", $G447*(1-$V447))</f>
        <v/>
      </c>
      <c r="M447" s="24" t="str">
        <f>IF(OR($L447="",$S447=""),"",$L447*$S447)</f>
        <v/>
      </c>
      <c r="N447" s="24" t="str">
        <f>IF(OR($L447="",$T447=""),"",$L447*$T447)</f>
        <v/>
      </c>
      <c r="O447" s="15" t="str">
        <f>IF(D447="","",
IF(AND(K447&lt;&gt;"SIM",V447&gt;0),"ERRO: % BC &gt; 0, mas NÃO permitida ❌",
IF(AND(K447="SIM",V447=0),"ATENÇÃO: BC permitida, mas % = 0 🔎",
"Base de cálculo aplicada corretamente ✅")))</f>
        <v/>
      </c>
      <c r="P447" s="31" t="str">
        <f>IF(D447="","",
IF(AND(Q447&lt;&gt;"SIM",U447&gt;0),"ERRO: % alíquota &gt; 0, mas NÃO permitida ❌",
IF(AND(Q447="SIM",U447=0),"ATENÇÃO: alíquota permitida, mas % = 0 🔎",
"Alíquota aplicada corretamente ✅")))</f>
        <v/>
      </c>
      <c r="Q447" s="8" t="str">
        <f>IF(E447="","",IFERROR(VLOOKUP(E447,REGRAS_CST!$A$2:$D$200,4,FALSE),""))</f>
        <v/>
      </c>
      <c r="S447" s="9">
        <f>IF($H447="","",$H447*(1-$U447))</f>
        <v>8.9999999999999993E-3</v>
      </c>
      <c r="T447" s="9">
        <f>IF($I447="","",$I447*(1-$U447))</f>
        <v>1E-3</v>
      </c>
      <c r="U447" s="16">
        <f>IFERROR(INDEX(BASE_CCLASSTRIB!$E:$E, MATCH(TEXT($D447,"000000"), BASE_CCLASSTRIB!$A:$A, 0))/100, 0)</f>
        <v>0</v>
      </c>
      <c r="V447" s="16">
        <f>IFERROR(INDEX(BASE_CCLASSTRIB!$F:$F, MATCH(TEXT($D447,"000000"), BASE_CCLASSTRIB!$A:$A, 0))/100, 0)</f>
        <v>0</v>
      </c>
    </row>
    <row r="448" spans="4:22" ht="32.25" customHeight="1">
      <c r="D448" s="39"/>
      <c r="E448" s="27" t="str">
        <f>IF(D448="","",LEFT(D448,3))</f>
        <v/>
      </c>
      <c r="F448" s="28" t="str">
        <f>IF(E448="","",IFERROR(VLOOKUP(E448,REGRAS_CST!$A$2:$B$200,2,FALSE),""))</f>
        <v/>
      </c>
      <c r="H448" s="29">
        <v>8.9999999999999993E-3</v>
      </c>
      <c r="I448" s="29">
        <v>1E-3</v>
      </c>
      <c r="K448" s="21" t="str">
        <f>IF(E448="","",IFERROR(VLOOKUP(E448,REGRAS_CST!$A$2:$C$200,3,FALSE),""))</f>
        <v/>
      </c>
      <c r="L448" s="23" t="str">
        <f>IF($G448="", "", $G448*(1-$V448))</f>
        <v/>
      </c>
      <c r="M448" s="24" t="str">
        <f>IF(OR($L448="",$S448=""),"",$L448*$S448)</f>
        <v/>
      </c>
      <c r="N448" s="24" t="str">
        <f>IF(OR($L448="",$T448=""),"",$L448*$T448)</f>
        <v/>
      </c>
      <c r="O448" s="15" t="str">
        <f>IF(D448="","",
IF(AND(K448&lt;&gt;"SIM",V448&gt;0),"ERRO: % BC &gt; 0, mas NÃO permitida ❌",
IF(AND(K448="SIM",V448=0),"ATENÇÃO: BC permitida, mas % = 0 🔎",
"Base de cálculo aplicada corretamente ✅")))</f>
        <v/>
      </c>
      <c r="P448" s="31" t="str">
        <f>IF(D448="","",
IF(AND(Q448&lt;&gt;"SIM",U448&gt;0),"ERRO: % alíquota &gt; 0, mas NÃO permitida ❌",
IF(AND(Q448="SIM",U448=0),"ATENÇÃO: alíquota permitida, mas % = 0 🔎",
"Alíquota aplicada corretamente ✅")))</f>
        <v/>
      </c>
      <c r="Q448" s="8" t="str">
        <f>IF(E448="","",IFERROR(VLOOKUP(E448,REGRAS_CST!$A$2:$D$200,4,FALSE),""))</f>
        <v/>
      </c>
      <c r="S448" s="9">
        <f>IF($H448="","",$H448*(1-$U448))</f>
        <v>8.9999999999999993E-3</v>
      </c>
      <c r="T448" s="9">
        <f>IF($I448="","",$I448*(1-$U448))</f>
        <v>1E-3</v>
      </c>
      <c r="U448" s="16">
        <f>IFERROR(INDEX(BASE_CCLASSTRIB!$E:$E, MATCH(TEXT($D448,"000000"), BASE_CCLASSTRIB!$A:$A, 0))/100, 0)</f>
        <v>0</v>
      </c>
      <c r="V448" s="16">
        <f>IFERROR(INDEX(BASE_CCLASSTRIB!$F:$F, MATCH(TEXT($D448,"000000"), BASE_CCLASSTRIB!$A:$A, 0))/100, 0)</f>
        <v>0</v>
      </c>
    </row>
    <row r="449" spans="4:22" ht="32.25" customHeight="1">
      <c r="D449" s="40"/>
      <c r="E449" s="27" t="str">
        <f>IF(D449="","",LEFT(D449,3))</f>
        <v/>
      </c>
      <c r="F449" s="28" t="str">
        <f>IF(E449="","",IFERROR(VLOOKUP(E449,REGRAS_CST!$A$2:$B$200,2,FALSE),""))</f>
        <v/>
      </c>
      <c r="H449" s="29">
        <v>8.9999999999999993E-3</v>
      </c>
      <c r="I449" s="29">
        <v>1E-3</v>
      </c>
      <c r="K449" s="21" t="str">
        <f>IF(E449="","",IFERROR(VLOOKUP(E449,REGRAS_CST!$A$2:$C$200,3,FALSE),""))</f>
        <v/>
      </c>
      <c r="L449" s="23" t="str">
        <f>IF($G449="", "", $G449*(1-$V449))</f>
        <v/>
      </c>
      <c r="M449" s="24" t="str">
        <f>IF(OR($L449="",$S449=""),"",$L449*$S449)</f>
        <v/>
      </c>
      <c r="N449" s="24" t="str">
        <f>IF(OR($L449="",$T449=""),"",$L449*$T449)</f>
        <v/>
      </c>
      <c r="O449" s="15" t="str">
        <f>IF(D449="","",
IF(AND(K449&lt;&gt;"SIM",V449&gt;0),"ERRO: % BC &gt; 0, mas NÃO permitida ❌",
IF(AND(K449="SIM",V449=0),"ATENÇÃO: BC permitida, mas % = 0 🔎",
"Base de cálculo aplicada corretamente ✅")))</f>
        <v/>
      </c>
      <c r="P449" s="31" t="str">
        <f>IF(D449="","",
IF(AND(Q449&lt;&gt;"SIM",U449&gt;0),"ERRO: % alíquota &gt; 0, mas NÃO permitida ❌",
IF(AND(Q449="SIM",U449=0),"ATENÇÃO: alíquota permitida, mas % = 0 🔎",
"Alíquota aplicada corretamente ✅")))</f>
        <v/>
      </c>
      <c r="Q449" s="8" t="str">
        <f>IF(E449="","",IFERROR(VLOOKUP(E449,REGRAS_CST!$A$2:$D$200,4,FALSE),""))</f>
        <v/>
      </c>
      <c r="S449" s="9">
        <f>IF($H449="","",$H449*(1-$U449))</f>
        <v>8.9999999999999993E-3</v>
      </c>
      <c r="T449" s="9">
        <f>IF($I449="","",$I449*(1-$U449))</f>
        <v>1E-3</v>
      </c>
      <c r="U449" s="16">
        <f>IFERROR(INDEX(BASE_CCLASSTRIB!$E:$E, MATCH(TEXT($D449,"000000"), BASE_CCLASSTRIB!$A:$A, 0))/100, 0)</f>
        <v>0</v>
      </c>
      <c r="V449" s="16">
        <f>IFERROR(INDEX(BASE_CCLASSTRIB!$F:$F, MATCH(TEXT($D449,"000000"), BASE_CCLASSTRIB!$A:$A, 0))/100, 0)</f>
        <v>0</v>
      </c>
    </row>
    <row r="450" spans="4:22" ht="32.25" customHeight="1">
      <c r="D450" s="39"/>
      <c r="E450" s="27" t="str">
        <f>IF(D450="","",LEFT(D450,3))</f>
        <v/>
      </c>
      <c r="F450" s="28" t="str">
        <f>IF(E450="","",IFERROR(VLOOKUP(E450,REGRAS_CST!$A$2:$B$200,2,FALSE),""))</f>
        <v/>
      </c>
      <c r="H450" s="29">
        <v>8.9999999999999993E-3</v>
      </c>
      <c r="I450" s="29">
        <v>1E-3</v>
      </c>
      <c r="K450" s="21" t="str">
        <f>IF(E450="","",IFERROR(VLOOKUP(E450,REGRAS_CST!$A$2:$C$200,3,FALSE),""))</f>
        <v/>
      </c>
      <c r="L450" s="23" t="str">
        <f>IF($G450="", "", $G450*(1-$V450))</f>
        <v/>
      </c>
      <c r="M450" s="24" t="str">
        <f>IF(OR($L450="",$S450=""),"",$L450*$S450)</f>
        <v/>
      </c>
      <c r="N450" s="24" t="str">
        <f>IF(OR($L450="",$T450=""),"",$L450*$T450)</f>
        <v/>
      </c>
      <c r="O450" s="15" t="str">
        <f>IF(D450="","",
IF(AND(K450&lt;&gt;"SIM",V450&gt;0),"ERRO: % BC &gt; 0, mas NÃO permitida ❌",
IF(AND(K450="SIM",V450=0),"ATENÇÃO: BC permitida, mas % = 0 🔎",
"Base de cálculo aplicada corretamente ✅")))</f>
        <v/>
      </c>
      <c r="P450" s="31" t="str">
        <f>IF(D450="","",
IF(AND(Q450&lt;&gt;"SIM",U450&gt;0),"ERRO: % alíquota &gt; 0, mas NÃO permitida ❌",
IF(AND(Q450="SIM",U450=0),"ATENÇÃO: alíquota permitida, mas % = 0 🔎",
"Alíquota aplicada corretamente ✅")))</f>
        <v/>
      </c>
      <c r="Q450" s="8" t="str">
        <f>IF(E450="","",IFERROR(VLOOKUP(E450,REGRAS_CST!$A$2:$D$200,4,FALSE),""))</f>
        <v/>
      </c>
      <c r="S450" s="9">
        <f>IF($H450="","",$H450*(1-$U450))</f>
        <v>8.9999999999999993E-3</v>
      </c>
      <c r="T450" s="9">
        <f>IF($I450="","",$I450*(1-$U450))</f>
        <v>1E-3</v>
      </c>
      <c r="U450" s="16">
        <f>IFERROR(INDEX(BASE_CCLASSTRIB!$E:$E, MATCH(TEXT($D450,"000000"), BASE_CCLASSTRIB!$A:$A, 0))/100, 0)</f>
        <v>0</v>
      </c>
      <c r="V450" s="16">
        <f>IFERROR(INDEX(BASE_CCLASSTRIB!$F:$F, MATCH(TEXT($D450,"000000"), BASE_CCLASSTRIB!$A:$A, 0))/100, 0)</f>
        <v>0</v>
      </c>
    </row>
    <row r="451" spans="4:22" ht="32.25" customHeight="1">
      <c r="D451" s="39"/>
      <c r="E451" s="27" t="str">
        <f>IF(D451="","",LEFT(D451,3))</f>
        <v/>
      </c>
      <c r="F451" s="28" t="str">
        <f>IF(E451="","",IFERROR(VLOOKUP(E451,REGRAS_CST!$A$2:$B$200,2,FALSE),""))</f>
        <v/>
      </c>
      <c r="H451" s="29">
        <v>8.9999999999999993E-3</v>
      </c>
      <c r="I451" s="29">
        <v>1E-3</v>
      </c>
      <c r="K451" s="21" t="str">
        <f>IF(E451="","",IFERROR(VLOOKUP(E451,REGRAS_CST!$A$2:$C$200,3,FALSE),""))</f>
        <v/>
      </c>
      <c r="L451" s="23" t="str">
        <f>IF($G451="", "", $G451*(1-$V451))</f>
        <v/>
      </c>
      <c r="M451" s="24" t="str">
        <f>IF(OR($L451="",$S451=""),"",$L451*$S451)</f>
        <v/>
      </c>
      <c r="N451" s="24" t="str">
        <f>IF(OR($L451="",$T451=""),"",$L451*$T451)</f>
        <v/>
      </c>
      <c r="O451" s="15" t="str">
        <f>IF(D451="","",
IF(AND(K451&lt;&gt;"SIM",V451&gt;0),"ERRO: % BC &gt; 0, mas NÃO permitida ❌",
IF(AND(K451="SIM",V451=0),"ATENÇÃO: BC permitida, mas % = 0 🔎",
"Base de cálculo aplicada corretamente ✅")))</f>
        <v/>
      </c>
      <c r="P451" s="31" t="str">
        <f>IF(D451="","",
IF(AND(Q451&lt;&gt;"SIM",U451&gt;0),"ERRO: % alíquota &gt; 0, mas NÃO permitida ❌",
IF(AND(Q451="SIM",U451=0),"ATENÇÃO: alíquota permitida, mas % = 0 🔎",
"Alíquota aplicada corretamente ✅")))</f>
        <v/>
      </c>
      <c r="Q451" s="8" t="str">
        <f>IF(E451="","",IFERROR(VLOOKUP(E451,REGRAS_CST!$A$2:$D$200,4,FALSE),""))</f>
        <v/>
      </c>
      <c r="S451" s="9">
        <f>IF($H451="","",$H451*(1-$U451))</f>
        <v>8.9999999999999993E-3</v>
      </c>
      <c r="T451" s="9">
        <f>IF($I451="","",$I451*(1-$U451))</f>
        <v>1E-3</v>
      </c>
      <c r="U451" s="16">
        <f>IFERROR(INDEX(BASE_CCLASSTRIB!$E:$E, MATCH(TEXT($D451,"000000"), BASE_CCLASSTRIB!$A:$A, 0))/100, 0)</f>
        <v>0</v>
      </c>
      <c r="V451" s="16">
        <f>IFERROR(INDEX(BASE_CCLASSTRIB!$F:$F, MATCH(TEXT($D451,"000000"), BASE_CCLASSTRIB!$A:$A, 0))/100, 0)</f>
        <v>0</v>
      </c>
    </row>
    <row r="452" spans="4:22" ht="32.25" customHeight="1">
      <c r="D452" s="39"/>
      <c r="E452" s="27" t="str">
        <f>IF(D452="","",LEFT(D452,3))</f>
        <v/>
      </c>
      <c r="F452" s="28" t="str">
        <f>IF(E452="","",IFERROR(VLOOKUP(E452,REGRAS_CST!$A$2:$B$200,2,FALSE),""))</f>
        <v/>
      </c>
      <c r="H452" s="29">
        <v>8.9999999999999993E-3</v>
      </c>
      <c r="I452" s="29">
        <v>1E-3</v>
      </c>
      <c r="K452" s="21" t="str">
        <f>IF(E452="","",IFERROR(VLOOKUP(E452,REGRAS_CST!$A$2:$C$200,3,FALSE),""))</f>
        <v/>
      </c>
      <c r="L452" s="23" t="str">
        <f>IF($G452="", "", $G452*(1-$V452))</f>
        <v/>
      </c>
      <c r="M452" s="24" t="str">
        <f>IF(OR($L452="",$S452=""),"",$L452*$S452)</f>
        <v/>
      </c>
      <c r="N452" s="24" t="str">
        <f>IF(OR($L452="",$T452=""),"",$L452*$T452)</f>
        <v/>
      </c>
      <c r="O452" s="15" t="str">
        <f>IF(D452="","",
IF(AND(K452&lt;&gt;"SIM",V452&gt;0),"ERRO: % BC &gt; 0, mas NÃO permitida ❌",
IF(AND(K452="SIM",V452=0),"ATENÇÃO: BC permitida, mas % = 0 🔎",
"Base de cálculo aplicada corretamente ✅")))</f>
        <v/>
      </c>
      <c r="P452" s="31" t="str">
        <f>IF(D452="","",
IF(AND(Q452&lt;&gt;"SIM",U452&gt;0),"ERRO: % alíquota &gt; 0, mas NÃO permitida ❌",
IF(AND(Q452="SIM",U452=0),"ATENÇÃO: alíquota permitida, mas % = 0 🔎",
"Alíquota aplicada corretamente ✅")))</f>
        <v/>
      </c>
      <c r="Q452" s="8" t="str">
        <f>IF(E452="","",IFERROR(VLOOKUP(E452,REGRAS_CST!$A$2:$D$200,4,FALSE),""))</f>
        <v/>
      </c>
      <c r="S452" s="9">
        <f>IF($H452="","",$H452*(1-$U452))</f>
        <v>8.9999999999999993E-3</v>
      </c>
      <c r="T452" s="9">
        <f>IF($I452="","",$I452*(1-$U452))</f>
        <v>1E-3</v>
      </c>
      <c r="U452" s="16">
        <f>IFERROR(INDEX(BASE_CCLASSTRIB!$E:$E, MATCH(TEXT($D452,"000000"), BASE_CCLASSTRIB!$A:$A, 0))/100, 0)</f>
        <v>0</v>
      </c>
      <c r="V452" s="16">
        <f>IFERROR(INDEX(BASE_CCLASSTRIB!$F:$F, MATCH(TEXT($D452,"000000"), BASE_CCLASSTRIB!$A:$A, 0))/100, 0)</f>
        <v>0</v>
      </c>
    </row>
    <row r="453" spans="4:22" ht="32.25" customHeight="1">
      <c r="D453" s="39"/>
      <c r="E453" s="27" t="str">
        <f>IF(D453="","",LEFT(D453,3))</f>
        <v/>
      </c>
      <c r="F453" s="28" t="str">
        <f>IF(E453="","",IFERROR(VLOOKUP(E453,REGRAS_CST!$A$2:$B$200,2,FALSE),""))</f>
        <v/>
      </c>
      <c r="H453" s="29">
        <v>8.9999999999999993E-3</v>
      </c>
      <c r="I453" s="29">
        <v>1E-3</v>
      </c>
      <c r="K453" s="21" t="str">
        <f>IF(E453="","",IFERROR(VLOOKUP(E453,REGRAS_CST!$A$2:$C$200,3,FALSE),""))</f>
        <v/>
      </c>
      <c r="L453" s="23" t="str">
        <f>IF($G453="", "", $G453*(1-$V453))</f>
        <v/>
      </c>
      <c r="M453" s="24" t="str">
        <f>IF(OR($L453="",$S453=""),"",$L453*$S453)</f>
        <v/>
      </c>
      <c r="N453" s="24" t="str">
        <f>IF(OR($L453="",$T453=""),"",$L453*$T453)</f>
        <v/>
      </c>
      <c r="O453" s="15" t="str">
        <f>IF(D453="","",
IF(AND(K453&lt;&gt;"SIM",V453&gt;0),"ERRO: % BC &gt; 0, mas NÃO permitida ❌",
IF(AND(K453="SIM",V453=0),"ATENÇÃO: BC permitida, mas % = 0 🔎",
"Base de cálculo aplicada corretamente ✅")))</f>
        <v/>
      </c>
      <c r="P453" s="31" t="str">
        <f>IF(D453="","",
IF(AND(Q453&lt;&gt;"SIM",U453&gt;0),"ERRO: % alíquota &gt; 0, mas NÃO permitida ❌",
IF(AND(Q453="SIM",U453=0),"ATENÇÃO: alíquota permitida, mas % = 0 🔎",
"Alíquota aplicada corretamente ✅")))</f>
        <v/>
      </c>
      <c r="Q453" s="8" t="str">
        <f>IF(E453="","",IFERROR(VLOOKUP(E453,REGRAS_CST!$A$2:$D$200,4,FALSE),""))</f>
        <v/>
      </c>
      <c r="S453" s="9">
        <f>IF($H453="","",$H453*(1-$U453))</f>
        <v>8.9999999999999993E-3</v>
      </c>
      <c r="T453" s="9">
        <f>IF($I453="","",$I453*(1-$U453))</f>
        <v>1E-3</v>
      </c>
      <c r="U453" s="16">
        <f>IFERROR(INDEX(BASE_CCLASSTRIB!$E:$E, MATCH(TEXT($D453,"000000"), BASE_CCLASSTRIB!$A:$A, 0))/100, 0)</f>
        <v>0</v>
      </c>
      <c r="V453" s="16">
        <f>IFERROR(INDEX(BASE_CCLASSTRIB!$F:$F, MATCH(TEXT($D453,"000000"), BASE_CCLASSTRIB!$A:$A, 0))/100, 0)</f>
        <v>0</v>
      </c>
    </row>
    <row r="454" spans="4:22" ht="32.25" customHeight="1">
      <c r="D454" s="39"/>
      <c r="E454" s="27" t="str">
        <f>IF(D454="","",LEFT(D454,3))</f>
        <v/>
      </c>
      <c r="F454" s="28" t="str">
        <f>IF(E454="","",IFERROR(VLOOKUP(E454,REGRAS_CST!$A$2:$B$200,2,FALSE),""))</f>
        <v/>
      </c>
      <c r="H454" s="29">
        <v>8.9999999999999993E-3</v>
      </c>
      <c r="I454" s="29">
        <v>1E-3</v>
      </c>
      <c r="K454" s="21" t="str">
        <f>IF(E454="","",IFERROR(VLOOKUP(E454,REGRAS_CST!$A$2:$C$200,3,FALSE),""))</f>
        <v/>
      </c>
      <c r="L454" s="23" t="str">
        <f>IF($G454="", "", $G454*(1-$V454))</f>
        <v/>
      </c>
      <c r="M454" s="24" t="str">
        <f>IF(OR($L454="",$S454=""),"",$L454*$S454)</f>
        <v/>
      </c>
      <c r="N454" s="24" t="str">
        <f>IF(OR($L454="",$T454=""),"",$L454*$T454)</f>
        <v/>
      </c>
      <c r="O454" s="15" t="str">
        <f>IF(D454="","",
IF(AND(K454&lt;&gt;"SIM",V454&gt;0),"ERRO: % BC &gt; 0, mas NÃO permitida ❌",
IF(AND(K454="SIM",V454=0),"ATENÇÃO: BC permitida, mas % = 0 🔎",
"Base de cálculo aplicada corretamente ✅")))</f>
        <v/>
      </c>
      <c r="P454" s="31" t="str">
        <f>IF(D454="","",
IF(AND(Q454&lt;&gt;"SIM",U454&gt;0),"ERRO: % alíquota &gt; 0, mas NÃO permitida ❌",
IF(AND(Q454="SIM",U454=0),"ATENÇÃO: alíquota permitida, mas % = 0 🔎",
"Alíquota aplicada corretamente ✅")))</f>
        <v/>
      </c>
      <c r="Q454" s="8" t="str">
        <f>IF(E454="","",IFERROR(VLOOKUP(E454,REGRAS_CST!$A$2:$D$200,4,FALSE),""))</f>
        <v/>
      </c>
      <c r="S454" s="9">
        <f>IF($H454="","",$H454*(1-$U454))</f>
        <v>8.9999999999999993E-3</v>
      </c>
      <c r="T454" s="9">
        <f>IF($I454="","",$I454*(1-$U454))</f>
        <v>1E-3</v>
      </c>
      <c r="U454" s="16">
        <f>IFERROR(INDEX(BASE_CCLASSTRIB!$E:$E, MATCH(TEXT($D454,"000000"), BASE_CCLASSTRIB!$A:$A, 0))/100, 0)</f>
        <v>0</v>
      </c>
      <c r="V454" s="16">
        <f>IFERROR(INDEX(BASE_CCLASSTRIB!$F:$F, MATCH(TEXT($D454,"000000"), BASE_CCLASSTRIB!$A:$A, 0))/100, 0)</f>
        <v>0</v>
      </c>
    </row>
    <row r="455" spans="4:22" ht="32.25" customHeight="1">
      <c r="D455" s="39"/>
      <c r="E455" s="27" t="str">
        <f>IF(D455="","",LEFT(D455,3))</f>
        <v/>
      </c>
      <c r="F455" s="28" t="str">
        <f>IF(E455="","",IFERROR(VLOOKUP(E455,REGRAS_CST!$A$2:$B$200,2,FALSE),""))</f>
        <v/>
      </c>
      <c r="H455" s="29">
        <v>8.9999999999999993E-3</v>
      </c>
      <c r="I455" s="29">
        <v>1E-3</v>
      </c>
      <c r="K455" s="21" t="str">
        <f>IF(E455="","",IFERROR(VLOOKUP(E455,REGRAS_CST!$A$2:$C$200,3,FALSE),""))</f>
        <v/>
      </c>
      <c r="L455" s="23" t="str">
        <f>IF($G455="", "", $G455*(1-$V455))</f>
        <v/>
      </c>
      <c r="M455" s="24" t="str">
        <f>IF(OR($L455="",$S455=""),"",$L455*$S455)</f>
        <v/>
      </c>
      <c r="N455" s="24" t="str">
        <f>IF(OR($L455="",$T455=""),"",$L455*$T455)</f>
        <v/>
      </c>
      <c r="O455" s="15" t="str">
        <f>IF(D455="","",
IF(AND(K455&lt;&gt;"SIM",V455&gt;0),"ERRO: % BC &gt; 0, mas NÃO permitida ❌",
IF(AND(K455="SIM",V455=0),"ATENÇÃO: BC permitida, mas % = 0 🔎",
"Base de cálculo aplicada corretamente ✅")))</f>
        <v/>
      </c>
      <c r="P455" s="31" t="str">
        <f>IF(D455="","",
IF(AND(Q455&lt;&gt;"SIM",U455&gt;0),"ERRO: % alíquota &gt; 0, mas NÃO permitida ❌",
IF(AND(Q455="SIM",U455=0),"ATENÇÃO: alíquota permitida, mas % = 0 🔎",
"Alíquota aplicada corretamente ✅")))</f>
        <v/>
      </c>
      <c r="Q455" s="8" t="str">
        <f>IF(E455="","",IFERROR(VLOOKUP(E455,REGRAS_CST!$A$2:$D$200,4,FALSE),""))</f>
        <v/>
      </c>
      <c r="S455" s="9">
        <f>IF($H455="","",$H455*(1-$U455))</f>
        <v>8.9999999999999993E-3</v>
      </c>
      <c r="T455" s="9">
        <f>IF($I455="","",$I455*(1-$U455))</f>
        <v>1E-3</v>
      </c>
      <c r="U455" s="16">
        <f>IFERROR(INDEX(BASE_CCLASSTRIB!$E:$E, MATCH(TEXT($D455,"000000"), BASE_CCLASSTRIB!$A:$A, 0))/100, 0)</f>
        <v>0</v>
      </c>
      <c r="V455" s="16">
        <f>IFERROR(INDEX(BASE_CCLASSTRIB!$F:$F, MATCH(TEXT($D455,"000000"), BASE_CCLASSTRIB!$A:$A, 0))/100, 0)</f>
        <v>0</v>
      </c>
    </row>
    <row r="456" spans="4:22" ht="32.25" customHeight="1">
      <c r="D456" s="39"/>
      <c r="E456" s="27" t="str">
        <f>IF(D456="","",LEFT(D456,3))</f>
        <v/>
      </c>
      <c r="F456" s="28" t="str">
        <f>IF(E456="","",IFERROR(VLOOKUP(E456,REGRAS_CST!$A$2:$B$200,2,FALSE),""))</f>
        <v/>
      </c>
      <c r="H456" s="29">
        <v>8.9999999999999993E-3</v>
      </c>
      <c r="I456" s="29">
        <v>1E-3</v>
      </c>
      <c r="K456" s="21" t="str">
        <f>IF(E456="","",IFERROR(VLOOKUP(E456,REGRAS_CST!$A$2:$C$200,3,FALSE),""))</f>
        <v/>
      </c>
      <c r="L456" s="23" t="str">
        <f>IF($G456="", "", $G456*(1-$V456))</f>
        <v/>
      </c>
      <c r="M456" s="24" t="str">
        <f>IF(OR($L456="",$S456=""),"",$L456*$S456)</f>
        <v/>
      </c>
      <c r="N456" s="24" t="str">
        <f>IF(OR($L456="",$T456=""),"",$L456*$T456)</f>
        <v/>
      </c>
      <c r="O456" s="15" t="str">
        <f>IF(D456="","",
IF(AND(K456&lt;&gt;"SIM",V456&gt;0),"ERRO: % BC &gt; 0, mas NÃO permitida ❌",
IF(AND(K456="SIM",V456=0),"ATENÇÃO: BC permitida, mas % = 0 🔎",
"Base de cálculo aplicada corretamente ✅")))</f>
        <v/>
      </c>
      <c r="P456" s="31" t="str">
        <f>IF(D456="","",
IF(AND(Q456&lt;&gt;"SIM",U456&gt;0),"ERRO: % alíquota &gt; 0, mas NÃO permitida ❌",
IF(AND(Q456="SIM",U456=0),"ATENÇÃO: alíquota permitida, mas % = 0 🔎",
"Alíquota aplicada corretamente ✅")))</f>
        <v/>
      </c>
      <c r="Q456" s="8" t="str">
        <f>IF(E456="","",IFERROR(VLOOKUP(E456,REGRAS_CST!$A$2:$D$200,4,FALSE),""))</f>
        <v/>
      </c>
      <c r="S456" s="9">
        <f>IF($H456="","",$H456*(1-$U456))</f>
        <v>8.9999999999999993E-3</v>
      </c>
      <c r="T456" s="9">
        <f>IF($I456="","",$I456*(1-$U456))</f>
        <v>1E-3</v>
      </c>
      <c r="U456" s="16">
        <f>IFERROR(INDEX(BASE_CCLASSTRIB!$E:$E, MATCH(TEXT($D456,"000000"), BASE_CCLASSTRIB!$A:$A, 0))/100, 0)</f>
        <v>0</v>
      </c>
      <c r="V456" s="16">
        <f>IFERROR(INDEX(BASE_CCLASSTRIB!$F:$F, MATCH(TEXT($D456,"000000"), BASE_CCLASSTRIB!$A:$A, 0))/100, 0)</f>
        <v>0</v>
      </c>
    </row>
    <row r="457" spans="4:22" ht="32.25" customHeight="1">
      <c r="D457" s="39"/>
      <c r="E457" s="27" t="str">
        <f>IF(D457="","",LEFT(D457,3))</f>
        <v/>
      </c>
      <c r="F457" s="28" t="str">
        <f>IF(E457="","",IFERROR(VLOOKUP(E457,REGRAS_CST!$A$2:$B$200,2,FALSE),""))</f>
        <v/>
      </c>
      <c r="H457" s="29">
        <v>8.9999999999999993E-3</v>
      </c>
      <c r="I457" s="29">
        <v>1E-3</v>
      </c>
      <c r="K457" s="21" t="str">
        <f>IF(E457="","",IFERROR(VLOOKUP(E457,REGRAS_CST!$A$2:$C$200,3,FALSE),""))</f>
        <v/>
      </c>
      <c r="L457" s="23" t="str">
        <f>IF($G457="", "", $G457*(1-$V457))</f>
        <v/>
      </c>
      <c r="M457" s="24" t="str">
        <f>IF(OR($L457="",$S457=""),"",$L457*$S457)</f>
        <v/>
      </c>
      <c r="N457" s="24" t="str">
        <f>IF(OR($L457="",$T457=""),"",$L457*$T457)</f>
        <v/>
      </c>
      <c r="O457" s="15" t="str">
        <f>IF(D457="","",
IF(AND(K457&lt;&gt;"SIM",V457&gt;0),"ERRO: % BC &gt; 0, mas NÃO permitida ❌",
IF(AND(K457="SIM",V457=0),"ATENÇÃO: BC permitida, mas % = 0 🔎",
"Base de cálculo aplicada corretamente ✅")))</f>
        <v/>
      </c>
      <c r="P457" s="31" t="str">
        <f>IF(D457="","",
IF(AND(Q457&lt;&gt;"SIM",U457&gt;0),"ERRO: % alíquota &gt; 0, mas NÃO permitida ❌",
IF(AND(Q457="SIM",U457=0),"ATENÇÃO: alíquota permitida, mas % = 0 🔎",
"Alíquota aplicada corretamente ✅")))</f>
        <v/>
      </c>
      <c r="Q457" s="8" t="str">
        <f>IF(E457="","",IFERROR(VLOOKUP(E457,REGRAS_CST!$A$2:$D$200,4,FALSE),""))</f>
        <v/>
      </c>
      <c r="S457" s="9">
        <f>IF($H457="","",$H457*(1-$U457))</f>
        <v>8.9999999999999993E-3</v>
      </c>
      <c r="T457" s="9">
        <f>IF($I457="","",$I457*(1-$U457))</f>
        <v>1E-3</v>
      </c>
      <c r="U457" s="16">
        <f>IFERROR(INDEX(BASE_CCLASSTRIB!$E:$E, MATCH(TEXT($D457,"000000"), BASE_CCLASSTRIB!$A:$A, 0))/100, 0)</f>
        <v>0</v>
      </c>
      <c r="V457" s="16">
        <f>IFERROR(INDEX(BASE_CCLASSTRIB!$F:$F, MATCH(TEXT($D457,"000000"), BASE_CCLASSTRIB!$A:$A, 0))/100, 0)</f>
        <v>0</v>
      </c>
    </row>
    <row r="458" spans="4:22" ht="32.25" customHeight="1">
      <c r="D458" s="39"/>
      <c r="E458" s="27" t="str">
        <f>IF(D458="","",LEFT(D458,3))</f>
        <v/>
      </c>
      <c r="F458" s="28" t="str">
        <f>IF(E458="","",IFERROR(VLOOKUP(E458,REGRAS_CST!$A$2:$B$200,2,FALSE),""))</f>
        <v/>
      </c>
      <c r="H458" s="29">
        <v>8.9999999999999993E-3</v>
      </c>
      <c r="I458" s="29">
        <v>1E-3</v>
      </c>
      <c r="K458" s="21" t="str">
        <f>IF(E458="","",IFERROR(VLOOKUP(E458,REGRAS_CST!$A$2:$C$200,3,FALSE),""))</f>
        <v/>
      </c>
      <c r="L458" s="23" t="str">
        <f>IF($G458="", "", $G458*(1-$V458))</f>
        <v/>
      </c>
      <c r="M458" s="24" t="str">
        <f>IF(OR($L458="",$S458=""),"",$L458*$S458)</f>
        <v/>
      </c>
      <c r="N458" s="24" t="str">
        <f>IF(OR($L458="",$T458=""),"",$L458*$T458)</f>
        <v/>
      </c>
      <c r="O458" s="15" t="str">
        <f>IF(D458="","",
IF(AND(K458&lt;&gt;"SIM",V458&gt;0),"ERRO: % BC &gt; 0, mas NÃO permitida ❌",
IF(AND(K458="SIM",V458=0),"ATENÇÃO: BC permitida, mas % = 0 🔎",
"Base de cálculo aplicada corretamente ✅")))</f>
        <v/>
      </c>
      <c r="P458" s="31" t="str">
        <f>IF(D458="","",
IF(AND(Q458&lt;&gt;"SIM",U458&gt;0),"ERRO: % alíquota &gt; 0, mas NÃO permitida ❌",
IF(AND(Q458="SIM",U458=0),"ATENÇÃO: alíquota permitida, mas % = 0 🔎",
"Alíquota aplicada corretamente ✅")))</f>
        <v/>
      </c>
      <c r="Q458" s="8" t="str">
        <f>IF(E458="","",IFERROR(VLOOKUP(E458,REGRAS_CST!$A$2:$D$200,4,FALSE),""))</f>
        <v/>
      </c>
      <c r="S458" s="9">
        <f>IF($H458="","",$H458*(1-$U458))</f>
        <v>8.9999999999999993E-3</v>
      </c>
      <c r="T458" s="9">
        <f>IF($I458="","",$I458*(1-$U458))</f>
        <v>1E-3</v>
      </c>
      <c r="U458" s="16">
        <f>IFERROR(INDEX(BASE_CCLASSTRIB!$E:$E, MATCH(TEXT($D458,"000000"), BASE_CCLASSTRIB!$A:$A, 0))/100, 0)</f>
        <v>0</v>
      </c>
      <c r="V458" s="16">
        <f>IFERROR(INDEX(BASE_CCLASSTRIB!$F:$F, MATCH(TEXT($D458,"000000"), BASE_CCLASSTRIB!$A:$A, 0))/100, 0)</f>
        <v>0</v>
      </c>
    </row>
    <row r="459" spans="4:22" ht="32.25" customHeight="1">
      <c r="D459" s="39"/>
      <c r="E459" s="27" t="str">
        <f>IF(D459="","",LEFT(D459,3))</f>
        <v/>
      </c>
      <c r="F459" s="28" t="str">
        <f>IF(E459="","",IFERROR(VLOOKUP(E459,REGRAS_CST!$A$2:$B$200,2,FALSE),""))</f>
        <v/>
      </c>
      <c r="H459" s="29">
        <v>8.9999999999999993E-3</v>
      </c>
      <c r="I459" s="29">
        <v>1E-3</v>
      </c>
      <c r="K459" s="21" t="str">
        <f>IF(E459="","",IFERROR(VLOOKUP(E459,REGRAS_CST!$A$2:$C$200,3,FALSE),""))</f>
        <v/>
      </c>
      <c r="L459" s="23" t="str">
        <f>IF($G459="", "", $G459*(1-$V459))</f>
        <v/>
      </c>
      <c r="M459" s="24" t="str">
        <f>IF(OR($L459="",$S459=""),"",$L459*$S459)</f>
        <v/>
      </c>
      <c r="N459" s="24" t="str">
        <f>IF(OR($L459="",$T459=""),"",$L459*$T459)</f>
        <v/>
      </c>
      <c r="O459" s="15" t="str">
        <f>IF(D459="","",
IF(AND(K459&lt;&gt;"SIM",V459&gt;0),"ERRO: % BC &gt; 0, mas NÃO permitida ❌",
IF(AND(K459="SIM",V459=0),"ATENÇÃO: BC permitida, mas % = 0 🔎",
"Base de cálculo aplicada corretamente ✅")))</f>
        <v/>
      </c>
      <c r="P459" s="31" t="str">
        <f>IF(D459="","",
IF(AND(Q459&lt;&gt;"SIM",U459&gt;0),"ERRO: % alíquota &gt; 0, mas NÃO permitida ❌",
IF(AND(Q459="SIM",U459=0),"ATENÇÃO: alíquota permitida, mas % = 0 🔎",
"Alíquota aplicada corretamente ✅")))</f>
        <v/>
      </c>
      <c r="Q459" s="8" t="str">
        <f>IF(E459="","",IFERROR(VLOOKUP(E459,REGRAS_CST!$A$2:$D$200,4,FALSE),""))</f>
        <v/>
      </c>
      <c r="S459" s="9">
        <f>IF($H459="","",$H459*(1-$U459))</f>
        <v>8.9999999999999993E-3</v>
      </c>
      <c r="T459" s="9">
        <f>IF($I459="","",$I459*(1-$U459))</f>
        <v>1E-3</v>
      </c>
      <c r="U459" s="16">
        <f>IFERROR(INDEX(BASE_CCLASSTRIB!$E:$E, MATCH(TEXT($D459,"000000"), BASE_CCLASSTRIB!$A:$A, 0))/100, 0)</f>
        <v>0</v>
      </c>
      <c r="V459" s="16">
        <f>IFERROR(INDEX(BASE_CCLASSTRIB!$F:$F, MATCH(TEXT($D459,"000000"), BASE_CCLASSTRIB!$A:$A, 0))/100, 0)</f>
        <v>0</v>
      </c>
    </row>
    <row r="460" spans="4:22" ht="32.25" customHeight="1">
      <c r="D460" s="39"/>
      <c r="E460" s="27" t="str">
        <f>IF(D460="","",LEFT(D460,3))</f>
        <v/>
      </c>
      <c r="F460" s="28" t="str">
        <f>IF(E460="","",IFERROR(VLOOKUP(E460,REGRAS_CST!$A$2:$B$200,2,FALSE),""))</f>
        <v/>
      </c>
      <c r="H460" s="29">
        <v>8.9999999999999993E-3</v>
      </c>
      <c r="I460" s="29">
        <v>1E-3</v>
      </c>
      <c r="K460" s="21" t="str">
        <f>IF(E460="","",IFERROR(VLOOKUP(E460,REGRAS_CST!$A$2:$C$200,3,FALSE),""))</f>
        <v/>
      </c>
      <c r="L460" s="23" t="str">
        <f>IF($G460="", "", $G460*(1-$V460))</f>
        <v/>
      </c>
      <c r="M460" s="24" t="str">
        <f>IF(OR($L460="",$S460=""),"",$L460*$S460)</f>
        <v/>
      </c>
      <c r="N460" s="24" t="str">
        <f>IF(OR($L460="",$T460=""),"",$L460*$T460)</f>
        <v/>
      </c>
      <c r="O460" s="15" t="str">
        <f>IF(D460="","",
IF(AND(K460&lt;&gt;"SIM",V460&gt;0),"ERRO: % BC &gt; 0, mas NÃO permitida ❌",
IF(AND(K460="SIM",V460=0),"ATENÇÃO: BC permitida, mas % = 0 🔎",
"Base de cálculo aplicada corretamente ✅")))</f>
        <v/>
      </c>
      <c r="P460" s="31" t="str">
        <f>IF(D460="","",
IF(AND(Q460&lt;&gt;"SIM",U460&gt;0),"ERRO: % alíquota &gt; 0, mas NÃO permitida ❌",
IF(AND(Q460="SIM",U460=0),"ATENÇÃO: alíquota permitida, mas % = 0 🔎",
"Alíquota aplicada corretamente ✅")))</f>
        <v/>
      </c>
      <c r="Q460" s="8" t="str">
        <f>IF(E460="","",IFERROR(VLOOKUP(E460,REGRAS_CST!$A$2:$D$200,4,FALSE),""))</f>
        <v/>
      </c>
      <c r="S460" s="9">
        <f>IF($H460="","",$H460*(1-$U460))</f>
        <v>8.9999999999999993E-3</v>
      </c>
      <c r="T460" s="9">
        <f>IF($I460="","",$I460*(1-$U460))</f>
        <v>1E-3</v>
      </c>
      <c r="U460" s="16">
        <f>IFERROR(INDEX(BASE_CCLASSTRIB!$E:$E, MATCH(TEXT($D460,"000000"), BASE_CCLASSTRIB!$A:$A, 0))/100, 0)</f>
        <v>0</v>
      </c>
      <c r="V460" s="16">
        <f>IFERROR(INDEX(BASE_CCLASSTRIB!$F:$F, MATCH(TEXT($D460,"000000"), BASE_CCLASSTRIB!$A:$A, 0))/100, 0)</f>
        <v>0</v>
      </c>
    </row>
    <row r="461" spans="4:22" ht="32.25" customHeight="1">
      <c r="D461" s="39"/>
      <c r="E461" s="27" t="str">
        <f>IF(D461="","",LEFT(D461,3))</f>
        <v/>
      </c>
      <c r="F461" s="28" t="str">
        <f>IF(E461="","",IFERROR(VLOOKUP(E461,REGRAS_CST!$A$2:$B$200,2,FALSE),""))</f>
        <v/>
      </c>
      <c r="H461" s="29">
        <v>8.9999999999999993E-3</v>
      </c>
      <c r="I461" s="29">
        <v>1E-3</v>
      </c>
      <c r="K461" s="21" t="str">
        <f>IF(E461="","",IFERROR(VLOOKUP(E461,REGRAS_CST!$A$2:$C$200,3,FALSE),""))</f>
        <v/>
      </c>
      <c r="L461" s="23" t="str">
        <f>IF($G461="", "", $G461*(1-$V461))</f>
        <v/>
      </c>
      <c r="M461" s="24" t="str">
        <f>IF(OR($L461="",$S461=""),"",$L461*$S461)</f>
        <v/>
      </c>
      <c r="N461" s="24" t="str">
        <f>IF(OR($L461="",$T461=""),"",$L461*$T461)</f>
        <v/>
      </c>
      <c r="O461" s="15" t="str">
        <f>IF(D461="","",
IF(AND(K461&lt;&gt;"SIM",V461&gt;0),"ERRO: % BC &gt; 0, mas NÃO permitida ❌",
IF(AND(K461="SIM",V461=0),"ATENÇÃO: BC permitida, mas % = 0 🔎",
"Base de cálculo aplicada corretamente ✅")))</f>
        <v/>
      </c>
      <c r="P461" s="31" t="str">
        <f>IF(D461="","",
IF(AND(Q461&lt;&gt;"SIM",U461&gt;0),"ERRO: % alíquota &gt; 0, mas NÃO permitida ❌",
IF(AND(Q461="SIM",U461=0),"ATENÇÃO: alíquota permitida, mas % = 0 🔎",
"Alíquota aplicada corretamente ✅")))</f>
        <v/>
      </c>
      <c r="Q461" s="8" t="str">
        <f>IF(E461="","",IFERROR(VLOOKUP(E461,REGRAS_CST!$A$2:$D$200,4,FALSE),""))</f>
        <v/>
      </c>
      <c r="S461" s="9">
        <f>IF($H461="","",$H461*(1-$U461))</f>
        <v>8.9999999999999993E-3</v>
      </c>
      <c r="T461" s="9">
        <f>IF($I461="","",$I461*(1-$U461))</f>
        <v>1E-3</v>
      </c>
      <c r="U461" s="16">
        <f>IFERROR(INDEX(BASE_CCLASSTRIB!$E:$E, MATCH(TEXT($D461,"000000"), BASE_CCLASSTRIB!$A:$A, 0))/100, 0)</f>
        <v>0</v>
      </c>
      <c r="V461" s="16">
        <f>IFERROR(INDEX(BASE_CCLASSTRIB!$F:$F, MATCH(TEXT($D461,"000000"), BASE_CCLASSTRIB!$A:$A, 0))/100, 0)</f>
        <v>0</v>
      </c>
    </row>
    <row r="462" spans="4:22" ht="32.25" customHeight="1">
      <c r="D462" s="39"/>
      <c r="E462" s="27" t="str">
        <f>IF(D462="","",LEFT(D462,3))</f>
        <v/>
      </c>
      <c r="F462" s="28" t="str">
        <f>IF(E462="","",IFERROR(VLOOKUP(E462,REGRAS_CST!$A$2:$B$200,2,FALSE),""))</f>
        <v/>
      </c>
      <c r="H462" s="29">
        <v>8.9999999999999993E-3</v>
      </c>
      <c r="I462" s="29">
        <v>1E-3</v>
      </c>
      <c r="K462" s="21" t="str">
        <f>IF(E462="","",IFERROR(VLOOKUP(E462,REGRAS_CST!$A$2:$C$200,3,FALSE),""))</f>
        <v/>
      </c>
      <c r="L462" s="23" t="str">
        <f>IF($G462="", "", $G462*(1-$V462))</f>
        <v/>
      </c>
      <c r="M462" s="24" t="str">
        <f>IF(OR($L462="",$S462=""),"",$L462*$S462)</f>
        <v/>
      </c>
      <c r="N462" s="24" t="str">
        <f>IF(OR($L462="",$T462=""),"",$L462*$T462)</f>
        <v/>
      </c>
      <c r="O462" s="15" t="str">
        <f>IF(D462="","",
IF(AND(K462&lt;&gt;"SIM",V462&gt;0),"ERRO: % BC &gt; 0, mas NÃO permitida ❌",
IF(AND(K462="SIM",V462=0),"ATENÇÃO: BC permitida, mas % = 0 🔎",
"Base de cálculo aplicada corretamente ✅")))</f>
        <v/>
      </c>
      <c r="P462" s="31" t="str">
        <f>IF(D462="","",
IF(AND(Q462&lt;&gt;"SIM",U462&gt;0),"ERRO: % alíquota &gt; 0, mas NÃO permitida ❌",
IF(AND(Q462="SIM",U462=0),"ATENÇÃO: alíquota permitida, mas % = 0 🔎",
"Alíquota aplicada corretamente ✅")))</f>
        <v/>
      </c>
      <c r="Q462" s="8" t="str">
        <f>IF(E462="","",IFERROR(VLOOKUP(E462,REGRAS_CST!$A$2:$D$200,4,FALSE),""))</f>
        <v/>
      </c>
      <c r="S462" s="9">
        <f>IF($H462="","",$H462*(1-$U462))</f>
        <v>8.9999999999999993E-3</v>
      </c>
      <c r="T462" s="9">
        <f>IF($I462="","",$I462*(1-$U462))</f>
        <v>1E-3</v>
      </c>
      <c r="U462" s="16">
        <f>IFERROR(INDEX(BASE_CCLASSTRIB!$E:$E, MATCH(TEXT($D462,"000000"), BASE_CCLASSTRIB!$A:$A, 0))/100, 0)</f>
        <v>0</v>
      </c>
      <c r="V462" s="16">
        <f>IFERROR(INDEX(BASE_CCLASSTRIB!$F:$F, MATCH(TEXT($D462,"000000"), BASE_CCLASSTRIB!$A:$A, 0))/100, 0)</f>
        <v>0</v>
      </c>
    </row>
    <row r="463" spans="4:22" ht="32.25" customHeight="1">
      <c r="D463" s="39"/>
      <c r="E463" s="27" t="str">
        <f>IF(D463="","",LEFT(D463,3))</f>
        <v/>
      </c>
      <c r="F463" s="28" t="str">
        <f>IF(E463="","",IFERROR(VLOOKUP(E463,REGRAS_CST!$A$2:$B$200,2,FALSE),""))</f>
        <v/>
      </c>
      <c r="H463" s="29">
        <v>8.9999999999999993E-3</v>
      </c>
      <c r="I463" s="29">
        <v>1E-3</v>
      </c>
      <c r="K463" s="21" t="str">
        <f>IF(E463="","",IFERROR(VLOOKUP(E463,REGRAS_CST!$A$2:$C$200,3,FALSE),""))</f>
        <v/>
      </c>
      <c r="L463" s="23" t="str">
        <f>IF($G463="", "", $G463*(1-$V463))</f>
        <v/>
      </c>
      <c r="M463" s="24" t="str">
        <f>IF(OR($L463="",$S463=""),"",$L463*$S463)</f>
        <v/>
      </c>
      <c r="N463" s="24" t="str">
        <f>IF(OR($L463="",$T463=""),"",$L463*$T463)</f>
        <v/>
      </c>
      <c r="O463" s="15" t="str">
        <f>IF(D463="","",
IF(AND(K463&lt;&gt;"SIM",V463&gt;0),"ERRO: % BC &gt; 0, mas NÃO permitida ❌",
IF(AND(K463="SIM",V463=0),"ATENÇÃO: BC permitida, mas % = 0 🔎",
"Base de cálculo aplicada corretamente ✅")))</f>
        <v/>
      </c>
      <c r="P463" s="31" t="str">
        <f>IF(D463="","",
IF(AND(Q463&lt;&gt;"SIM",U463&gt;0),"ERRO: % alíquota &gt; 0, mas NÃO permitida ❌",
IF(AND(Q463="SIM",U463=0),"ATENÇÃO: alíquota permitida, mas % = 0 🔎",
"Alíquota aplicada corretamente ✅")))</f>
        <v/>
      </c>
      <c r="Q463" s="8" t="str">
        <f>IF(E463="","",IFERROR(VLOOKUP(E463,REGRAS_CST!$A$2:$D$200,4,FALSE),""))</f>
        <v/>
      </c>
      <c r="S463" s="9">
        <f>IF($H463="","",$H463*(1-$U463))</f>
        <v>8.9999999999999993E-3</v>
      </c>
      <c r="T463" s="9">
        <f>IF($I463="","",$I463*(1-$U463))</f>
        <v>1E-3</v>
      </c>
      <c r="U463" s="16">
        <f>IFERROR(INDEX(BASE_CCLASSTRIB!$E:$E, MATCH(TEXT($D463,"000000"), BASE_CCLASSTRIB!$A:$A, 0))/100, 0)</f>
        <v>0</v>
      </c>
      <c r="V463" s="16">
        <f>IFERROR(INDEX(BASE_CCLASSTRIB!$F:$F, MATCH(TEXT($D463,"000000"), BASE_CCLASSTRIB!$A:$A, 0))/100, 0)</f>
        <v>0</v>
      </c>
    </row>
    <row r="464" spans="4:22" ht="32.25" customHeight="1">
      <c r="D464" s="39"/>
      <c r="E464" s="27" t="str">
        <f>IF(D464="","",LEFT(D464,3))</f>
        <v/>
      </c>
      <c r="F464" s="28" t="str">
        <f>IF(E464="","",IFERROR(VLOOKUP(E464,REGRAS_CST!$A$2:$B$200,2,FALSE),""))</f>
        <v/>
      </c>
      <c r="H464" s="29">
        <v>8.9999999999999993E-3</v>
      </c>
      <c r="I464" s="29">
        <v>1E-3</v>
      </c>
      <c r="K464" s="21" t="str">
        <f>IF(E464="","",IFERROR(VLOOKUP(E464,REGRAS_CST!$A$2:$C$200,3,FALSE),""))</f>
        <v/>
      </c>
      <c r="L464" s="23" t="str">
        <f>IF($G464="", "", $G464*(1-$V464))</f>
        <v/>
      </c>
      <c r="M464" s="24" t="str">
        <f>IF(OR($L464="",$S464=""),"",$L464*$S464)</f>
        <v/>
      </c>
      <c r="N464" s="24" t="str">
        <f>IF(OR($L464="",$T464=""),"",$L464*$T464)</f>
        <v/>
      </c>
      <c r="O464" s="15" t="str">
        <f>IF(D464="","",
IF(AND(K464&lt;&gt;"SIM",V464&gt;0),"ERRO: % BC &gt; 0, mas NÃO permitida ❌",
IF(AND(K464="SIM",V464=0),"ATENÇÃO: BC permitida, mas % = 0 🔎",
"Base de cálculo aplicada corretamente ✅")))</f>
        <v/>
      </c>
      <c r="P464" s="31" t="str">
        <f>IF(D464="","",
IF(AND(Q464&lt;&gt;"SIM",U464&gt;0),"ERRO: % alíquota &gt; 0, mas NÃO permitida ❌",
IF(AND(Q464="SIM",U464=0),"ATENÇÃO: alíquota permitida, mas % = 0 🔎",
"Alíquota aplicada corretamente ✅")))</f>
        <v/>
      </c>
      <c r="Q464" s="8" t="str">
        <f>IF(E464="","",IFERROR(VLOOKUP(E464,REGRAS_CST!$A$2:$D$200,4,FALSE),""))</f>
        <v/>
      </c>
      <c r="S464" s="9">
        <f>IF($H464="","",$H464*(1-$U464))</f>
        <v>8.9999999999999993E-3</v>
      </c>
      <c r="T464" s="9">
        <f>IF($I464="","",$I464*(1-$U464))</f>
        <v>1E-3</v>
      </c>
      <c r="U464" s="16">
        <f>IFERROR(INDEX(BASE_CCLASSTRIB!$E:$E, MATCH(TEXT($D464,"000000"), BASE_CCLASSTRIB!$A:$A, 0))/100, 0)</f>
        <v>0</v>
      </c>
      <c r="V464" s="16">
        <f>IFERROR(INDEX(BASE_CCLASSTRIB!$F:$F, MATCH(TEXT($D464,"000000"), BASE_CCLASSTRIB!$A:$A, 0))/100, 0)</f>
        <v>0</v>
      </c>
    </row>
    <row r="465" spans="4:22" ht="32.25" customHeight="1">
      <c r="D465" s="40"/>
      <c r="E465" s="27" t="str">
        <f>IF(D465="","",LEFT(D465,3))</f>
        <v/>
      </c>
      <c r="F465" s="28" t="str">
        <f>IF(E465="","",IFERROR(VLOOKUP(E465,REGRAS_CST!$A$2:$B$200,2,FALSE),""))</f>
        <v/>
      </c>
      <c r="H465" s="29">
        <v>8.9999999999999993E-3</v>
      </c>
      <c r="I465" s="29">
        <v>1E-3</v>
      </c>
      <c r="K465" s="21" t="str">
        <f>IF(E465="","",IFERROR(VLOOKUP(E465,REGRAS_CST!$A$2:$C$200,3,FALSE),""))</f>
        <v/>
      </c>
      <c r="L465" s="23" t="str">
        <f>IF($G465="", "", $G465*(1-$V465))</f>
        <v/>
      </c>
      <c r="M465" s="24" t="str">
        <f>IF(OR($L465="",$S465=""),"",$L465*$S465)</f>
        <v/>
      </c>
      <c r="N465" s="24" t="str">
        <f>IF(OR($L465="",$T465=""),"",$L465*$T465)</f>
        <v/>
      </c>
      <c r="O465" s="15" t="str">
        <f>IF(D465="","",
IF(AND(K465&lt;&gt;"SIM",V465&gt;0),"ERRO: % BC &gt; 0, mas NÃO permitida ❌",
IF(AND(K465="SIM",V465=0),"ATENÇÃO: BC permitida, mas % = 0 🔎",
"Base de cálculo aplicada corretamente ✅")))</f>
        <v/>
      </c>
      <c r="P465" s="31" t="str">
        <f>IF(D465="","",
IF(AND(Q465&lt;&gt;"SIM",U465&gt;0),"ERRO: % alíquota &gt; 0, mas NÃO permitida ❌",
IF(AND(Q465="SIM",U465=0),"ATENÇÃO: alíquota permitida, mas % = 0 🔎",
"Alíquota aplicada corretamente ✅")))</f>
        <v/>
      </c>
      <c r="Q465" s="8" t="str">
        <f>IF(E465="","",IFERROR(VLOOKUP(E465,REGRAS_CST!$A$2:$D$200,4,FALSE),""))</f>
        <v/>
      </c>
      <c r="S465" s="9">
        <f>IF($H465="","",$H465*(1-$U465))</f>
        <v>8.9999999999999993E-3</v>
      </c>
      <c r="T465" s="9">
        <f>IF($I465="","",$I465*(1-$U465))</f>
        <v>1E-3</v>
      </c>
      <c r="U465" s="16">
        <f>IFERROR(INDEX(BASE_CCLASSTRIB!$E:$E, MATCH(TEXT($D465,"000000"), BASE_CCLASSTRIB!$A:$A, 0))/100, 0)</f>
        <v>0</v>
      </c>
      <c r="V465" s="16">
        <f>IFERROR(INDEX(BASE_CCLASSTRIB!$F:$F, MATCH(TEXT($D465,"000000"), BASE_CCLASSTRIB!$A:$A, 0))/100, 0)</f>
        <v>0</v>
      </c>
    </row>
    <row r="466" spans="4:22" ht="32.25" customHeight="1">
      <c r="D466" s="39"/>
      <c r="E466" s="27" t="str">
        <f>IF(D466="","",LEFT(D466,3))</f>
        <v/>
      </c>
      <c r="F466" s="28" t="str">
        <f>IF(E466="","",IFERROR(VLOOKUP(E466,REGRAS_CST!$A$2:$B$200,2,FALSE),""))</f>
        <v/>
      </c>
      <c r="H466" s="29">
        <v>8.9999999999999993E-3</v>
      </c>
      <c r="I466" s="29">
        <v>1E-3</v>
      </c>
      <c r="K466" s="21" t="str">
        <f>IF(E466="","",IFERROR(VLOOKUP(E466,REGRAS_CST!$A$2:$C$200,3,FALSE),""))</f>
        <v/>
      </c>
      <c r="L466" s="23" t="str">
        <f>IF($G466="", "", $G466*(1-$V466))</f>
        <v/>
      </c>
      <c r="M466" s="24" t="str">
        <f>IF(OR($L466="",$S466=""),"",$L466*$S466)</f>
        <v/>
      </c>
      <c r="N466" s="24" t="str">
        <f>IF(OR($L466="",$T466=""),"",$L466*$T466)</f>
        <v/>
      </c>
      <c r="O466" s="15" t="str">
        <f>IF(D466="","",
IF(AND(K466&lt;&gt;"SIM",V466&gt;0),"ERRO: % BC &gt; 0, mas NÃO permitida ❌",
IF(AND(K466="SIM",V466=0),"ATENÇÃO: BC permitida, mas % = 0 🔎",
"Base de cálculo aplicada corretamente ✅")))</f>
        <v/>
      </c>
      <c r="P466" s="31" t="str">
        <f>IF(D466="","",
IF(AND(Q466&lt;&gt;"SIM",U466&gt;0),"ERRO: % alíquota &gt; 0, mas NÃO permitida ❌",
IF(AND(Q466="SIM",U466=0),"ATENÇÃO: alíquota permitida, mas % = 0 🔎",
"Alíquota aplicada corretamente ✅")))</f>
        <v/>
      </c>
      <c r="Q466" s="8" t="str">
        <f>IF(E466="","",IFERROR(VLOOKUP(E466,REGRAS_CST!$A$2:$D$200,4,FALSE),""))</f>
        <v/>
      </c>
      <c r="S466" s="9">
        <f>IF($H466="","",$H466*(1-$U466))</f>
        <v>8.9999999999999993E-3</v>
      </c>
      <c r="T466" s="9">
        <f>IF($I466="","",$I466*(1-$U466))</f>
        <v>1E-3</v>
      </c>
      <c r="U466" s="16">
        <f>IFERROR(INDEX(BASE_CCLASSTRIB!$E:$E, MATCH(TEXT($D466,"000000"), BASE_CCLASSTRIB!$A:$A, 0))/100, 0)</f>
        <v>0</v>
      </c>
      <c r="V466" s="16">
        <f>IFERROR(INDEX(BASE_CCLASSTRIB!$F:$F, MATCH(TEXT($D466,"000000"), BASE_CCLASSTRIB!$A:$A, 0))/100, 0)</f>
        <v>0</v>
      </c>
    </row>
    <row r="467" spans="4:22" ht="32.25" customHeight="1">
      <c r="D467" s="40"/>
      <c r="E467" s="27" t="str">
        <f>IF(D467="","",LEFT(D467,3))</f>
        <v/>
      </c>
      <c r="F467" s="28" t="str">
        <f>IF(E467="","",IFERROR(VLOOKUP(E467,REGRAS_CST!$A$2:$B$200,2,FALSE),""))</f>
        <v/>
      </c>
      <c r="H467" s="29">
        <v>8.9999999999999993E-3</v>
      </c>
      <c r="I467" s="29">
        <v>1E-3</v>
      </c>
      <c r="K467" s="21" t="str">
        <f>IF(E467="","",IFERROR(VLOOKUP(E467,REGRAS_CST!$A$2:$C$200,3,FALSE),""))</f>
        <v/>
      </c>
      <c r="L467" s="23" t="str">
        <f>IF($G467="", "", $G467*(1-$V467))</f>
        <v/>
      </c>
      <c r="M467" s="24" t="str">
        <f>IF(OR($L467="",$S467=""),"",$L467*$S467)</f>
        <v/>
      </c>
      <c r="N467" s="24" t="str">
        <f>IF(OR($L467="",$T467=""),"",$L467*$T467)</f>
        <v/>
      </c>
      <c r="O467" s="15" t="str">
        <f>IF(D467="","",
IF(AND(K467&lt;&gt;"SIM",V467&gt;0),"ERRO: % BC &gt; 0, mas NÃO permitida ❌",
IF(AND(K467="SIM",V467=0),"ATENÇÃO: BC permitida, mas % = 0 🔎",
"Base de cálculo aplicada corretamente ✅")))</f>
        <v/>
      </c>
      <c r="P467" s="31" t="str">
        <f>IF(D467="","",
IF(AND(Q467&lt;&gt;"SIM",U467&gt;0),"ERRO: % alíquota &gt; 0, mas NÃO permitida ❌",
IF(AND(Q467="SIM",U467=0),"ATENÇÃO: alíquota permitida, mas % = 0 🔎",
"Alíquota aplicada corretamente ✅")))</f>
        <v/>
      </c>
      <c r="Q467" s="8" t="str">
        <f>IF(E467="","",IFERROR(VLOOKUP(E467,REGRAS_CST!$A$2:$D$200,4,FALSE),""))</f>
        <v/>
      </c>
      <c r="S467" s="9">
        <f>IF($H467="","",$H467*(1-$U467))</f>
        <v>8.9999999999999993E-3</v>
      </c>
      <c r="T467" s="9">
        <f>IF($I467="","",$I467*(1-$U467))</f>
        <v>1E-3</v>
      </c>
      <c r="U467" s="16">
        <f>IFERROR(INDEX(BASE_CCLASSTRIB!$E:$E, MATCH(TEXT($D467,"000000"), BASE_CCLASSTRIB!$A:$A, 0))/100, 0)</f>
        <v>0</v>
      </c>
      <c r="V467" s="16">
        <f>IFERROR(INDEX(BASE_CCLASSTRIB!$F:$F, MATCH(TEXT($D467,"000000"), BASE_CCLASSTRIB!$A:$A, 0))/100, 0)</f>
        <v>0</v>
      </c>
    </row>
    <row r="468" spans="4:22" ht="32.25" customHeight="1">
      <c r="D468" s="40"/>
      <c r="E468" s="27" t="str">
        <f>IF(D468="","",LEFT(D468,3))</f>
        <v/>
      </c>
      <c r="F468" s="28" t="str">
        <f>IF(E468="","",IFERROR(VLOOKUP(E468,REGRAS_CST!$A$2:$B$200,2,FALSE),""))</f>
        <v/>
      </c>
      <c r="H468" s="29">
        <v>8.9999999999999993E-3</v>
      </c>
      <c r="I468" s="29">
        <v>1E-3</v>
      </c>
      <c r="K468" s="21" t="str">
        <f>IF(E468="","",IFERROR(VLOOKUP(E468,REGRAS_CST!$A$2:$C$200,3,FALSE),""))</f>
        <v/>
      </c>
      <c r="L468" s="23" t="str">
        <f>IF($G468="", "", $G468*(1-$V468))</f>
        <v/>
      </c>
      <c r="M468" s="24" t="str">
        <f>IF(OR($L468="",$S468=""),"",$L468*$S468)</f>
        <v/>
      </c>
      <c r="N468" s="24" t="str">
        <f>IF(OR($L468="",$T468=""),"",$L468*$T468)</f>
        <v/>
      </c>
      <c r="O468" s="15" t="str">
        <f>IF(D468="","",
IF(AND(K468&lt;&gt;"SIM",V468&gt;0),"ERRO: % BC &gt; 0, mas NÃO permitida ❌",
IF(AND(K468="SIM",V468=0),"ATENÇÃO: BC permitida, mas % = 0 🔎",
"Base de cálculo aplicada corretamente ✅")))</f>
        <v/>
      </c>
      <c r="P468" s="31" t="str">
        <f>IF(D468="","",
IF(AND(Q468&lt;&gt;"SIM",U468&gt;0),"ERRO: % alíquota &gt; 0, mas NÃO permitida ❌",
IF(AND(Q468="SIM",U468=0),"ATENÇÃO: alíquota permitida, mas % = 0 🔎",
"Alíquota aplicada corretamente ✅")))</f>
        <v/>
      </c>
      <c r="Q468" s="8" t="str">
        <f>IF(E468="","",IFERROR(VLOOKUP(E468,REGRAS_CST!$A$2:$D$200,4,FALSE),""))</f>
        <v/>
      </c>
      <c r="S468" s="9">
        <f>IF($H468="","",$H468*(1-$U468))</f>
        <v>8.9999999999999993E-3</v>
      </c>
      <c r="T468" s="9">
        <f>IF($I468="","",$I468*(1-$U468))</f>
        <v>1E-3</v>
      </c>
      <c r="U468" s="16">
        <f>IFERROR(INDEX(BASE_CCLASSTRIB!$E:$E, MATCH(TEXT($D468,"000000"), BASE_CCLASSTRIB!$A:$A, 0))/100, 0)</f>
        <v>0</v>
      </c>
      <c r="V468" s="16">
        <f>IFERROR(INDEX(BASE_CCLASSTRIB!$F:$F, MATCH(TEXT($D468,"000000"), BASE_CCLASSTRIB!$A:$A, 0))/100, 0)</f>
        <v>0</v>
      </c>
    </row>
    <row r="469" spans="4:22" ht="32.25" customHeight="1">
      <c r="D469" s="39"/>
      <c r="E469" s="27" t="str">
        <f>IF(D469="","",LEFT(D469,3))</f>
        <v/>
      </c>
      <c r="F469" s="28" t="str">
        <f>IF(E469="","",IFERROR(VLOOKUP(E469,REGRAS_CST!$A$2:$B$200,2,FALSE),""))</f>
        <v/>
      </c>
      <c r="H469" s="29">
        <v>8.9999999999999993E-3</v>
      </c>
      <c r="I469" s="29">
        <v>1E-3</v>
      </c>
      <c r="K469" s="21" t="str">
        <f>IF(E469="","",IFERROR(VLOOKUP(E469,REGRAS_CST!$A$2:$C$200,3,FALSE),""))</f>
        <v/>
      </c>
      <c r="L469" s="23" t="str">
        <f>IF($G469="", "", $G469*(1-$V469))</f>
        <v/>
      </c>
      <c r="M469" s="24" t="str">
        <f>IF(OR($L469="",$S469=""),"",$L469*$S469)</f>
        <v/>
      </c>
      <c r="N469" s="24" t="str">
        <f>IF(OR($L469="",$T469=""),"",$L469*$T469)</f>
        <v/>
      </c>
      <c r="O469" s="15" t="str">
        <f>IF(D469="","",
IF(AND(K469&lt;&gt;"SIM",V469&gt;0),"ERRO: % BC &gt; 0, mas NÃO permitida ❌",
IF(AND(K469="SIM",V469=0),"ATENÇÃO: BC permitida, mas % = 0 🔎",
"Base de cálculo aplicada corretamente ✅")))</f>
        <v/>
      </c>
      <c r="P469" s="31" t="str">
        <f>IF(D469="","",
IF(AND(Q469&lt;&gt;"SIM",U469&gt;0),"ERRO: % alíquota &gt; 0, mas NÃO permitida ❌",
IF(AND(Q469="SIM",U469=0),"ATENÇÃO: alíquota permitida, mas % = 0 🔎",
"Alíquota aplicada corretamente ✅")))</f>
        <v/>
      </c>
      <c r="Q469" s="8" t="str">
        <f>IF(E469="","",IFERROR(VLOOKUP(E469,REGRAS_CST!$A$2:$D$200,4,FALSE),""))</f>
        <v/>
      </c>
      <c r="S469" s="9">
        <f>IF($H469="","",$H469*(1-$U469))</f>
        <v>8.9999999999999993E-3</v>
      </c>
      <c r="T469" s="9">
        <f>IF($I469="","",$I469*(1-$U469))</f>
        <v>1E-3</v>
      </c>
      <c r="U469" s="16">
        <f>IFERROR(INDEX(BASE_CCLASSTRIB!$E:$E, MATCH(TEXT($D469,"000000"), BASE_CCLASSTRIB!$A:$A, 0))/100, 0)</f>
        <v>0</v>
      </c>
      <c r="V469" s="16">
        <f>IFERROR(INDEX(BASE_CCLASSTRIB!$F:$F, MATCH(TEXT($D469,"000000"), BASE_CCLASSTRIB!$A:$A, 0))/100, 0)</f>
        <v>0</v>
      </c>
    </row>
    <row r="470" spans="4:22" ht="32.25" customHeight="1">
      <c r="D470" s="40"/>
      <c r="E470" s="27" t="str">
        <f>IF(D470="","",LEFT(D470,3))</f>
        <v/>
      </c>
      <c r="F470" s="28" t="str">
        <f>IF(E470="","",IFERROR(VLOOKUP(E470,REGRAS_CST!$A$2:$B$200,2,FALSE),""))</f>
        <v/>
      </c>
      <c r="H470" s="29">
        <v>8.9999999999999993E-3</v>
      </c>
      <c r="I470" s="29">
        <v>1E-3</v>
      </c>
      <c r="K470" s="21" t="str">
        <f>IF(E470="","",IFERROR(VLOOKUP(E470,REGRAS_CST!$A$2:$C$200,3,FALSE),""))</f>
        <v/>
      </c>
      <c r="L470" s="23" t="str">
        <f>IF($G470="", "", $G470*(1-$V470))</f>
        <v/>
      </c>
      <c r="M470" s="24" t="str">
        <f>IF(OR($L470="",$S470=""),"",$L470*$S470)</f>
        <v/>
      </c>
      <c r="N470" s="24" t="str">
        <f>IF(OR($L470="",$T470=""),"",$L470*$T470)</f>
        <v/>
      </c>
      <c r="O470" s="15" t="str">
        <f>IF(D470="","",
IF(AND(K470&lt;&gt;"SIM",V470&gt;0),"ERRO: % BC &gt; 0, mas NÃO permitida ❌",
IF(AND(K470="SIM",V470=0),"ATENÇÃO: BC permitida, mas % = 0 🔎",
"Base de cálculo aplicada corretamente ✅")))</f>
        <v/>
      </c>
      <c r="P470" s="31" t="str">
        <f>IF(D470="","",
IF(AND(Q470&lt;&gt;"SIM",U470&gt;0),"ERRO: % alíquota &gt; 0, mas NÃO permitida ❌",
IF(AND(Q470="SIM",U470=0),"ATENÇÃO: alíquota permitida, mas % = 0 🔎",
"Alíquota aplicada corretamente ✅")))</f>
        <v/>
      </c>
      <c r="Q470" s="8" t="str">
        <f>IF(E470="","",IFERROR(VLOOKUP(E470,REGRAS_CST!$A$2:$D$200,4,FALSE),""))</f>
        <v/>
      </c>
      <c r="S470" s="9">
        <f>IF($H470="","",$H470*(1-$U470))</f>
        <v>8.9999999999999993E-3</v>
      </c>
      <c r="T470" s="9">
        <f>IF($I470="","",$I470*(1-$U470))</f>
        <v>1E-3</v>
      </c>
      <c r="U470" s="16">
        <f>IFERROR(INDEX(BASE_CCLASSTRIB!$E:$E, MATCH(TEXT($D470,"000000"), BASE_CCLASSTRIB!$A:$A, 0))/100, 0)</f>
        <v>0</v>
      </c>
      <c r="V470" s="16">
        <f>IFERROR(INDEX(BASE_CCLASSTRIB!$F:$F, MATCH(TEXT($D470,"000000"), BASE_CCLASSTRIB!$A:$A, 0))/100, 0)</f>
        <v>0</v>
      </c>
    </row>
    <row r="471" spans="4:22" ht="32.25" customHeight="1">
      <c r="D471" s="39"/>
      <c r="E471" s="27" t="str">
        <f>IF(D471="","",LEFT(D471,3))</f>
        <v/>
      </c>
      <c r="F471" s="28" t="str">
        <f>IF(E471="","",IFERROR(VLOOKUP(E471,REGRAS_CST!$A$2:$B$200,2,FALSE),""))</f>
        <v/>
      </c>
      <c r="H471" s="29">
        <v>8.9999999999999993E-3</v>
      </c>
      <c r="I471" s="29">
        <v>1E-3</v>
      </c>
      <c r="K471" s="21" t="str">
        <f>IF(E471="","",IFERROR(VLOOKUP(E471,REGRAS_CST!$A$2:$C$200,3,FALSE),""))</f>
        <v/>
      </c>
      <c r="L471" s="23" t="str">
        <f>IF($G471="", "", $G471*(1-$V471))</f>
        <v/>
      </c>
      <c r="M471" s="24" t="str">
        <f>IF(OR($L471="",$S471=""),"",$L471*$S471)</f>
        <v/>
      </c>
      <c r="N471" s="24" t="str">
        <f>IF(OR($L471="",$T471=""),"",$L471*$T471)</f>
        <v/>
      </c>
      <c r="O471" s="15" t="str">
        <f>IF(D471="","",
IF(AND(K471&lt;&gt;"SIM",V471&gt;0),"ERRO: % BC &gt; 0, mas NÃO permitida ❌",
IF(AND(K471="SIM",V471=0),"ATENÇÃO: BC permitida, mas % = 0 🔎",
"Base de cálculo aplicada corretamente ✅")))</f>
        <v/>
      </c>
      <c r="P471" s="31" t="str">
        <f>IF(D471="","",
IF(AND(Q471&lt;&gt;"SIM",U471&gt;0),"ERRO: % alíquota &gt; 0, mas NÃO permitida ❌",
IF(AND(Q471="SIM",U471=0),"ATENÇÃO: alíquota permitida, mas % = 0 🔎",
"Alíquota aplicada corretamente ✅")))</f>
        <v/>
      </c>
      <c r="Q471" s="8" t="str">
        <f>IF(E471="","",IFERROR(VLOOKUP(E471,REGRAS_CST!$A$2:$D$200,4,FALSE),""))</f>
        <v/>
      </c>
      <c r="S471" s="9">
        <f>IF($H471="","",$H471*(1-$U471))</f>
        <v>8.9999999999999993E-3</v>
      </c>
      <c r="T471" s="9">
        <f>IF($I471="","",$I471*(1-$U471))</f>
        <v>1E-3</v>
      </c>
      <c r="U471" s="16">
        <f>IFERROR(INDEX(BASE_CCLASSTRIB!$E:$E, MATCH(TEXT($D471,"000000"), BASE_CCLASSTRIB!$A:$A, 0))/100, 0)</f>
        <v>0</v>
      </c>
      <c r="V471" s="16">
        <f>IFERROR(INDEX(BASE_CCLASSTRIB!$F:$F, MATCH(TEXT($D471,"000000"), BASE_CCLASSTRIB!$A:$A, 0))/100, 0)</f>
        <v>0</v>
      </c>
    </row>
    <row r="472" spans="4:22" ht="32.25" customHeight="1">
      <c r="D472" s="39"/>
      <c r="E472" s="27" t="str">
        <f>IF(D472="","",LEFT(D472,3))</f>
        <v/>
      </c>
      <c r="F472" s="28" t="str">
        <f>IF(E472="","",IFERROR(VLOOKUP(E472,REGRAS_CST!$A$2:$B$200,2,FALSE),""))</f>
        <v/>
      </c>
      <c r="H472" s="29">
        <v>8.9999999999999993E-3</v>
      </c>
      <c r="I472" s="29">
        <v>1E-3</v>
      </c>
      <c r="K472" s="21" t="str">
        <f>IF(E472="","",IFERROR(VLOOKUP(E472,REGRAS_CST!$A$2:$C$200,3,FALSE),""))</f>
        <v/>
      </c>
      <c r="L472" s="23" t="str">
        <f>IF($G472="", "", $G472*(1-$V472))</f>
        <v/>
      </c>
      <c r="M472" s="24" t="str">
        <f>IF(OR($L472="",$S472=""),"",$L472*$S472)</f>
        <v/>
      </c>
      <c r="N472" s="24" t="str">
        <f>IF(OR($L472="",$T472=""),"",$L472*$T472)</f>
        <v/>
      </c>
      <c r="O472" s="15" t="str">
        <f>IF(D472="","",
IF(AND(K472&lt;&gt;"SIM",V472&gt;0),"ERRO: % BC &gt; 0, mas NÃO permitida ❌",
IF(AND(K472="SIM",V472=0),"ATENÇÃO: BC permitida, mas % = 0 🔎",
"Base de cálculo aplicada corretamente ✅")))</f>
        <v/>
      </c>
      <c r="P472" s="31" t="str">
        <f>IF(D472="","",
IF(AND(Q472&lt;&gt;"SIM",U472&gt;0),"ERRO: % alíquota &gt; 0, mas NÃO permitida ❌",
IF(AND(Q472="SIM",U472=0),"ATENÇÃO: alíquota permitida, mas % = 0 🔎",
"Alíquota aplicada corretamente ✅")))</f>
        <v/>
      </c>
      <c r="Q472" s="8" t="str">
        <f>IF(E472="","",IFERROR(VLOOKUP(E472,REGRAS_CST!$A$2:$D$200,4,FALSE),""))</f>
        <v/>
      </c>
      <c r="S472" s="9">
        <f>IF($H472="","",$H472*(1-$U472))</f>
        <v>8.9999999999999993E-3</v>
      </c>
      <c r="T472" s="9">
        <f>IF($I472="","",$I472*(1-$U472))</f>
        <v>1E-3</v>
      </c>
      <c r="U472" s="16">
        <f>IFERROR(INDEX(BASE_CCLASSTRIB!$E:$E, MATCH(TEXT($D472,"000000"), BASE_CCLASSTRIB!$A:$A, 0))/100, 0)</f>
        <v>0</v>
      </c>
      <c r="V472" s="16">
        <f>IFERROR(INDEX(BASE_CCLASSTRIB!$F:$F, MATCH(TEXT($D472,"000000"), BASE_CCLASSTRIB!$A:$A, 0))/100, 0)</f>
        <v>0</v>
      </c>
    </row>
    <row r="473" spans="4:22" ht="32.25" customHeight="1">
      <c r="D473" s="39"/>
      <c r="E473" s="27" t="str">
        <f>IF(D473="","",LEFT(D473,3))</f>
        <v/>
      </c>
      <c r="F473" s="28" t="str">
        <f>IF(E473="","",IFERROR(VLOOKUP(E473,REGRAS_CST!$A$2:$B$200,2,FALSE),""))</f>
        <v/>
      </c>
      <c r="H473" s="29">
        <v>8.9999999999999993E-3</v>
      </c>
      <c r="I473" s="29">
        <v>1E-3</v>
      </c>
      <c r="K473" s="21" t="str">
        <f>IF(E473="","",IFERROR(VLOOKUP(E473,REGRAS_CST!$A$2:$C$200,3,FALSE),""))</f>
        <v/>
      </c>
      <c r="L473" s="23" t="str">
        <f>IF($G473="", "", $G473*(1-$V473))</f>
        <v/>
      </c>
      <c r="M473" s="24" t="str">
        <f>IF(OR($L473="",$S473=""),"",$L473*$S473)</f>
        <v/>
      </c>
      <c r="N473" s="24" t="str">
        <f>IF(OR($L473="",$T473=""),"",$L473*$T473)</f>
        <v/>
      </c>
      <c r="O473" s="15" t="str">
        <f>IF(D473="","",
IF(AND(K473&lt;&gt;"SIM",V473&gt;0),"ERRO: % BC &gt; 0, mas NÃO permitida ❌",
IF(AND(K473="SIM",V473=0),"ATENÇÃO: BC permitida, mas % = 0 🔎",
"Base de cálculo aplicada corretamente ✅")))</f>
        <v/>
      </c>
      <c r="P473" s="31" t="str">
        <f>IF(D473="","",
IF(AND(Q473&lt;&gt;"SIM",U473&gt;0),"ERRO: % alíquota &gt; 0, mas NÃO permitida ❌",
IF(AND(Q473="SIM",U473=0),"ATENÇÃO: alíquota permitida, mas % = 0 🔎",
"Alíquota aplicada corretamente ✅")))</f>
        <v/>
      </c>
      <c r="Q473" s="8" t="str">
        <f>IF(E473="","",IFERROR(VLOOKUP(E473,REGRAS_CST!$A$2:$D$200,4,FALSE),""))</f>
        <v/>
      </c>
      <c r="S473" s="9">
        <f>IF($H473="","",$H473*(1-$U473))</f>
        <v>8.9999999999999993E-3</v>
      </c>
      <c r="T473" s="9">
        <f>IF($I473="","",$I473*(1-$U473))</f>
        <v>1E-3</v>
      </c>
      <c r="U473" s="16">
        <f>IFERROR(INDEX(BASE_CCLASSTRIB!$E:$E, MATCH(TEXT($D473,"000000"), BASE_CCLASSTRIB!$A:$A, 0))/100, 0)</f>
        <v>0</v>
      </c>
      <c r="V473" s="16">
        <f>IFERROR(INDEX(BASE_CCLASSTRIB!$F:$F, MATCH(TEXT($D473,"000000"), BASE_CCLASSTRIB!$A:$A, 0))/100, 0)</f>
        <v>0</v>
      </c>
    </row>
    <row r="474" spans="4:22" ht="32.25" customHeight="1">
      <c r="D474" s="39"/>
      <c r="E474" s="27" t="str">
        <f>IF(D474="","",LEFT(D474,3))</f>
        <v/>
      </c>
      <c r="F474" s="28" t="str">
        <f>IF(E474="","",IFERROR(VLOOKUP(E474,REGRAS_CST!$A$2:$B$200,2,FALSE),""))</f>
        <v/>
      </c>
      <c r="H474" s="29">
        <v>8.9999999999999993E-3</v>
      </c>
      <c r="I474" s="29">
        <v>1E-3</v>
      </c>
      <c r="K474" s="21" t="str">
        <f>IF(E474="","",IFERROR(VLOOKUP(E474,REGRAS_CST!$A$2:$C$200,3,FALSE),""))</f>
        <v/>
      </c>
      <c r="L474" s="23" t="str">
        <f>IF($G474="", "", $G474*(1-$V474))</f>
        <v/>
      </c>
      <c r="M474" s="24" t="str">
        <f>IF(OR($L474="",$S474=""),"",$L474*$S474)</f>
        <v/>
      </c>
      <c r="N474" s="24" t="str">
        <f>IF(OR($L474="",$T474=""),"",$L474*$T474)</f>
        <v/>
      </c>
      <c r="O474" s="15" t="str">
        <f>IF(D474="","",
IF(AND(K474&lt;&gt;"SIM",V474&gt;0),"ERRO: % BC &gt; 0, mas NÃO permitida ❌",
IF(AND(K474="SIM",V474=0),"ATENÇÃO: BC permitida, mas % = 0 🔎",
"Base de cálculo aplicada corretamente ✅")))</f>
        <v/>
      </c>
      <c r="P474" s="31" t="str">
        <f>IF(D474="","",
IF(AND(Q474&lt;&gt;"SIM",U474&gt;0),"ERRO: % alíquota &gt; 0, mas NÃO permitida ❌",
IF(AND(Q474="SIM",U474=0),"ATENÇÃO: alíquota permitida, mas % = 0 🔎",
"Alíquota aplicada corretamente ✅")))</f>
        <v/>
      </c>
      <c r="Q474" s="8" t="str">
        <f>IF(E474="","",IFERROR(VLOOKUP(E474,REGRAS_CST!$A$2:$D$200,4,FALSE),""))</f>
        <v/>
      </c>
      <c r="S474" s="9">
        <f>IF($H474="","",$H474*(1-$U474))</f>
        <v>8.9999999999999993E-3</v>
      </c>
      <c r="T474" s="9">
        <f>IF($I474="","",$I474*(1-$U474))</f>
        <v>1E-3</v>
      </c>
      <c r="U474" s="16">
        <f>IFERROR(INDEX(BASE_CCLASSTRIB!$E:$E, MATCH(TEXT($D474,"000000"), BASE_CCLASSTRIB!$A:$A, 0))/100, 0)</f>
        <v>0</v>
      </c>
      <c r="V474" s="16">
        <f>IFERROR(INDEX(BASE_CCLASSTRIB!$F:$F, MATCH(TEXT($D474,"000000"), BASE_CCLASSTRIB!$A:$A, 0))/100, 0)</f>
        <v>0</v>
      </c>
    </row>
    <row r="475" spans="4:22" ht="32.25" customHeight="1">
      <c r="D475" s="39"/>
      <c r="E475" s="27" t="str">
        <f>IF(D475="","",LEFT(D475,3))</f>
        <v/>
      </c>
      <c r="F475" s="28" t="str">
        <f>IF(E475="","",IFERROR(VLOOKUP(E475,REGRAS_CST!$A$2:$B$200,2,FALSE),""))</f>
        <v/>
      </c>
      <c r="H475" s="29">
        <v>8.9999999999999993E-3</v>
      </c>
      <c r="I475" s="29">
        <v>1E-3</v>
      </c>
      <c r="K475" s="21" t="str">
        <f>IF(E475="","",IFERROR(VLOOKUP(E475,REGRAS_CST!$A$2:$C$200,3,FALSE),""))</f>
        <v/>
      </c>
      <c r="L475" s="23" t="str">
        <f>IF($G475="", "", $G475*(1-$V475))</f>
        <v/>
      </c>
      <c r="M475" s="24" t="str">
        <f>IF(OR($L475="",$S475=""),"",$L475*$S475)</f>
        <v/>
      </c>
      <c r="N475" s="24" t="str">
        <f>IF(OR($L475="",$T475=""),"",$L475*$T475)</f>
        <v/>
      </c>
      <c r="O475" s="15" t="str">
        <f>IF(D475="","",
IF(AND(K475&lt;&gt;"SIM",V475&gt;0),"ERRO: % BC &gt; 0, mas NÃO permitida ❌",
IF(AND(K475="SIM",V475=0),"ATENÇÃO: BC permitida, mas % = 0 🔎",
"Base de cálculo aplicada corretamente ✅")))</f>
        <v/>
      </c>
      <c r="P475" s="31" t="str">
        <f>IF(D475="","",
IF(AND(Q475&lt;&gt;"SIM",U475&gt;0),"ERRO: % alíquota &gt; 0, mas NÃO permitida ❌",
IF(AND(Q475="SIM",U475=0),"ATENÇÃO: alíquota permitida, mas % = 0 🔎",
"Alíquota aplicada corretamente ✅")))</f>
        <v/>
      </c>
      <c r="Q475" s="8" t="str">
        <f>IF(E475="","",IFERROR(VLOOKUP(E475,REGRAS_CST!$A$2:$D$200,4,FALSE),""))</f>
        <v/>
      </c>
      <c r="S475" s="9">
        <f>IF($H475="","",$H475*(1-$U475))</f>
        <v>8.9999999999999993E-3</v>
      </c>
      <c r="T475" s="9">
        <f>IF($I475="","",$I475*(1-$U475))</f>
        <v>1E-3</v>
      </c>
      <c r="U475" s="16">
        <f>IFERROR(INDEX(BASE_CCLASSTRIB!$E:$E, MATCH(TEXT($D475,"000000"), BASE_CCLASSTRIB!$A:$A, 0))/100, 0)</f>
        <v>0</v>
      </c>
      <c r="V475" s="16">
        <f>IFERROR(INDEX(BASE_CCLASSTRIB!$F:$F, MATCH(TEXT($D475,"000000"), BASE_CCLASSTRIB!$A:$A, 0))/100, 0)</f>
        <v>0</v>
      </c>
    </row>
    <row r="476" spans="4:22" ht="32.25" customHeight="1">
      <c r="D476" s="39"/>
      <c r="E476" s="27" t="str">
        <f>IF(D476="","",LEFT(D476,3))</f>
        <v/>
      </c>
      <c r="F476" s="28" t="str">
        <f>IF(E476="","",IFERROR(VLOOKUP(E476,REGRAS_CST!$A$2:$B$200,2,FALSE),""))</f>
        <v/>
      </c>
      <c r="H476" s="29">
        <v>8.9999999999999993E-3</v>
      </c>
      <c r="I476" s="29">
        <v>1E-3</v>
      </c>
      <c r="K476" s="21" t="str">
        <f>IF(E476="","",IFERROR(VLOOKUP(E476,REGRAS_CST!$A$2:$C$200,3,FALSE),""))</f>
        <v/>
      </c>
      <c r="L476" s="23" t="str">
        <f>IF($G476="", "", $G476*(1-$V476))</f>
        <v/>
      </c>
      <c r="M476" s="24" t="str">
        <f>IF(OR($L476="",$S476=""),"",$L476*$S476)</f>
        <v/>
      </c>
      <c r="N476" s="24" t="str">
        <f>IF(OR($L476="",$T476=""),"",$L476*$T476)</f>
        <v/>
      </c>
      <c r="O476" s="15" t="str">
        <f>IF(D476="","",
IF(AND(K476&lt;&gt;"SIM",V476&gt;0),"ERRO: % BC &gt; 0, mas NÃO permitida ❌",
IF(AND(K476="SIM",V476=0),"ATENÇÃO: BC permitida, mas % = 0 🔎",
"Base de cálculo aplicada corretamente ✅")))</f>
        <v/>
      </c>
      <c r="P476" s="31" t="str">
        <f>IF(D476="","",
IF(AND(Q476&lt;&gt;"SIM",U476&gt;0),"ERRO: % alíquota &gt; 0, mas NÃO permitida ❌",
IF(AND(Q476="SIM",U476=0),"ATENÇÃO: alíquota permitida, mas % = 0 🔎",
"Alíquota aplicada corretamente ✅")))</f>
        <v/>
      </c>
      <c r="Q476" s="8" t="str">
        <f>IF(E476="","",IFERROR(VLOOKUP(E476,REGRAS_CST!$A$2:$D$200,4,FALSE),""))</f>
        <v/>
      </c>
      <c r="S476" s="9">
        <f>IF($H476="","",$H476*(1-$U476))</f>
        <v>8.9999999999999993E-3</v>
      </c>
      <c r="T476" s="9">
        <f>IF($I476="","",$I476*(1-$U476))</f>
        <v>1E-3</v>
      </c>
      <c r="U476" s="16">
        <f>IFERROR(INDEX(BASE_CCLASSTRIB!$E:$E, MATCH(TEXT($D476,"000000"), BASE_CCLASSTRIB!$A:$A, 0))/100, 0)</f>
        <v>0</v>
      </c>
      <c r="V476" s="16">
        <f>IFERROR(INDEX(BASE_CCLASSTRIB!$F:$F, MATCH(TEXT($D476,"000000"), BASE_CCLASSTRIB!$A:$A, 0))/100, 0)</f>
        <v>0</v>
      </c>
    </row>
    <row r="477" spans="4:22" ht="32.25" customHeight="1">
      <c r="D477" s="39"/>
      <c r="E477" s="27" t="str">
        <f>IF(D477="","",LEFT(D477,3))</f>
        <v/>
      </c>
      <c r="F477" s="28" t="str">
        <f>IF(E477="","",IFERROR(VLOOKUP(E477,REGRAS_CST!$A$2:$B$200,2,FALSE),""))</f>
        <v/>
      </c>
      <c r="H477" s="29">
        <v>8.9999999999999993E-3</v>
      </c>
      <c r="I477" s="29">
        <v>1E-3</v>
      </c>
      <c r="K477" s="21" t="str">
        <f>IF(E477="","",IFERROR(VLOOKUP(E477,REGRAS_CST!$A$2:$C$200,3,FALSE),""))</f>
        <v/>
      </c>
      <c r="L477" s="23" t="str">
        <f>IF($G477="", "", $G477*(1-$V477))</f>
        <v/>
      </c>
      <c r="M477" s="24" t="str">
        <f>IF(OR($L477="",$S477=""),"",$L477*$S477)</f>
        <v/>
      </c>
      <c r="N477" s="24" t="str">
        <f>IF(OR($L477="",$T477=""),"",$L477*$T477)</f>
        <v/>
      </c>
      <c r="O477" s="15" t="str">
        <f>IF(D477="","",
IF(AND(K477&lt;&gt;"SIM",V477&gt;0),"ERRO: % BC &gt; 0, mas NÃO permitida ❌",
IF(AND(K477="SIM",V477=0),"ATENÇÃO: BC permitida, mas % = 0 🔎",
"Base de cálculo aplicada corretamente ✅")))</f>
        <v/>
      </c>
      <c r="P477" s="31" t="str">
        <f>IF(D477="","",
IF(AND(Q477&lt;&gt;"SIM",U477&gt;0),"ERRO: % alíquota &gt; 0, mas NÃO permitida ❌",
IF(AND(Q477="SIM",U477=0),"ATENÇÃO: alíquota permitida, mas % = 0 🔎",
"Alíquota aplicada corretamente ✅")))</f>
        <v/>
      </c>
      <c r="Q477" s="8" t="str">
        <f>IF(E477="","",IFERROR(VLOOKUP(E477,REGRAS_CST!$A$2:$D$200,4,FALSE),""))</f>
        <v/>
      </c>
      <c r="S477" s="9">
        <f>IF($H477="","",$H477*(1-$U477))</f>
        <v>8.9999999999999993E-3</v>
      </c>
      <c r="T477" s="9">
        <f>IF($I477="","",$I477*(1-$U477))</f>
        <v>1E-3</v>
      </c>
      <c r="U477" s="16">
        <f>IFERROR(INDEX(BASE_CCLASSTRIB!$E:$E, MATCH(TEXT($D477,"000000"), BASE_CCLASSTRIB!$A:$A, 0))/100, 0)</f>
        <v>0</v>
      </c>
      <c r="V477" s="16">
        <f>IFERROR(INDEX(BASE_CCLASSTRIB!$F:$F, MATCH(TEXT($D477,"000000"), BASE_CCLASSTRIB!$A:$A, 0))/100, 0)</f>
        <v>0</v>
      </c>
    </row>
    <row r="478" spans="4:22" ht="32.25" customHeight="1">
      <c r="D478" s="39"/>
      <c r="E478" s="27" t="str">
        <f>IF(D478="","",LEFT(D478,3))</f>
        <v/>
      </c>
      <c r="F478" s="28" t="str">
        <f>IF(E478="","",IFERROR(VLOOKUP(E478,REGRAS_CST!$A$2:$B$200,2,FALSE),""))</f>
        <v/>
      </c>
      <c r="H478" s="29">
        <v>8.9999999999999993E-3</v>
      </c>
      <c r="I478" s="29">
        <v>1E-3</v>
      </c>
      <c r="K478" s="21" t="str">
        <f>IF(E478="","",IFERROR(VLOOKUP(E478,REGRAS_CST!$A$2:$C$200,3,FALSE),""))</f>
        <v/>
      </c>
      <c r="L478" s="23" t="str">
        <f>IF($G478="", "", $G478*(1-$V478))</f>
        <v/>
      </c>
      <c r="M478" s="24" t="str">
        <f>IF(OR($L478="",$S478=""),"",$L478*$S478)</f>
        <v/>
      </c>
      <c r="N478" s="24" t="str">
        <f>IF(OR($L478="",$T478=""),"",$L478*$T478)</f>
        <v/>
      </c>
      <c r="O478" s="15" t="str">
        <f>IF(D478="","",
IF(AND(K478&lt;&gt;"SIM",V478&gt;0),"ERRO: % BC &gt; 0, mas NÃO permitida ❌",
IF(AND(K478="SIM",V478=0),"ATENÇÃO: BC permitida, mas % = 0 🔎",
"Base de cálculo aplicada corretamente ✅")))</f>
        <v/>
      </c>
      <c r="P478" s="31" t="str">
        <f>IF(D478="","",
IF(AND(Q478&lt;&gt;"SIM",U478&gt;0),"ERRO: % alíquota &gt; 0, mas NÃO permitida ❌",
IF(AND(Q478="SIM",U478=0),"ATENÇÃO: alíquota permitida, mas % = 0 🔎",
"Alíquota aplicada corretamente ✅")))</f>
        <v/>
      </c>
      <c r="Q478" s="8" t="str">
        <f>IF(E478="","",IFERROR(VLOOKUP(E478,REGRAS_CST!$A$2:$D$200,4,FALSE),""))</f>
        <v/>
      </c>
      <c r="S478" s="9">
        <f>IF($H478="","",$H478*(1-$U478))</f>
        <v>8.9999999999999993E-3</v>
      </c>
      <c r="T478" s="9">
        <f>IF($I478="","",$I478*(1-$U478))</f>
        <v>1E-3</v>
      </c>
      <c r="U478" s="16">
        <f>IFERROR(INDEX(BASE_CCLASSTRIB!$E:$E, MATCH(TEXT($D478,"000000"), BASE_CCLASSTRIB!$A:$A, 0))/100, 0)</f>
        <v>0</v>
      </c>
      <c r="V478" s="16">
        <f>IFERROR(INDEX(BASE_CCLASSTRIB!$F:$F, MATCH(TEXT($D478,"000000"), BASE_CCLASSTRIB!$A:$A, 0))/100, 0)</f>
        <v>0</v>
      </c>
    </row>
    <row r="479" spans="4:22" ht="32.25" customHeight="1">
      <c r="D479" s="39"/>
      <c r="E479" s="27" t="str">
        <f>IF(D479="","",LEFT(D479,3))</f>
        <v/>
      </c>
      <c r="F479" s="28" t="str">
        <f>IF(E479="","",IFERROR(VLOOKUP(E479,REGRAS_CST!$A$2:$B$200,2,FALSE),""))</f>
        <v/>
      </c>
      <c r="H479" s="29">
        <v>8.9999999999999993E-3</v>
      </c>
      <c r="I479" s="29">
        <v>1E-3</v>
      </c>
      <c r="K479" s="21" t="str">
        <f>IF(E479="","",IFERROR(VLOOKUP(E479,REGRAS_CST!$A$2:$C$200,3,FALSE),""))</f>
        <v/>
      </c>
      <c r="L479" s="23" t="str">
        <f>IF($G479="", "", $G479*(1-$V479))</f>
        <v/>
      </c>
      <c r="M479" s="24" t="str">
        <f>IF(OR($L479="",$S479=""),"",$L479*$S479)</f>
        <v/>
      </c>
      <c r="N479" s="24" t="str">
        <f>IF(OR($L479="",$T479=""),"",$L479*$T479)</f>
        <v/>
      </c>
      <c r="O479" s="15" t="str">
        <f>IF(D479="","",
IF(AND(K479&lt;&gt;"SIM",V479&gt;0),"ERRO: % BC &gt; 0, mas NÃO permitida ❌",
IF(AND(K479="SIM",V479=0),"ATENÇÃO: BC permitida, mas % = 0 🔎",
"Base de cálculo aplicada corretamente ✅")))</f>
        <v/>
      </c>
      <c r="P479" s="31" t="str">
        <f>IF(D479="","",
IF(AND(Q479&lt;&gt;"SIM",U479&gt;0),"ERRO: % alíquota &gt; 0, mas NÃO permitida ❌",
IF(AND(Q479="SIM",U479=0),"ATENÇÃO: alíquota permitida, mas % = 0 🔎",
"Alíquota aplicada corretamente ✅")))</f>
        <v/>
      </c>
      <c r="Q479" s="8" t="str">
        <f>IF(E479="","",IFERROR(VLOOKUP(E479,REGRAS_CST!$A$2:$D$200,4,FALSE),""))</f>
        <v/>
      </c>
      <c r="S479" s="9">
        <f>IF($H479="","",$H479*(1-$U479))</f>
        <v>8.9999999999999993E-3</v>
      </c>
      <c r="T479" s="9">
        <f>IF($I479="","",$I479*(1-$U479))</f>
        <v>1E-3</v>
      </c>
      <c r="U479" s="16">
        <f>IFERROR(INDEX(BASE_CCLASSTRIB!$E:$E, MATCH(TEXT($D479,"000000"), BASE_CCLASSTRIB!$A:$A, 0))/100, 0)</f>
        <v>0</v>
      </c>
      <c r="V479" s="16">
        <f>IFERROR(INDEX(BASE_CCLASSTRIB!$F:$F, MATCH(TEXT($D479,"000000"), BASE_CCLASSTRIB!$A:$A, 0))/100, 0)</f>
        <v>0</v>
      </c>
    </row>
    <row r="480" spans="4:22" ht="32.25" customHeight="1">
      <c r="D480" s="39"/>
      <c r="E480" s="27" t="str">
        <f>IF(D480="","",LEFT(D480,3))</f>
        <v/>
      </c>
      <c r="F480" s="28" t="str">
        <f>IF(E480="","",IFERROR(VLOOKUP(E480,REGRAS_CST!$A$2:$B$200,2,FALSE),""))</f>
        <v/>
      </c>
      <c r="H480" s="29">
        <v>8.9999999999999993E-3</v>
      </c>
      <c r="I480" s="29">
        <v>1E-3</v>
      </c>
      <c r="K480" s="21" t="str">
        <f>IF(E480="","",IFERROR(VLOOKUP(E480,REGRAS_CST!$A$2:$C$200,3,FALSE),""))</f>
        <v/>
      </c>
      <c r="L480" s="23" t="str">
        <f>IF($G480="", "", $G480*(1-$V480))</f>
        <v/>
      </c>
      <c r="M480" s="24" t="str">
        <f>IF(OR($L480="",$S480=""),"",$L480*$S480)</f>
        <v/>
      </c>
      <c r="N480" s="24" t="str">
        <f>IF(OR($L480="",$T480=""),"",$L480*$T480)</f>
        <v/>
      </c>
      <c r="O480" s="15" t="str">
        <f>IF(D480="","",
IF(AND(K480&lt;&gt;"SIM",V480&gt;0),"ERRO: % BC &gt; 0, mas NÃO permitida ❌",
IF(AND(K480="SIM",V480=0),"ATENÇÃO: BC permitida, mas % = 0 🔎",
"Base de cálculo aplicada corretamente ✅")))</f>
        <v/>
      </c>
      <c r="P480" s="31" t="str">
        <f>IF(D480="","",
IF(AND(Q480&lt;&gt;"SIM",U480&gt;0),"ERRO: % alíquota &gt; 0, mas NÃO permitida ❌",
IF(AND(Q480="SIM",U480=0),"ATENÇÃO: alíquota permitida, mas % = 0 🔎",
"Alíquota aplicada corretamente ✅")))</f>
        <v/>
      </c>
      <c r="Q480" s="8" t="str">
        <f>IF(E480="","",IFERROR(VLOOKUP(E480,REGRAS_CST!$A$2:$D$200,4,FALSE),""))</f>
        <v/>
      </c>
      <c r="S480" s="9">
        <f>IF($H480="","",$H480*(1-$U480))</f>
        <v>8.9999999999999993E-3</v>
      </c>
      <c r="T480" s="9">
        <f>IF($I480="","",$I480*(1-$U480))</f>
        <v>1E-3</v>
      </c>
      <c r="U480" s="16">
        <f>IFERROR(INDEX(BASE_CCLASSTRIB!$E:$E, MATCH(TEXT($D480,"000000"), BASE_CCLASSTRIB!$A:$A, 0))/100, 0)</f>
        <v>0</v>
      </c>
      <c r="V480" s="16">
        <f>IFERROR(INDEX(BASE_CCLASSTRIB!$F:$F, MATCH(TEXT($D480,"000000"), BASE_CCLASSTRIB!$A:$A, 0))/100, 0)</f>
        <v>0</v>
      </c>
    </row>
    <row r="481" spans="4:22" ht="32.25" customHeight="1">
      <c r="D481" s="39"/>
      <c r="E481" s="27" t="str">
        <f>IF(D481="","",LEFT(D481,3))</f>
        <v/>
      </c>
      <c r="F481" s="28" t="str">
        <f>IF(E481="","",IFERROR(VLOOKUP(E481,REGRAS_CST!$A$2:$B$200,2,FALSE),""))</f>
        <v/>
      </c>
      <c r="H481" s="29">
        <v>8.9999999999999993E-3</v>
      </c>
      <c r="I481" s="29">
        <v>1E-3</v>
      </c>
      <c r="K481" s="21" t="str">
        <f>IF(E481="","",IFERROR(VLOOKUP(E481,REGRAS_CST!$A$2:$C$200,3,FALSE),""))</f>
        <v/>
      </c>
      <c r="L481" s="23" t="str">
        <f>IF($G481="", "", $G481*(1-$V481))</f>
        <v/>
      </c>
      <c r="M481" s="24" t="str">
        <f>IF(OR($L481="",$S481=""),"",$L481*$S481)</f>
        <v/>
      </c>
      <c r="N481" s="24" t="str">
        <f>IF(OR($L481="",$T481=""),"",$L481*$T481)</f>
        <v/>
      </c>
      <c r="O481" s="15" t="str">
        <f>IF(D481="","",
IF(AND(K481&lt;&gt;"SIM",V481&gt;0),"ERRO: % BC &gt; 0, mas NÃO permitida ❌",
IF(AND(K481="SIM",V481=0),"ATENÇÃO: BC permitida, mas % = 0 🔎",
"Base de cálculo aplicada corretamente ✅")))</f>
        <v/>
      </c>
      <c r="P481" s="31" t="str">
        <f>IF(D481="","",
IF(AND(Q481&lt;&gt;"SIM",U481&gt;0),"ERRO: % alíquota &gt; 0, mas NÃO permitida ❌",
IF(AND(Q481="SIM",U481=0),"ATENÇÃO: alíquota permitida, mas % = 0 🔎",
"Alíquota aplicada corretamente ✅")))</f>
        <v/>
      </c>
      <c r="Q481" s="8" t="str">
        <f>IF(E481="","",IFERROR(VLOOKUP(E481,REGRAS_CST!$A$2:$D$200,4,FALSE),""))</f>
        <v/>
      </c>
      <c r="S481" s="9">
        <f>IF($H481="","",$H481*(1-$U481))</f>
        <v>8.9999999999999993E-3</v>
      </c>
      <c r="T481" s="9">
        <f>IF($I481="","",$I481*(1-$U481))</f>
        <v>1E-3</v>
      </c>
      <c r="U481" s="16">
        <f>IFERROR(INDEX(BASE_CCLASSTRIB!$E:$E, MATCH(TEXT($D481,"000000"), BASE_CCLASSTRIB!$A:$A, 0))/100, 0)</f>
        <v>0</v>
      </c>
      <c r="V481" s="16">
        <f>IFERROR(INDEX(BASE_CCLASSTRIB!$F:$F, MATCH(TEXT($D481,"000000"), BASE_CCLASSTRIB!$A:$A, 0))/100, 0)</f>
        <v>0</v>
      </c>
    </row>
    <row r="482" spans="4:22" ht="32.25" customHeight="1">
      <c r="D482" s="39"/>
      <c r="E482" s="27" t="str">
        <f>IF(D482="","",LEFT(D482,3))</f>
        <v/>
      </c>
      <c r="F482" s="28" t="str">
        <f>IF(E482="","",IFERROR(VLOOKUP(E482,REGRAS_CST!$A$2:$B$200,2,FALSE),""))</f>
        <v/>
      </c>
      <c r="H482" s="29">
        <v>8.9999999999999993E-3</v>
      </c>
      <c r="I482" s="29">
        <v>1E-3</v>
      </c>
      <c r="K482" s="21" t="str">
        <f>IF(E482="","",IFERROR(VLOOKUP(E482,REGRAS_CST!$A$2:$C$200,3,FALSE),""))</f>
        <v/>
      </c>
      <c r="L482" s="23" t="str">
        <f>IF($G482="", "", $G482*(1-$V482))</f>
        <v/>
      </c>
      <c r="M482" s="24" t="str">
        <f>IF(OR($L482="",$S482=""),"",$L482*$S482)</f>
        <v/>
      </c>
      <c r="N482" s="24" t="str">
        <f>IF(OR($L482="",$T482=""),"",$L482*$T482)</f>
        <v/>
      </c>
      <c r="O482" s="15" t="str">
        <f>IF(D482="","",
IF(AND(K482&lt;&gt;"SIM",V482&gt;0),"ERRO: % BC &gt; 0, mas NÃO permitida ❌",
IF(AND(K482="SIM",V482=0),"ATENÇÃO: BC permitida, mas % = 0 🔎",
"Base de cálculo aplicada corretamente ✅")))</f>
        <v/>
      </c>
      <c r="P482" s="31" t="str">
        <f>IF(D482="","",
IF(AND(Q482&lt;&gt;"SIM",U482&gt;0),"ERRO: % alíquota &gt; 0, mas NÃO permitida ❌",
IF(AND(Q482="SIM",U482=0),"ATENÇÃO: alíquota permitida, mas % = 0 🔎",
"Alíquota aplicada corretamente ✅")))</f>
        <v/>
      </c>
      <c r="Q482" s="8" t="str">
        <f>IF(E482="","",IFERROR(VLOOKUP(E482,REGRAS_CST!$A$2:$D$200,4,FALSE),""))</f>
        <v/>
      </c>
      <c r="S482" s="9">
        <f>IF($H482="","",$H482*(1-$U482))</f>
        <v>8.9999999999999993E-3</v>
      </c>
      <c r="T482" s="9">
        <f>IF($I482="","",$I482*(1-$U482))</f>
        <v>1E-3</v>
      </c>
      <c r="U482" s="16">
        <f>IFERROR(INDEX(BASE_CCLASSTRIB!$E:$E, MATCH(TEXT($D482,"000000"), BASE_CCLASSTRIB!$A:$A, 0))/100, 0)</f>
        <v>0</v>
      </c>
      <c r="V482" s="16">
        <f>IFERROR(INDEX(BASE_CCLASSTRIB!$F:$F, MATCH(TEXT($D482,"000000"), BASE_CCLASSTRIB!$A:$A, 0))/100, 0)</f>
        <v>0</v>
      </c>
    </row>
    <row r="483" spans="4:22" ht="32.25" customHeight="1">
      <c r="D483" s="40"/>
      <c r="E483" s="27" t="str">
        <f>IF(D483="","",LEFT(D483,3))</f>
        <v/>
      </c>
      <c r="F483" s="28" t="str">
        <f>IF(E483="","",IFERROR(VLOOKUP(E483,REGRAS_CST!$A$2:$B$200,2,FALSE),""))</f>
        <v/>
      </c>
      <c r="H483" s="29">
        <v>8.9999999999999993E-3</v>
      </c>
      <c r="I483" s="29">
        <v>1E-3</v>
      </c>
      <c r="K483" s="21" t="str">
        <f>IF(E483="","",IFERROR(VLOOKUP(E483,REGRAS_CST!$A$2:$C$200,3,FALSE),""))</f>
        <v/>
      </c>
      <c r="L483" s="23" t="str">
        <f>IF($G483="", "", $G483*(1-$V483))</f>
        <v/>
      </c>
      <c r="M483" s="24" t="str">
        <f>IF(OR($L483="",$S483=""),"",$L483*$S483)</f>
        <v/>
      </c>
      <c r="N483" s="24" t="str">
        <f>IF(OR($L483="",$T483=""),"",$L483*$T483)</f>
        <v/>
      </c>
      <c r="O483" s="15" t="str">
        <f>IF(D483="","",
IF(AND(K483&lt;&gt;"SIM",V483&gt;0),"ERRO: % BC &gt; 0, mas NÃO permitida ❌",
IF(AND(K483="SIM",V483=0),"ATENÇÃO: BC permitida, mas % = 0 🔎",
"Base de cálculo aplicada corretamente ✅")))</f>
        <v/>
      </c>
      <c r="P483" s="31" t="str">
        <f>IF(D483="","",
IF(AND(Q483&lt;&gt;"SIM",U483&gt;0),"ERRO: % alíquota &gt; 0, mas NÃO permitida ❌",
IF(AND(Q483="SIM",U483=0),"ATENÇÃO: alíquota permitida, mas % = 0 🔎",
"Alíquota aplicada corretamente ✅")))</f>
        <v/>
      </c>
      <c r="Q483" s="8" t="str">
        <f>IF(E483="","",IFERROR(VLOOKUP(E483,REGRAS_CST!$A$2:$D$200,4,FALSE),""))</f>
        <v/>
      </c>
      <c r="S483" s="9">
        <f>IF($H483="","",$H483*(1-$U483))</f>
        <v>8.9999999999999993E-3</v>
      </c>
      <c r="T483" s="9">
        <f>IF($I483="","",$I483*(1-$U483))</f>
        <v>1E-3</v>
      </c>
      <c r="U483" s="16">
        <f>IFERROR(INDEX(BASE_CCLASSTRIB!$E:$E, MATCH(TEXT($D483,"000000"), BASE_CCLASSTRIB!$A:$A, 0))/100, 0)</f>
        <v>0</v>
      </c>
      <c r="V483" s="16">
        <f>IFERROR(INDEX(BASE_CCLASSTRIB!$F:$F, MATCH(TEXT($D483,"000000"), BASE_CCLASSTRIB!$A:$A, 0))/100, 0)</f>
        <v>0</v>
      </c>
    </row>
    <row r="484" spans="4:22" ht="32.25" customHeight="1">
      <c r="D484" s="40"/>
      <c r="E484" s="27" t="str">
        <f>IF(D484="","",LEFT(D484,3))</f>
        <v/>
      </c>
      <c r="F484" s="28" t="str">
        <f>IF(E484="","",IFERROR(VLOOKUP(E484,REGRAS_CST!$A$2:$B$200,2,FALSE),""))</f>
        <v/>
      </c>
      <c r="H484" s="29">
        <v>8.9999999999999993E-3</v>
      </c>
      <c r="I484" s="29">
        <v>1E-3</v>
      </c>
      <c r="K484" s="21" t="str">
        <f>IF(E484="","",IFERROR(VLOOKUP(E484,REGRAS_CST!$A$2:$C$200,3,FALSE),""))</f>
        <v/>
      </c>
      <c r="L484" s="23" t="str">
        <f>IF($G484="", "", $G484*(1-$V484))</f>
        <v/>
      </c>
      <c r="M484" s="24" t="str">
        <f>IF(OR($L484="",$S484=""),"",$L484*$S484)</f>
        <v/>
      </c>
      <c r="N484" s="24" t="str">
        <f>IF(OR($L484="",$T484=""),"",$L484*$T484)</f>
        <v/>
      </c>
      <c r="O484" s="15" t="str">
        <f>IF(D484="","",
IF(AND(K484&lt;&gt;"SIM",V484&gt;0),"ERRO: % BC &gt; 0, mas NÃO permitida ❌",
IF(AND(K484="SIM",V484=0),"ATENÇÃO: BC permitida, mas % = 0 🔎",
"Base de cálculo aplicada corretamente ✅")))</f>
        <v/>
      </c>
      <c r="P484" s="31" t="str">
        <f>IF(D484="","",
IF(AND(Q484&lt;&gt;"SIM",U484&gt;0),"ERRO: % alíquota &gt; 0, mas NÃO permitida ❌",
IF(AND(Q484="SIM",U484=0),"ATENÇÃO: alíquota permitida, mas % = 0 🔎",
"Alíquota aplicada corretamente ✅")))</f>
        <v/>
      </c>
      <c r="Q484" s="8" t="str">
        <f>IF(E484="","",IFERROR(VLOOKUP(E484,REGRAS_CST!$A$2:$D$200,4,FALSE),""))</f>
        <v/>
      </c>
      <c r="S484" s="9">
        <f>IF($H484="","",$H484*(1-$U484))</f>
        <v>8.9999999999999993E-3</v>
      </c>
      <c r="T484" s="9">
        <f>IF($I484="","",$I484*(1-$U484))</f>
        <v>1E-3</v>
      </c>
      <c r="U484" s="16">
        <f>IFERROR(INDEX(BASE_CCLASSTRIB!$E:$E, MATCH(TEXT($D484,"000000"), BASE_CCLASSTRIB!$A:$A, 0))/100, 0)</f>
        <v>0</v>
      </c>
      <c r="V484" s="16">
        <f>IFERROR(INDEX(BASE_CCLASSTRIB!$F:$F, MATCH(TEXT($D484,"000000"), BASE_CCLASSTRIB!$A:$A, 0))/100, 0)</f>
        <v>0</v>
      </c>
    </row>
    <row r="485" spans="4:22" ht="32.25" customHeight="1">
      <c r="D485" s="40"/>
      <c r="E485" s="27" t="str">
        <f>IF(D485="","",LEFT(D485,3))</f>
        <v/>
      </c>
      <c r="F485" s="28" t="str">
        <f>IF(E485="","",IFERROR(VLOOKUP(E485,REGRAS_CST!$A$2:$B$200,2,FALSE),""))</f>
        <v/>
      </c>
      <c r="H485" s="29">
        <v>8.9999999999999993E-3</v>
      </c>
      <c r="I485" s="29">
        <v>1E-3</v>
      </c>
      <c r="K485" s="21" t="str">
        <f>IF(E485="","",IFERROR(VLOOKUP(E485,REGRAS_CST!$A$2:$C$200,3,FALSE),""))</f>
        <v/>
      </c>
      <c r="L485" s="23" t="str">
        <f>IF($G485="", "", $G485*(1-$V485))</f>
        <v/>
      </c>
      <c r="M485" s="24" t="str">
        <f>IF(OR($L485="",$S485=""),"",$L485*$S485)</f>
        <v/>
      </c>
      <c r="N485" s="24" t="str">
        <f>IF(OR($L485="",$T485=""),"",$L485*$T485)</f>
        <v/>
      </c>
      <c r="O485" s="15" t="str">
        <f>IF(D485="","",
IF(AND(K485&lt;&gt;"SIM",V485&gt;0),"ERRO: % BC &gt; 0, mas NÃO permitida ❌",
IF(AND(K485="SIM",V485=0),"ATENÇÃO: BC permitida, mas % = 0 🔎",
"Base de cálculo aplicada corretamente ✅")))</f>
        <v/>
      </c>
      <c r="P485" s="31" t="str">
        <f>IF(D485="","",
IF(AND(Q485&lt;&gt;"SIM",U485&gt;0),"ERRO: % alíquota &gt; 0, mas NÃO permitida ❌",
IF(AND(Q485="SIM",U485=0),"ATENÇÃO: alíquota permitida, mas % = 0 🔎",
"Alíquota aplicada corretamente ✅")))</f>
        <v/>
      </c>
      <c r="Q485" s="8" t="str">
        <f>IF(E485="","",IFERROR(VLOOKUP(E485,REGRAS_CST!$A$2:$D$200,4,FALSE),""))</f>
        <v/>
      </c>
      <c r="S485" s="9">
        <f>IF($H485="","",$H485*(1-$U485))</f>
        <v>8.9999999999999993E-3</v>
      </c>
      <c r="T485" s="9">
        <f>IF($I485="","",$I485*(1-$U485))</f>
        <v>1E-3</v>
      </c>
      <c r="U485" s="16">
        <f>IFERROR(INDEX(BASE_CCLASSTRIB!$E:$E, MATCH(TEXT($D485,"000000"), BASE_CCLASSTRIB!$A:$A, 0))/100, 0)</f>
        <v>0</v>
      </c>
      <c r="V485" s="16">
        <f>IFERROR(INDEX(BASE_CCLASSTRIB!$F:$F, MATCH(TEXT($D485,"000000"), BASE_CCLASSTRIB!$A:$A, 0))/100, 0)</f>
        <v>0</v>
      </c>
    </row>
    <row r="486" spans="4:22" ht="32.25" customHeight="1">
      <c r="D486" s="39"/>
      <c r="E486" s="27" t="str">
        <f>IF(D486="","",LEFT(D486,3))</f>
        <v/>
      </c>
      <c r="F486" s="28" t="str">
        <f>IF(E486="","",IFERROR(VLOOKUP(E486,REGRAS_CST!$A$2:$B$200,2,FALSE),""))</f>
        <v/>
      </c>
      <c r="H486" s="29">
        <v>8.9999999999999993E-3</v>
      </c>
      <c r="I486" s="29">
        <v>1E-3</v>
      </c>
      <c r="K486" s="21" t="str">
        <f>IF(E486="","",IFERROR(VLOOKUP(E486,REGRAS_CST!$A$2:$C$200,3,FALSE),""))</f>
        <v/>
      </c>
      <c r="L486" s="23" t="str">
        <f>IF($G486="", "", $G486*(1-$V486))</f>
        <v/>
      </c>
      <c r="M486" s="24" t="str">
        <f>IF(OR($L486="",$S486=""),"",$L486*$S486)</f>
        <v/>
      </c>
      <c r="N486" s="24" t="str">
        <f>IF(OR($L486="",$T486=""),"",$L486*$T486)</f>
        <v/>
      </c>
      <c r="O486" s="15" t="str">
        <f>IF(D486="","",
IF(AND(K486&lt;&gt;"SIM",V486&gt;0),"ERRO: % BC &gt; 0, mas NÃO permitida ❌",
IF(AND(K486="SIM",V486=0),"ATENÇÃO: BC permitida, mas % = 0 🔎",
"Base de cálculo aplicada corretamente ✅")))</f>
        <v/>
      </c>
      <c r="P486" s="31" t="str">
        <f>IF(D486="","",
IF(AND(Q486&lt;&gt;"SIM",U486&gt;0),"ERRO: % alíquota &gt; 0, mas NÃO permitida ❌",
IF(AND(Q486="SIM",U486=0),"ATENÇÃO: alíquota permitida, mas % = 0 🔎",
"Alíquota aplicada corretamente ✅")))</f>
        <v/>
      </c>
      <c r="Q486" s="8" t="str">
        <f>IF(E486="","",IFERROR(VLOOKUP(E486,REGRAS_CST!$A$2:$D$200,4,FALSE),""))</f>
        <v/>
      </c>
      <c r="S486" s="9">
        <f>IF($H486="","",$H486*(1-$U486))</f>
        <v>8.9999999999999993E-3</v>
      </c>
      <c r="T486" s="9">
        <f>IF($I486="","",$I486*(1-$U486))</f>
        <v>1E-3</v>
      </c>
      <c r="U486" s="16">
        <f>IFERROR(INDEX(BASE_CCLASSTRIB!$E:$E, MATCH(TEXT($D486,"000000"), BASE_CCLASSTRIB!$A:$A, 0))/100, 0)</f>
        <v>0</v>
      </c>
      <c r="V486" s="16">
        <f>IFERROR(INDEX(BASE_CCLASSTRIB!$F:$F, MATCH(TEXT($D486,"000000"), BASE_CCLASSTRIB!$A:$A, 0))/100, 0)</f>
        <v>0</v>
      </c>
    </row>
    <row r="487" spans="4:22" ht="32.25" customHeight="1">
      <c r="D487" s="39"/>
      <c r="E487" s="27" t="str">
        <f>IF(D487="","",LEFT(D487,3))</f>
        <v/>
      </c>
      <c r="F487" s="28" t="str">
        <f>IF(E487="","",IFERROR(VLOOKUP(E487,REGRAS_CST!$A$2:$B$200,2,FALSE),""))</f>
        <v/>
      </c>
      <c r="H487" s="29">
        <v>8.9999999999999993E-3</v>
      </c>
      <c r="I487" s="29">
        <v>1E-3</v>
      </c>
      <c r="K487" s="21" t="str">
        <f>IF(E487="","",IFERROR(VLOOKUP(E487,REGRAS_CST!$A$2:$C$200,3,FALSE),""))</f>
        <v/>
      </c>
      <c r="L487" s="23" t="str">
        <f>IF($G487="", "", $G487*(1-$V487))</f>
        <v/>
      </c>
      <c r="M487" s="24" t="str">
        <f>IF(OR($L487="",$S487=""),"",$L487*$S487)</f>
        <v/>
      </c>
      <c r="N487" s="24" t="str">
        <f>IF(OR($L487="",$T487=""),"",$L487*$T487)</f>
        <v/>
      </c>
      <c r="O487" s="15" t="str">
        <f>IF(D487="","",
IF(AND(K487&lt;&gt;"SIM",V487&gt;0),"ERRO: % BC &gt; 0, mas NÃO permitida ❌",
IF(AND(K487="SIM",V487=0),"ATENÇÃO: BC permitida, mas % = 0 🔎",
"Base de cálculo aplicada corretamente ✅")))</f>
        <v/>
      </c>
      <c r="P487" s="31" t="str">
        <f>IF(D487="","",
IF(AND(Q487&lt;&gt;"SIM",U487&gt;0),"ERRO: % alíquota &gt; 0, mas NÃO permitida ❌",
IF(AND(Q487="SIM",U487=0),"ATENÇÃO: alíquota permitida, mas % = 0 🔎",
"Alíquota aplicada corretamente ✅")))</f>
        <v/>
      </c>
      <c r="Q487" s="8" t="str">
        <f>IF(E487="","",IFERROR(VLOOKUP(E487,REGRAS_CST!$A$2:$D$200,4,FALSE),""))</f>
        <v/>
      </c>
      <c r="S487" s="9">
        <f>IF($H487="","",$H487*(1-$U487))</f>
        <v>8.9999999999999993E-3</v>
      </c>
      <c r="T487" s="9">
        <f>IF($I487="","",$I487*(1-$U487))</f>
        <v>1E-3</v>
      </c>
      <c r="U487" s="16">
        <f>IFERROR(INDEX(BASE_CCLASSTRIB!$E:$E, MATCH(TEXT($D487,"000000"), BASE_CCLASSTRIB!$A:$A, 0))/100, 0)</f>
        <v>0</v>
      </c>
      <c r="V487" s="16">
        <f>IFERROR(INDEX(BASE_CCLASSTRIB!$F:$F, MATCH(TEXT($D487,"000000"), BASE_CCLASSTRIB!$A:$A, 0))/100, 0)</f>
        <v>0</v>
      </c>
    </row>
    <row r="488" spans="4:22" ht="32.25" customHeight="1">
      <c r="D488" s="39"/>
      <c r="E488" s="27" t="str">
        <f>IF(D488="","",LEFT(D488,3))</f>
        <v/>
      </c>
      <c r="F488" s="28" t="str">
        <f>IF(E488="","",IFERROR(VLOOKUP(E488,REGRAS_CST!$A$2:$B$200,2,FALSE),""))</f>
        <v/>
      </c>
      <c r="H488" s="29">
        <v>8.9999999999999993E-3</v>
      </c>
      <c r="I488" s="29">
        <v>1E-3</v>
      </c>
      <c r="K488" s="21" t="str">
        <f>IF(E488="","",IFERROR(VLOOKUP(E488,REGRAS_CST!$A$2:$C$200,3,FALSE),""))</f>
        <v/>
      </c>
      <c r="L488" s="23" t="str">
        <f>IF($G488="", "", $G488*(1-$V488))</f>
        <v/>
      </c>
      <c r="M488" s="24" t="str">
        <f>IF(OR($L488="",$S488=""),"",$L488*$S488)</f>
        <v/>
      </c>
      <c r="N488" s="24" t="str">
        <f>IF(OR($L488="",$T488=""),"",$L488*$T488)</f>
        <v/>
      </c>
      <c r="O488" s="15" t="str">
        <f>IF(D488="","",
IF(AND(K488&lt;&gt;"SIM",V488&gt;0),"ERRO: % BC &gt; 0, mas NÃO permitida ❌",
IF(AND(K488="SIM",V488=0),"ATENÇÃO: BC permitida, mas % = 0 🔎",
"Base de cálculo aplicada corretamente ✅")))</f>
        <v/>
      </c>
      <c r="P488" s="31" t="str">
        <f>IF(D488="","",
IF(AND(Q488&lt;&gt;"SIM",U488&gt;0),"ERRO: % alíquota &gt; 0, mas NÃO permitida ❌",
IF(AND(Q488="SIM",U488=0),"ATENÇÃO: alíquota permitida, mas % = 0 🔎",
"Alíquota aplicada corretamente ✅")))</f>
        <v/>
      </c>
      <c r="Q488" s="8" t="str">
        <f>IF(E488="","",IFERROR(VLOOKUP(E488,REGRAS_CST!$A$2:$D$200,4,FALSE),""))</f>
        <v/>
      </c>
      <c r="S488" s="9">
        <f>IF($H488="","",$H488*(1-$U488))</f>
        <v>8.9999999999999993E-3</v>
      </c>
      <c r="T488" s="9">
        <f>IF($I488="","",$I488*(1-$U488))</f>
        <v>1E-3</v>
      </c>
      <c r="U488" s="16">
        <f>IFERROR(INDEX(BASE_CCLASSTRIB!$E:$E, MATCH(TEXT($D488,"000000"), BASE_CCLASSTRIB!$A:$A, 0))/100, 0)</f>
        <v>0</v>
      </c>
      <c r="V488" s="16">
        <f>IFERROR(INDEX(BASE_CCLASSTRIB!$F:$F, MATCH(TEXT($D488,"000000"), BASE_CCLASSTRIB!$A:$A, 0))/100, 0)</f>
        <v>0</v>
      </c>
    </row>
    <row r="489" spans="4:22" ht="32.25" customHeight="1">
      <c r="D489" s="39"/>
      <c r="E489" s="27" t="str">
        <f>IF(D489="","",LEFT(D489,3))</f>
        <v/>
      </c>
      <c r="F489" s="28" t="str">
        <f>IF(E489="","",IFERROR(VLOOKUP(E489,REGRAS_CST!$A$2:$B$200,2,FALSE),""))</f>
        <v/>
      </c>
      <c r="H489" s="29">
        <v>8.9999999999999993E-3</v>
      </c>
      <c r="I489" s="29">
        <v>1E-3</v>
      </c>
      <c r="K489" s="21" t="str">
        <f>IF(E489="","",IFERROR(VLOOKUP(E489,REGRAS_CST!$A$2:$C$200,3,FALSE),""))</f>
        <v/>
      </c>
      <c r="L489" s="23" t="str">
        <f>IF($G489="", "", $G489*(1-$V489))</f>
        <v/>
      </c>
      <c r="M489" s="24" t="str">
        <f>IF(OR($L489="",$S489=""),"",$L489*$S489)</f>
        <v/>
      </c>
      <c r="N489" s="24" t="str">
        <f>IF(OR($L489="",$T489=""),"",$L489*$T489)</f>
        <v/>
      </c>
      <c r="O489" s="15" t="str">
        <f>IF(D489="","",
IF(AND(K489&lt;&gt;"SIM",V489&gt;0),"ERRO: % BC &gt; 0, mas NÃO permitida ❌",
IF(AND(K489="SIM",V489=0),"ATENÇÃO: BC permitida, mas % = 0 🔎",
"Base de cálculo aplicada corretamente ✅")))</f>
        <v/>
      </c>
      <c r="P489" s="31" t="str">
        <f>IF(D489="","",
IF(AND(Q489&lt;&gt;"SIM",U489&gt;0),"ERRO: % alíquota &gt; 0, mas NÃO permitida ❌",
IF(AND(Q489="SIM",U489=0),"ATENÇÃO: alíquota permitida, mas % = 0 🔎",
"Alíquota aplicada corretamente ✅")))</f>
        <v/>
      </c>
      <c r="Q489" s="8" t="str">
        <f>IF(E489="","",IFERROR(VLOOKUP(E489,REGRAS_CST!$A$2:$D$200,4,FALSE),""))</f>
        <v/>
      </c>
      <c r="S489" s="9">
        <f>IF($H489="","",$H489*(1-$U489))</f>
        <v>8.9999999999999993E-3</v>
      </c>
      <c r="T489" s="9">
        <f>IF($I489="","",$I489*(1-$U489))</f>
        <v>1E-3</v>
      </c>
      <c r="U489" s="16">
        <f>IFERROR(INDEX(BASE_CCLASSTRIB!$E:$E, MATCH(TEXT($D489,"000000"), BASE_CCLASSTRIB!$A:$A, 0))/100, 0)</f>
        <v>0</v>
      </c>
      <c r="V489" s="16">
        <f>IFERROR(INDEX(BASE_CCLASSTRIB!$F:$F, MATCH(TEXT($D489,"000000"), BASE_CCLASSTRIB!$A:$A, 0))/100, 0)</f>
        <v>0</v>
      </c>
    </row>
    <row r="490" spans="4:22" ht="32.25" customHeight="1">
      <c r="D490" s="39"/>
      <c r="E490" s="27" t="str">
        <f>IF(D490="","",LEFT(D490,3))</f>
        <v/>
      </c>
      <c r="F490" s="28" t="str">
        <f>IF(E490="","",IFERROR(VLOOKUP(E490,REGRAS_CST!$A$2:$B$200,2,FALSE),""))</f>
        <v/>
      </c>
      <c r="H490" s="29">
        <v>8.9999999999999993E-3</v>
      </c>
      <c r="I490" s="29">
        <v>1E-3</v>
      </c>
      <c r="K490" s="21" t="str">
        <f>IF(E490="","",IFERROR(VLOOKUP(E490,REGRAS_CST!$A$2:$C$200,3,FALSE),""))</f>
        <v/>
      </c>
      <c r="L490" s="23" t="str">
        <f>IF($G490="", "", $G490*(1-$V490))</f>
        <v/>
      </c>
      <c r="M490" s="24" t="str">
        <f>IF(OR($L490="",$S490=""),"",$L490*$S490)</f>
        <v/>
      </c>
      <c r="N490" s="24" t="str">
        <f>IF(OR($L490="",$T490=""),"",$L490*$T490)</f>
        <v/>
      </c>
      <c r="O490" s="15" t="str">
        <f>IF(D490="","",
IF(AND(K490&lt;&gt;"SIM",V490&gt;0),"ERRO: % BC &gt; 0, mas NÃO permitida ❌",
IF(AND(K490="SIM",V490=0),"ATENÇÃO: BC permitida, mas % = 0 🔎",
"Base de cálculo aplicada corretamente ✅")))</f>
        <v/>
      </c>
      <c r="P490" s="31" t="str">
        <f>IF(D490="","",
IF(AND(Q490&lt;&gt;"SIM",U490&gt;0),"ERRO: % alíquota &gt; 0, mas NÃO permitida ❌",
IF(AND(Q490="SIM",U490=0),"ATENÇÃO: alíquota permitida, mas % = 0 🔎",
"Alíquota aplicada corretamente ✅")))</f>
        <v/>
      </c>
      <c r="Q490" s="8" t="str">
        <f>IF(E490="","",IFERROR(VLOOKUP(E490,REGRAS_CST!$A$2:$D$200,4,FALSE),""))</f>
        <v/>
      </c>
      <c r="S490" s="9">
        <f>IF($H490="","",$H490*(1-$U490))</f>
        <v>8.9999999999999993E-3</v>
      </c>
      <c r="T490" s="9">
        <f>IF($I490="","",$I490*(1-$U490))</f>
        <v>1E-3</v>
      </c>
      <c r="U490" s="16">
        <f>IFERROR(INDEX(BASE_CCLASSTRIB!$E:$E, MATCH(TEXT($D490,"000000"), BASE_CCLASSTRIB!$A:$A, 0))/100, 0)</f>
        <v>0</v>
      </c>
      <c r="V490" s="16">
        <f>IFERROR(INDEX(BASE_CCLASSTRIB!$F:$F, MATCH(TEXT($D490,"000000"), BASE_CCLASSTRIB!$A:$A, 0))/100, 0)</f>
        <v>0</v>
      </c>
    </row>
    <row r="491" spans="4:22" ht="32.25" customHeight="1">
      <c r="D491" s="40"/>
      <c r="E491" s="27" t="str">
        <f>IF(D491="","",LEFT(D491,3))</f>
        <v/>
      </c>
      <c r="F491" s="28" t="str">
        <f>IF(E491="","",IFERROR(VLOOKUP(E491,REGRAS_CST!$A$2:$B$200,2,FALSE),""))</f>
        <v/>
      </c>
      <c r="H491" s="29">
        <v>8.9999999999999993E-3</v>
      </c>
      <c r="I491" s="29">
        <v>1E-3</v>
      </c>
      <c r="K491" s="21" t="str">
        <f>IF(E491="","",IFERROR(VLOOKUP(E491,REGRAS_CST!$A$2:$C$200,3,FALSE),""))</f>
        <v/>
      </c>
      <c r="L491" s="23" t="str">
        <f>IF($G491="", "", $G491*(1-$V491))</f>
        <v/>
      </c>
      <c r="M491" s="24" t="str">
        <f>IF(OR($L491="",$S491=""),"",$L491*$S491)</f>
        <v/>
      </c>
      <c r="N491" s="24" t="str">
        <f>IF(OR($L491="",$T491=""),"",$L491*$T491)</f>
        <v/>
      </c>
      <c r="O491" s="15" t="str">
        <f>IF(D491="","",
IF(AND(K491&lt;&gt;"SIM",V491&gt;0),"ERRO: % BC &gt; 0, mas NÃO permitida ❌",
IF(AND(K491="SIM",V491=0),"ATENÇÃO: BC permitida, mas % = 0 🔎",
"Base de cálculo aplicada corretamente ✅")))</f>
        <v/>
      </c>
      <c r="P491" s="31" t="str">
        <f>IF(D491="","",
IF(AND(Q491&lt;&gt;"SIM",U491&gt;0),"ERRO: % alíquota &gt; 0, mas NÃO permitida ❌",
IF(AND(Q491="SIM",U491=0),"ATENÇÃO: alíquota permitida, mas % = 0 🔎",
"Alíquota aplicada corretamente ✅")))</f>
        <v/>
      </c>
      <c r="Q491" s="8" t="str">
        <f>IF(E491="","",IFERROR(VLOOKUP(E491,REGRAS_CST!$A$2:$D$200,4,FALSE),""))</f>
        <v/>
      </c>
      <c r="S491" s="9">
        <f>IF($H491="","",$H491*(1-$U491))</f>
        <v>8.9999999999999993E-3</v>
      </c>
      <c r="T491" s="9">
        <f>IF($I491="","",$I491*(1-$U491))</f>
        <v>1E-3</v>
      </c>
      <c r="U491" s="16">
        <f>IFERROR(INDEX(BASE_CCLASSTRIB!$E:$E, MATCH(TEXT($D491,"000000"), BASE_CCLASSTRIB!$A:$A, 0))/100, 0)</f>
        <v>0</v>
      </c>
      <c r="V491" s="16">
        <f>IFERROR(INDEX(BASE_CCLASSTRIB!$F:$F, MATCH(TEXT($D491,"000000"), BASE_CCLASSTRIB!$A:$A, 0))/100, 0)</f>
        <v>0</v>
      </c>
    </row>
    <row r="492" spans="4:22" ht="32.25" customHeight="1">
      <c r="D492" s="39"/>
      <c r="E492" s="27" t="str">
        <f>IF(D492="","",LEFT(D492,3))</f>
        <v/>
      </c>
      <c r="F492" s="28" t="str">
        <f>IF(E492="","",IFERROR(VLOOKUP(E492,REGRAS_CST!$A$2:$B$200,2,FALSE),""))</f>
        <v/>
      </c>
      <c r="H492" s="29">
        <v>8.9999999999999993E-3</v>
      </c>
      <c r="I492" s="29">
        <v>1E-3</v>
      </c>
      <c r="K492" s="21" t="str">
        <f>IF(E492="","",IFERROR(VLOOKUP(E492,REGRAS_CST!$A$2:$C$200,3,FALSE),""))</f>
        <v/>
      </c>
      <c r="L492" s="23" t="str">
        <f>IF($G492="", "", $G492*(1-$V492))</f>
        <v/>
      </c>
      <c r="M492" s="24" t="str">
        <f>IF(OR($L492="",$S492=""),"",$L492*$S492)</f>
        <v/>
      </c>
      <c r="N492" s="24" t="str">
        <f>IF(OR($L492="",$T492=""),"",$L492*$T492)</f>
        <v/>
      </c>
      <c r="O492" s="15" t="str">
        <f>IF(D492="","",
IF(AND(K492&lt;&gt;"SIM",V492&gt;0),"ERRO: % BC &gt; 0, mas NÃO permitida ❌",
IF(AND(K492="SIM",V492=0),"ATENÇÃO: BC permitida, mas % = 0 🔎",
"Base de cálculo aplicada corretamente ✅")))</f>
        <v/>
      </c>
      <c r="P492" s="31" t="str">
        <f>IF(D492="","",
IF(AND(Q492&lt;&gt;"SIM",U492&gt;0),"ERRO: % alíquota &gt; 0, mas NÃO permitida ❌",
IF(AND(Q492="SIM",U492=0),"ATENÇÃO: alíquota permitida, mas % = 0 🔎",
"Alíquota aplicada corretamente ✅")))</f>
        <v/>
      </c>
      <c r="Q492" s="8" t="str">
        <f>IF(E492="","",IFERROR(VLOOKUP(E492,REGRAS_CST!$A$2:$D$200,4,FALSE),""))</f>
        <v/>
      </c>
      <c r="S492" s="9">
        <f>IF($H492="","",$H492*(1-$U492))</f>
        <v>8.9999999999999993E-3</v>
      </c>
      <c r="T492" s="9">
        <f>IF($I492="","",$I492*(1-$U492))</f>
        <v>1E-3</v>
      </c>
      <c r="U492" s="16">
        <f>IFERROR(INDEX(BASE_CCLASSTRIB!$E:$E, MATCH(TEXT($D492,"000000"), BASE_CCLASSTRIB!$A:$A, 0))/100, 0)</f>
        <v>0</v>
      </c>
      <c r="V492" s="16">
        <f>IFERROR(INDEX(BASE_CCLASSTRIB!$F:$F, MATCH(TEXT($D492,"000000"), BASE_CCLASSTRIB!$A:$A, 0))/100, 0)</f>
        <v>0</v>
      </c>
    </row>
    <row r="493" spans="4:22" ht="32.25" customHeight="1">
      <c r="D493" s="39"/>
      <c r="E493" s="27" t="str">
        <f>IF(D493="","",LEFT(D493,3))</f>
        <v/>
      </c>
      <c r="F493" s="28" t="str">
        <f>IF(E493="","",IFERROR(VLOOKUP(E493,REGRAS_CST!$A$2:$B$200,2,FALSE),""))</f>
        <v/>
      </c>
      <c r="H493" s="29">
        <v>8.9999999999999993E-3</v>
      </c>
      <c r="I493" s="29">
        <v>1E-3</v>
      </c>
      <c r="K493" s="21" t="str">
        <f>IF(E493="","",IFERROR(VLOOKUP(E493,REGRAS_CST!$A$2:$C$200,3,FALSE),""))</f>
        <v/>
      </c>
      <c r="L493" s="23" t="str">
        <f>IF($G493="", "", $G493*(1-$V493))</f>
        <v/>
      </c>
      <c r="M493" s="24" t="str">
        <f>IF(OR($L493="",$S493=""),"",$L493*$S493)</f>
        <v/>
      </c>
      <c r="N493" s="24" t="str">
        <f>IF(OR($L493="",$T493=""),"",$L493*$T493)</f>
        <v/>
      </c>
      <c r="O493" s="15" t="str">
        <f>IF(D493="","",
IF(AND(K493&lt;&gt;"SIM",V493&gt;0),"ERRO: % BC &gt; 0, mas NÃO permitida ❌",
IF(AND(K493="SIM",V493=0),"ATENÇÃO: BC permitida, mas % = 0 🔎",
"Base de cálculo aplicada corretamente ✅")))</f>
        <v/>
      </c>
      <c r="P493" s="31" t="str">
        <f>IF(D493="","",
IF(AND(Q493&lt;&gt;"SIM",U493&gt;0),"ERRO: % alíquota &gt; 0, mas NÃO permitida ❌",
IF(AND(Q493="SIM",U493=0),"ATENÇÃO: alíquota permitida, mas % = 0 🔎",
"Alíquota aplicada corretamente ✅")))</f>
        <v/>
      </c>
      <c r="Q493" s="8" t="str">
        <f>IF(E493="","",IFERROR(VLOOKUP(E493,REGRAS_CST!$A$2:$D$200,4,FALSE),""))</f>
        <v/>
      </c>
      <c r="S493" s="9">
        <f>IF($H493="","",$H493*(1-$U493))</f>
        <v>8.9999999999999993E-3</v>
      </c>
      <c r="T493" s="9">
        <f>IF($I493="","",$I493*(1-$U493))</f>
        <v>1E-3</v>
      </c>
      <c r="U493" s="16">
        <f>IFERROR(INDEX(BASE_CCLASSTRIB!$E:$E, MATCH(TEXT($D493,"000000"), BASE_CCLASSTRIB!$A:$A, 0))/100, 0)</f>
        <v>0</v>
      </c>
      <c r="V493" s="16">
        <f>IFERROR(INDEX(BASE_CCLASSTRIB!$F:$F, MATCH(TEXT($D493,"000000"), BASE_CCLASSTRIB!$A:$A, 0))/100, 0)</f>
        <v>0</v>
      </c>
    </row>
    <row r="494" spans="4:22" ht="32.25" customHeight="1">
      <c r="D494" s="39"/>
      <c r="E494" s="27" t="str">
        <f>IF(D494="","",LEFT(D494,3))</f>
        <v/>
      </c>
      <c r="F494" s="28" t="str">
        <f>IF(E494="","",IFERROR(VLOOKUP(E494,REGRAS_CST!$A$2:$B$200,2,FALSE),""))</f>
        <v/>
      </c>
      <c r="H494" s="29">
        <v>8.9999999999999993E-3</v>
      </c>
      <c r="I494" s="29">
        <v>1E-3</v>
      </c>
      <c r="K494" s="21" t="str">
        <f>IF(E494="","",IFERROR(VLOOKUP(E494,REGRAS_CST!$A$2:$C$200,3,FALSE),""))</f>
        <v/>
      </c>
      <c r="L494" s="23" t="str">
        <f>IF($G494="", "", $G494*(1-$V494))</f>
        <v/>
      </c>
      <c r="M494" s="24" t="str">
        <f>IF(OR($L494="",$S494=""),"",$L494*$S494)</f>
        <v/>
      </c>
      <c r="N494" s="24" t="str">
        <f>IF(OR($L494="",$T494=""),"",$L494*$T494)</f>
        <v/>
      </c>
      <c r="O494" s="15" t="str">
        <f>IF(D494="","",
IF(AND(K494&lt;&gt;"SIM",V494&gt;0),"ERRO: % BC &gt; 0, mas NÃO permitida ❌",
IF(AND(K494="SIM",V494=0),"ATENÇÃO: BC permitida, mas % = 0 🔎",
"Base de cálculo aplicada corretamente ✅")))</f>
        <v/>
      </c>
      <c r="P494" s="31" t="str">
        <f>IF(D494="","",
IF(AND(Q494&lt;&gt;"SIM",U494&gt;0),"ERRO: % alíquota &gt; 0, mas NÃO permitida ❌",
IF(AND(Q494="SIM",U494=0),"ATENÇÃO: alíquota permitida, mas % = 0 🔎",
"Alíquota aplicada corretamente ✅")))</f>
        <v/>
      </c>
      <c r="Q494" s="8" t="str">
        <f>IF(E494="","",IFERROR(VLOOKUP(E494,REGRAS_CST!$A$2:$D$200,4,FALSE),""))</f>
        <v/>
      </c>
      <c r="S494" s="9">
        <f>IF($H494="","",$H494*(1-$U494))</f>
        <v>8.9999999999999993E-3</v>
      </c>
      <c r="T494" s="9">
        <f>IF($I494="","",$I494*(1-$U494))</f>
        <v>1E-3</v>
      </c>
      <c r="U494" s="16">
        <f>IFERROR(INDEX(BASE_CCLASSTRIB!$E:$E, MATCH(TEXT($D494,"000000"), BASE_CCLASSTRIB!$A:$A, 0))/100, 0)</f>
        <v>0</v>
      </c>
      <c r="V494" s="16">
        <f>IFERROR(INDEX(BASE_CCLASSTRIB!$F:$F, MATCH(TEXT($D494,"000000"), BASE_CCLASSTRIB!$A:$A, 0))/100, 0)</f>
        <v>0</v>
      </c>
    </row>
    <row r="495" spans="4:22" ht="32.25" customHeight="1">
      <c r="D495" s="39"/>
      <c r="E495" s="27" t="str">
        <f>IF(D495="","",LEFT(D495,3))</f>
        <v/>
      </c>
      <c r="F495" s="28" t="str">
        <f>IF(E495="","",IFERROR(VLOOKUP(E495,REGRAS_CST!$A$2:$B$200,2,FALSE),""))</f>
        <v/>
      </c>
      <c r="H495" s="29">
        <v>8.9999999999999993E-3</v>
      </c>
      <c r="I495" s="29">
        <v>1E-3</v>
      </c>
      <c r="K495" s="21" t="str">
        <f>IF(E495="","",IFERROR(VLOOKUP(E495,REGRAS_CST!$A$2:$C$200,3,FALSE),""))</f>
        <v/>
      </c>
      <c r="L495" s="23" t="str">
        <f>IF($G495="", "", $G495*(1-$V495))</f>
        <v/>
      </c>
      <c r="M495" s="24" t="str">
        <f>IF(OR($L495="",$S495=""),"",$L495*$S495)</f>
        <v/>
      </c>
      <c r="N495" s="24" t="str">
        <f>IF(OR($L495="",$T495=""),"",$L495*$T495)</f>
        <v/>
      </c>
      <c r="O495" s="15" t="str">
        <f>IF(D495="","",
IF(AND(K495&lt;&gt;"SIM",V495&gt;0),"ERRO: % BC &gt; 0, mas NÃO permitida ❌",
IF(AND(K495="SIM",V495=0),"ATENÇÃO: BC permitida, mas % = 0 🔎",
"Base de cálculo aplicada corretamente ✅")))</f>
        <v/>
      </c>
      <c r="P495" s="31" t="str">
        <f>IF(D495="","",
IF(AND(Q495&lt;&gt;"SIM",U495&gt;0),"ERRO: % alíquota &gt; 0, mas NÃO permitida ❌",
IF(AND(Q495="SIM",U495=0),"ATENÇÃO: alíquota permitida, mas % = 0 🔎",
"Alíquota aplicada corretamente ✅")))</f>
        <v/>
      </c>
      <c r="Q495" s="8" t="str">
        <f>IF(E495="","",IFERROR(VLOOKUP(E495,REGRAS_CST!$A$2:$D$200,4,FALSE),""))</f>
        <v/>
      </c>
      <c r="S495" s="9">
        <f>IF($H495="","",$H495*(1-$U495))</f>
        <v>8.9999999999999993E-3</v>
      </c>
      <c r="T495" s="9">
        <f>IF($I495="","",$I495*(1-$U495))</f>
        <v>1E-3</v>
      </c>
      <c r="U495" s="16">
        <f>IFERROR(INDEX(BASE_CCLASSTRIB!$E:$E, MATCH(TEXT($D495,"000000"), BASE_CCLASSTRIB!$A:$A, 0))/100, 0)</f>
        <v>0</v>
      </c>
      <c r="V495" s="16">
        <f>IFERROR(INDEX(BASE_CCLASSTRIB!$F:$F, MATCH(TEXT($D495,"000000"), BASE_CCLASSTRIB!$A:$A, 0))/100, 0)</f>
        <v>0</v>
      </c>
    </row>
    <row r="496" spans="4:22" ht="32.25" customHeight="1">
      <c r="D496" s="39"/>
      <c r="E496" s="27" t="str">
        <f>IF(D496="","",LEFT(D496,3))</f>
        <v/>
      </c>
      <c r="F496" s="28" t="str">
        <f>IF(E496="","",IFERROR(VLOOKUP(E496,REGRAS_CST!$A$2:$B$200,2,FALSE),""))</f>
        <v/>
      </c>
      <c r="H496" s="29">
        <v>8.9999999999999993E-3</v>
      </c>
      <c r="I496" s="29">
        <v>1E-3</v>
      </c>
      <c r="K496" s="21" t="str">
        <f>IF(E496="","",IFERROR(VLOOKUP(E496,REGRAS_CST!$A$2:$C$200,3,FALSE),""))</f>
        <v/>
      </c>
      <c r="L496" s="23" t="str">
        <f>IF($G496="", "", $G496*(1-$V496))</f>
        <v/>
      </c>
      <c r="M496" s="24" t="str">
        <f>IF(OR($L496="",$S496=""),"",$L496*$S496)</f>
        <v/>
      </c>
      <c r="N496" s="24" t="str">
        <f>IF(OR($L496="",$T496=""),"",$L496*$T496)</f>
        <v/>
      </c>
      <c r="O496" s="15" t="str">
        <f>IF(D496="","",
IF(AND(K496&lt;&gt;"SIM",V496&gt;0),"ERRO: % BC &gt; 0, mas NÃO permitida ❌",
IF(AND(K496="SIM",V496=0),"ATENÇÃO: BC permitida, mas % = 0 🔎",
"Base de cálculo aplicada corretamente ✅")))</f>
        <v/>
      </c>
      <c r="P496" s="31" t="str">
        <f>IF(D496="","",
IF(AND(Q496&lt;&gt;"SIM",U496&gt;0),"ERRO: % alíquota &gt; 0, mas NÃO permitida ❌",
IF(AND(Q496="SIM",U496=0),"ATENÇÃO: alíquota permitida, mas % = 0 🔎",
"Alíquota aplicada corretamente ✅")))</f>
        <v/>
      </c>
      <c r="Q496" s="8" t="str">
        <f>IF(E496="","",IFERROR(VLOOKUP(E496,REGRAS_CST!$A$2:$D$200,4,FALSE),""))</f>
        <v/>
      </c>
      <c r="S496" s="9">
        <f>IF($H496="","",$H496*(1-$U496))</f>
        <v>8.9999999999999993E-3</v>
      </c>
      <c r="T496" s="9">
        <f>IF($I496="","",$I496*(1-$U496))</f>
        <v>1E-3</v>
      </c>
      <c r="U496" s="16">
        <f>IFERROR(INDEX(BASE_CCLASSTRIB!$E:$E, MATCH(TEXT($D496,"000000"), BASE_CCLASSTRIB!$A:$A, 0))/100, 0)</f>
        <v>0</v>
      </c>
      <c r="V496" s="16">
        <f>IFERROR(INDEX(BASE_CCLASSTRIB!$F:$F, MATCH(TEXT($D496,"000000"), BASE_CCLASSTRIB!$A:$A, 0))/100, 0)</f>
        <v>0</v>
      </c>
    </row>
    <row r="497" spans="4:22" ht="32.25" customHeight="1">
      <c r="D497" s="39"/>
      <c r="E497" s="27" t="str">
        <f>IF(D497="","",LEFT(D497,3))</f>
        <v/>
      </c>
      <c r="F497" s="28" t="str">
        <f>IF(E497="","",IFERROR(VLOOKUP(E497,REGRAS_CST!$A$2:$B$200,2,FALSE),""))</f>
        <v/>
      </c>
      <c r="H497" s="29">
        <v>8.9999999999999993E-3</v>
      </c>
      <c r="I497" s="29">
        <v>1E-3</v>
      </c>
      <c r="K497" s="21" t="str">
        <f>IF(E497="","",IFERROR(VLOOKUP(E497,REGRAS_CST!$A$2:$C$200,3,FALSE),""))</f>
        <v/>
      </c>
      <c r="L497" s="23" t="str">
        <f>IF($G497="", "", $G497*(1-$V497))</f>
        <v/>
      </c>
      <c r="M497" s="24" t="str">
        <f>IF(OR($L497="",$S497=""),"",$L497*$S497)</f>
        <v/>
      </c>
      <c r="N497" s="24" t="str">
        <f>IF(OR($L497="",$T497=""),"",$L497*$T497)</f>
        <v/>
      </c>
      <c r="O497" s="15" t="str">
        <f>IF(D497="","",
IF(AND(K497&lt;&gt;"SIM",V497&gt;0),"ERRO: % BC &gt; 0, mas NÃO permitida ❌",
IF(AND(K497="SIM",V497=0),"ATENÇÃO: BC permitida, mas % = 0 🔎",
"Base de cálculo aplicada corretamente ✅")))</f>
        <v/>
      </c>
      <c r="P497" s="31" t="str">
        <f>IF(D497="","",
IF(AND(Q497&lt;&gt;"SIM",U497&gt;0),"ERRO: % alíquota &gt; 0, mas NÃO permitida ❌",
IF(AND(Q497="SIM",U497=0),"ATENÇÃO: alíquota permitida, mas % = 0 🔎",
"Alíquota aplicada corretamente ✅")))</f>
        <v/>
      </c>
      <c r="Q497" s="8" t="str">
        <f>IF(E497="","",IFERROR(VLOOKUP(E497,REGRAS_CST!$A$2:$D$200,4,FALSE),""))</f>
        <v/>
      </c>
      <c r="S497" s="9">
        <f>IF($H497="","",$H497*(1-$U497))</f>
        <v>8.9999999999999993E-3</v>
      </c>
      <c r="T497" s="9">
        <f>IF($I497="","",$I497*(1-$U497))</f>
        <v>1E-3</v>
      </c>
      <c r="U497" s="16">
        <f>IFERROR(INDEX(BASE_CCLASSTRIB!$E:$E, MATCH(TEXT($D497,"000000"), BASE_CCLASSTRIB!$A:$A, 0))/100, 0)</f>
        <v>0</v>
      </c>
      <c r="V497" s="16">
        <f>IFERROR(INDEX(BASE_CCLASSTRIB!$F:$F, MATCH(TEXT($D497,"000000"), BASE_CCLASSTRIB!$A:$A, 0))/100, 0)</f>
        <v>0</v>
      </c>
    </row>
    <row r="498" spans="4:22" ht="32.25" customHeight="1">
      <c r="D498" s="39"/>
      <c r="E498" s="27" t="str">
        <f>IF(D498="","",LEFT(D498,3))</f>
        <v/>
      </c>
      <c r="F498" s="28" t="str">
        <f>IF(E498="","",IFERROR(VLOOKUP(E498,REGRAS_CST!$A$2:$B$200,2,FALSE),""))</f>
        <v/>
      </c>
      <c r="H498" s="29">
        <v>8.9999999999999993E-3</v>
      </c>
      <c r="I498" s="29">
        <v>1E-3</v>
      </c>
      <c r="K498" s="21" t="str">
        <f>IF(E498="","",IFERROR(VLOOKUP(E498,REGRAS_CST!$A$2:$C$200,3,FALSE),""))</f>
        <v/>
      </c>
      <c r="L498" s="23" t="str">
        <f>IF($G498="", "", $G498*(1-$V498))</f>
        <v/>
      </c>
      <c r="M498" s="24" t="str">
        <f>IF(OR($L498="",$S498=""),"",$L498*$S498)</f>
        <v/>
      </c>
      <c r="N498" s="24" t="str">
        <f>IF(OR($L498="",$T498=""),"",$L498*$T498)</f>
        <v/>
      </c>
      <c r="O498" s="15" t="str">
        <f>IF(D498="","",
IF(AND(K498&lt;&gt;"SIM",V498&gt;0),"ERRO: % BC &gt; 0, mas NÃO permitida ❌",
IF(AND(K498="SIM",V498=0),"ATENÇÃO: BC permitida, mas % = 0 🔎",
"Base de cálculo aplicada corretamente ✅")))</f>
        <v/>
      </c>
      <c r="P498" s="31" t="str">
        <f>IF(D498="","",
IF(AND(Q498&lt;&gt;"SIM",U498&gt;0),"ERRO: % alíquota &gt; 0, mas NÃO permitida ❌",
IF(AND(Q498="SIM",U498=0),"ATENÇÃO: alíquota permitida, mas % = 0 🔎",
"Alíquota aplicada corretamente ✅")))</f>
        <v/>
      </c>
      <c r="Q498" s="8" t="str">
        <f>IF(E498="","",IFERROR(VLOOKUP(E498,REGRAS_CST!$A$2:$D$200,4,FALSE),""))</f>
        <v/>
      </c>
      <c r="S498" s="9">
        <f>IF($H498="","",$H498*(1-$U498))</f>
        <v>8.9999999999999993E-3</v>
      </c>
      <c r="T498" s="9">
        <f>IF($I498="","",$I498*(1-$U498))</f>
        <v>1E-3</v>
      </c>
      <c r="U498" s="16">
        <f>IFERROR(INDEX(BASE_CCLASSTRIB!$E:$E, MATCH(TEXT($D498,"000000"), BASE_CCLASSTRIB!$A:$A, 0))/100, 0)</f>
        <v>0</v>
      </c>
      <c r="V498" s="16">
        <f>IFERROR(INDEX(BASE_CCLASSTRIB!$F:$F, MATCH(TEXT($D498,"000000"), BASE_CCLASSTRIB!$A:$A, 0))/100, 0)</f>
        <v>0</v>
      </c>
    </row>
    <row r="499" spans="4:22" ht="32.25" customHeight="1">
      <c r="D499" s="39"/>
      <c r="E499" s="27" t="str">
        <f>IF(D499="","",LEFT(D499,3))</f>
        <v/>
      </c>
      <c r="F499" s="28" t="str">
        <f>IF(E499="","",IFERROR(VLOOKUP(E499,REGRAS_CST!$A$2:$B$200,2,FALSE),""))</f>
        <v/>
      </c>
      <c r="H499" s="29">
        <v>8.9999999999999993E-3</v>
      </c>
      <c r="I499" s="29">
        <v>1E-3</v>
      </c>
      <c r="K499" s="21" t="str">
        <f>IF(E499="","",IFERROR(VLOOKUP(E499,REGRAS_CST!$A$2:$C$200,3,FALSE),""))</f>
        <v/>
      </c>
      <c r="L499" s="23" t="str">
        <f>IF($G499="", "", $G499*(1-$V499))</f>
        <v/>
      </c>
      <c r="M499" s="24" t="str">
        <f>IF(OR($L499="",$S499=""),"",$L499*$S499)</f>
        <v/>
      </c>
      <c r="N499" s="24" t="str">
        <f>IF(OR($L499="",$T499=""),"",$L499*$T499)</f>
        <v/>
      </c>
      <c r="O499" s="15" t="str">
        <f>IF(D499="","",
IF(AND(K499&lt;&gt;"SIM",V499&gt;0),"ERRO: % BC &gt; 0, mas NÃO permitida ❌",
IF(AND(K499="SIM",V499=0),"ATENÇÃO: BC permitida, mas % = 0 🔎",
"Base de cálculo aplicada corretamente ✅")))</f>
        <v/>
      </c>
      <c r="P499" s="31" t="str">
        <f>IF(D499="","",
IF(AND(Q499&lt;&gt;"SIM",U499&gt;0),"ERRO: % alíquota &gt; 0, mas NÃO permitida ❌",
IF(AND(Q499="SIM",U499=0),"ATENÇÃO: alíquota permitida, mas % = 0 🔎",
"Alíquota aplicada corretamente ✅")))</f>
        <v/>
      </c>
      <c r="Q499" s="8" t="str">
        <f>IF(E499="","",IFERROR(VLOOKUP(E499,REGRAS_CST!$A$2:$D$200,4,FALSE),""))</f>
        <v/>
      </c>
      <c r="S499" s="9">
        <f>IF($H499="","",$H499*(1-$U499))</f>
        <v>8.9999999999999993E-3</v>
      </c>
      <c r="T499" s="9">
        <f>IF($I499="","",$I499*(1-$U499))</f>
        <v>1E-3</v>
      </c>
      <c r="U499" s="16">
        <f>IFERROR(INDEX(BASE_CCLASSTRIB!$E:$E, MATCH(TEXT($D499,"000000"), BASE_CCLASSTRIB!$A:$A, 0))/100, 0)</f>
        <v>0</v>
      </c>
      <c r="V499" s="16">
        <f>IFERROR(INDEX(BASE_CCLASSTRIB!$F:$F, MATCH(TEXT($D499,"000000"), BASE_CCLASSTRIB!$A:$A, 0))/100, 0)</f>
        <v>0</v>
      </c>
    </row>
    <row r="500" spans="4:22" ht="32.25" customHeight="1">
      <c r="D500" s="39"/>
      <c r="E500" s="27" t="str">
        <f>IF(D500="","",LEFT(D500,3))</f>
        <v/>
      </c>
      <c r="F500" s="28" t="str">
        <f>IF(E500="","",IFERROR(VLOOKUP(E500,REGRAS_CST!$A$2:$B$200,2,FALSE),""))</f>
        <v/>
      </c>
      <c r="H500" s="29">
        <v>8.9999999999999993E-3</v>
      </c>
      <c r="I500" s="29">
        <v>1E-3</v>
      </c>
      <c r="K500" s="21" t="str">
        <f>IF(E500="","",IFERROR(VLOOKUP(E500,REGRAS_CST!$A$2:$C$200,3,FALSE),""))</f>
        <v/>
      </c>
      <c r="L500" s="23" t="str">
        <f>IF($G500="", "", $G500*(1-$V500))</f>
        <v/>
      </c>
      <c r="M500" s="24" t="str">
        <f>IF(OR($L500="",$S500=""),"",$L500*$S500)</f>
        <v/>
      </c>
      <c r="N500" s="24" t="str">
        <f>IF(OR($L500="",$T500=""),"",$L500*$T500)</f>
        <v/>
      </c>
      <c r="O500" s="15" t="str">
        <f>IF(D500="","",
IF(AND(K500&lt;&gt;"SIM",V500&gt;0),"ERRO: % BC &gt; 0, mas NÃO permitida ❌",
IF(AND(K500="SIM",V500=0),"ATENÇÃO: BC permitida, mas % = 0 🔎",
"Base de cálculo aplicada corretamente ✅")))</f>
        <v/>
      </c>
      <c r="P500" s="31" t="str">
        <f>IF(D500="","",
IF(AND(Q500&lt;&gt;"SIM",U500&gt;0),"ERRO: % alíquota &gt; 0, mas NÃO permitida ❌",
IF(AND(Q500="SIM",U500=0),"ATENÇÃO: alíquota permitida, mas % = 0 🔎",
"Alíquota aplicada corretamente ✅")))</f>
        <v/>
      </c>
      <c r="Q500" s="8" t="str">
        <f>IF(E500="","",IFERROR(VLOOKUP(E500,REGRAS_CST!$A$2:$D$200,4,FALSE),""))</f>
        <v/>
      </c>
      <c r="S500" s="9">
        <f>IF($H500="","",$H500*(1-$U500))</f>
        <v>8.9999999999999993E-3</v>
      </c>
      <c r="T500" s="9">
        <f>IF($I500="","",$I500*(1-$U500))</f>
        <v>1E-3</v>
      </c>
      <c r="U500" s="16">
        <f>IFERROR(INDEX(BASE_CCLASSTRIB!$E:$E, MATCH(TEXT($D500,"000000"), BASE_CCLASSTRIB!$A:$A, 0))/100, 0)</f>
        <v>0</v>
      </c>
      <c r="V500" s="16">
        <f>IFERROR(INDEX(BASE_CCLASSTRIB!$F:$F, MATCH(TEXT($D500,"000000"), BASE_CCLASSTRIB!$A:$A, 0))/100, 0)</f>
        <v>0</v>
      </c>
    </row>
    <row r="501" spans="4:22" ht="32.25" customHeight="1">
      <c r="D501" s="39"/>
      <c r="E501" s="27" t="str">
        <f>IF(D501="","",LEFT(D501,3))</f>
        <v/>
      </c>
      <c r="F501" s="28" t="str">
        <f>IF(E501="","",IFERROR(VLOOKUP(E501,REGRAS_CST!$A$2:$B$200,2,FALSE),""))</f>
        <v/>
      </c>
      <c r="H501" s="29">
        <v>8.9999999999999993E-3</v>
      </c>
      <c r="I501" s="29">
        <v>1E-3</v>
      </c>
      <c r="K501" s="21" t="str">
        <f>IF(E501="","",IFERROR(VLOOKUP(E501,REGRAS_CST!$A$2:$C$200,3,FALSE),""))</f>
        <v/>
      </c>
      <c r="L501" s="23" t="str">
        <f>IF($G501="", "", $G501*(1-$V501))</f>
        <v/>
      </c>
      <c r="M501" s="24" t="str">
        <f>IF(OR($L501="",$S501=""),"",$L501*$S501)</f>
        <v/>
      </c>
      <c r="N501" s="24" t="str">
        <f>IF(OR($L501="",$T501=""),"",$L501*$T501)</f>
        <v/>
      </c>
      <c r="O501" s="15" t="str">
        <f>IF(D501="","",
IF(AND(K501&lt;&gt;"SIM",V501&gt;0),"ERRO: % BC &gt; 0, mas NÃO permitida ❌",
IF(AND(K501="SIM",V501=0),"ATENÇÃO: BC permitida, mas % = 0 🔎",
"Base de cálculo aplicada corretamente ✅")))</f>
        <v/>
      </c>
      <c r="P501" s="31" t="str">
        <f>IF(D501="","",
IF(AND(Q501&lt;&gt;"SIM",U501&gt;0),"ERRO: % alíquota &gt; 0, mas NÃO permitida ❌",
IF(AND(Q501="SIM",U501=0),"ATENÇÃO: alíquota permitida, mas % = 0 🔎",
"Alíquota aplicada corretamente ✅")))</f>
        <v/>
      </c>
      <c r="Q501" s="8" t="str">
        <f>IF(E501="","",IFERROR(VLOOKUP(E501,REGRAS_CST!$A$2:$D$200,4,FALSE),""))</f>
        <v/>
      </c>
      <c r="S501" s="9">
        <f>IF($H501="","",$H501*(1-$U501))</f>
        <v>8.9999999999999993E-3</v>
      </c>
      <c r="T501" s="9">
        <f>IF($I501="","",$I501*(1-$U501))</f>
        <v>1E-3</v>
      </c>
      <c r="U501" s="16">
        <f>IFERROR(INDEX(BASE_CCLASSTRIB!$E:$E, MATCH(TEXT($D501,"000000"), BASE_CCLASSTRIB!$A:$A, 0))/100, 0)</f>
        <v>0</v>
      </c>
      <c r="V501" s="16">
        <f>IFERROR(INDEX(BASE_CCLASSTRIB!$F:$F, MATCH(TEXT($D501,"000000"), BASE_CCLASSTRIB!$A:$A, 0))/100, 0)</f>
        <v>0</v>
      </c>
    </row>
    <row r="502" spans="4:22" ht="32.25" customHeight="1">
      <c r="D502" s="39"/>
      <c r="E502" s="27" t="str">
        <f>IF(D502="","",LEFT(D502,3))</f>
        <v/>
      </c>
      <c r="F502" s="28" t="str">
        <f>IF(E502="","",IFERROR(VLOOKUP(E502,REGRAS_CST!$A$2:$B$200,2,FALSE),""))</f>
        <v/>
      </c>
      <c r="H502" s="29">
        <v>8.9999999999999993E-3</v>
      </c>
      <c r="I502" s="29">
        <v>1E-3</v>
      </c>
      <c r="K502" s="21" t="str">
        <f>IF(E502="","",IFERROR(VLOOKUP(E502,REGRAS_CST!$A$2:$C$200,3,FALSE),""))</f>
        <v/>
      </c>
      <c r="L502" s="23" t="str">
        <f>IF($G502="", "", $G502*(1-$V502))</f>
        <v/>
      </c>
      <c r="M502" s="24" t="str">
        <f>IF(OR($L502="",$S502=""),"",$L502*$S502)</f>
        <v/>
      </c>
      <c r="N502" s="24" t="str">
        <f>IF(OR($L502="",$T502=""),"",$L502*$T502)</f>
        <v/>
      </c>
      <c r="O502" s="15" t="str">
        <f>IF(D502="","",
IF(AND(K502&lt;&gt;"SIM",V502&gt;0),"ERRO: % BC &gt; 0, mas NÃO permitida ❌",
IF(AND(K502="SIM",V502=0),"ATENÇÃO: BC permitida, mas % = 0 🔎",
"Base de cálculo aplicada corretamente ✅")))</f>
        <v/>
      </c>
      <c r="P502" s="31" t="str">
        <f>IF(D502="","",
IF(AND(Q502&lt;&gt;"SIM",U502&gt;0),"ERRO: % alíquota &gt; 0, mas NÃO permitida ❌",
IF(AND(Q502="SIM",U502=0),"ATENÇÃO: alíquota permitida, mas % = 0 🔎",
"Alíquota aplicada corretamente ✅")))</f>
        <v/>
      </c>
      <c r="Q502" s="8" t="str">
        <f>IF(E502="","",IFERROR(VLOOKUP(E502,REGRAS_CST!$A$2:$D$200,4,FALSE),""))</f>
        <v/>
      </c>
      <c r="S502" s="9">
        <f>IF($H502="","",$H502*(1-$U502))</f>
        <v>8.9999999999999993E-3</v>
      </c>
      <c r="T502" s="9">
        <f>IF($I502="","",$I502*(1-$U502))</f>
        <v>1E-3</v>
      </c>
      <c r="U502" s="16">
        <f>IFERROR(INDEX(BASE_CCLASSTRIB!$E:$E, MATCH(TEXT($D502,"000000"), BASE_CCLASSTRIB!$A:$A, 0))/100, 0)</f>
        <v>0</v>
      </c>
      <c r="V502" s="16">
        <f>IFERROR(INDEX(BASE_CCLASSTRIB!$F:$F, MATCH(TEXT($D502,"000000"), BASE_CCLASSTRIB!$A:$A, 0))/100, 0)</f>
        <v>0</v>
      </c>
    </row>
    <row r="503" spans="4:22" ht="32.25" customHeight="1">
      <c r="D503" s="39"/>
      <c r="E503" s="27" t="str">
        <f>IF(D503="","",LEFT(D503,3))</f>
        <v/>
      </c>
      <c r="F503" s="28" t="str">
        <f>IF(E503="","",IFERROR(VLOOKUP(E503,REGRAS_CST!$A$2:$B$200,2,FALSE),""))</f>
        <v/>
      </c>
      <c r="H503" s="29">
        <v>8.9999999999999993E-3</v>
      </c>
      <c r="I503" s="29">
        <v>1E-3</v>
      </c>
      <c r="K503" s="21" t="str">
        <f>IF(E503="","",IFERROR(VLOOKUP(E503,REGRAS_CST!$A$2:$C$200,3,FALSE),""))</f>
        <v/>
      </c>
      <c r="L503" s="23" t="str">
        <f>IF($G503="", "", $G503*(1-$V503))</f>
        <v/>
      </c>
      <c r="M503" s="24" t="str">
        <f>IF(OR($L503="",$S503=""),"",$L503*$S503)</f>
        <v/>
      </c>
      <c r="N503" s="24" t="str">
        <f>IF(OR($L503="",$T503=""),"",$L503*$T503)</f>
        <v/>
      </c>
      <c r="O503" s="15" t="str">
        <f>IF(D503="","",
IF(AND(K503&lt;&gt;"SIM",V503&gt;0),"ERRO: % BC &gt; 0, mas NÃO permitida ❌",
IF(AND(K503="SIM",V503=0),"ATENÇÃO: BC permitida, mas % = 0 🔎",
"Base de cálculo aplicada corretamente ✅")))</f>
        <v/>
      </c>
      <c r="P503" s="31" t="str">
        <f>IF(D503="","",
IF(AND(Q503&lt;&gt;"SIM",U503&gt;0),"ERRO: % alíquota &gt; 0, mas NÃO permitida ❌",
IF(AND(Q503="SIM",U503=0),"ATENÇÃO: alíquota permitida, mas % = 0 🔎",
"Alíquota aplicada corretamente ✅")))</f>
        <v/>
      </c>
      <c r="Q503" s="8" t="str">
        <f>IF(E503="","",IFERROR(VLOOKUP(E503,REGRAS_CST!$A$2:$D$200,4,FALSE),""))</f>
        <v/>
      </c>
      <c r="S503" s="9">
        <f>IF($H503="","",$H503*(1-$U503))</f>
        <v>8.9999999999999993E-3</v>
      </c>
      <c r="T503" s="9">
        <f>IF($I503="","",$I503*(1-$U503))</f>
        <v>1E-3</v>
      </c>
      <c r="U503" s="16">
        <f>IFERROR(INDEX(BASE_CCLASSTRIB!$E:$E, MATCH(TEXT($D503,"000000"), BASE_CCLASSTRIB!$A:$A, 0))/100, 0)</f>
        <v>0</v>
      </c>
      <c r="V503" s="16">
        <f>IFERROR(INDEX(BASE_CCLASSTRIB!$F:$F, MATCH(TEXT($D503,"000000"), BASE_CCLASSTRIB!$A:$A, 0))/100, 0)</f>
        <v>0</v>
      </c>
    </row>
    <row r="504" spans="4:22" ht="32.25" customHeight="1">
      <c r="D504" s="39"/>
      <c r="E504" s="27" t="str">
        <f>IF(D504="","",LEFT(D504,3))</f>
        <v/>
      </c>
      <c r="F504" s="28" t="str">
        <f>IF(E504="","",IFERROR(VLOOKUP(E504,REGRAS_CST!$A$2:$B$200,2,FALSE),""))</f>
        <v/>
      </c>
      <c r="H504" s="29">
        <v>8.9999999999999993E-3</v>
      </c>
      <c r="I504" s="29">
        <v>1E-3</v>
      </c>
      <c r="K504" s="21" t="str">
        <f>IF(E504="","",IFERROR(VLOOKUP(E504,REGRAS_CST!$A$2:$C$200,3,FALSE),""))</f>
        <v/>
      </c>
      <c r="L504" s="23" t="str">
        <f>IF($G504="", "", $G504*(1-$V504))</f>
        <v/>
      </c>
      <c r="M504" s="24" t="str">
        <f>IF(OR($L504="",$S504=""),"",$L504*$S504)</f>
        <v/>
      </c>
      <c r="N504" s="24" t="str">
        <f>IF(OR($L504="",$T504=""),"",$L504*$T504)</f>
        <v/>
      </c>
      <c r="O504" s="15" t="str">
        <f>IF(D504="","",
IF(AND(K504&lt;&gt;"SIM",V504&gt;0),"ERRO: % BC &gt; 0, mas NÃO permitida ❌",
IF(AND(K504="SIM",V504=0),"ATENÇÃO: BC permitida, mas % = 0 🔎",
"Base de cálculo aplicada corretamente ✅")))</f>
        <v/>
      </c>
      <c r="P504" s="31" t="str">
        <f>IF(D504="","",
IF(AND(Q504&lt;&gt;"SIM",U504&gt;0),"ERRO: % alíquota &gt; 0, mas NÃO permitida ❌",
IF(AND(Q504="SIM",U504=0),"ATENÇÃO: alíquota permitida, mas % = 0 🔎",
"Alíquota aplicada corretamente ✅")))</f>
        <v/>
      </c>
      <c r="Q504" s="8" t="str">
        <f>IF(E504="","",IFERROR(VLOOKUP(E504,REGRAS_CST!$A$2:$D$200,4,FALSE),""))</f>
        <v/>
      </c>
      <c r="S504" s="9">
        <f>IF($H504="","",$H504*(1-$U504))</f>
        <v>8.9999999999999993E-3</v>
      </c>
      <c r="T504" s="9">
        <f>IF($I504="","",$I504*(1-$U504))</f>
        <v>1E-3</v>
      </c>
      <c r="U504" s="16">
        <f>IFERROR(INDEX(BASE_CCLASSTRIB!$E:$E, MATCH(TEXT($D504,"000000"), BASE_CCLASSTRIB!$A:$A, 0))/100, 0)</f>
        <v>0</v>
      </c>
      <c r="V504" s="16">
        <f>IFERROR(INDEX(BASE_CCLASSTRIB!$F:$F, MATCH(TEXT($D504,"000000"), BASE_CCLASSTRIB!$A:$A, 0))/100, 0)</f>
        <v>0</v>
      </c>
    </row>
    <row r="505" spans="4:22" ht="32.25" customHeight="1">
      <c r="D505" s="40"/>
      <c r="E505" s="27" t="str">
        <f>IF(D505="","",LEFT(D505,3))</f>
        <v/>
      </c>
      <c r="F505" s="28" t="str">
        <f>IF(E505="","",IFERROR(VLOOKUP(E505,REGRAS_CST!$A$2:$B$200,2,FALSE),""))</f>
        <v/>
      </c>
      <c r="H505" s="29">
        <v>8.9999999999999993E-3</v>
      </c>
      <c r="I505" s="29">
        <v>1E-3</v>
      </c>
      <c r="K505" s="21" t="str">
        <f>IF(E505="","",IFERROR(VLOOKUP(E505,REGRAS_CST!$A$2:$C$200,3,FALSE),""))</f>
        <v/>
      </c>
      <c r="L505" s="23" t="str">
        <f>IF($G505="", "", $G505*(1-$V505))</f>
        <v/>
      </c>
      <c r="M505" s="24" t="str">
        <f>IF(OR($L505="",$S505=""),"",$L505*$S505)</f>
        <v/>
      </c>
      <c r="N505" s="24" t="str">
        <f>IF(OR($L505="",$T505=""),"",$L505*$T505)</f>
        <v/>
      </c>
      <c r="O505" s="15" t="str">
        <f>IF(D505="","",
IF(AND(K505&lt;&gt;"SIM",V505&gt;0),"ERRO: % BC &gt; 0, mas NÃO permitida ❌",
IF(AND(K505="SIM",V505=0),"ATENÇÃO: BC permitida, mas % = 0 🔎",
"Base de cálculo aplicada corretamente ✅")))</f>
        <v/>
      </c>
      <c r="P505" s="31" t="str">
        <f>IF(D505="","",
IF(AND(Q505&lt;&gt;"SIM",U505&gt;0),"ERRO: % alíquota &gt; 0, mas NÃO permitida ❌",
IF(AND(Q505="SIM",U505=0),"ATENÇÃO: alíquota permitida, mas % = 0 🔎",
"Alíquota aplicada corretamente ✅")))</f>
        <v/>
      </c>
      <c r="Q505" s="8" t="str">
        <f>IF(E505="","",IFERROR(VLOOKUP(E505,REGRAS_CST!$A$2:$D$200,4,FALSE),""))</f>
        <v/>
      </c>
      <c r="S505" s="9">
        <f>IF($H505="","",$H505*(1-$U505))</f>
        <v>8.9999999999999993E-3</v>
      </c>
      <c r="T505" s="9">
        <f>IF($I505="","",$I505*(1-$U505))</f>
        <v>1E-3</v>
      </c>
      <c r="U505" s="16">
        <f>IFERROR(INDEX(BASE_CCLASSTRIB!$E:$E, MATCH(TEXT($D505,"000000"), BASE_CCLASSTRIB!$A:$A, 0))/100, 0)</f>
        <v>0</v>
      </c>
      <c r="V505" s="16">
        <f>IFERROR(INDEX(BASE_CCLASSTRIB!$F:$F, MATCH(TEXT($D505,"000000"), BASE_CCLASSTRIB!$A:$A, 0))/100, 0)</f>
        <v>0</v>
      </c>
    </row>
    <row r="506" spans="4:22" ht="32.25" customHeight="1">
      <c r="D506" s="40"/>
      <c r="E506" s="27" t="str">
        <f>IF(D506="","",LEFT(D506,3))</f>
        <v/>
      </c>
      <c r="F506" s="28" t="str">
        <f>IF(E506="","",IFERROR(VLOOKUP(E506,REGRAS_CST!$A$2:$B$200,2,FALSE),""))</f>
        <v/>
      </c>
      <c r="H506" s="29">
        <v>8.9999999999999993E-3</v>
      </c>
      <c r="I506" s="29">
        <v>1E-3</v>
      </c>
      <c r="K506" s="21" t="str">
        <f>IF(E506="","",IFERROR(VLOOKUP(E506,REGRAS_CST!$A$2:$C$200,3,FALSE),""))</f>
        <v/>
      </c>
      <c r="L506" s="23" t="str">
        <f>IF($G506="", "", $G506*(1-$V506))</f>
        <v/>
      </c>
      <c r="M506" s="24" t="str">
        <f>IF(OR($L506="",$S506=""),"",$L506*$S506)</f>
        <v/>
      </c>
      <c r="N506" s="24" t="str">
        <f>IF(OR($L506="",$T506=""),"",$L506*$T506)</f>
        <v/>
      </c>
      <c r="O506" s="15" t="str">
        <f>IF(D506="","",
IF(AND(K506&lt;&gt;"SIM",V506&gt;0),"ERRO: % BC &gt; 0, mas NÃO permitida ❌",
IF(AND(K506="SIM",V506=0),"ATENÇÃO: BC permitida, mas % = 0 🔎",
"Base de cálculo aplicada corretamente ✅")))</f>
        <v/>
      </c>
      <c r="P506" s="31" t="str">
        <f>IF(D506="","",
IF(AND(Q506&lt;&gt;"SIM",U506&gt;0),"ERRO: % alíquota &gt; 0, mas NÃO permitida ❌",
IF(AND(Q506="SIM",U506=0),"ATENÇÃO: alíquota permitida, mas % = 0 🔎",
"Alíquota aplicada corretamente ✅")))</f>
        <v/>
      </c>
      <c r="Q506" s="8" t="str">
        <f>IF(E506="","",IFERROR(VLOOKUP(E506,REGRAS_CST!$A$2:$D$200,4,FALSE),""))</f>
        <v/>
      </c>
      <c r="S506" s="9">
        <f>IF($H506="","",$H506*(1-$U506))</f>
        <v>8.9999999999999993E-3</v>
      </c>
      <c r="T506" s="9">
        <f>IF($I506="","",$I506*(1-$U506))</f>
        <v>1E-3</v>
      </c>
      <c r="U506" s="16">
        <f>IFERROR(INDEX(BASE_CCLASSTRIB!$E:$E, MATCH(TEXT($D506,"000000"), BASE_CCLASSTRIB!$A:$A, 0))/100, 0)</f>
        <v>0</v>
      </c>
      <c r="V506" s="16">
        <f>IFERROR(INDEX(BASE_CCLASSTRIB!$F:$F, MATCH(TEXT($D506,"000000"), BASE_CCLASSTRIB!$A:$A, 0))/100, 0)</f>
        <v>0</v>
      </c>
    </row>
    <row r="507" spans="4:22" ht="32.25" customHeight="1">
      <c r="D507" s="39"/>
      <c r="E507" s="27" t="str">
        <f>IF(D507="","",LEFT(D507,3))</f>
        <v/>
      </c>
      <c r="F507" s="28" t="str">
        <f>IF(E507="","",IFERROR(VLOOKUP(E507,REGRAS_CST!$A$2:$B$200,2,FALSE),""))</f>
        <v/>
      </c>
      <c r="H507" s="29">
        <v>8.9999999999999993E-3</v>
      </c>
      <c r="I507" s="29">
        <v>1E-3</v>
      </c>
      <c r="K507" s="21" t="str">
        <f>IF(E507="","",IFERROR(VLOOKUP(E507,REGRAS_CST!$A$2:$C$200,3,FALSE),""))</f>
        <v/>
      </c>
      <c r="L507" s="23" t="str">
        <f>IF($G507="", "", $G507*(1-$V507))</f>
        <v/>
      </c>
      <c r="M507" s="24" t="str">
        <f>IF(OR($L507="",$S507=""),"",$L507*$S507)</f>
        <v/>
      </c>
      <c r="N507" s="24" t="str">
        <f>IF(OR($L507="",$T507=""),"",$L507*$T507)</f>
        <v/>
      </c>
      <c r="O507" s="15" t="str">
        <f>IF(D507="","",
IF(AND(K507&lt;&gt;"SIM",V507&gt;0),"ERRO: % BC &gt; 0, mas NÃO permitida ❌",
IF(AND(K507="SIM",V507=0),"ATENÇÃO: BC permitida, mas % = 0 🔎",
"Base de cálculo aplicada corretamente ✅")))</f>
        <v/>
      </c>
      <c r="P507" s="31" t="str">
        <f>IF(D507="","",
IF(AND(Q507&lt;&gt;"SIM",U507&gt;0),"ERRO: % alíquota &gt; 0, mas NÃO permitida ❌",
IF(AND(Q507="SIM",U507=0),"ATENÇÃO: alíquota permitida, mas % = 0 🔎",
"Alíquota aplicada corretamente ✅")))</f>
        <v/>
      </c>
      <c r="Q507" s="8" t="str">
        <f>IF(E507="","",IFERROR(VLOOKUP(E507,REGRAS_CST!$A$2:$D$200,4,FALSE),""))</f>
        <v/>
      </c>
      <c r="S507" s="9">
        <f>IF($H507="","",$H507*(1-$U507))</f>
        <v>8.9999999999999993E-3</v>
      </c>
      <c r="T507" s="9">
        <f>IF($I507="","",$I507*(1-$U507))</f>
        <v>1E-3</v>
      </c>
      <c r="U507" s="16">
        <f>IFERROR(INDEX(BASE_CCLASSTRIB!$E:$E, MATCH(TEXT($D507,"000000"), BASE_CCLASSTRIB!$A:$A, 0))/100, 0)</f>
        <v>0</v>
      </c>
      <c r="V507" s="16">
        <f>IFERROR(INDEX(BASE_CCLASSTRIB!$F:$F, MATCH(TEXT($D507,"000000"), BASE_CCLASSTRIB!$A:$A, 0))/100, 0)</f>
        <v>0</v>
      </c>
    </row>
    <row r="508" spans="4:22" ht="32.25" customHeight="1">
      <c r="D508" s="39"/>
      <c r="E508" s="27" t="str">
        <f>IF(D508="","",LEFT(D508,3))</f>
        <v/>
      </c>
      <c r="F508" s="28" t="str">
        <f>IF(E508="","",IFERROR(VLOOKUP(E508,REGRAS_CST!$A$2:$B$200,2,FALSE),""))</f>
        <v/>
      </c>
      <c r="H508" s="29">
        <v>8.9999999999999993E-3</v>
      </c>
      <c r="I508" s="29">
        <v>1E-3</v>
      </c>
      <c r="K508" s="21" t="str">
        <f>IF(E508="","",IFERROR(VLOOKUP(E508,REGRAS_CST!$A$2:$C$200,3,FALSE),""))</f>
        <v/>
      </c>
      <c r="L508" s="23" t="str">
        <f>IF($G508="", "", $G508*(1-$V508))</f>
        <v/>
      </c>
      <c r="M508" s="24" t="str">
        <f>IF(OR($L508="",$S508=""),"",$L508*$S508)</f>
        <v/>
      </c>
      <c r="N508" s="24" t="str">
        <f>IF(OR($L508="",$T508=""),"",$L508*$T508)</f>
        <v/>
      </c>
      <c r="O508" s="15" t="str">
        <f>IF(D508="","",
IF(AND(K508&lt;&gt;"SIM",V508&gt;0),"ERRO: % BC &gt; 0, mas NÃO permitida ❌",
IF(AND(K508="SIM",V508=0),"ATENÇÃO: BC permitida, mas % = 0 🔎",
"Base de cálculo aplicada corretamente ✅")))</f>
        <v/>
      </c>
      <c r="P508" s="31" t="str">
        <f>IF(D508="","",
IF(AND(Q508&lt;&gt;"SIM",U508&gt;0),"ERRO: % alíquota &gt; 0, mas NÃO permitida ❌",
IF(AND(Q508="SIM",U508=0),"ATENÇÃO: alíquota permitida, mas % = 0 🔎",
"Alíquota aplicada corretamente ✅")))</f>
        <v/>
      </c>
      <c r="Q508" s="8" t="str">
        <f>IF(E508="","",IFERROR(VLOOKUP(E508,REGRAS_CST!$A$2:$D$200,4,FALSE),""))</f>
        <v/>
      </c>
      <c r="S508" s="9">
        <f>IF($H508="","",$H508*(1-$U508))</f>
        <v>8.9999999999999993E-3</v>
      </c>
      <c r="T508" s="9">
        <f>IF($I508="","",$I508*(1-$U508))</f>
        <v>1E-3</v>
      </c>
      <c r="U508" s="16">
        <f>IFERROR(INDEX(BASE_CCLASSTRIB!$E:$E, MATCH(TEXT($D508,"000000"), BASE_CCLASSTRIB!$A:$A, 0))/100, 0)</f>
        <v>0</v>
      </c>
      <c r="V508" s="16">
        <f>IFERROR(INDEX(BASE_CCLASSTRIB!$F:$F, MATCH(TEXT($D508,"000000"), BASE_CCLASSTRIB!$A:$A, 0))/100, 0)</f>
        <v>0</v>
      </c>
    </row>
    <row r="509" spans="4:22" ht="32.25" customHeight="1">
      <c r="D509" s="40"/>
      <c r="E509" s="27" t="str">
        <f>IF(D509="","",LEFT(D509,3))</f>
        <v/>
      </c>
      <c r="F509" s="28" t="str">
        <f>IF(E509="","",IFERROR(VLOOKUP(E509,REGRAS_CST!$A$2:$B$200,2,FALSE),""))</f>
        <v/>
      </c>
      <c r="H509" s="29">
        <v>8.9999999999999993E-3</v>
      </c>
      <c r="I509" s="29">
        <v>1E-3</v>
      </c>
      <c r="K509" s="21" t="str">
        <f>IF(E509="","",IFERROR(VLOOKUP(E509,REGRAS_CST!$A$2:$C$200,3,FALSE),""))</f>
        <v/>
      </c>
      <c r="L509" s="23" t="str">
        <f>IF($G509="", "", $G509*(1-$V509))</f>
        <v/>
      </c>
      <c r="M509" s="24" t="str">
        <f>IF(OR($L509="",$S509=""),"",$L509*$S509)</f>
        <v/>
      </c>
      <c r="N509" s="24" t="str">
        <f>IF(OR($L509="",$T509=""),"",$L509*$T509)</f>
        <v/>
      </c>
      <c r="O509" s="15" t="str">
        <f>IF(D509="","",
IF(AND(K509&lt;&gt;"SIM",V509&gt;0),"ERRO: % BC &gt; 0, mas NÃO permitida ❌",
IF(AND(K509="SIM",V509=0),"ATENÇÃO: BC permitida, mas % = 0 🔎",
"Base de cálculo aplicada corretamente ✅")))</f>
        <v/>
      </c>
      <c r="P509" s="31" t="str">
        <f>IF(D509="","",
IF(AND(Q509&lt;&gt;"SIM",U509&gt;0),"ERRO: % alíquota &gt; 0, mas NÃO permitida ❌",
IF(AND(Q509="SIM",U509=0),"ATENÇÃO: alíquota permitida, mas % = 0 🔎",
"Alíquota aplicada corretamente ✅")))</f>
        <v/>
      </c>
      <c r="Q509" s="8" t="str">
        <f>IF(E509="","",IFERROR(VLOOKUP(E509,REGRAS_CST!$A$2:$D$200,4,FALSE),""))</f>
        <v/>
      </c>
      <c r="S509" s="9">
        <f>IF($H509="","",$H509*(1-$U509))</f>
        <v>8.9999999999999993E-3</v>
      </c>
      <c r="T509" s="9">
        <f>IF($I509="","",$I509*(1-$U509))</f>
        <v>1E-3</v>
      </c>
      <c r="U509" s="16">
        <f>IFERROR(INDEX(BASE_CCLASSTRIB!$E:$E, MATCH(TEXT($D509,"000000"), BASE_CCLASSTRIB!$A:$A, 0))/100, 0)</f>
        <v>0</v>
      </c>
      <c r="V509" s="16">
        <f>IFERROR(INDEX(BASE_CCLASSTRIB!$F:$F, MATCH(TEXT($D509,"000000"), BASE_CCLASSTRIB!$A:$A, 0))/100, 0)</f>
        <v>0</v>
      </c>
    </row>
    <row r="510" spans="4:22" ht="32.25" customHeight="1">
      <c r="D510" s="39"/>
      <c r="E510" s="27" t="str">
        <f>IF(D510="","",LEFT(D510,3))</f>
        <v/>
      </c>
      <c r="F510" s="28" t="str">
        <f>IF(E510="","",IFERROR(VLOOKUP(E510,REGRAS_CST!$A$2:$B$200,2,FALSE),""))</f>
        <v/>
      </c>
      <c r="H510" s="29">
        <v>8.9999999999999993E-3</v>
      </c>
      <c r="I510" s="29">
        <v>1E-3</v>
      </c>
      <c r="K510" s="21" t="str">
        <f>IF(E510="","",IFERROR(VLOOKUP(E510,REGRAS_CST!$A$2:$C$200,3,FALSE),""))</f>
        <v/>
      </c>
      <c r="L510" s="23" t="str">
        <f>IF($G510="", "", $G510*(1-$V510))</f>
        <v/>
      </c>
      <c r="M510" s="24" t="str">
        <f>IF(OR($L510="",$S510=""),"",$L510*$S510)</f>
        <v/>
      </c>
      <c r="N510" s="24" t="str">
        <f>IF(OR($L510="",$T510=""),"",$L510*$T510)</f>
        <v/>
      </c>
      <c r="O510" s="15" t="str">
        <f>IF(D510="","",
IF(AND(K510&lt;&gt;"SIM",V510&gt;0),"ERRO: % BC &gt; 0, mas NÃO permitida ❌",
IF(AND(K510="SIM",V510=0),"ATENÇÃO: BC permitida, mas % = 0 🔎",
"Base de cálculo aplicada corretamente ✅")))</f>
        <v/>
      </c>
      <c r="P510" s="31" t="str">
        <f>IF(D510="","",
IF(AND(Q510&lt;&gt;"SIM",U510&gt;0),"ERRO: % alíquota &gt; 0, mas NÃO permitida ❌",
IF(AND(Q510="SIM",U510=0),"ATENÇÃO: alíquota permitida, mas % = 0 🔎",
"Alíquota aplicada corretamente ✅")))</f>
        <v/>
      </c>
      <c r="Q510" s="8" t="str">
        <f>IF(E510="","",IFERROR(VLOOKUP(E510,REGRAS_CST!$A$2:$D$200,4,FALSE),""))</f>
        <v/>
      </c>
      <c r="S510" s="9">
        <f>IF($H510="","",$H510*(1-$U510))</f>
        <v>8.9999999999999993E-3</v>
      </c>
      <c r="T510" s="9">
        <f>IF($I510="","",$I510*(1-$U510))</f>
        <v>1E-3</v>
      </c>
      <c r="U510" s="16">
        <f>IFERROR(INDEX(BASE_CCLASSTRIB!$E:$E, MATCH(TEXT($D510,"000000"), BASE_CCLASSTRIB!$A:$A, 0))/100, 0)</f>
        <v>0</v>
      </c>
      <c r="V510" s="16">
        <f>IFERROR(INDEX(BASE_CCLASSTRIB!$F:$F, MATCH(TEXT($D510,"000000"), BASE_CCLASSTRIB!$A:$A, 0))/100, 0)</f>
        <v>0</v>
      </c>
    </row>
    <row r="511" spans="4:22" ht="32.25" customHeight="1">
      <c r="D511" s="40"/>
      <c r="E511" s="27" t="str">
        <f>IF(D511="","",LEFT(D511,3))</f>
        <v/>
      </c>
      <c r="F511" s="28" t="str">
        <f>IF(E511="","",IFERROR(VLOOKUP(E511,REGRAS_CST!$A$2:$B$200,2,FALSE),""))</f>
        <v/>
      </c>
      <c r="H511" s="29">
        <v>8.9999999999999993E-3</v>
      </c>
      <c r="I511" s="29">
        <v>1E-3</v>
      </c>
      <c r="K511" s="21" t="str">
        <f>IF(E511="","",IFERROR(VLOOKUP(E511,REGRAS_CST!$A$2:$C$200,3,FALSE),""))</f>
        <v/>
      </c>
      <c r="L511" s="23" t="str">
        <f>IF($G511="", "", $G511*(1-$V511))</f>
        <v/>
      </c>
      <c r="M511" s="24" t="str">
        <f>IF(OR($L511="",$S511=""),"",$L511*$S511)</f>
        <v/>
      </c>
      <c r="N511" s="24" t="str">
        <f>IF(OR($L511="",$T511=""),"",$L511*$T511)</f>
        <v/>
      </c>
      <c r="O511" s="15" t="str">
        <f>IF(D511="","",
IF(AND(K511&lt;&gt;"SIM",V511&gt;0),"ERRO: % BC &gt; 0, mas NÃO permitida ❌",
IF(AND(K511="SIM",V511=0),"ATENÇÃO: BC permitida, mas % = 0 🔎",
"Base de cálculo aplicada corretamente ✅")))</f>
        <v/>
      </c>
      <c r="P511" s="31" t="str">
        <f>IF(D511="","",
IF(AND(Q511&lt;&gt;"SIM",U511&gt;0),"ERRO: % alíquota &gt; 0, mas NÃO permitida ❌",
IF(AND(Q511="SIM",U511=0),"ATENÇÃO: alíquota permitida, mas % = 0 🔎",
"Alíquota aplicada corretamente ✅")))</f>
        <v/>
      </c>
      <c r="Q511" s="8" t="str">
        <f>IF(E511="","",IFERROR(VLOOKUP(E511,REGRAS_CST!$A$2:$D$200,4,FALSE),""))</f>
        <v/>
      </c>
      <c r="S511" s="9">
        <f>IF($H511="","",$H511*(1-$U511))</f>
        <v>8.9999999999999993E-3</v>
      </c>
      <c r="T511" s="9">
        <f>IF($I511="","",$I511*(1-$U511))</f>
        <v>1E-3</v>
      </c>
      <c r="U511" s="16">
        <f>IFERROR(INDEX(BASE_CCLASSTRIB!$E:$E, MATCH(TEXT($D511,"000000"), BASE_CCLASSTRIB!$A:$A, 0))/100, 0)</f>
        <v>0</v>
      </c>
      <c r="V511" s="16">
        <f>IFERROR(INDEX(BASE_CCLASSTRIB!$F:$F, MATCH(TEXT($D511,"000000"), BASE_CCLASSTRIB!$A:$A, 0))/100, 0)</f>
        <v>0</v>
      </c>
    </row>
    <row r="512" spans="4:22" ht="32.25" customHeight="1">
      <c r="D512" s="39"/>
      <c r="E512" s="27" t="str">
        <f>IF(D512="","",LEFT(D512,3))</f>
        <v/>
      </c>
      <c r="F512" s="28" t="str">
        <f>IF(E512="","",IFERROR(VLOOKUP(E512,REGRAS_CST!$A$2:$B$200,2,FALSE),""))</f>
        <v/>
      </c>
      <c r="H512" s="29">
        <v>8.9999999999999993E-3</v>
      </c>
      <c r="I512" s="29">
        <v>1E-3</v>
      </c>
      <c r="K512" s="21" t="str">
        <f>IF(E512="","",IFERROR(VLOOKUP(E512,REGRAS_CST!$A$2:$C$200,3,FALSE),""))</f>
        <v/>
      </c>
      <c r="L512" s="23" t="str">
        <f>IF($G512="", "", $G512*(1-$V512))</f>
        <v/>
      </c>
      <c r="M512" s="24" t="str">
        <f>IF(OR($L512="",$S512=""),"",$L512*$S512)</f>
        <v/>
      </c>
      <c r="N512" s="24" t="str">
        <f>IF(OR($L512="",$T512=""),"",$L512*$T512)</f>
        <v/>
      </c>
      <c r="O512" s="15" t="str">
        <f>IF(D512="","",
IF(AND(K512&lt;&gt;"SIM",V512&gt;0),"ERRO: % BC &gt; 0, mas NÃO permitida ❌",
IF(AND(K512="SIM",V512=0),"ATENÇÃO: BC permitida, mas % = 0 🔎",
"Base de cálculo aplicada corretamente ✅")))</f>
        <v/>
      </c>
      <c r="P512" s="31" t="str">
        <f>IF(D512="","",
IF(AND(Q512&lt;&gt;"SIM",U512&gt;0),"ERRO: % alíquota &gt; 0, mas NÃO permitida ❌",
IF(AND(Q512="SIM",U512=0),"ATENÇÃO: alíquota permitida, mas % = 0 🔎",
"Alíquota aplicada corretamente ✅")))</f>
        <v/>
      </c>
      <c r="Q512" s="8" t="str">
        <f>IF(E512="","",IFERROR(VLOOKUP(E512,REGRAS_CST!$A$2:$D$200,4,FALSE),""))</f>
        <v/>
      </c>
      <c r="S512" s="9">
        <f>IF($H512="","",$H512*(1-$U512))</f>
        <v>8.9999999999999993E-3</v>
      </c>
      <c r="T512" s="9">
        <f>IF($I512="","",$I512*(1-$U512))</f>
        <v>1E-3</v>
      </c>
      <c r="U512" s="16">
        <f>IFERROR(INDEX(BASE_CCLASSTRIB!$E:$E, MATCH(TEXT($D512,"000000"), BASE_CCLASSTRIB!$A:$A, 0))/100, 0)</f>
        <v>0</v>
      </c>
      <c r="V512" s="16">
        <f>IFERROR(INDEX(BASE_CCLASSTRIB!$F:$F, MATCH(TEXT($D512,"000000"), BASE_CCLASSTRIB!$A:$A, 0))/100, 0)</f>
        <v>0</v>
      </c>
    </row>
    <row r="513" spans="4:22" ht="32.25" customHeight="1">
      <c r="D513" s="39"/>
      <c r="E513" s="27" t="str">
        <f>IF(D513="","",LEFT(D513,3))</f>
        <v/>
      </c>
      <c r="F513" s="28" t="str">
        <f>IF(E513="","",IFERROR(VLOOKUP(E513,REGRAS_CST!$A$2:$B$200,2,FALSE),""))</f>
        <v/>
      </c>
      <c r="H513" s="29">
        <v>8.9999999999999993E-3</v>
      </c>
      <c r="I513" s="29">
        <v>1E-3</v>
      </c>
      <c r="K513" s="21" t="str">
        <f>IF(E513="","",IFERROR(VLOOKUP(E513,REGRAS_CST!$A$2:$C$200,3,FALSE),""))</f>
        <v/>
      </c>
      <c r="L513" s="23" t="str">
        <f>IF($G513="", "", $G513*(1-$V513))</f>
        <v/>
      </c>
      <c r="M513" s="24" t="str">
        <f>IF(OR($L513="",$S513=""),"",$L513*$S513)</f>
        <v/>
      </c>
      <c r="N513" s="24" t="str">
        <f>IF(OR($L513="",$T513=""),"",$L513*$T513)</f>
        <v/>
      </c>
      <c r="O513" s="15" t="str">
        <f>IF(D513="","",
IF(AND(K513&lt;&gt;"SIM",V513&gt;0),"ERRO: % BC &gt; 0, mas NÃO permitida ❌",
IF(AND(K513="SIM",V513=0),"ATENÇÃO: BC permitida, mas % = 0 🔎",
"Base de cálculo aplicada corretamente ✅")))</f>
        <v/>
      </c>
      <c r="P513" s="31" t="str">
        <f>IF(D513="","",
IF(AND(Q513&lt;&gt;"SIM",U513&gt;0),"ERRO: % alíquota &gt; 0, mas NÃO permitida ❌",
IF(AND(Q513="SIM",U513=0),"ATENÇÃO: alíquota permitida, mas % = 0 🔎",
"Alíquota aplicada corretamente ✅")))</f>
        <v/>
      </c>
      <c r="Q513" s="8" t="str">
        <f>IF(E513="","",IFERROR(VLOOKUP(E513,REGRAS_CST!$A$2:$D$200,4,FALSE),""))</f>
        <v/>
      </c>
      <c r="S513" s="9">
        <f>IF($H513="","",$H513*(1-$U513))</f>
        <v>8.9999999999999993E-3</v>
      </c>
      <c r="T513" s="9">
        <f>IF($I513="","",$I513*(1-$U513))</f>
        <v>1E-3</v>
      </c>
      <c r="U513" s="16">
        <f>IFERROR(INDEX(BASE_CCLASSTRIB!$E:$E, MATCH(TEXT($D513,"000000"), BASE_CCLASSTRIB!$A:$A, 0))/100, 0)</f>
        <v>0</v>
      </c>
      <c r="V513" s="16">
        <f>IFERROR(INDEX(BASE_CCLASSTRIB!$F:$F, MATCH(TEXT($D513,"000000"), BASE_CCLASSTRIB!$A:$A, 0))/100, 0)</f>
        <v>0</v>
      </c>
    </row>
    <row r="514" spans="4:22" ht="32.25" customHeight="1">
      <c r="D514" s="39"/>
      <c r="E514" s="27" t="str">
        <f>IF(D514="","",LEFT(D514,3))</f>
        <v/>
      </c>
      <c r="F514" s="28" t="str">
        <f>IF(E514="","",IFERROR(VLOOKUP(E514,REGRAS_CST!$A$2:$B$200,2,FALSE),""))</f>
        <v/>
      </c>
      <c r="H514" s="29">
        <v>8.9999999999999993E-3</v>
      </c>
      <c r="I514" s="29">
        <v>1E-3</v>
      </c>
      <c r="K514" s="21" t="str">
        <f>IF(E514="","",IFERROR(VLOOKUP(E514,REGRAS_CST!$A$2:$C$200,3,FALSE),""))</f>
        <v/>
      </c>
      <c r="L514" s="23" t="str">
        <f>IF($G514="", "", $G514*(1-$V514))</f>
        <v/>
      </c>
      <c r="M514" s="24" t="str">
        <f>IF(OR($L514="",$S514=""),"",$L514*$S514)</f>
        <v/>
      </c>
      <c r="N514" s="24" t="str">
        <f>IF(OR($L514="",$T514=""),"",$L514*$T514)</f>
        <v/>
      </c>
      <c r="O514" s="15" t="str">
        <f>IF(D514="","",
IF(AND(K514&lt;&gt;"SIM",V514&gt;0),"ERRO: % BC &gt; 0, mas NÃO permitida ❌",
IF(AND(K514="SIM",V514=0),"ATENÇÃO: BC permitida, mas % = 0 🔎",
"Base de cálculo aplicada corretamente ✅")))</f>
        <v/>
      </c>
      <c r="P514" s="31" t="str">
        <f>IF(D514="","",
IF(AND(Q514&lt;&gt;"SIM",U514&gt;0),"ERRO: % alíquota &gt; 0, mas NÃO permitida ❌",
IF(AND(Q514="SIM",U514=0),"ATENÇÃO: alíquota permitida, mas % = 0 🔎",
"Alíquota aplicada corretamente ✅")))</f>
        <v/>
      </c>
      <c r="Q514" s="8" t="str">
        <f>IF(E514="","",IFERROR(VLOOKUP(E514,REGRAS_CST!$A$2:$D$200,4,FALSE),""))</f>
        <v/>
      </c>
      <c r="S514" s="9">
        <f>IF($H514="","",$H514*(1-$U514))</f>
        <v>8.9999999999999993E-3</v>
      </c>
      <c r="T514" s="9">
        <f>IF($I514="","",$I514*(1-$U514))</f>
        <v>1E-3</v>
      </c>
      <c r="U514" s="16">
        <f>IFERROR(INDEX(BASE_CCLASSTRIB!$E:$E, MATCH(TEXT($D514,"000000"), BASE_CCLASSTRIB!$A:$A, 0))/100, 0)</f>
        <v>0</v>
      </c>
      <c r="V514" s="16">
        <f>IFERROR(INDEX(BASE_CCLASSTRIB!$F:$F, MATCH(TEXT($D514,"000000"), BASE_CCLASSTRIB!$A:$A, 0))/100, 0)</f>
        <v>0</v>
      </c>
    </row>
    <row r="515" spans="4:22" ht="32.25" customHeight="1">
      <c r="D515" s="39"/>
      <c r="E515" s="27" t="str">
        <f>IF(D515="","",LEFT(D515,3))</f>
        <v/>
      </c>
      <c r="F515" s="28" t="str">
        <f>IF(E515="","",IFERROR(VLOOKUP(E515,REGRAS_CST!$A$2:$B$200,2,FALSE),""))</f>
        <v/>
      </c>
      <c r="H515" s="29">
        <v>8.9999999999999993E-3</v>
      </c>
      <c r="I515" s="29">
        <v>1E-3</v>
      </c>
      <c r="K515" s="21" t="str">
        <f>IF(E515="","",IFERROR(VLOOKUP(E515,REGRAS_CST!$A$2:$C$200,3,FALSE),""))</f>
        <v/>
      </c>
      <c r="L515" s="23" t="str">
        <f>IF($G515="", "", $G515*(1-$V515))</f>
        <v/>
      </c>
      <c r="M515" s="24" t="str">
        <f>IF(OR($L515="",$S515=""),"",$L515*$S515)</f>
        <v/>
      </c>
      <c r="N515" s="24" t="str">
        <f>IF(OR($L515="",$T515=""),"",$L515*$T515)</f>
        <v/>
      </c>
      <c r="O515" s="15" t="str">
        <f>IF(D515="","",
IF(AND(K515&lt;&gt;"SIM",V515&gt;0),"ERRO: % BC &gt; 0, mas NÃO permitida ❌",
IF(AND(K515="SIM",V515=0),"ATENÇÃO: BC permitida, mas % = 0 🔎",
"Base de cálculo aplicada corretamente ✅")))</f>
        <v/>
      </c>
      <c r="P515" s="31" t="str">
        <f>IF(D515="","",
IF(AND(Q515&lt;&gt;"SIM",U515&gt;0),"ERRO: % alíquota &gt; 0, mas NÃO permitida ❌",
IF(AND(Q515="SIM",U515=0),"ATENÇÃO: alíquota permitida, mas % = 0 🔎",
"Alíquota aplicada corretamente ✅")))</f>
        <v/>
      </c>
      <c r="Q515" s="8" t="str">
        <f>IF(E515="","",IFERROR(VLOOKUP(E515,REGRAS_CST!$A$2:$D$200,4,FALSE),""))</f>
        <v/>
      </c>
      <c r="S515" s="9">
        <f>IF($H515="","",$H515*(1-$U515))</f>
        <v>8.9999999999999993E-3</v>
      </c>
      <c r="T515" s="9">
        <f>IF($I515="","",$I515*(1-$U515))</f>
        <v>1E-3</v>
      </c>
      <c r="U515" s="16">
        <f>IFERROR(INDEX(BASE_CCLASSTRIB!$E:$E, MATCH(TEXT($D515,"000000"), BASE_CCLASSTRIB!$A:$A, 0))/100, 0)</f>
        <v>0</v>
      </c>
      <c r="V515" s="16">
        <f>IFERROR(INDEX(BASE_CCLASSTRIB!$F:$F, MATCH(TEXT($D515,"000000"), BASE_CCLASSTRIB!$A:$A, 0))/100, 0)</f>
        <v>0</v>
      </c>
    </row>
    <row r="516" spans="4:22" ht="32.25" customHeight="1">
      <c r="D516" s="39"/>
      <c r="E516" s="27" t="str">
        <f>IF(D516="","",LEFT(D516,3))</f>
        <v/>
      </c>
      <c r="F516" s="28" t="str">
        <f>IF(E516="","",IFERROR(VLOOKUP(E516,REGRAS_CST!$A$2:$B$200,2,FALSE),""))</f>
        <v/>
      </c>
      <c r="H516" s="29">
        <v>8.9999999999999993E-3</v>
      </c>
      <c r="I516" s="29">
        <v>1E-3</v>
      </c>
      <c r="K516" s="21" t="str">
        <f>IF(E516="","",IFERROR(VLOOKUP(E516,REGRAS_CST!$A$2:$C$200,3,FALSE),""))</f>
        <v/>
      </c>
      <c r="L516" s="23" t="str">
        <f>IF($G516="", "", $G516*(1-$V516))</f>
        <v/>
      </c>
      <c r="M516" s="24" t="str">
        <f>IF(OR($L516="",$S516=""),"",$L516*$S516)</f>
        <v/>
      </c>
      <c r="N516" s="24" t="str">
        <f>IF(OR($L516="",$T516=""),"",$L516*$T516)</f>
        <v/>
      </c>
      <c r="O516" s="15" t="str">
        <f>IF(D516="","",
IF(AND(K516&lt;&gt;"SIM",V516&gt;0),"ERRO: % BC &gt; 0, mas NÃO permitida ❌",
IF(AND(K516="SIM",V516=0),"ATENÇÃO: BC permitida, mas % = 0 🔎",
"Base de cálculo aplicada corretamente ✅")))</f>
        <v/>
      </c>
      <c r="P516" s="31" t="str">
        <f>IF(D516="","",
IF(AND(Q516&lt;&gt;"SIM",U516&gt;0),"ERRO: % alíquota &gt; 0, mas NÃO permitida ❌",
IF(AND(Q516="SIM",U516=0),"ATENÇÃO: alíquota permitida, mas % = 0 🔎",
"Alíquota aplicada corretamente ✅")))</f>
        <v/>
      </c>
      <c r="Q516" s="8" t="str">
        <f>IF(E516="","",IFERROR(VLOOKUP(E516,REGRAS_CST!$A$2:$D$200,4,FALSE),""))</f>
        <v/>
      </c>
      <c r="S516" s="9">
        <f>IF($H516="","",$H516*(1-$U516))</f>
        <v>8.9999999999999993E-3</v>
      </c>
      <c r="T516" s="9">
        <f>IF($I516="","",$I516*(1-$U516))</f>
        <v>1E-3</v>
      </c>
      <c r="U516" s="16">
        <f>IFERROR(INDEX(BASE_CCLASSTRIB!$E:$E, MATCH(TEXT($D516,"000000"), BASE_CCLASSTRIB!$A:$A, 0))/100, 0)</f>
        <v>0</v>
      </c>
      <c r="V516" s="16">
        <f>IFERROR(INDEX(BASE_CCLASSTRIB!$F:$F, MATCH(TEXT($D516,"000000"), BASE_CCLASSTRIB!$A:$A, 0))/100, 0)</f>
        <v>0</v>
      </c>
    </row>
    <row r="517" spans="4:22" ht="32.25" customHeight="1">
      <c r="D517" s="39"/>
      <c r="E517" s="27" t="str">
        <f>IF(D517="","",LEFT(D517,3))</f>
        <v/>
      </c>
      <c r="F517" s="28" t="str">
        <f>IF(E517="","",IFERROR(VLOOKUP(E517,REGRAS_CST!$A$2:$B$200,2,FALSE),""))</f>
        <v/>
      </c>
      <c r="H517" s="29">
        <v>8.9999999999999993E-3</v>
      </c>
      <c r="I517" s="29">
        <v>1E-3</v>
      </c>
      <c r="K517" s="21" t="str">
        <f>IF(E517="","",IFERROR(VLOOKUP(E517,REGRAS_CST!$A$2:$C$200,3,FALSE),""))</f>
        <v/>
      </c>
      <c r="L517" s="23" t="str">
        <f>IF($G517="", "", $G517*(1-$V517))</f>
        <v/>
      </c>
      <c r="M517" s="24" t="str">
        <f>IF(OR($L517="",$S517=""),"",$L517*$S517)</f>
        <v/>
      </c>
      <c r="N517" s="24" t="str">
        <f>IF(OR($L517="",$T517=""),"",$L517*$T517)</f>
        <v/>
      </c>
      <c r="O517" s="15" t="str">
        <f>IF(D517="","",
IF(AND(K517&lt;&gt;"SIM",V517&gt;0),"ERRO: % BC &gt; 0, mas NÃO permitida ❌",
IF(AND(K517="SIM",V517=0),"ATENÇÃO: BC permitida, mas % = 0 🔎",
"Base de cálculo aplicada corretamente ✅")))</f>
        <v/>
      </c>
      <c r="P517" s="31" t="str">
        <f>IF(D517="","",
IF(AND(Q517&lt;&gt;"SIM",U517&gt;0),"ERRO: % alíquota &gt; 0, mas NÃO permitida ❌",
IF(AND(Q517="SIM",U517=0),"ATENÇÃO: alíquota permitida, mas % = 0 🔎",
"Alíquota aplicada corretamente ✅")))</f>
        <v/>
      </c>
      <c r="Q517" s="8" t="str">
        <f>IF(E517="","",IFERROR(VLOOKUP(E517,REGRAS_CST!$A$2:$D$200,4,FALSE),""))</f>
        <v/>
      </c>
      <c r="S517" s="9">
        <f>IF($H517="","",$H517*(1-$U517))</f>
        <v>8.9999999999999993E-3</v>
      </c>
      <c r="T517" s="9">
        <f>IF($I517="","",$I517*(1-$U517))</f>
        <v>1E-3</v>
      </c>
      <c r="U517" s="16">
        <f>IFERROR(INDEX(BASE_CCLASSTRIB!$E:$E, MATCH(TEXT($D517,"000000"), BASE_CCLASSTRIB!$A:$A, 0))/100, 0)</f>
        <v>0</v>
      </c>
      <c r="V517" s="16">
        <f>IFERROR(INDEX(BASE_CCLASSTRIB!$F:$F, MATCH(TEXT($D517,"000000"), BASE_CCLASSTRIB!$A:$A, 0))/100, 0)</f>
        <v>0</v>
      </c>
    </row>
    <row r="518" spans="4:22" ht="32.25" customHeight="1">
      <c r="D518" s="40"/>
      <c r="E518" s="27" t="str">
        <f>IF(D518="","",LEFT(D518,3))</f>
        <v/>
      </c>
      <c r="F518" s="28" t="str">
        <f>IF(E518="","",IFERROR(VLOOKUP(E518,REGRAS_CST!$A$2:$B$200,2,FALSE),""))</f>
        <v/>
      </c>
      <c r="H518" s="29">
        <v>8.9999999999999993E-3</v>
      </c>
      <c r="I518" s="29">
        <v>1E-3</v>
      </c>
      <c r="K518" s="21" t="str">
        <f>IF(E518="","",IFERROR(VLOOKUP(E518,REGRAS_CST!$A$2:$C$200,3,FALSE),""))</f>
        <v/>
      </c>
      <c r="L518" s="23" t="str">
        <f>IF($G518="", "", $G518*(1-$V518))</f>
        <v/>
      </c>
      <c r="M518" s="24" t="str">
        <f>IF(OR($L518="",$S518=""),"",$L518*$S518)</f>
        <v/>
      </c>
      <c r="N518" s="24" t="str">
        <f>IF(OR($L518="",$T518=""),"",$L518*$T518)</f>
        <v/>
      </c>
      <c r="O518" s="15" t="str">
        <f>IF(D518="","",
IF(AND(K518&lt;&gt;"SIM",V518&gt;0),"ERRO: % BC &gt; 0, mas NÃO permitida ❌",
IF(AND(K518="SIM",V518=0),"ATENÇÃO: BC permitida, mas % = 0 🔎",
"Base de cálculo aplicada corretamente ✅")))</f>
        <v/>
      </c>
      <c r="P518" s="31" t="str">
        <f>IF(D518="","",
IF(AND(Q518&lt;&gt;"SIM",U518&gt;0),"ERRO: % alíquota &gt; 0, mas NÃO permitida ❌",
IF(AND(Q518="SIM",U518=0),"ATENÇÃO: alíquota permitida, mas % = 0 🔎",
"Alíquota aplicada corretamente ✅")))</f>
        <v/>
      </c>
      <c r="Q518" s="8" t="str">
        <f>IF(E518="","",IFERROR(VLOOKUP(E518,REGRAS_CST!$A$2:$D$200,4,FALSE),""))</f>
        <v/>
      </c>
      <c r="S518" s="9">
        <f>IF($H518="","",$H518*(1-$U518))</f>
        <v>8.9999999999999993E-3</v>
      </c>
      <c r="T518" s="9">
        <f>IF($I518="","",$I518*(1-$U518))</f>
        <v>1E-3</v>
      </c>
      <c r="U518" s="16">
        <f>IFERROR(INDEX(BASE_CCLASSTRIB!$E:$E, MATCH(TEXT($D518,"000000"), BASE_CCLASSTRIB!$A:$A, 0))/100, 0)</f>
        <v>0</v>
      </c>
      <c r="V518" s="16">
        <f>IFERROR(INDEX(BASE_CCLASSTRIB!$F:$F, MATCH(TEXT($D518,"000000"), BASE_CCLASSTRIB!$A:$A, 0))/100, 0)</f>
        <v>0</v>
      </c>
    </row>
    <row r="519" spans="4:22" ht="32.25" customHeight="1">
      <c r="D519" s="39"/>
      <c r="E519" s="27" t="str">
        <f>IF(D519="","",LEFT(D519,3))</f>
        <v/>
      </c>
      <c r="F519" s="28" t="str">
        <f>IF(E519="","",IFERROR(VLOOKUP(E519,REGRAS_CST!$A$2:$B$200,2,FALSE),""))</f>
        <v/>
      </c>
      <c r="H519" s="29">
        <v>8.9999999999999993E-3</v>
      </c>
      <c r="I519" s="29">
        <v>1E-3</v>
      </c>
      <c r="K519" s="21" t="str">
        <f>IF(E519="","",IFERROR(VLOOKUP(E519,REGRAS_CST!$A$2:$C$200,3,FALSE),""))</f>
        <v/>
      </c>
      <c r="L519" s="23" t="str">
        <f>IF($G519="", "", $G519*(1-$V519))</f>
        <v/>
      </c>
      <c r="M519" s="24" t="str">
        <f>IF(OR($L519="",$S519=""),"",$L519*$S519)</f>
        <v/>
      </c>
      <c r="N519" s="24" t="str">
        <f>IF(OR($L519="",$T519=""),"",$L519*$T519)</f>
        <v/>
      </c>
      <c r="O519" s="15" t="str">
        <f>IF(D519="","",
IF(AND(K519&lt;&gt;"SIM",V519&gt;0),"ERRO: % BC &gt; 0, mas NÃO permitida ❌",
IF(AND(K519="SIM",V519=0),"ATENÇÃO: BC permitida, mas % = 0 🔎",
"Base de cálculo aplicada corretamente ✅")))</f>
        <v/>
      </c>
      <c r="P519" s="31" t="str">
        <f>IF(D519="","",
IF(AND(Q519&lt;&gt;"SIM",U519&gt;0),"ERRO: % alíquota &gt; 0, mas NÃO permitida ❌",
IF(AND(Q519="SIM",U519=0),"ATENÇÃO: alíquota permitida, mas % = 0 🔎",
"Alíquota aplicada corretamente ✅")))</f>
        <v/>
      </c>
      <c r="Q519" s="8" t="str">
        <f>IF(E519="","",IFERROR(VLOOKUP(E519,REGRAS_CST!$A$2:$D$200,4,FALSE),""))</f>
        <v/>
      </c>
      <c r="S519" s="9">
        <f>IF($H519="","",$H519*(1-$U519))</f>
        <v>8.9999999999999993E-3</v>
      </c>
      <c r="T519" s="9">
        <f>IF($I519="","",$I519*(1-$U519))</f>
        <v>1E-3</v>
      </c>
      <c r="U519" s="16">
        <f>IFERROR(INDEX(BASE_CCLASSTRIB!$E:$E, MATCH(TEXT($D519,"000000"), BASE_CCLASSTRIB!$A:$A, 0))/100, 0)</f>
        <v>0</v>
      </c>
      <c r="V519" s="16">
        <f>IFERROR(INDEX(BASE_CCLASSTRIB!$F:$F, MATCH(TEXT($D519,"000000"), BASE_CCLASSTRIB!$A:$A, 0))/100, 0)</f>
        <v>0</v>
      </c>
    </row>
    <row r="520" spans="4:22" ht="32.25" customHeight="1">
      <c r="D520" s="39"/>
      <c r="E520" s="27" t="str">
        <f>IF(D520="","",LEFT(D520,3))</f>
        <v/>
      </c>
      <c r="F520" s="28" t="str">
        <f>IF(E520="","",IFERROR(VLOOKUP(E520,REGRAS_CST!$A$2:$B$200,2,FALSE),""))</f>
        <v/>
      </c>
      <c r="H520" s="29">
        <v>8.9999999999999993E-3</v>
      </c>
      <c r="I520" s="29">
        <v>1E-3</v>
      </c>
      <c r="K520" s="21" t="str">
        <f>IF(E520="","",IFERROR(VLOOKUP(E520,REGRAS_CST!$A$2:$C$200,3,FALSE),""))</f>
        <v/>
      </c>
      <c r="L520" s="23" t="str">
        <f>IF($G520="", "", $G520*(1-$V520))</f>
        <v/>
      </c>
      <c r="M520" s="24" t="str">
        <f>IF(OR($L520="",$S520=""),"",$L520*$S520)</f>
        <v/>
      </c>
      <c r="N520" s="24" t="str">
        <f>IF(OR($L520="",$T520=""),"",$L520*$T520)</f>
        <v/>
      </c>
      <c r="O520" s="15" t="str">
        <f>IF(D520="","",
IF(AND(K520&lt;&gt;"SIM",V520&gt;0),"ERRO: % BC &gt; 0, mas NÃO permitida ❌",
IF(AND(K520="SIM",V520=0),"ATENÇÃO: BC permitida, mas % = 0 🔎",
"Base de cálculo aplicada corretamente ✅")))</f>
        <v/>
      </c>
      <c r="P520" s="31" t="str">
        <f>IF(D520="","",
IF(AND(Q520&lt;&gt;"SIM",U520&gt;0),"ERRO: % alíquota &gt; 0, mas NÃO permitida ❌",
IF(AND(Q520="SIM",U520=0),"ATENÇÃO: alíquota permitida, mas % = 0 🔎",
"Alíquota aplicada corretamente ✅")))</f>
        <v/>
      </c>
      <c r="Q520" s="8" t="str">
        <f>IF(E520="","",IFERROR(VLOOKUP(E520,REGRAS_CST!$A$2:$D$200,4,FALSE),""))</f>
        <v/>
      </c>
      <c r="S520" s="9">
        <f>IF($H520="","",$H520*(1-$U520))</f>
        <v>8.9999999999999993E-3</v>
      </c>
      <c r="T520" s="9">
        <f>IF($I520="","",$I520*(1-$U520))</f>
        <v>1E-3</v>
      </c>
      <c r="U520" s="16">
        <f>IFERROR(INDEX(BASE_CCLASSTRIB!$E:$E, MATCH(TEXT($D520,"000000"), BASE_CCLASSTRIB!$A:$A, 0))/100, 0)</f>
        <v>0</v>
      </c>
      <c r="V520" s="16">
        <f>IFERROR(INDEX(BASE_CCLASSTRIB!$F:$F, MATCH(TEXT($D520,"000000"), BASE_CCLASSTRIB!$A:$A, 0))/100, 0)</f>
        <v>0</v>
      </c>
    </row>
    <row r="521" spans="4:22" ht="32.25" customHeight="1">
      <c r="D521" s="39"/>
      <c r="E521" s="27" t="str">
        <f>IF(D521="","",LEFT(D521,3))</f>
        <v/>
      </c>
      <c r="F521" s="28" t="str">
        <f>IF(E521="","",IFERROR(VLOOKUP(E521,REGRAS_CST!$A$2:$B$200,2,FALSE),""))</f>
        <v/>
      </c>
      <c r="H521" s="29">
        <v>8.9999999999999993E-3</v>
      </c>
      <c r="I521" s="29">
        <v>1E-3</v>
      </c>
      <c r="K521" s="21" t="str">
        <f>IF(E521="","",IFERROR(VLOOKUP(E521,REGRAS_CST!$A$2:$C$200,3,FALSE),""))</f>
        <v/>
      </c>
      <c r="L521" s="23" t="str">
        <f>IF($G521="", "", $G521*(1-$V521))</f>
        <v/>
      </c>
      <c r="M521" s="24" t="str">
        <f>IF(OR($L521="",$S521=""),"",$L521*$S521)</f>
        <v/>
      </c>
      <c r="N521" s="24" t="str">
        <f>IF(OR($L521="",$T521=""),"",$L521*$T521)</f>
        <v/>
      </c>
      <c r="O521" s="15" t="str">
        <f>IF(D521="","",
IF(AND(K521&lt;&gt;"SIM",V521&gt;0),"ERRO: % BC &gt; 0, mas NÃO permitida ❌",
IF(AND(K521="SIM",V521=0),"ATENÇÃO: BC permitida, mas % = 0 🔎",
"Base de cálculo aplicada corretamente ✅")))</f>
        <v/>
      </c>
      <c r="P521" s="31" t="str">
        <f>IF(D521="","",
IF(AND(Q521&lt;&gt;"SIM",U521&gt;0),"ERRO: % alíquota &gt; 0, mas NÃO permitida ❌",
IF(AND(Q521="SIM",U521=0),"ATENÇÃO: alíquota permitida, mas % = 0 🔎",
"Alíquota aplicada corretamente ✅")))</f>
        <v/>
      </c>
      <c r="Q521" s="8" t="str">
        <f>IF(E521="","",IFERROR(VLOOKUP(E521,REGRAS_CST!$A$2:$D$200,4,FALSE),""))</f>
        <v/>
      </c>
      <c r="S521" s="9">
        <f>IF($H521="","",$H521*(1-$U521))</f>
        <v>8.9999999999999993E-3</v>
      </c>
      <c r="T521" s="9">
        <f>IF($I521="","",$I521*(1-$U521))</f>
        <v>1E-3</v>
      </c>
      <c r="U521" s="16">
        <f>IFERROR(INDEX(BASE_CCLASSTRIB!$E:$E, MATCH(TEXT($D521,"000000"), BASE_CCLASSTRIB!$A:$A, 0))/100, 0)</f>
        <v>0</v>
      </c>
      <c r="V521" s="16">
        <f>IFERROR(INDEX(BASE_CCLASSTRIB!$F:$F, MATCH(TEXT($D521,"000000"), BASE_CCLASSTRIB!$A:$A, 0))/100, 0)</f>
        <v>0</v>
      </c>
    </row>
    <row r="522" spans="4:22" ht="32.25" customHeight="1">
      <c r="D522" s="39"/>
      <c r="E522" s="27" t="str">
        <f>IF(D522="","",LEFT(D522,3))</f>
        <v/>
      </c>
      <c r="F522" s="28" t="str">
        <f>IF(E522="","",IFERROR(VLOOKUP(E522,REGRAS_CST!$A$2:$B$200,2,FALSE),""))</f>
        <v/>
      </c>
      <c r="H522" s="29">
        <v>8.9999999999999993E-3</v>
      </c>
      <c r="I522" s="29">
        <v>1E-3</v>
      </c>
      <c r="K522" s="21" t="str">
        <f>IF(E522="","",IFERROR(VLOOKUP(E522,REGRAS_CST!$A$2:$C$200,3,FALSE),""))</f>
        <v/>
      </c>
      <c r="L522" s="23" t="str">
        <f>IF($G522="", "", $G522*(1-$V522))</f>
        <v/>
      </c>
      <c r="M522" s="24" t="str">
        <f>IF(OR($L522="",$S522=""),"",$L522*$S522)</f>
        <v/>
      </c>
      <c r="N522" s="24" t="str">
        <f>IF(OR($L522="",$T522=""),"",$L522*$T522)</f>
        <v/>
      </c>
      <c r="O522" s="15" t="str">
        <f>IF(D522="","",
IF(AND(K522&lt;&gt;"SIM",V522&gt;0),"ERRO: % BC &gt; 0, mas NÃO permitida ❌",
IF(AND(K522="SIM",V522=0),"ATENÇÃO: BC permitida, mas % = 0 🔎",
"Base de cálculo aplicada corretamente ✅")))</f>
        <v/>
      </c>
      <c r="P522" s="31" t="str">
        <f>IF(D522="","",
IF(AND(Q522&lt;&gt;"SIM",U522&gt;0),"ERRO: % alíquota &gt; 0, mas NÃO permitida ❌",
IF(AND(Q522="SIM",U522=0),"ATENÇÃO: alíquota permitida, mas % = 0 🔎",
"Alíquota aplicada corretamente ✅")))</f>
        <v/>
      </c>
      <c r="Q522" s="8" t="str">
        <f>IF(E522="","",IFERROR(VLOOKUP(E522,REGRAS_CST!$A$2:$D$200,4,FALSE),""))</f>
        <v/>
      </c>
      <c r="S522" s="9">
        <f>IF($H522="","",$H522*(1-$U522))</f>
        <v>8.9999999999999993E-3</v>
      </c>
      <c r="T522" s="9">
        <f>IF($I522="","",$I522*(1-$U522))</f>
        <v>1E-3</v>
      </c>
      <c r="U522" s="16">
        <f>IFERROR(INDEX(BASE_CCLASSTRIB!$E:$E, MATCH(TEXT($D522,"000000"), BASE_CCLASSTRIB!$A:$A, 0))/100, 0)</f>
        <v>0</v>
      </c>
      <c r="V522" s="16">
        <f>IFERROR(INDEX(BASE_CCLASSTRIB!$F:$F, MATCH(TEXT($D522,"000000"), BASE_CCLASSTRIB!$A:$A, 0))/100, 0)</f>
        <v>0</v>
      </c>
    </row>
    <row r="523" spans="4:22" ht="32.25" customHeight="1">
      <c r="D523" s="40"/>
      <c r="E523" s="27" t="str">
        <f>IF(D523="","",LEFT(D523,3))</f>
        <v/>
      </c>
      <c r="F523" s="28" t="str">
        <f>IF(E523="","",IFERROR(VLOOKUP(E523,REGRAS_CST!$A$2:$B$200,2,FALSE),""))</f>
        <v/>
      </c>
      <c r="H523" s="29">
        <v>8.9999999999999993E-3</v>
      </c>
      <c r="I523" s="29">
        <v>1E-3</v>
      </c>
      <c r="K523" s="21" t="str">
        <f>IF(E523="","",IFERROR(VLOOKUP(E523,REGRAS_CST!$A$2:$C$200,3,FALSE),""))</f>
        <v/>
      </c>
      <c r="L523" s="23" t="str">
        <f>IF($G523="", "", $G523*(1-$V523))</f>
        <v/>
      </c>
      <c r="M523" s="24" t="str">
        <f>IF(OR($L523="",$S523=""),"",$L523*$S523)</f>
        <v/>
      </c>
      <c r="N523" s="24" t="str">
        <f>IF(OR($L523="",$T523=""),"",$L523*$T523)</f>
        <v/>
      </c>
      <c r="O523" s="15" t="str">
        <f>IF(D523="","",
IF(AND(K523&lt;&gt;"SIM",V523&gt;0),"ERRO: % BC &gt; 0, mas NÃO permitida ❌",
IF(AND(K523="SIM",V523=0),"ATENÇÃO: BC permitida, mas % = 0 🔎",
"Base de cálculo aplicada corretamente ✅")))</f>
        <v/>
      </c>
      <c r="P523" s="31" t="str">
        <f>IF(D523="","",
IF(AND(Q523&lt;&gt;"SIM",U523&gt;0),"ERRO: % alíquota &gt; 0, mas NÃO permitida ❌",
IF(AND(Q523="SIM",U523=0),"ATENÇÃO: alíquota permitida, mas % = 0 🔎",
"Alíquota aplicada corretamente ✅")))</f>
        <v/>
      </c>
      <c r="Q523" s="8" t="str">
        <f>IF(E523="","",IFERROR(VLOOKUP(E523,REGRAS_CST!$A$2:$D$200,4,FALSE),""))</f>
        <v/>
      </c>
      <c r="S523" s="9">
        <f>IF($H523="","",$H523*(1-$U523))</f>
        <v>8.9999999999999993E-3</v>
      </c>
      <c r="T523" s="9">
        <f>IF($I523="","",$I523*(1-$U523))</f>
        <v>1E-3</v>
      </c>
      <c r="U523" s="16">
        <f>IFERROR(INDEX(BASE_CCLASSTRIB!$E:$E, MATCH(TEXT($D523,"000000"), BASE_CCLASSTRIB!$A:$A, 0))/100, 0)</f>
        <v>0</v>
      </c>
      <c r="V523" s="16">
        <f>IFERROR(INDEX(BASE_CCLASSTRIB!$F:$F, MATCH(TEXT($D523,"000000"), BASE_CCLASSTRIB!$A:$A, 0))/100, 0)</f>
        <v>0</v>
      </c>
    </row>
    <row r="524" spans="4:22" ht="32.25" customHeight="1">
      <c r="D524" s="39"/>
      <c r="E524" s="27" t="str">
        <f>IF(D524="","",LEFT(D524,3))</f>
        <v/>
      </c>
      <c r="F524" s="28" t="str">
        <f>IF(E524="","",IFERROR(VLOOKUP(E524,REGRAS_CST!$A$2:$B$200,2,FALSE),""))</f>
        <v/>
      </c>
      <c r="H524" s="29">
        <v>8.9999999999999993E-3</v>
      </c>
      <c r="I524" s="29">
        <v>1E-3</v>
      </c>
      <c r="K524" s="21" t="str">
        <f>IF(E524="","",IFERROR(VLOOKUP(E524,REGRAS_CST!$A$2:$C$200,3,FALSE),""))</f>
        <v/>
      </c>
      <c r="L524" s="23" t="str">
        <f>IF($G524="", "", $G524*(1-$V524))</f>
        <v/>
      </c>
      <c r="M524" s="24" t="str">
        <f>IF(OR($L524="",$S524=""),"",$L524*$S524)</f>
        <v/>
      </c>
      <c r="N524" s="24" t="str">
        <f>IF(OR($L524="",$T524=""),"",$L524*$T524)</f>
        <v/>
      </c>
      <c r="O524" s="15" t="str">
        <f>IF(D524="","",
IF(AND(K524&lt;&gt;"SIM",V524&gt;0),"ERRO: % BC &gt; 0, mas NÃO permitida ❌",
IF(AND(K524="SIM",V524=0),"ATENÇÃO: BC permitida, mas % = 0 🔎",
"Base de cálculo aplicada corretamente ✅")))</f>
        <v/>
      </c>
      <c r="P524" s="31" t="str">
        <f>IF(D524="","",
IF(AND(Q524&lt;&gt;"SIM",U524&gt;0),"ERRO: % alíquota &gt; 0, mas NÃO permitida ❌",
IF(AND(Q524="SIM",U524=0),"ATENÇÃO: alíquota permitida, mas % = 0 🔎",
"Alíquota aplicada corretamente ✅")))</f>
        <v/>
      </c>
      <c r="Q524" s="8" t="str">
        <f>IF(E524="","",IFERROR(VLOOKUP(E524,REGRAS_CST!$A$2:$D$200,4,FALSE),""))</f>
        <v/>
      </c>
      <c r="S524" s="9">
        <f>IF($H524="","",$H524*(1-$U524))</f>
        <v>8.9999999999999993E-3</v>
      </c>
      <c r="T524" s="9">
        <f>IF($I524="","",$I524*(1-$U524))</f>
        <v>1E-3</v>
      </c>
      <c r="U524" s="16">
        <f>IFERROR(INDEX(BASE_CCLASSTRIB!$E:$E, MATCH(TEXT($D524,"000000"), BASE_CCLASSTRIB!$A:$A, 0))/100, 0)</f>
        <v>0</v>
      </c>
      <c r="V524" s="16">
        <f>IFERROR(INDEX(BASE_CCLASSTRIB!$F:$F, MATCH(TEXT($D524,"000000"), BASE_CCLASSTRIB!$A:$A, 0))/100, 0)</f>
        <v>0</v>
      </c>
    </row>
    <row r="525" spans="4:22" ht="32.25" customHeight="1">
      <c r="D525" s="39"/>
      <c r="E525" s="27" t="str">
        <f>IF(D525="","",LEFT(D525,3))</f>
        <v/>
      </c>
      <c r="F525" s="28" t="str">
        <f>IF(E525="","",IFERROR(VLOOKUP(E525,REGRAS_CST!$A$2:$B$200,2,FALSE),""))</f>
        <v/>
      </c>
      <c r="H525" s="29">
        <v>8.9999999999999993E-3</v>
      </c>
      <c r="I525" s="29">
        <v>1E-3</v>
      </c>
      <c r="K525" s="21" t="str">
        <f>IF(E525="","",IFERROR(VLOOKUP(E525,REGRAS_CST!$A$2:$C$200,3,FALSE),""))</f>
        <v/>
      </c>
      <c r="L525" s="23" t="str">
        <f>IF($G525="", "", $G525*(1-$V525))</f>
        <v/>
      </c>
      <c r="M525" s="24" t="str">
        <f>IF(OR($L525="",$S525=""),"",$L525*$S525)</f>
        <v/>
      </c>
      <c r="N525" s="24" t="str">
        <f>IF(OR($L525="",$T525=""),"",$L525*$T525)</f>
        <v/>
      </c>
      <c r="O525" s="15" t="str">
        <f>IF(D525="","",
IF(AND(K525&lt;&gt;"SIM",V525&gt;0),"ERRO: % BC &gt; 0, mas NÃO permitida ❌",
IF(AND(K525="SIM",V525=0),"ATENÇÃO: BC permitida, mas % = 0 🔎",
"Base de cálculo aplicada corretamente ✅")))</f>
        <v/>
      </c>
      <c r="P525" s="31" t="str">
        <f>IF(D525="","",
IF(AND(Q525&lt;&gt;"SIM",U525&gt;0),"ERRO: % alíquota &gt; 0, mas NÃO permitida ❌",
IF(AND(Q525="SIM",U525=0),"ATENÇÃO: alíquota permitida, mas % = 0 🔎",
"Alíquota aplicada corretamente ✅")))</f>
        <v/>
      </c>
      <c r="Q525" s="8" t="str">
        <f>IF(E525="","",IFERROR(VLOOKUP(E525,REGRAS_CST!$A$2:$D$200,4,FALSE),""))</f>
        <v/>
      </c>
      <c r="S525" s="9">
        <f>IF($H525="","",$H525*(1-$U525))</f>
        <v>8.9999999999999993E-3</v>
      </c>
      <c r="T525" s="9">
        <f>IF($I525="","",$I525*(1-$U525))</f>
        <v>1E-3</v>
      </c>
      <c r="U525" s="16">
        <f>IFERROR(INDEX(BASE_CCLASSTRIB!$E:$E, MATCH(TEXT($D525,"000000"), BASE_CCLASSTRIB!$A:$A, 0))/100, 0)</f>
        <v>0</v>
      </c>
      <c r="V525" s="16">
        <f>IFERROR(INDEX(BASE_CCLASSTRIB!$F:$F, MATCH(TEXT($D525,"000000"), BASE_CCLASSTRIB!$A:$A, 0))/100, 0)</f>
        <v>0</v>
      </c>
    </row>
    <row r="526" spans="4:22" ht="32.25" customHeight="1">
      <c r="D526" s="39"/>
      <c r="E526" s="27" t="str">
        <f>IF(D526="","",LEFT(D526,3))</f>
        <v/>
      </c>
      <c r="F526" s="28" t="str">
        <f>IF(E526="","",IFERROR(VLOOKUP(E526,REGRAS_CST!$A$2:$B$200,2,FALSE),""))</f>
        <v/>
      </c>
      <c r="H526" s="29">
        <v>8.9999999999999993E-3</v>
      </c>
      <c r="I526" s="29">
        <v>1E-3</v>
      </c>
      <c r="K526" s="21" t="str">
        <f>IF(E526="","",IFERROR(VLOOKUP(E526,REGRAS_CST!$A$2:$C$200,3,FALSE),""))</f>
        <v/>
      </c>
      <c r="L526" s="23" t="str">
        <f>IF($G526="", "", $G526*(1-$V526))</f>
        <v/>
      </c>
      <c r="M526" s="24" t="str">
        <f>IF(OR($L526="",$S526=""),"",$L526*$S526)</f>
        <v/>
      </c>
      <c r="N526" s="24" t="str">
        <f>IF(OR($L526="",$T526=""),"",$L526*$T526)</f>
        <v/>
      </c>
      <c r="O526" s="15" t="str">
        <f>IF(D526="","",
IF(AND(K526&lt;&gt;"SIM",V526&gt;0),"ERRO: % BC &gt; 0, mas NÃO permitida ❌",
IF(AND(K526="SIM",V526=0),"ATENÇÃO: BC permitida, mas % = 0 🔎",
"Base de cálculo aplicada corretamente ✅")))</f>
        <v/>
      </c>
      <c r="P526" s="31" t="str">
        <f>IF(D526="","",
IF(AND(Q526&lt;&gt;"SIM",U526&gt;0),"ERRO: % alíquota &gt; 0, mas NÃO permitida ❌",
IF(AND(Q526="SIM",U526=0),"ATENÇÃO: alíquota permitida, mas % = 0 🔎",
"Alíquota aplicada corretamente ✅")))</f>
        <v/>
      </c>
      <c r="Q526" s="8" t="str">
        <f>IF(E526="","",IFERROR(VLOOKUP(E526,REGRAS_CST!$A$2:$D$200,4,FALSE),""))</f>
        <v/>
      </c>
      <c r="S526" s="9">
        <f>IF($H526="","",$H526*(1-$U526))</f>
        <v>8.9999999999999993E-3</v>
      </c>
      <c r="T526" s="9">
        <f>IF($I526="","",$I526*(1-$U526))</f>
        <v>1E-3</v>
      </c>
      <c r="U526" s="16">
        <f>IFERROR(INDEX(BASE_CCLASSTRIB!$E:$E, MATCH(TEXT($D526,"000000"), BASE_CCLASSTRIB!$A:$A, 0))/100, 0)</f>
        <v>0</v>
      </c>
      <c r="V526" s="16">
        <f>IFERROR(INDEX(BASE_CCLASSTRIB!$F:$F, MATCH(TEXT($D526,"000000"), BASE_CCLASSTRIB!$A:$A, 0))/100, 0)</f>
        <v>0</v>
      </c>
    </row>
    <row r="527" spans="4:22" ht="32.25" customHeight="1">
      <c r="D527" s="40"/>
      <c r="E527" s="27" t="str">
        <f>IF(D527="","",LEFT(D527,3))</f>
        <v/>
      </c>
      <c r="F527" s="28" t="str">
        <f>IF(E527="","",IFERROR(VLOOKUP(E527,REGRAS_CST!$A$2:$B$200,2,FALSE),""))</f>
        <v/>
      </c>
      <c r="H527" s="29">
        <v>8.9999999999999993E-3</v>
      </c>
      <c r="I527" s="29">
        <v>1E-3</v>
      </c>
      <c r="K527" s="21" t="str">
        <f>IF(E527="","",IFERROR(VLOOKUP(E527,REGRAS_CST!$A$2:$C$200,3,FALSE),""))</f>
        <v/>
      </c>
      <c r="L527" s="23" t="str">
        <f>IF($G527="", "", $G527*(1-$V527))</f>
        <v/>
      </c>
      <c r="M527" s="24" t="str">
        <f>IF(OR($L527="",$S527=""),"",$L527*$S527)</f>
        <v/>
      </c>
      <c r="N527" s="24" t="str">
        <f>IF(OR($L527="",$T527=""),"",$L527*$T527)</f>
        <v/>
      </c>
      <c r="O527" s="15" t="str">
        <f>IF(D527="","",
IF(AND(K527&lt;&gt;"SIM",V527&gt;0),"ERRO: % BC &gt; 0, mas NÃO permitida ❌",
IF(AND(K527="SIM",V527=0),"ATENÇÃO: BC permitida, mas % = 0 🔎",
"Base de cálculo aplicada corretamente ✅")))</f>
        <v/>
      </c>
      <c r="P527" s="31" t="str">
        <f>IF(D527="","",
IF(AND(Q527&lt;&gt;"SIM",U527&gt;0),"ERRO: % alíquota &gt; 0, mas NÃO permitida ❌",
IF(AND(Q527="SIM",U527=0),"ATENÇÃO: alíquota permitida, mas % = 0 🔎",
"Alíquota aplicada corretamente ✅")))</f>
        <v/>
      </c>
      <c r="Q527" s="8" t="str">
        <f>IF(E527="","",IFERROR(VLOOKUP(E527,REGRAS_CST!$A$2:$D$200,4,FALSE),""))</f>
        <v/>
      </c>
      <c r="S527" s="9">
        <f>IF($H527="","",$H527*(1-$U527))</f>
        <v>8.9999999999999993E-3</v>
      </c>
      <c r="T527" s="9">
        <f>IF($I527="","",$I527*(1-$U527))</f>
        <v>1E-3</v>
      </c>
      <c r="U527" s="16">
        <f>IFERROR(INDEX(BASE_CCLASSTRIB!$E:$E, MATCH(TEXT($D527,"000000"), BASE_CCLASSTRIB!$A:$A, 0))/100, 0)</f>
        <v>0</v>
      </c>
      <c r="V527" s="16">
        <f>IFERROR(INDEX(BASE_CCLASSTRIB!$F:$F, MATCH(TEXT($D527,"000000"), BASE_CCLASSTRIB!$A:$A, 0))/100, 0)</f>
        <v>0</v>
      </c>
    </row>
    <row r="528" spans="4:22" ht="32.25" customHeight="1">
      <c r="D528" s="39"/>
      <c r="E528" s="27" t="str">
        <f>IF(D528="","",LEFT(D528,3))</f>
        <v/>
      </c>
      <c r="F528" s="28" t="str">
        <f>IF(E528="","",IFERROR(VLOOKUP(E528,REGRAS_CST!$A$2:$B$200,2,FALSE),""))</f>
        <v/>
      </c>
      <c r="H528" s="29">
        <v>8.9999999999999993E-3</v>
      </c>
      <c r="I528" s="29">
        <v>1E-3</v>
      </c>
      <c r="K528" s="21" t="str">
        <f>IF(E528="","",IFERROR(VLOOKUP(E528,REGRAS_CST!$A$2:$C$200,3,FALSE),""))</f>
        <v/>
      </c>
      <c r="L528" s="23" t="str">
        <f>IF($G528="", "", $G528*(1-$V528))</f>
        <v/>
      </c>
      <c r="M528" s="24" t="str">
        <f>IF(OR($L528="",$S528=""),"",$L528*$S528)</f>
        <v/>
      </c>
      <c r="N528" s="24" t="str">
        <f>IF(OR($L528="",$T528=""),"",$L528*$T528)</f>
        <v/>
      </c>
      <c r="O528" s="15" t="str">
        <f>IF(D528="","",
IF(AND(K528&lt;&gt;"SIM",V528&gt;0),"ERRO: % BC &gt; 0, mas NÃO permitida ❌",
IF(AND(K528="SIM",V528=0),"ATENÇÃO: BC permitida, mas % = 0 🔎",
"Base de cálculo aplicada corretamente ✅")))</f>
        <v/>
      </c>
      <c r="P528" s="31" t="str">
        <f>IF(D528="","",
IF(AND(Q528&lt;&gt;"SIM",U528&gt;0),"ERRO: % alíquota &gt; 0, mas NÃO permitida ❌",
IF(AND(Q528="SIM",U528=0),"ATENÇÃO: alíquota permitida, mas % = 0 🔎",
"Alíquota aplicada corretamente ✅")))</f>
        <v/>
      </c>
      <c r="Q528" s="8" t="str">
        <f>IF(E528="","",IFERROR(VLOOKUP(E528,REGRAS_CST!$A$2:$D$200,4,FALSE),""))</f>
        <v/>
      </c>
      <c r="S528" s="9">
        <f>IF($H528="","",$H528*(1-$U528))</f>
        <v>8.9999999999999993E-3</v>
      </c>
      <c r="T528" s="9">
        <f>IF($I528="","",$I528*(1-$U528))</f>
        <v>1E-3</v>
      </c>
      <c r="U528" s="16">
        <f>IFERROR(INDEX(BASE_CCLASSTRIB!$E:$E, MATCH(TEXT($D528,"000000"), BASE_CCLASSTRIB!$A:$A, 0))/100, 0)</f>
        <v>0</v>
      </c>
      <c r="V528" s="16">
        <f>IFERROR(INDEX(BASE_CCLASSTRIB!$F:$F, MATCH(TEXT($D528,"000000"), BASE_CCLASSTRIB!$A:$A, 0))/100, 0)</f>
        <v>0</v>
      </c>
    </row>
    <row r="529" spans="4:22" ht="32.25" customHeight="1">
      <c r="D529" s="39"/>
      <c r="E529" s="27" t="str">
        <f>IF(D529="","",LEFT(D529,3))</f>
        <v/>
      </c>
      <c r="F529" s="28" t="str">
        <f>IF(E529="","",IFERROR(VLOOKUP(E529,REGRAS_CST!$A$2:$B$200,2,FALSE),""))</f>
        <v/>
      </c>
      <c r="H529" s="29">
        <v>8.9999999999999993E-3</v>
      </c>
      <c r="I529" s="29">
        <v>1E-3</v>
      </c>
      <c r="K529" s="21" t="str">
        <f>IF(E529="","",IFERROR(VLOOKUP(E529,REGRAS_CST!$A$2:$C$200,3,FALSE),""))</f>
        <v/>
      </c>
      <c r="L529" s="23" t="str">
        <f>IF($G529="", "", $G529*(1-$V529))</f>
        <v/>
      </c>
      <c r="M529" s="24" t="str">
        <f>IF(OR($L529="",$S529=""),"",$L529*$S529)</f>
        <v/>
      </c>
      <c r="N529" s="24" t="str">
        <f>IF(OR($L529="",$T529=""),"",$L529*$T529)</f>
        <v/>
      </c>
      <c r="O529" s="15" t="str">
        <f>IF(D529="","",
IF(AND(K529&lt;&gt;"SIM",V529&gt;0),"ERRO: % BC &gt; 0, mas NÃO permitida ❌",
IF(AND(K529="SIM",V529=0),"ATENÇÃO: BC permitida, mas % = 0 🔎",
"Base de cálculo aplicada corretamente ✅")))</f>
        <v/>
      </c>
      <c r="P529" s="31" t="str">
        <f>IF(D529="","",
IF(AND(Q529&lt;&gt;"SIM",U529&gt;0),"ERRO: % alíquota &gt; 0, mas NÃO permitida ❌",
IF(AND(Q529="SIM",U529=0),"ATENÇÃO: alíquota permitida, mas % = 0 🔎",
"Alíquota aplicada corretamente ✅")))</f>
        <v/>
      </c>
      <c r="Q529" s="8" t="str">
        <f>IF(E529="","",IFERROR(VLOOKUP(E529,REGRAS_CST!$A$2:$D$200,4,FALSE),""))</f>
        <v/>
      </c>
      <c r="S529" s="9">
        <f>IF($H529="","",$H529*(1-$U529))</f>
        <v>8.9999999999999993E-3</v>
      </c>
      <c r="T529" s="9">
        <f>IF($I529="","",$I529*(1-$U529))</f>
        <v>1E-3</v>
      </c>
      <c r="U529" s="16">
        <f>IFERROR(INDEX(BASE_CCLASSTRIB!$E:$E, MATCH(TEXT($D529,"000000"), BASE_CCLASSTRIB!$A:$A, 0))/100, 0)</f>
        <v>0</v>
      </c>
      <c r="V529" s="16">
        <f>IFERROR(INDEX(BASE_CCLASSTRIB!$F:$F, MATCH(TEXT($D529,"000000"), BASE_CCLASSTRIB!$A:$A, 0))/100, 0)</f>
        <v>0</v>
      </c>
    </row>
    <row r="530" spans="4:22" ht="32.25" customHeight="1">
      <c r="D530" s="39"/>
      <c r="E530" s="27" t="str">
        <f>IF(D530="","",LEFT(D530,3))</f>
        <v/>
      </c>
      <c r="F530" s="28" t="str">
        <f>IF(E530="","",IFERROR(VLOOKUP(E530,REGRAS_CST!$A$2:$B$200,2,FALSE),""))</f>
        <v/>
      </c>
      <c r="H530" s="29">
        <v>8.9999999999999993E-3</v>
      </c>
      <c r="I530" s="29">
        <v>1E-3</v>
      </c>
      <c r="K530" s="21" t="str">
        <f>IF(E530="","",IFERROR(VLOOKUP(E530,REGRAS_CST!$A$2:$C$200,3,FALSE),""))</f>
        <v/>
      </c>
      <c r="L530" s="23" t="str">
        <f>IF($G530="", "", $G530*(1-$V530))</f>
        <v/>
      </c>
      <c r="M530" s="24" t="str">
        <f>IF(OR($L530="",$S530=""),"",$L530*$S530)</f>
        <v/>
      </c>
      <c r="N530" s="24" t="str">
        <f>IF(OR($L530="",$T530=""),"",$L530*$T530)</f>
        <v/>
      </c>
      <c r="O530" s="15" t="str">
        <f>IF(D530="","",
IF(AND(K530&lt;&gt;"SIM",V530&gt;0),"ERRO: % BC &gt; 0, mas NÃO permitida ❌",
IF(AND(K530="SIM",V530=0),"ATENÇÃO: BC permitida, mas % = 0 🔎",
"Base de cálculo aplicada corretamente ✅")))</f>
        <v/>
      </c>
      <c r="P530" s="31" t="str">
        <f>IF(D530="","",
IF(AND(Q530&lt;&gt;"SIM",U530&gt;0),"ERRO: % alíquota &gt; 0, mas NÃO permitida ❌",
IF(AND(Q530="SIM",U530=0),"ATENÇÃO: alíquota permitida, mas % = 0 🔎",
"Alíquota aplicada corretamente ✅")))</f>
        <v/>
      </c>
      <c r="Q530" s="8" t="str">
        <f>IF(E530="","",IFERROR(VLOOKUP(E530,REGRAS_CST!$A$2:$D$200,4,FALSE),""))</f>
        <v/>
      </c>
      <c r="S530" s="9">
        <f>IF($H530="","",$H530*(1-$U530))</f>
        <v>8.9999999999999993E-3</v>
      </c>
      <c r="T530" s="9">
        <f>IF($I530="","",$I530*(1-$U530))</f>
        <v>1E-3</v>
      </c>
      <c r="U530" s="16">
        <f>IFERROR(INDEX(BASE_CCLASSTRIB!$E:$E, MATCH(TEXT($D530,"000000"), BASE_CCLASSTRIB!$A:$A, 0))/100, 0)</f>
        <v>0</v>
      </c>
      <c r="V530" s="16">
        <f>IFERROR(INDEX(BASE_CCLASSTRIB!$F:$F, MATCH(TEXT($D530,"000000"), BASE_CCLASSTRIB!$A:$A, 0))/100, 0)</f>
        <v>0</v>
      </c>
    </row>
    <row r="531" spans="4:22" ht="32.25" customHeight="1">
      <c r="D531" s="39"/>
      <c r="E531" s="27" t="str">
        <f>IF(D531="","",LEFT(D531,3))</f>
        <v/>
      </c>
      <c r="F531" s="28" t="str">
        <f>IF(E531="","",IFERROR(VLOOKUP(E531,REGRAS_CST!$A$2:$B$200,2,FALSE),""))</f>
        <v/>
      </c>
      <c r="H531" s="29">
        <v>8.9999999999999993E-3</v>
      </c>
      <c r="I531" s="29">
        <v>1E-3</v>
      </c>
      <c r="K531" s="21" t="str">
        <f>IF(E531="","",IFERROR(VLOOKUP(E531,REGRAS_CST!$A$2:$C$200,3,FALSE),""))</f>
        <v/>
      </c>
      <c r="L531" s="23" t="str">
        <f>IF($G531="", "", $G531*(1-$V531))</f>
        <v/>
      </c>
      <c r="M531" s="24" t="str">
        <f>IF(OR($L531="",$S531=""),"",$L531*$S531)</f>
        <v/>
      </c>
      <c r="N531" s="24" t="str">
        <f>IF(OR($L531="",$T531=""),"",$L531*$T531)</f>
        <v/>
      </c>
      <c r="O531" s="15" t="str">
        <f>IF(D531="","",
IF(AND(K531&lt;&gt;"SIM",V531&gt;0),"ERRO: % BC &gt; 0, mas NÃO permitida ❌",
IF(AND(K531="SIM",V531=0),"ATENÇÃO: BC permitida, mas % = 0 🔎",
"Base de cálculo aplicada corretamente ✅")))</f>
        <v/>
      </c>
      <c r="P531" s="31" t="str">
        <f>IF(D531="","",
IF(AND(Q531&lt;&gt;"SIM",U531&gt;0),"ERRO: % alíquota &gt; 0, mas NÃO permitida ❌",
IF(AND(Q531="SIM",U531=0),"ATENÇÃO: alíquota permitida, mas % = 0 🔎",
"Alíquota aplicada corretamente ✅")))</f>
        <v/>
      </c>
      <c r="Q531" s="8" t="str">
        <f>IF(E531="","",IFERROR(VLOOKUP(E531,REGRAS_CST!$A$2:$D$200,4,FALSE),""))</f>
        <v/>
      </c>
      <c r="S531" s="9">
        <f>IF($H531="","",$H531*(1-$U531))</f>
        <v>8.9999999999999993E-3</v>
      </c>
      <c r="T531" s="9">
        <f>IF($I531="","",$I531*(1-$U531))</f>
        <v>1E-3</v>
      </c>
      <c r="U531" s="16">
        <f>IFERROR(INDEX(BASE_CCLASSTRIB!$E:$E, MATCH(TEXT($D531,"000000"), BASE_CCLASSTRIB!$A:$A, 0))/100, 0)</f>
        <v>0</v>
      </c>
      <c r="V531" s="16">
        <f>IFERROR(INDEX(BASE_CCLASSTRIB!$F:$F, MATCH(TEXT($D531,"000000"), BASE_CCLASSTRIB!$A:$A, 0))/100, 0)</f>
        <v>0</v>
      </c>
    </row>
    <row r="532" spans="4:22" ht="32.25" customHeight="1">
      <c r="D532" s="39"/>
      <c r="E532" s="27" t="str">
        <f>IF(D532="","",LEFT(D532,3))</f>
        <v/>
      </c>
      <c r="F532" s="28" t="str">
        <f>IF(E532="","",IFERROR(VLOOKUP(E532,REGRAS_CST!$A$2:$B$200,2,FALSE),""))</f>
        <v/>
      </c>
      <c r="H532" s="29">
        <v>8.9999999999999993E-3</v>
      </c>
      <c r="I532" s="29">
        <v>1E-3</v>
      </c>
      <c r="K532" s="21" t="str">
        <f>IF(E532="","",IFERROR(VLOOKUP(E532,REGRAS_CST!$A$2:$C$200,3,FALSE),""))</f>
        <v/>
      </c>
      <c r="L532" s="23" t="str">
        <f>IF($G532="", "", $G532*(1-$V532))</f>
        <v/>
      </c>
      <c r="M532" s="24" t="str">
        <f>IF(OR($L532="",$S532=""),"",$L532*$S532)</f>
        <v/>
      </c>
      <c r="N532" s="24" t="str">
        <f>IF(OR($L532="",$T532=""),"",$L532*$T532)</f>
        <v/>
      </c>
      <c r="O532" s="15" t="str">
        <f>IF(D532="","",
IF(AND(K532&lt;&gt;"SIM",V532&gt;0),"ERRO: % BC &gt; 0, mas NÃO permitida ❌",
IF(AND(K532="SIM",V532=0),"ATENÇÃO: BC permitida, mas % = 0 🔎",
"Base de cálculo aplicada corretamente ✅")))</f>
        <v/>
      </c>
      <c r="P532" s="31" t="str">
        <f>IF(D532="","",
IF(AND(Q532&lt;&gt;"SIM",U532&gt;0),"ERRO: % alíquota &gt; 0, mas NÃO permitida ❌",
IF(AND(Q532="SIM",U532=0),"ATENÇÃO: alíquota permitida, mas % = 0 🔎",
"Alíquota aplicada corretamente ✅")))</f>
        <v/>
      </c>
      <c r="Q532" s="8" t="str">
        <f>IF(E532="","",IFERROR(VLOOKUP(E532,REGRAS_CST!$A$2:$D$200,4,FALSE),""))</f>
        <v/>
      </c>
      <c r="S532" s="9">
        <f>IF($H532="","",$H532*(1-$U532))</f>
        <v>8.9999999999999993E-3</v>
      </c>
      <c r="T532" s="9">
        <f>IF($I532="","",$I532*(1-$U532))</f>
        <v>1E-3</v>
      </c>
      <c r="U532" s="16">
        <f>IFERROR(INDEX(BASE_CCLASSTRIB!$E:$E, MATCH(TEXT($D532,"000000"), BASE_CCLASSTRIB!$A:$A, 0))/100, 0)</f>
        <v>0</v>
      </c>
      <c r="V532" s="16">
        <f>IFERROR(INDEX(BASE_CCLASSTRIB!$F:$F, MATCH(TEXT($D532,"000000"), BASE_CCLASSTRIB!$A:$A, 0))/100, 0)</f>
        <v>0</v>
      </c>
    </row>
    <row r="533" spans="4:22" ht="32.25" customHeight="1">
      <c r="D533" s="40"/>
      <c r="E533" s="27" t="str">
        <f>IF(D533="","",LEFT(D533,3))</f>
        <v/>
      </c>
      <c r="F533" s="28" t="str">
        <f>IF(E533="","",IFERROR(VLOOKUP(E533,REGRAS_CST!$A$2:$B$200,2,FALSE),""))</f>
        <v/>
      </c>
      <c r="H533" s="29">
        <v>8.9999999999999993E-3</v>
      </c>
      <c r="I533" s="29">
        <v>1E-3</v>
      </c>
      <c r="K533" s="21" t="str">
        <f>IF(E533="","",IFERROR(VLOOKUP(E533,REGRAS_CST!$A$2:$C$200,3,FALSE),""))</f>
        <v/>
      </c>
      <c r="L533" s="23" t="str">
        <f>IF($G533="", "", $G533*(1-$V533))</f>
        <v/>
      </c>
      <c r="M533" s="24" t="str">
        <f>IF(OR($L533="",$S533=""),"",$L533*$S533)</f>
        <v/>
      </c>
      <c r="N533" s="24" t="str">
        <f>IF(OR($L533="",$T533=""),"",$L533*$T533)</f>
        <v/>
      </c>
      <c r="O533" s="15" t="str">
        <f>IF(D533="","",
IF(AND(K533&lt;&gt;"SIM",V533&gt;0),"ERRO: % BC &gt; 0, mas NÃO permitida ❌",
IF(AND(K533="SIM",V533=0),"ATENÇÃO: BC permitida, mas % = 0 🔎",
"Base de cálculo aplicada corretamente ✅")))</f>
        <v/>
      </c>
      <c r="P533" s="31" t="str">
        <f>IF(D533="","",
IF(AND(Q533&lt;&gt;"SIM",U533&gt;0),"ERRO: % alíquota &gt; 0, mas NÃO permitida ❌",
IF(AND(Q533="SIM",U533=0),"ATENÇÃO: alíquota permitida, mas % = 0 🔎",
"Alíquota aplicada corretamente ✅")))</f>
        <v/>
      </c>
      <c r="Q533" s="8" t="str">
        <f>IF(E533="","",IFERROR(VLOOKUP(E533,REGRAS_CST!$A$2:$D$200,4,FALSE),""))</f>
        <v/>
      </c>
      <c r="S533" s="9">
        <f>IF($H533="","",$H533*(1-$U533))</f>
        <v>8.9999999999999993E-3</v>
      </c>
      <c r="T533" s="9">
        <f>IF($I533="","",$I533*(1-$U533))</f>
        <v>1E-3</v>
      </c>
      <c r="U533" s="16">
        <f>IFERROR(INDEX(BASE_CCLASSTRIB!$E:$E, MATCH(TEXT($D533,"000000"), BASE_CCLASSTRIB!$A:$A, 0))/100, 0)</f>
        <v>0</v>
      </c>
      <c r="V533" s="16">
        <f>IFERROR(INDEX(BASE_CCLASSTRIB!$F:$F, MATCH(TEXT($D533,"000000"), BASE_CCLASSTRIB!$A:$A, 0))/100, 0)</f>
        <v>0</v>
      </c>
    </row>
    <row r="534" spans="4:22" ht="32.25" customHeight="1">
      <c r="D534" s="40"/>
      <c r="E534" s="27" t="str">
        <f>IF(D534="","",LEFT(D534,3))</f>
        <v/>
      </c>
      <c r="F534" s="28" t="str">
        <f>IF(E534="","",IFERROR(VLOOKUP(E534,REGRAS_CST!$A$2:$B$200,2,FALSE),""))</f>
        <v/>
      </c>
      <c r="H534" s="29">
        <v>8.9999999999999993E-3</v>
      </c>
      <c r="I534" s="29">
        <v>1E-3</v>
      </c>
      <c r="K534" s="21" t="str">
        <f>IF(E534="","",IFERROR(VLOOKUP(E534,REGRAS_CST!$A$2:$C$200,3,FALSE),""))</f>
        <v/>
      </c>
      <c r="L534" s="23" t="str">
        <f>IF($G534="", "", $G534*(1-$V534))</f>
        <v/>
      </c>
      <c r="M534" s="24" t="str">
        <f>IF(OR($L534="",$S534=""),"",$L534*$S534)</f>
        <v/>
      </c>
      <c r="N534" s="24" t="str">
        <f>IF(OR($L534="",$T534=""),"",$L534*$T534)</f>
        <v/>
      </c>
      <c r="O534" s="15" t="str">
        <f>IF(D534="","",
IF(AND(K534&lt;&gt;"SIM",V534&gt;0),"ERRO: % BC &gt; 0, mas NÃO permitida ❌",
IF(AND(K534="SIM",V534=0),"ATENÇÃO: BC permitida, mas % = 0 🔎",
"Base de cálculo aplicada corretamente ✅")))</f>
        <v/>
      </c>
      <c r="P534" s="31" t="str">
        <f>IF(D534="","",
IF(AND(Q534&lt;&gt;"SIM",U534&gt;0),"ERRO: % alíquota &gt; 0, mas NÃO permitida ❌",
IF(AND(Q534="SIM",U534=0),"ATENÇÃO: alíquota permitida, mas % = 0 🔎",
"Alíquota aplicada corretamente ✅")))</f>
        <v/>
      </c>
      <c r="Q534" s="8" t="str">
        <f>IF(E534="","",IFERROR(VLOOKUP(E534,REGRAS_CST!$A$2:$D$200,4,FALSE),""))</f>
        <v/>
      </c>
      <c r="S534" s="9">
        <f>IF($H534="","",$H534*(1-$U534))</f>
        <v>8.9999999999999993E-3</v>
      </c>
      <c r="T534" s="9">
        <f>IF($I534="","",$I534*(1-$U534))</f>
        <v>1E-3</v>
      </c>
      <c r="U534" s="16">
        <f>IFERROR(INDEX(BASE_CCLASSTRIB!$E:$E, MATCH(TEXT($D534,"000000"), BASE_CCLASSTRIB!$A:$A, 0))/100, 0)</f>
        <v>0</v>
      </c>
      <c r="V534" s="16">
        <f>IFERROR(INDEX(BASE_CCLASSTRIB!$F:$F, MATCH(TEXT($D534,"000000"), BASE_CCLASSTRIB!$A:$A, 0))/100, 0)</f>
        <v>0</v>
      </c>
    </row>
    <row r="535" spans="4:22" ht="32.25" customHeight="1">
      <c r="D535" s="39"/>
      <c r="E535" s="27" t="str">
        <f>IF(D535="","",LEFT(D535,3))</f>
        <v/>
      </c>
      <c r="F535" s="28" t="str">
        <f>IF(E535="","",IFERROR(VLOOKUP(E535,REGRAS_CST!$A$2:$B$200,2,FALSE),""))</f>
        <v/>
      </c>
      <c r="H535" s="29">
        <v>8.9999999999999993E-3</v>
      </c>
      <c r="I535" s="29">
        <v>1E-3</v>
      </c>
      <c r="K535" s="21" t="str">
        <f>IF(E535="","",IFERROR(VLOOKUP(E535,REGRAS_CST!$A$2:$C$200,3,FALSE),""))</f>
        <v/>
      </c>
      <c r="L535" s="23" t="str">
        <f>IF($G535="", "", $G535*(1-$V535))</f>
        <v/>
      </c>
      <c r="M535" s="24" t="str">
        <f>IF(OR($L535="",$S535=""),"",$L535*$S535)</f>
        <v/>
      </c>
      <c r="N535" s="24" t="str">
        <f>IF(OR($L535="",$T535=""),"",$L535*$T535)</f>
        <v/>
      </c>
      <c r="O535" s="15" t="str">
        <f>IF(D535="","",
IF(AND(K535&lt;&gt;"SIM",V535&gt;0),"ERRO: % BC &gt; 0, mas NÃO permitida ❌",
IF(AND(K535="SIM",V535=0),"ATENÇÃO: BC permitida, mas % = 0 🔎",
"Base de cálculo aplicada corretamente ✅")))</f>
        <v/>
      </c>
      <c r="P535" s="31" t="str">
        <f>IF(D535="","",
IF(AND(Q535&lt;&gt;"SIM",U535&gt;0),"ERRO: % alíquota &gt; 0, mas NÃO permitida ❌",
IF(AND(Q535="SIM",U535=0),"ATENÇÃO: alíquota permitida, mas % = 0 🔎",
"Alíquota aplicada corretamente ✅")))</f>
        <v/>
      </c>
      <c r="Q535" s="8" t="str">
        <f>IF(E535="","",IFERROR(VLOOKUP(E535,REGRAS_CST!$A$2:$D$200,4,FALSE),""))</f>
        <v/>
      </c>
      <c r="S535" s="9">
        <f>IF($H535="","",$H535*(1-$U535))</f>
        <v>8.9999999999999993E-3</v>
      </c>
      <c r="T535" s="9">
        <f>IF($I535="","",$I535*(1-$U535))</f>
        <v>1E-3</v>
      </c>
      <c r="U535" s="16">
        <f>IFERROR(INDEX(BASE_CCLASSTRIB!$E:$E, MATCH(TEXT($D535,"000000"), BASE_CCLASSTRIB!$A:$A, 0))/100, 0)</f>
        <v>0</v>
      </c>
      <c r="V535" s="16">
        <f>IFERROR(INDEX(BASE_CCLASSTRIB!$F:$F, MATCH(TEXT($D535,"000000"), BASE_CCLASSTRIB!$A:$A, 0))/100, 0)</f>
        <v>0</v>
      </c>
    </row>
    <row r="536" spans="4:22" ht="32.25" customHeight="1">
      <c r="D536" s="39"/>
      <c r="E536" s="27" t="str">
        <f>IF(D536="","",LEFT(D536,3))</f>
        <v/>
      </c>
      <c r="F536" s="28" t="str">
        <f>IF(E536="","",IFERROR(VLOOKUP(E536,REGRAS_CST!$A$2:$B$200,2,FALSE),""))</f>
        <v/>
      </c>
      <c r="H536" s="29">
        <v>8.9999999999999993E-3</v>
      </c>
      <c r="I536" s="29">
        <v>1E-3</v>
      </c>
      <c r="K536" s="21" t="str">
        <f>IF(E536="","",IFERROR(VLOOKUP(E536,REGRAS_CST!$A$2:$C$200,3,FALSE),""))</f>
        <v/>
      </c>
      <c r="L536" s="23" t="str">
        <f>IF($G536="", "", $G536*(1-$V536))</f>
        <v/>
      </c>
      <c r="M536" s="24" t="str">
        <f>IF(OR($L536="",$S536=""),"",$L536*$S536)</f>
        <v/>
      </c>
      <c r="N536" s="24" t="str">
        <f>IF(OR($L536="",$T536=""),"",$L536*$T536)</f>
        <v/>
      </c>
      <c r="O536" s="15" t="str">
        <f>IF(D536="","",
IF(AND(K536&lt;&gt;"SIM",V536&gt;0),"ERRO: % BC &gt; 0, mas NÃO permitida ❌",
IF(AND(K536="SIM",V536=0),"ATENÇÃO: BC permitida, mas % = 0 🔎",
"Base de cálculo aplicada corretamente ✅")))</f>
        <v/>
      </c>
      <c r="P536" s="31" t="str">
        <f>IF(D536="","",
IF(AND(Q536&lt;&gt;"SIM",U536&gt;0),"ERRO: % alíquota &gt; 0, mas NÃO permitida ❌",
IF(AND(Q536="SIM",U536=0),"ATENÇÃO: alíquota permitida, mas % = 0 🔎",
"Alíquota aplicada corretamente ✅")))</f>
        <v/>
      </c>
      <c r="Q536" s="8" t="str">
        <f>IF(E536="","",IFERROR(VLOOKUP(E536,REGRAS_CST!$A$2:$D$200,4,FALSE),""))</f>
        <v/>
      </c>
      <c r="S536" s="9">
        <f>IF($H536="","",$H536*(1-$U536))</f>
        <v>8.9999999999999993E-3</v>
      </c>
      <c r="T536" s="9">
        <f>IF($I536="","",$I536*(1-$U536))</f>
        <v>1E-3</v>
      </c>
      <c r="U536" s="16">
        <f>IFERROR(INDEX(BASE_CCLASSTRIB!$E:$E, MATCH(TEXT($D536,"000000"), BASE_CCLASSTRIB!$A:$A, 0))/100, 0)</f>
        <v>0</v>
      </c>
      <c r="V536" s="16">
        <f>IFERROR(INDEX(BASE_CCLASSTRIB!$F:$F, MATCH(TEXT($D536,"000000"), BASE_CCLASSTRIB!$A:$A, 0))/100, 0)</f>
        <v>0</v>
      </c>
    </row>
    <row r="537" spans="4:22" ht="32.25" customHeight="1">
      <c r="D537" s="39"/>
      <c r="E537" s="27" t="str">
        <f>IF(D537="","",LEFT(D537,3))</f>
        <v/>
      </c>
      <c r="F537" s="28" t="str">
        <f>IF(E537="","",IFERROR(VLOOKUP(E537,REGRAS_CST!$A$2:$B$200,2,FALSE),""))</f>
        <v/>
      </c>
      <c r="H537" s="29">
        <v>8.9999999999999993E-3</v>
      </c>
      <c r="I537" s="29">
        <v>1E-3</v>
      </c>
      <c r="K537" s="21" t="str">
        <f>IF(E537="","",IFERROR(VLOOKUP(E537,REGRAS_CST!$A$2:$C$200,3,FALSE),""))</f>
        <v/>
      </c>
      <c r="L537" s="23" t="str">
        <f>IF($G537="", "", $G537*(1-$V537))</f>
        <v/>
      </c>
      <c r="M537" s="24" t="str">
        <f>IF(OR($L537="",$S537=""),"",$L537*$S537)</f>
        <v/>
      </c>
      <c r="N537" s="24" t="str">
        <f>IF(OR($L537="",$T537=""),"",$L537*$T537)</f>
        <v/>
      </c>
      <c r="O537" s="15" t="str">
        <f>IF(D537="","",
IF(AND(K537&lt;&gt;"SIM",V537&gt;0),"ERRO: % BC &gt; 0, mas NÃO permitida ❌",
IF(AND(K537="SIM",V537=0),"ATENÇÃO: BC permitida, mas % = 0 🔎",
"Base de cálculo aplicada corretamente ✅")))</f>
        <v/>
      </c>
      <c r="P537" s="31" t="str">
        <f>IF(D537="","",
IF(AND(Q537&lt;&gt;"SIM",U537&gt;0),"ERRO: % alíquota &gt; 0, mas NÃO permitida ❌",
IF(AND(Q537="SIM",U537=0),"ATENÇÃO: alíquota permitida, mas % = 0 🔎",
"Alíquota aplicada corretamente ✅")))</f>
        <v/>
      </c>
      <c r="Q537" s="8" t="str">
        <f>IF(E537="","",IFERROR(VLOOKUP(E537,REGRAS_CST!$A$2:$D$200,4,FALSE),""))</f>
        <v/>
      </c>
      <c r="S537" s="9">
        <f>IF($H537="","",$H537*(1-$U537))</f>
        <v>8.9999999999999993E-3</v>
      </c>
      <c r="T537" s="9">
        <f>IF($I537="","",$I537*(1-$U537))</f>
        <v>1E-3</v>
      </c>
      <c r="U537" s="16">
        <f>IFERROR(INDEX(BASE_CCLASSTRIB!$E:$E, MATCH(TEXT($D537,"000000"), BASE_CCLASSTRIB!$A:$A, 0))/100, 0)</f>
        <v>0</v>
      </c>
      <c r="V537" s="16">
        <f>IFERROR(INDEX(BASE_CCLASSTRIB!$F:$F, MATCH(TEXT($D537,"000000"), BASE_CCLASSTRIB!$A:$A, 0))/100, 0)</f>
        <v>0</v>
      </c>
    </row>
    <row r="538" spans="4:22" ht="32.25" customHeight="1">
      <c r="D538" s="39"/>
      <c r="E538" s="27" t="str">
        <f>IF(D538="","",LEFT(D538,3))</f>
        <v/>
      </c>
      <c r="F538" s="28" t="str">
        <f>IF(E538="","",IFERROR(VLOOKUP(E538,REGRAS_CST!$A$2:$B$200,2,FALSE),""))</f>
        <v/>
      </c>
      <c r="H538" s="29">
        <v>8.9999999999999993E-3</v>
      </c>
      <c r="I538" s="29">
        <v>1E-3</v>
      </c>
      <c r="K538" s="21" t="str">
        <f>IF(E538="","",IFERROR(VLOOKUP(E538,REGRAS_CST!$A$2:$C$200,3,FALSE),""))</f>
        <v/>
      </c>
      <c r="L538" s="23" t="str">
        <f>IF($G538="", "", $G538*(1-$V538))</f>
        <v/>
      </c>
      <c r="M538" s="24" t="str">
        <f>IF(OR($L538="",$S538=""),"",$L538*$S538)</f>
        <v/>
      </c>
      <c r="N538" s="24" t="str">
        <f>IF(OR($L538="",$T538=""),"",$L538*$T538)</f>
        <v/>
      </c>
      <c r="O538" s="15" t="str">
        <f>IF(D538="","",
IF(AND(K538&lt;&gt;"SIM",V538&gt;0),"ERRO: % BC &gt; 0, mas NÃO permitida ❌",
IF(AND(K538="SIM",V538=0),"ATENÇÃO: BC permitida, mas % = 0 🔎",
"Base de cálculo aplicada corretamente ✅")))</f>
        <v/>
      </c>
      <c r="P538" s="31" t="str">
        <f>IF(D538="","",
IF(AND(Q538&lt;&gt;"SIM",U538&gt;0),"ERRO: % alíquota &gt; 0, mas NÃO permitida ❌",
IF(AND(Q538="SIM",U538=0),"ATENÇÃO: alíquota permitida, mas % = 0 🔎",
"Alíquota aplicada corretamente ✅")))</f>
        <v/>
      </c>
      <c r="Q538" s="8" t="str">
        <f>IF(E538="","",IFERROR(VLOOKUP(E538,REGRAS_CST!$A$2:$D$200,4,FALSE),""))</f>
        <v/>
      </c>
      <c r="S538" s="9">
        <f>IF($H538="","",$H538*(1-$U538))</f>
        <v>8.9999999999999993E-3</v>
      </c>
      <c r="T538" s="9">
        <f>IF($I538="","",$I538*(1-$U538))</f>
        <v>1E-3</v>
      </c>
      <c r="U538" s="16">
        <f>IFERROR(INDEX(BASE_CCLASSTRIB!$E:$E, MATCH(TEXT($D538,"000000"), BASE_CCLASSTRIB!$A:$A, 0))/100, 0)</f>
        <v>0</v>
      </c>
      <c r="V538" s="16">
        <f>IFERROR(INDEX(BASE_CCLASSTRIB!$F:$F, MATCH(TEXT($D538,"000000"), BASE_CCLASSTRIB!$A:$A, 0))/100, 0)</f>
        <v>0</v>
      </c>
    </row>
    <row r="539" spans="4:22" ht="32.25" customHeight="1">
      <c r="D539" s="39"/>
      <c r="E539" s="27" t="str">
        <f>IF(D539="","",LEFT(D539,3))</f>
        <v/>
      </c>
      <c r="F539" s="28" t="str">
        <f>IF(E539="","",IFERROR(VLOOKUP(E539,REGRAS_CST!$A$2:$B$200,2,FALSE),""))</f>
        <v/>
      </c>
      <c r="H539" s="29">
        <v>8.9999999999999993E-3</v>
      </c>
      <c r="I539" s="29">
        <v>1E-3</v>
      </c>
      <c r="K539" s="21" t="str">
        <f>IF(E539="","",IFERROR(VLOOKUP(E539,REGRAS_CST!$A$2:$C$200,3,FALSE),""))</f>
        <v/>
      </c>
      <c r="L539" s="23" t="str">
        <f>IF($G539="", "", $G539*(1-$V539))</f>
        <v/>
      </c>
      <c r="M539" s="24" t="str">
        <f>IF(OR($L539="",$S539=""),"",$L539*$S539)</f>
        <v/>
      </c>
      <c r="N539" s="24" t="str">
        <f>IF(OR($L539="",$T539=""),"",$L539*$T539)</f>
        <v/>
      </c>
      <c r="O539" s="15" t="str">
        <f>IF(D539="","",
IF(AND(K539&lt;&gt;"SIM",V539&gt;0),"ERRO: % BC &gt; 0, mas NÃO permitida ❌",
IF(AND(K539="SIM",V539=0),"ATENÇÃO: BC permitida, mas % = 0 🔎",
"Base de cálculo aplicada corretamente ✅")))</f>
        <v/>
      </c>
      <c r="P539" s="31" t="str">
        <f>IF(D539="","",
IF(AND(Q539&lt;&gt;"SIM",U539&gt;0),"ERRO: % alíquota &gt; 0, mas NÃO permitida ❌",
IF(AND(Q539="SIM",U539=0),"ATENÇÃO: alíquota permitida, mas % = 0 🔎",
"Alíquota aplicada corretamente ✅")))</f>
        <v/>
      </c>
      <c r="Q539" s="8" t="str">
        <f>IF(E539="","",IFERROR(VLOOKUP(E539,REGRAS_CST!$A$2:$D$200,4,FALSE),""))</f>
        <v/>
      </c>
      <c r="S539" s="9">
        <f>IF($H539="","",$H539*(1-$U539))</f>
        <v>8.9999999999999993E-3</v>
      </c>
      <c r="T539" s="9">
        <f>IF($I539="","",$I539*(1-$U539))</f>
        <v>1E-3</v>
      </c>
      <c r="U539" s="16">
        <f>IFERROR(INDEX(BASE_CCLASSTRIB!$E:$E, MATCH(TEXT($D539,"000000"), BASE_CCLASSTRIB!$A:$A, 0))/100, 0)</f>
        <v>0</v>
      </c>
      <c r="V539" s="16">
        <f>IFERROR(INDEX(BASE_CCLASSTRIB!$F:$F, MATCH(TEXT($D539,"000000"), BASE_CCLASSTRIB!$A:$A, 0))/100, 0)</f>
        <v>0</v>
      </c>
    </row>
    <row r="540" spans="4:22" ht="32.25" customHeight="1">
      <c r="D540" s="40"/>
      <c r="E540" s="27" t="str">
        <f>IF(D540="","",LEFT(D540,3))</f>
        <v/>
      </c>
      <c r="F540" s="28" t="str">
        <f>IF(E540="","",IFERROR(VLOOKUP(E540,REGRAS_CST!$A$2:$B$200,2,FALSE),""))</f>
        <v/>
      </c>
      <c r="H540" s="29">
        <v>8.9999999999999993E-3</v>
      </c>
      <c r="I540" s="29">
        <v>1E-3</v>
      </c>
      <c r="K540" s="21" t="str">
        <f>IF(E540="","",IFERROR(VLOOKUP(E540,REGRAS_CST!$A$2:$C$200,3,FALSE),""))</f>
        <v/>
      </c>
      <c r="L540" s="23" t="str">
        <f>IF($G540="", "", $G540*(1-$V540))</f>
        <v/>
      </c>
      <c r="M540" s="24" t="str">
        <f>IF(OR($L540="",$S540=""),"",$L540*$S540)</f>
        <v/>
      </c>
      <c r="N540" s="24" t="str">
        <f>IF(OR($L540="",$T540=""),"",$L540*$T540)</f>
        <v/>
      </c>
      <c r="O540" s="15" t="str">
        <f>IF(D540="","",
IF(AND(K540&lt;&gt;"SIM",V540&gt;0),"ERRO: % BC &gt; 0, mas NÃO permitida ❌",
IF(AND(K540="SIM",V540=0),"ATENÇÃO: BC permitida, mas % = 0 🔎",
"Base de cálculo aplicada corretamente ✅")))</f>
        <v/>
      </c>
      <c r="P540" s="31" t="str">
        <f>IF(D540="","",
IF(AND(Q540&lt;&gt;"SIM",U540&gt;0),"ERRO: % alíquota &gt; 0, mas NÃO permitida ❌",
IF(AND(Q540="SIM",U540=0),"ATENÇÃO: alíquota permitida, mas % = 0 🔎",
"Alíquota aplicada corretamente ✅")))</f>
        <v/>
      </c>
      <c r="Q540" s="8" t="str">
        <f>IF(E540="","",IFERROR(VLOOKUP(E540,REGRAS_CST!$A$2:$D$200,4,FALSE),""))</f>
        <v/>
      </c>
      <c r="S540" s="9">
        <f>IF($H540="","",$H540*(1-$U540))</f>
        <v>8.9999999999999993E-3</v>
      </c>
      <c r="T540" s="9">
        <f>IF($I540="","",$I540*(1-$U540))</f>
        <v>1E-3</v>
      </c>
      <c r="U540" s="16">
        <f>IFERROR(INDEX(BASE_CCLASSTRIB!$E:$E, MATCH(TEXT($D540,"000000"), BASE_CCLASSTRIB!$A:$A, 0))/100, 0)</f>
        <v>0</v>
      </c>
      <c r="V540" s="16">
        <f>IFERROR(INDEX(BASE_CCLASSTRIB!$F:$F, MATCH(TEXT($D540,"000000"), BASE_CCLASSTRIB!$A:$A, 0))/100, 0)</f>
        <v>0</v>
      </c>
    </row>
    <row r="541" spans="4:22" ht="32.25" customHeight="1">
      <c r="D541" s="39"/>
      <c r="E541" s="27" t="str">
        <f>IF(D541="","",LEFT(D541,3))</f>
        <v/>
      </c>
      <c r="F541" s="28" t="str">
        <f>IF(E541="","",IFERROR(VLOOKUP(E541,REGRAS_CST!$A$2:$B$200,2,FALSE),""))</f>
        <v/>
      </c>
      <c r="H541" s="29">
        <v>8.9999999999999993E-3</v>
      </c>
      <c r="I541" s="29">
        <v>1E-3</v>
      </c>
      <c r="K541" s="21" t="str">
        <f>IF(E541="","",IFERROR(VLOOKUP(E541,REGRAS_CST!$A$2:$C$200,3,FALSE),""))</f>
        <v/>
      </c>
      <c r="L541" s="23" t="str">
        <f>IF($G541="", "", $G541*(1-$V541))</f>
        <v/>
      </c>
      <c r="M541" s="24" t="str">
        <f>IF(OR($L541="",$S541=""),"",$L541*$S541)</f>
        <v/>
      </c>
      <c r="N541" s="24" t="str">
        <f>IF(OR($L541="",$T541=""),"",$L541*$T541)</f>
        <v/>
      </c>
      <c r="O541" s="15" t="str">
        <f>IF(D541="","",
IF(AND(K541&lt;&gt;"SIM",V541&gt;0),"ERRO: % BC &gt; 0, mas NÃO permitida ❌",
IF(AND(K541="SIM",V541=0),"ATENÇÃO: BC permitida, mas % = 0 🔎",
"Base de cálculo aplicada corretamente ✅")))</f>
        <v/>
      </c>
      <c r="P541" s="31" t="str">
        <f>IF(D541="","",
IF(AND(Q541&lt;&gt;"SIM",U541&gt;0),"ERRO: % alíquota &gt; 0, mas NÃO permitida ❌",
IF(AND(Q541="SIM",U541=0),"ATENÇÃO: alíquota permitida, mas % = 0 🔎",
"Alíquota aplicada corretamente ✅")))</f>
        <v/>
      </c>
      <c r="Q541" s="8" t="str">
        <f>IF(E541="","",IFERROR(VLOOKUP(E541,REGRAS_CST!$A$2:$D$200,4,FALSE),""))</f>
        <v/>
      </c>
      <c r="S541" s="9">
        <f>IF($H541="","",$H541*(1-$U541))</f>
        <v>8.9999999999999993E-3</v>
      </c>
      <c r="T541" s="9">
        <f>IF($I541="","",$I541*(1-$U541))</f>
        <v>1E-3</v>
      </c>
      <c r="U541" s="16">
        <f>IFERROR(INDEX(BASE_CCLASSTRIB!$E:$E, MATCH(TEXT($D541,"000000"), BASE_CCLASSTRIB!$A:$A, 0))/100, 0)</f>
        <v>0</v>
      </c>
      <c r="V541" s="16">
        <f>IFERROR(INDEX(BASE_CCLASSTRIB!$F:$F, MATCH(TEXT($D541,"000000"), BASE_CCLASSTRIB!$A:$A, 0))/100, 0)</f>
        <v>0</v>
      </c>
    </row>
    <row r="542" spans="4:22" ht="32.25" customHeight="1">
      <c r="D542" s="39"/>
      <c r="E542" s="27" t="str">
        <f>IF(D542="","",LEFT(D542,3))</f>
        <v/>
      </c>
      <c r="F542" s="28" t="str">
        <f>IF(E542="","",IFERROR(VLOOKUP(E542,REGRAS_CST!$A$2:$B$200,2,FALSE),""))</f>
        <v/>
      </c>
      <c r="H542" s="29">
        <v>8.9999999999999993E-3</v>
      </c>
      <c r="I542" s="29">
        <v>1E-3</v>
      </c>
      <c r="K542" s="21" t="str">
        <f>IF(E542="","",IFERROR(VLOOKUP(E542,REGRAS_CST!$A$2:$C$200,3,FALSE),""))</f>
        <v/>
      </c>
      <c r="L542" s="23" t="str">
        <f>IF($G542="", "", $G542*(1-$V542))</f>
        <v/>
      </c>
      <c r="M542" s="24" t="str">
        <f>IF(OR($L542="",$S542=""),"",$L542*$S542)</f>
        <v/>
      </c>
      <c r="N542" s="24" t="str">
        <f>IF(OR($L542="",$T542=""),"",$L542*$T542)</f>
        <v/>
      </c>
      <c r="O542" s="15" t="str">
        <f>IF(D542="","",
IF(AND(K542&lt;&gt;"SIM",V542&gt;0),"ERRO: % BC &gt; 0, mas NÃO permitida ❌",
IF(AND(K542="SIM",V542=0),"ATENÇÃO: BC permitida, mas % = 0 🔎",
"Base de cálculo aplicada corretamente ✅")))</f>
        <v/>
      </c>
      <c r="P542" s="31" t="str">
        <f>IF(D542="","",
IF(AND(Q542&lt;&gt;"SIM",U542&gt;0),"ERRO: % alíquota &gt; 0, mas NÃO permitida ❌",
IF(AND(Q542="SIM",U542=0),"ATENÇÃO: alíquota permitida, mas % = 0 🔎",
"Alíquota aplicada corretamente ✅")))</f>
        <v/>
      </c>
      <c r="Q542" s="8" t="str">
        <f>IF(E542="","",IFERROR(VLOOKUP(E542,REGRAS_CST!$A$2:$D$200,4,FALSE),""))</f>
        <v/>
      </c>
      <c r="S542" s="9">
        <f>IF($H542="","",$H542*(1-$U542))</f>
        <v>8.9999999999999993E-3</v>
      </c>
      <c r="T542" s="9">
        <f>IF($I542="","",$I542*(1-$U542))</f>
        <v>1E-3</v>
      </c>
      <c r="U542" s="16">
        <f>IFERROR(INDEX(BASE_CCLASSTRIB!$E:$E, MATCH(TEXT($D542,"000000"), BASE_CCLASSTRIB!$A:$A, 0))/100, 0)</f>
        <v>0</v>
      </c>
      <c r="V542" s="16">
        <f>IFERROR(INDEX(BASE_CCLASSTRIB!$F:$F, MATCH(TEXT($D542,"000000"), BASE_CCLASSTRIB!$A:$A, 0))/100, 0)</f>
        <v>0</v>
      </c>
    </row>
    <row r="543" spans="4:22" ht="32.25" customHeight="1">
      <c r="D543" s="40"/>
      <c r="E543" s="27" t="str">
        <f>IF(D543="","",LEFT(D543,3))</f>
        <v/>
      </c>
      <c r="F543" s="28" t="str">
        <f>IF(E543="","",IFERROR(VLOOKUP(E543,REGRAS_CST!$A$2:$B$200,2,FALSE),""))</f>
        <v/>
      </c>
      <c r="H543" s="29">
        <v>8.9999999999999993E-3</v>
      </c>
      <c r="I543" s="29">
        <v>1E-3</v>
      </c>
      <c r="K543" s="21" t="str">
        <f>IF(E543="","",IFERROR(VLOOKUP(E543,REGRAS_CST!$A$2:$C$200,3,FALSE),""))</f>
        <v/>
      </c>
      <c r="L543" s="23" t="str">
        <f>IF($G543="", "", $G543*(1-$V543))</f>
        <v/>
      </c>
      <c r="M543" s="24" t="str">
        <f>IF(OR($L543="",$S543=""),"",$L543*$S543)</f>
        <v/>
      </c>
      <c r="N543" s="24" t="str">
        <f>IF(OR($L543="",$T543=""),"",$L543*$T543)</f>
        <v/>
      </c>
      <c r="O543" s="15" t="str">
        <f>IF(D543="","",
IF(AND(K543&lt;&gt;"SIM",V543&gt;0),"ERRO: % BC &gt; 0, mas NÃO permitida ❌",
IF(AND(K543="SIM",V543=0),"ATENÇÃO: BC permitida, mas % = 0 🔎",
"Base de cálculo aplicada corretamente ✅")))</f>
        <v/>
      </c>
      <c r="P543" s="31" t="str">
        <f>IF(D543="","",
IF(AND(Q543&lt;&gt;"SIM",U543&gt;0),"ERRO: % alíquota &gt; 0, mas NÃO permitida ❌",
IF(AND(Q543="SIM",U543=0),"ATENÇÃO: alíquota permitida, mas % = 0 🔎",
"Alíquota aplicada corretamente ✅")))</f>
        <v/>
      </c>
      <c r="Q543" s="8" t="str">
        <f>IF(E543="","",IFERROR(VLOOKUP(E543,REGRAS_CST!$A$2:$D$200,4,FALSE),""))</f>
        <v/>
      </c>
      <c r="S543" s="9">
        <f>IF($H543="","",$H543*(1-$U543))</f>
        <v>8.9999999999999993E-3</v>
      </c>
      <c r="T543" s="9">
        <f>IF($I543="","",$I543*(1-$U543))</f>
        <v>1E-3</v>
      </c>
      <c r="U543" s="16">
        <f>IFERROR(INDEX(BASE_CCLASSTRIB!$E:$E, MATCH(TEXT($D543,"000000"), BASE_CCLASSTRIB!$A:$A, 0))/100, 0)</f>
        <v>0</v>
      </c>
      <c r="V543" s="16">
        <f>IFERROR(INDEX(BASE_CCLASSTRIB!$F:$F, MATCH(TEXT($D543,"000000"), BASE_CCLASSTRIB!$A:$A, 0))/100, 0)</f>
        <v>0</v>
      </c>
    </row>
    <row r="544" spans="4:22" ht="32.25" customHeight="1">
      <c r="D544" s="40"/>
      <c r="E544" s="27" t="str">
        <f>IF(D544="","",LEFT(D544,3))</f>
        <v/>
      </c>
      <c r="F544" s="28" t="str">
        <f>IF(E544="","",IFERROR(VLOOKUP(E544,REGRAS_CST!$A$2:$B$200,2,FALSE),""))</f>
        <v/>
      </c>
      <c r="H544" s="29">
        <v>8.9999999999999993E-3</v>
      </c>
      <c r="I544" s="29">
        <v>1E-3</v>
      </c>
      <c r="K544" s="21" t="str">
        <f>IF(E544="","",IFERROR(VLOOKUP(E544,REGRAS_CST!$A$2:$C$200,3,FALSE),""))</f>
        <v/>
      </c>
      <c r="L544" s="23" t="str">
        <f>IF($G544="", "", $G544*(1-$V544))</f>
        <v/>
      </c>
      <c r="M544" s="24" t="str">
        <f>IF(OR($L544="",$S544=""),"",$L544*$S544)</f>
        <v/>
      </c>
      <c r="N544" s="24" t="str">
        <f>IF(OR($L544="",$T544=""),"",$L544*$T544)</f>
        <v/>
      </c>
      <c r="O544" s="15" t="str">
        <f>IF(D544="","",
IF(AND(K544&lt;&gt;"SIM",V544&gt;0),"ERRO: % BC &gt; 0, mas NÃO permitida ❌",
IF(AND(K544="SIM",V544=0),"ATENÇÃO: BC permitida, mas % = 0 🔎",
"Base de cálculo aplicada corretamente ✅")))</f>
        <v/>
      </c>
      <c r="P544" s="31" t="str">
        <f>IF(D544="","",
IF(AND(Q544&lt;&gt;"SIM",U544&gt;0),"ERRO: % alíquota &gt; 0, mas NÃO permitida ❌",
IF(AND(Q544="SIM",U544=0),"ATENÇÃO: alíquota permitida, mas % = 0 🔎",
"Alíquota aplicada corretamente ✅")))</f>
        <v/>
      </c>
      <c r="Q544" s="8" t="str">
        <f>IF(E544="","",IFERROR(VLOOKUP(E544,REGRAS_CST!$A$2:$D$200,4,FALSE),""))</f>
        <v/>
      </c>
      <c r="S544" s="9">
        <f>IF($H544="","",$H544*(1-$U544))</f>
        <v>8.9999999999999993E-3</v>
      </c>
      <c r="T544" s="9">
        <f>IF($I544="","",$I544*(1-$U544))</f>
        <v>1E-3</v>
      </c>
      <c r="U544" s="16">
        <f>IFERROR(INDEX(BASE_CCLASSTRIB!$E:$E, MATCH(TEXT($D544,"000000"), BASE_CCLASSTRIB!$A:$A, 0))/100, 0)</f>
        <v>0</v>
      </c>
      <c r="V544" s="16">
        <f>IFERROR(INDEX(BASE_CCLASSTRIB!$F:$F, MATCH(TEXT($D544,"000000"), BASE_CCLASSTRIB!$A:$A, 0))/100, 0)</f>
        <v>0</v>
      </c>
    </row>
    <row r="545" spans="4:22" ht="32.25" customHeight="1">
      <c r="D545" s="39"/>
      <c r="E545" s="27" t="str">
        <f>IF(D545="","",LEFT(D545,3))</f>
        <v/>
      </c>
      <c r="F545" s="28" t="str">
        <f>IF(E545="","",IFERROR(VLOOKUP(E545,REGRAS_CST!$A$2:$B$200,2,FALSE),""))</f>
        <v/>
      </c>
      <c r="H545" s="29">
        <v>8.9999999999999993E-3</v>
      </c>
      <c r="I545" s="29">
        <v>1E-3</v>
      </c>
      <c r="K545" s="21" t="str">
        <f>IF(E545="","",IFERROR(VLOOKUP(E545,REGRAS_CST!$A$2:$C$200,3,FALSE),""))</f>
        <v/>
      </c>
      <c r="L545" s="23" t="str">
        <f>IF($G545="", "", $G545*(1-$V545))</f>
        <v/>
      </c>
      <c r="M545" s="24" t="str">
        <f>IF(OR($L545="",$S545=""),"",$L545*$S545)</f>
        <v/>
      </c>
      <c r="N545" s="24" t="str">
        <f>IF(OR($L545="",$T545=""),"",$L545*$T545)</f>
        <v/>
      </c>
      <c r="O545" s="15" t="str">
        <f>IF(D545="","",
IF(AND(K545&lt;&gt;"SIM",V545&gt;0),"ERRO: % BC &gt; 0, mas NÃO permitida ❌",
IF(AND(K545="SIM",V545=0),"ATENÇÃO: BC permitida, mas % = 0 🔎",
"Base de cálculo aplicada corretamente ✅")))</f>
        <v/>
      </c>
      <c r="P545" s="31" t="str">
        <f>IF(D545="","",
IF(AND(Q545&lt;&gt;"SIM",U545&gt;0),"ERRO: % alíquota &gt; 0, mas NÃO permitida ❌",
IF(AND(Q545="SIM",U545=0),"ATENÇÃO: alíquota permitida, mas % = 0 🔎",
"Alíquota aplicada corretamente ✅")))</f>
        <v/>
      </c>
      <c r="Q545" s="8" t="str">
        <f>IF(E545="","",IFERROR(VLOOKUP(E545,REGRAS_CST!$A$2:$D$200,4,FALSE),""))</f>
        <v/>
      </c>
      <c r="S545" s="9">
        <f>IF($H545="","",$H545*(1-$U545))</f>
        <v>8.9999999999999993E-3</v>
      </c>
      <c r="T545" s="9">
        <f>IF($I545="","",$I545*(1-$U545))</f>
        <v>1E-3</v>
      </c>
      <c r="U545" s="16">
        <f>IFERROR(INDEX(BASE_CCLASSTRIB!$E:$E, MATCH(TEXT($D545,"000000"), BASE_CCLASSTRIB!$A:$A, 0))/100, 0)</f>
        <v>0</v>
      </c>
      <c r="V545" s="16">
        <f>IFERROR(INDEX(BASE_CCLASSTRIB!$F:$F, MATCH(TEXT($D545,"000000"), BASE_CCLASSTRIB!$A:$A, 0))/100, 0)</f>
        <v>0</v>
      </c>
    </row>
    <row r="546" spans="4:22" ht="32.25" customHeight="1">
      <c r="D546" s="39"/>
      <c r="E546" s="27" t="str">
        <f>IF(D546="","",LEFT(D546,3))</f>
        <v/>
      </c>
      <c r="F546" s="28" t="str">
        <f>IF(E546="","",IFERROR(VLOOKUP(E546,REGRAS_CST!$A$2:$B$200,2,FALSE),""))</f>
        <v/>
      </c>
      <c r="H546" s="29">
        <v>8.9999999999999993E-3</v>
      </c>
      <c r="I546" s="29">
        <v>1E-3</v>
      </c>
      <c r="K546" s="21" t="str">
        <f>IF(E546="","",IFERROR(VLOOKUP(E546,REGRAS_CST!$A$2:$C$200,3,FALSE),""))</f>
        <v/>
      </c>
      <c r="L546" s="23" t="str">
        <f>IF($G546="", "", $G546*(1-$V546))</f>
        <v/>
      </c>
      <c r="M546" s="24" t="str">
        <f>IF(OR($L546="",$S546=""),"",$L546*$S546)</f>
        <v/>
      </c>
      <c r="N546" s="24" t="str">
        <f>IF(OR($L546="",$T546=""),"",$L546*$T546)</f>
        <v/>
      </c>
      <c r="O546" s="15" t="str">
        <f>IF(D546="","",
IF(AND(K546&lt;&gt;"SIM",V546&gt;0),"ERRO: % BC &gt; 0, mas NÃO permitida ❌",
IF(AND(K546="SIM",V546=0),"ATENÇÃO: BC permitida, mas % = 0 🔎",
"Base de cálculo aplicada corretamente ✅")))</f>
        <v/>
      </c>
      <c r="P546" s="31" t="str">
        <f>IF(D546="","",
IF(AND(Q546&lt;&gt;"SIM",U546&gt;0),"ERRO: % alíquota &gt; 0, mas NÃO permitida ❌",
IF(AND(Q546="SIM",U546=0),"ATENÇÃO: alíquota permitida, mas % = 0 🔎",
"Alíquota aplicada corretamente ✅")))</f>
        <v/>
      </c>
      <c r="Q546" s="8" t="str">
        <f>IF(E546="","",IFERROR(VLOOKUP(E546,REGRAS_CST!$A$2:$D$200,4,FALSE),""))</f>
        <v/>
      </c>
      <c r="S546" s="9">
        <f>IF($H546="","",$H546*(1-$U546))</f>
        <v>8.9999999999999993E-3</v>
      </c>
      <c r="T546" s="9">
        <f>IF($I546="","",$I546*(1-$U546))</f>
        <v>1E-3</v>
      </c>
      <c r="U546" s="16">
        <f>IFERROR(INDEX(BASE_CCLASSTRIB!$E:$E, MATCH(TEXT($D546,"000000"), BASE_CCLASSTRIB!$A:$A, 0))/100, 0)</f>
        <v>0</v>
      </c>
      <c r="V546" s="16">
        <f>IFERROR(INDEX(BASE_CCLASSTRIB!$F:$F, MATCH(TEXT($D546,"000000"), BASE_CCLASSTRIB!$A:$A, 0))/100, 0)</f>
        <v>0</v>
      </c>
    </row>
    <row r="547" spans="4:22" ht="32.25" customHeight="1">
      <c r="D547" s="39"/>
      <c r="E547" s="27" t="str">
        <f>IF(D547="","",LEFT(D547,3))</f>
        <v/>
      </c>
      <c r="F547" s="28" t="str">
        <f>IF(E547="","",IFERROR(VLOOKUP(E547,REGRAS_CST!$A$2:$B$200,2,FALSE),""))</f>
        <v/>
      </c>
      <c r="H547" s="29">
        <v>8.9999999999999993E-3</v>
      </c>
      <c r="I547" s="29">
        <v>1E-3</v>
      </c>
      <c r="K547" s="21" t="str">
        <f>IF(E547="","",IFERROR(VLOOKUP(E547,REGRAS_CST!$A$2:$C$200,3,FALSE),""))</f>
        <v/>
      </c>
      <c r="L547" s="23" t="str">
        <f>IF($G547="", "", $G547*(1-$V547))</f>
        <v/>
      </c>
      <c r="M547" s="24" t="str">
        <f>IF(OR($L547="",$S547=""),"",$L547*$S547)</f>
        <v/>
      </c>
      <c r="N547" s="24" t="str">
        <f>IF(OR($L547="",$T547=""),"",$L547*$T547)</f>
        <v/>
      </c>
      <c r="O547" s="15" t="str">
        <f>IF(D547="","",
IF(AND(K547&lt;&gt;"SIM",V547&gt;0),"ERRO: % BC &gt; 0, mas NÃO permitida ❌",
IF(AND(K547="SIM",V547=0),"ATENÇÃO: BC permitida, mas % = 0 🔎",
"Base de cálculo aplicada corretamente ✅")))</f>
        <v/>
      </c>
      <c r="P547" s="31" t="str">
        <f>IF(D547="","",
IF(AND(Q547&lt;&gt;"SIM",U547&gt;0),"ERRO: % alíquota &gt; 0, mas NÃO permitida ❌",
IF(AND(Q547="SIM",U547=0),"ATENÇÃO: alíquota permitida, mas % = 0 🔎",
"Alíquota aplicada corretamente ✅")))</f>
        <v/>
      </c>
      <c r="Q547" s="8" t="str">
        <f>IF(E547="","",IFERROR(VLOOKUP(E547,REGRAS_CST!$A$2:$D$200,4,FALSE),""))</f>
        <v/>
      </c>
      <c r="S547" s="9">
        <f>IF($H547="","",$H547*(1-$U547))</f>
        <v>8.9999999999999993E-3</v>
      </c>
      <c r="T547" s="9">
        <f>IF($I547="","",$I547*(1-$U547))</f>
        <v>1E-3</v>
      </c>
      <c r="U547" s="16">
        <f>IFERROR(INDEX(BASE_CCLASSTRIB!$E:$E, MATCH(TEXT($D547,"000000"), BASE_CCLASSTRIB!$A:$A, 0))/100, 0)</f>
        <v>0</v>
      </c>
      <c r="V547" s="16">
        <f>IFERROR(INDEX(BASE_CCLASSTRIB!$F:$F, MATCH(TEXT($D547,"000000"), BASE_CCLASSTRIB!$A:$A, 0))/100, 0)</f>
        <v>0</v>
      </c>
    </row>
    <row r="548" spans="4:22" ht="32.25" customHeight="1">
      <c r="D548" s="39"/>
      <c r="E548" s="27" t="str">
        <f>IF(D548="","",LEFT(D548,3))</f>
        <v/>
      </c>
      <c r="F548" s="28" t="str">
        <f>IF(E548="","",IFERROR(VLOOKUP(E548,REGRAS_CST!$A$2:$B$200,2,FALSE),""))</f>
        <v/>
      </c>
      <c r="H548" s="29">
        <v>8.9999999999999993E-3</v>
      </c>
      <c r="I548" s="29">
        <v>1E-3</v>
      </c>
      <c r="K548" s="21" t="str">
        <f>IF(E548="","",IFERROR(VLOOKUP(E548,REGRAS_CST!$A$2:$C$200,3,FALSE),""))</f>
        <v/>
      </c>
      <c r="L548" s="23" t="str">
        <f>IF($G548="", "", $G548*(1-$V548))</f>
        <v/>
      </c>
      <c r="M548" s="24" t="str">
        <f>IF(OR($L548="",$S548=""),"",$L548*$S548)</f>
        <v/>
      </c>
      <c r="N548" s="24" t="str">
        <f>IF(OR($L548="",$T548=""),"",$L548*$T548)</f>
        <v/>
      </c>
      <c r="O548" s="15" t="str">
        <f>IF(D548="","",
IF(AND(K548&lt;&gt;"SIM",V548&gt;0),"ERRO: % BC &gt; 0, mas NÃO permitida ❌",
IF(AND(K548="SIM",V548=0),"ATENÇÃO: BC permitida, mas % = 0 🔎",
"Base de cálculo aplicada corretamente ✅")))</f>
        <v/>
      </c>
      <c r="P548" s="31" t="str">
        <f>IF(D548="","",
IF(AND(Q548&lt;&gt;"SIM",U548&gt;0),"ERRO: % alíquota &gt; 0, mas NÃO permitida ❌",
IF(AND(Q548="SIM",U548=0),"ATENÇÃO: alíquota permitida, mas % = 0 🔎",
"Alíquota aplicada corretamente ✅")))</f>
        <v/>
      </c>
      <c r="Q548" s="8" t="str">
        <f>IF(E548="","",IFERROR(VLOOKUP(E548,REGRAS_CST!$A$2:$D$200,4,FALSE),""))</f>
        <v/>
      </c>
      <c r="S548" s="9">
        <f>IF($H548="","",$H548*(1-$U548))</f>
        <v>8.9999999999999993E-3</v>
      </c>
      <c r="T548" s="9">
        <f>IF($I548="","",$I548*(1-$U548))</f>
        <v>1E-3</v>
      </c>
      <c r="U548" s="16">
        <f>IFERROR(INDEX(BASE_CCLASSTRIB!$E:$E, MATCH(TEXT($D548,"000000"), BASE_CCLASSTRIB!$A:$A, 0))/100, 0)</f>
        <v>0</v>
      </c>
      <c r="V548" s="16">
        <f>IFERROR(INDEX(BASE_CCLASSTRIB!$F:$F, MATCH(TEXT($D548,"000000"), BASE_CCLASSTRIB!$A:$A, 0))/100, 0)</f>
        <v>0</v>
      </c>
    </row>
    <row r="549" spans="4:22" ht="32.25" customHeight="1">
      <c r="D549" s="39"/>
      <c r="E549" s="27" t="str">
        <f>IF(D549="","",LEFT(D549,3))</f>
        <v/>
      </c>
      <c r="F549" s="28" t="str">
        <f>IF(E549="","",IFERROR(VLOOKUP(E549,REGRAS_CST!$A$2:$B$200,2,FALSE),""))</f>
        <v/>
      </c>
      <c r="H549" s="29">
        <v>8.9999999999999993E-3</v>
      </c>
      <c r="I549" s="29">
        <v>1E-3</v>
      </c>
      <c r="K549" s="21" t="str">
        <f>IF(E549="","",IFERROR(VLOOKUP(E549,REGRAS_CST!$A$2:$C$200,3,FALSE),""))</f>
        <v/>
      </c>
      <c r="L549" s="23" t="str">
        <f>IF($G549="", "", $G549*(1-$V549))</f>
        <v/>
      </c>
      <c r="M549" s="24" t="str">
        <f>IF(OR($L549="",$S549=""),"",$L549*$S549)</f>
        <v/>
      </c>
      <c r="N549" s="24" t="str">
        <f>IF(OR($L549="",$T549=""),"",$L549*$T549)</f>
        <v/>
      </c>
      <c r="O549" s="15" t="str">
        <f>IF(D549="","",
IF(AND(K549&lt;&gt;"SIM",V549&gt;0),"ERRO: % BC &gt; 0, mas NÃO permitida ❌",
IF(AND(K549="SIM",V549=0),"ATENÇÃO: BC permitida, mas % = 0 🔎",
"Base de cálculo aplicada corretamente ✅")))</f>
        <v/>
      </c>
      <c r="P549" s="31" t="str">
        <f>IF(D549="","",
IF(AND(Q549&lt;&gt;"SIM",U549&gt;0),"ERRO: % alíquota &gt; 0, mas NÃO permitida ❌",
IF(AND(Q549="SIM",U549=0),"ATENÇÃO: alíquota permitida, mas % = 0 🔎",
"Alíquota aplicada corretamente ✅")))</f>
        <v/>
      </c>
      <c r="Q549" s="8" t="str">
        <f>IF(E549="","",IFERROR(VLOOKUP(E549,REGRAS_CST!$A$2:$D$200,4,FALSE),""))</f>
        <v/>
      </c>
      <c r="S549" s="9">
        <f>IF($H549="","",$H549*(1-$U549))</f>
        <v>8.9999999999999993E-3</v>
      </c>
      <c r="T549" s="9">
        <f>IF($I549="","",$I549*(1-$U549))</f>
        <v>1E-3</v>
      </c>
      <c r="U549" s="16">
        <f>IFERROR(INDEX(BASE_CCLASSTRIB!$E:$E, MATCH(TEXT($D549,"000000"), BASE_CCLASSTRIB!$A:$A, 0))/100, 0)</f>
        <v>0</v>
      </c>
      <c r="V549" s="16">
        <f>IFERROR(INDEX(BASE_CCLASSTRIB!$F:$F, MATCH(TEXT($D549,"000000"), BASE_CCLASSTRIB!$A:$A, 0))/100, 0)</f>
        <v>0</v>
      </c>
    </row>
    <row r="550" spans="4:22" ht="32.25" customHeight="1">
      <c r="D550" s="39"/>
      <c r="E550" s="27" t="str">
        <f>IF(D550="","",LEFT(D550,3))</f>
        <v/>
      </c>
      <c r="F550" s="28" t="str">
        <f>IF(E550="","",IFERROR(VLOOKUP(E550,REGRAS_CST!$A$2:$B$200,2,FALSE),""))</f>
        <v/>
      </c>
      <c r="H550" s="29">
        <v>8.9999999999999993E-3</v>
      </c>
      <c r="I550" s="29">
        <v>1E-3</v>
      </c>
      <c r="K550" s="21" t="str">
        <f>IF(E550="","",IFERROR(VLOOKUP(E550,REGRAS_CST!$A$2:$C$200,3,FALSE),""))</f>
        <v/>
      </c>
      <c r="L550" s="23" t="str">
        <f>IF($G550="", "", $G550*(1-$V550))</f>
        <v/>
      </c>
      <c r="M550" s="24" t="str">
        <f>IF(OR($L550="",$S550=""),"",$L550*$S550)</f>
        <v/>
      </c>
      <c r="N550" s="24" t="str">
        <f>IF(OR($L550="",$T550=""),"",$L550*$T550)</f>
        <v/>
      </c>
      <c r="O550" s="15" t="str">
        <f>IF(D550="","",
IF(AND(K550&lt;&gt;"SIM",V550&gt;0),"ERRO: % BC &gt; 0, mas NÃO permitida ❌",
IF(AND(K550="SIM",V550=0),"ATENÇÃO: BC permitida, mas % = 0 🔎",
"Base de cálculo aplicada corretamente ✅")))</f>
        <v/>
      </c>
      <c r="P550" s="31" t="str">
        <f>IF(D550="","",
IF(AND(Q550&lt;&gt;"SIM",U550&gt;0),"ERRO: % alíquota &gt; 0, mas NÃO permitida ❌",
IF(AND(Q550="SIM",U550=0),"ATENÇÃO: alíquota permitida, mas % = 0 🔎",
"Alíquota aplicada corretamente ✅")))</f>
        <v/>
      </c>
      <c r="Q550" s="8" t="str">
        <f>IF(E550="","",IFERROR(VLOOKUP(E550,REGRAS_CST!$A$2:$D$200,4,FALSE),""))</f>
        <v/>
      </c>
      <c r="S550" s="9">
        <f>IF($H550="","",$H550*(1-$U550))</f>
        <v>8.9999999999999993E-3</v>
      </c>
      <c r="T550" s="9">
        <f>IF($I550="","",$I550*(1-$U550))</f>
        <v>1E-3</v>
      </c>
      <c r="U550" s="16">
        <f>IFERROR(INDEX(BASE_CCLASSTRIB!$E:$E, MATCH(TEXT($D550,"000000"), BASE_CCLASSTRIB!$A:$A, 0))/100, 0)</f>
        <v>0</v>
      </c>
      <c r="V550" s="16">
        <f>IFERROR(INDEX(BASE_CCLASSTRIB!$F:$F, MATCH(TEXT($D550,"000000"), BASE_CCLASSTRIB!$A:$A, 0))/100, 0)</f>
        <v>0</v>
      </c>
    </row>
    <row r="551" spans="4:22" ht="32.25" customHeight="1">
      <c r="D551" s="39"/>
      <c r="E551" s="27" t="str">
        <f>IF(D551="","",LEFT(D551,3))</f>
        <v/>
      </c>
      <c r="F551" s="28" t="str">
        <f>IF(E551="","",IFERROR(VLOOKUP(E551,REGRAS_CST!$A$2:$B$200,2,FALSE),""))</f>
        <v/>
      </c>
      <c r="H551" s="29">
        <v>8.9999999999999993E-3</v>
      </c>
      <c r="I551" s="29">
        <v>1E-3</v>
      </c>
      <c r="K551" s="21" t="str">
        <f>IF(E551="","",IFERROR(VLOOKUP(E551,REGRAS_CST!$A$2:$C$200,3,FALSE),""))</f>
        <v/>
      </c>
      <c r="L551" s="23" t="str">
        <f>IF($G551="", "", $G551*(1-$V551))</f>
        <v/>
      </c>
      <c r="M551" s="24" t="str">
        <f>IF(OR($L551="",$S551=""),"",$L551*$S551)</f>
        <v/>
      </c>
      <c r="N551" s="24" t="str">
        <f>IF(OR($L551="",$T551=""),"",$L551*$T551)</f>
        <v/>
      </c>
      <c r="O551" s="15" t="str">
        <f>IF(D551="","",
IF(AND(K551&lt;&gt;"SIM",V551&gt;0),"ERRO: % BC &gt; 0, mas NÃO permitida ❌",
IF(AND(K551="SIM",V551=0),"ATENÇÃO: BC permitida, mas % = 0 🔎",
"Base de cálculo aplicada corretamente ✅")))</f>
        <v/>
      </c>
      <c r="P551" s="31" t="str">
        <f>IF(D551="","",
IF(AND(Q551&lt;&gt;"SIM",U551&gt;0),"ERRO: % alíquota &gt; 0, mas NÃO permitida ❌",
IF(AND(Q551="SIM",U551=0),"ATENÇÃO: alíquota permitida, mas % = 0 🔎",
"Alíquota aplicada corretamente ✅")))</f>
        <v/>
      </c>
      <c r="Q551" s="8" t="str">
        <f>IF(E551="","",IFERROR(VLOOKUP(E551,REGRAS_CST!$A$2:$D$200,4,FALSE),""))</f>
        <v/>
      </c>
      <c r="S551" s="9">
        <f>IF($H551="","",$H551*(1-$U551))</f>
        <v>8.9999999999999993E-3</v>
      </c>
      <c r="T551" s="9">
        <f>IF($I551="","",$I551*(1-$U551))</f>
        <v>1E-3</v>
      </c>
      <c r="U551" s="16">
        <f>IFERROR(INDEX(BASE_CCLASSTRIB!$E:$E, MATCH(TEXT($D551,"000000"), BASE_CCLASSTRIB!$A:$A, 0))/100, 0)</f>
        <v>0</v>
      </c>
      <c r="V551" s="16">
        <f>IFERROR(INDEX(BASE_CCLASSTRIB!$F:$F, MATCH(TEXT($D551,"000000"), BASE_CCLASSTRIB!$A:$A, 0))/100, 0)</f>
        <v>0</v>
      </c>
    </row>
    <row r="552" spans="4:22" ht="32.25" customHeight="1">
      <c r="D552" s="39"/>
      <c r="E552" s="27" t="str">
        <f>IF(D552="","",LEFT(D552,3))</f>
        <v/>
      </c>
      <c r="F552" s="28" t="str">
        <f>IF(E552="","",IFERROR(VLOOKUP(E552,REGRAS_CST!$A$2:$B$200,2,FALSE),""))</f>
        <v/>
      </c>
      <c r="H552" s="29">
        <v>8.9999999999999993E-3</v>
      </c>
      <c r="I552" s="29">
        <v>1E-3</v>
      </c>
      <c r="K552" s="21" t="str">
        <f>IF(E552="","",IFERROR(VLOOKUP(E552,REGRAS_CST!$A$2:$C$200,3,FALSE),""))</f>
        <v/>
      </c>
      <c r="L552" s="23" t="str">
        <f>IF($G552="", "", $G552*(1-$V552))</f>
        <v/>
      </c>
      <c r="M552" s="24" t="str">
        <f>IF(OR($L552="",$S552=""),"",$L552*$S552)</f>
        <v/>
      </c>
      <c r="N552" s="24" t="str">
        <f>IF(OR($L552="",$T552=""),"",$L552*$T552)</f>
        <v/>
      </c>
      <c r="O552" s="15" t="str">
        <f>IF(D552="","",
IF(AND(K552&lt;&gt;"SIM",V552&gt;0),"ERRO: % BC &gt; 0, mas NÃO permitida ❌",
IF(AND(K552="SIM",V552=0),"ATENÇÃO: BC permitida, mas % = 0 🔎",
"Base de cálculo aplicada corretamente ✅")))</f>
        <v/>
      </c>
      <c r="P552" s="31" t="str">
        <f>IF(D552="","",
IF(AND(Q552&lt;&gt;"SIM",U552&gt;0),"ERRO: % alíquota &gt; 0, mas NÃO permitida ❌",
IF(AND(Q552="SIM",U552=0),"ATENÇÃO: alíquota permitida, mas % = 0 🔎",
"Alíquota aplicada corretamente ✅")))</f>
        <v/>
      </c>
      <c r="Q552" s="8" t="str">
        <f>IF(E552="","",IFERROR(VLOOKUP(E552,REGRAS_CST!$A$2:$D$200,4,FALSE),""))</f>
        <v/>
      </c>
      <c r="S552" s="9">
        <f>IF($H552="","",$H552*(1-$U552))</f>
        <v>8.9999999999999993E-3</v>
      </c>
      <c r="T552" s="9">
        <f>IF($I552="","",$I552*(1-$U552))</f>
        <v>1E-3</v>
      </c>
      <c r="U552" s="16">
        <f>IFERROR(INDEX(BASE_CCLASSTRIB!$E:$E, MATCH(TEXT($D552,"000000"), BASE_CCLASSTRIB!$A:$A, 0))/100, 0)</f>
        <v>0</v>
      </c>
      <c r="V552" s="16">
        <f>IFERROR(INDEX(BASE_CCLASSTRIB!$F:$F, MATCH(TEXT($D552,"000000"), BASE_CCLASSTRIB!$A:$A, 0))/100, 0)</f>
        <v>0</v>
      </c>
    </row>
    <row r="553" spans="4:22" ht="32.25" customHeight="1">
      <c r="D553" s="39"/>
      <c r="E553" s="27" t="str">
        <f>IF(D553="","",LEFT(D553,3))</f>
        <v/>
      </c>
      <c r="F553" s="28" t="str">
        <f>IF(E553="","",IFERROR(VLOOKUP(E553,REGRAS_CST!$A$2:$B$200,2,FALSE),""))</f>
        <v/>
      </c>
      <c r="H553" s="29">
        <v>8.9999999999999993E-3</v>
      </c>
      <c r="I553" s="29">
        <v>1E-3</v>
      </c>
      <c r="K553" s="21" t="str">
        <f>IF(E553="","",IFERROR(VLOOKUP(E553,REGRAS_CST!$A$2:$C$200,3,FALSE),""))</f>
        <v/>
      </c>
      <c r="L553" s="23" t="str">
        <f>IF($G553="", "", $G553*(1-$V553))</f>
        <v/>
      </c>
      <c r="M553" s="24" t="str">
        <f>IF(OR($L553="",$S553=""),"",$L553*$S553)</f>
        <v/>
      </c>
      <c r="N553" s="24" t="str">
        <f>IF(OR($L553="",$T553=""),"",$L553*$T553)</f>
        <v/>
      </c>
      <c r="O553" s="15" t="str">
        <f>IF(D553="","",
IF(AND(K553&lt;&gt;"SIM",V553&gt;0),"ERRO: % BC &gt; 0, mas NÃO permitida ❌",
IF(AND(K553="SIM",V553=0),"ATENÇÃO: BC permitida, mas % = 0 🔎",
"Base de cálculo aplicada corretamente ✅")))</f>
        <v/>
      </c>
      <c r="P553" s="31" t="str">
        <f>IF(D553="","",
IF(AND(Q553&lt;&gt;"SIM",U553&gt;0),"ERRO: % alíquota &gt; 0, mas NÃO permitida ❌",
IF(AND(Q553="SIM",U553=0),"ATENÇÃO: alíquota permitida, mas % = 0 🔎",
"Alíquota aplicada corretamente ✅")))</f>
        <v/>
      </c>
      <c r="Q553" s="8" t="str">
        <f>IF(E553="","",IFERROR(VLOOKUP(E553,REGRAS_CST!$A$2:$D$200,4,FALSE),""))</f>
        <v/>
      </c>
      <c r="S553" s="9">
        <f>IF($H553="","",$H553*(1-$U553))</f>
        <v>8.9999999999999993E-3</v>
      </c>
      <c r="T553" s="9">
        <f>IF($I553="","",$I553*(1-$U553))</f>
        <v>1E-3</v>
      </c>
      <c r="U553" s="16">
        <f>IFERROR(INDEX(BASE_CCLASSTRIB!$E:$E, MATCH(TEXT($D553,"000000"), BASE_CCLASSTRIB!$A:$A, 0))/100, 0)</f>
        <v>0</v>
      </c>
      <c r="V553" s="16">
        <f>IFERROR(INDEX(BASE_CCLASSTRIB!$F:$F, MATCH(TEXT($D553,"000000"), BASE_CCLASSTRIB!$A:$A, 0))/100, 0)</f>
        <v>0</v>
      </c>
    </row>
    <row r="554" spans="4:22" ht="32.25" customHeight="1">
      <c r="D554" s="39"/>
      <c r="E554" s="27" t="str">
        <f>IF(D554="","",LEFT(D554,3))</f>
        <v/>
      </c>
      <c r="F554" s="28" t="str">
        <f>IF(E554="","",IFERROR(VLOOKUP(E554,REGRAS_CST!$A$2:$B$200,2,FALSE),""))</f>
        <v/>
      </c>
      <c r="H554" s="29">
        <v>8.9999999999999993E-3</v>
      </c>
      <c r="I554" s="29">
        <v>1E-3</v>
      </c>
      <c r="K554" s="21" t="str">
        <f>IF(E554="","",IFERROR(VLOOKUP(E554,REGRAS_CST!$A$2:$C$200,3,FALSE),""))</f>
        <v/>
      </c>
      <c r="L554" s="23" t="str">
        <f>IF($G554="", "", $G554*(1-$V554))</f>
        <v/>
      </c>
      <c r="M554" s="24" t="str">
        <f>IF(OR($L554="",$S554=""),"",$L554*$S554)</f>
        <v/>
      </c>
      <c r="N554" s="24" t="str">
        <f>IF(OR($L554="",$T554=""),"",$L554*$T554)</f>
        <v/>
      </c>
      <c r="O554" s="15" t="str">
        <f>IF(D554="","",
IF(AND(K554&lt;&gt;"SIM",V554&gt;0),"ERRO: % BC &gt; 0, mas NÃO permitida ❌",
IF(AND(K554="SIM",V554=0),"ATENÇÃO: BC permitida, mas % = 0 🔎",
"Base de cálculo aplicada corretamente ✅")))</f>
        <v/>
      </c>
      <c r="P554" s="31" t="str">
        <f>IF(D554="","",
IF(AND(Q554&lt;&gt;"SIM",U554&gt;0),"ERRO: % alíquota &gt; 0, mas NÃO permitida ❌",
IF(AND(Q554="SIM",U554=0),"ATENÇÃO: alíquota permitida, mas % = 0 🔎",
"Alíquota aplicada corretamente ✅")))</f>
        <v/>
      </c>
      <c r="Q554" s="8" t="str">
        <f>IF(E554="","",IFERROR(VLOOKUP(E554,REGRAS_CST!$A$2:$D$200,4,FALSE),""))</f>
        <v/>
      </c>
      <c r="S554" s="9">
        <f>IF($H554="","",$H554*(1-$U554))</f>
        <v>8.9999999999999993E-3</v>
      </c>
      <c r="T554" s="9">
        <f>IF($I554="","",$I554*(1-$U554))</f>
        <v>1E-3</v>
      </c>
      <c r="U554" s="16">
        <f>IFERROR(INDEX(BASE_CCLASSTRIB!$E:$E, MATCH(TEXT($D554,"000000"), BASE_CCLASSTRIB!$A:$A, 0))/100, 0)</f>
        <v>0</v>
      </c>
      <c r="V554" s="16">
        <f>IFERROR(INDEX(BASE_CCLASSTRIB!$F:$F, MATCH(TEXT($D554,"000000"), BASE_CCLASSTRIB!$A:$A, 0))/100, 0)</f>
        <v>0</v>
      </c>
    </row>
    <row r="555" spans="4:22" ht="32.25" customHeight="1">
      <c r="D555" s="40"/>
      <c r="E555" s="27" t="str">
        <f>IF(D555="","",LEFT(D555,3))</f>
        <v/>
      </c>
      <c r="F555" s="28" t="str">
        <f>IF(E555="","",IFERROR(VLOOKUP(E555,REGRAS_CST!$A$2:$B$200,2,FALSE),""))</f>
        <v/>
      </c>
      <c r="H555" s="29">
        <v>8.9999999999999993E-3</v>
      </c>
      <c r="I555" s="29">
        <v>1E-3</v>
      </c>
      <c r="K555" s="21" t="str">
        <f>IF(E555="","",IFERROR(VLOOKUP(E555,REGRAS_CST!$A$2:$C$200,3,FALSE),""))</f>
        <v/>
      </c>
      <c r="L555" s="23" t="str">
        <f>IF($G555="", "", $G555*(1-$V555))</f>
        <v/>
      </c>
      <c r="M555" s="24" t="str">
        <f>IF(OR($L555="",$S555=""),"",$L555*$S555)</f>
        <v/>
      </c>
      <c r="N555" s="24" t="str">
        <f>IF(OR($L555="",$T555=""),"",$L555*$T555)</f>
        <v/>
      </c>
      <c r="O555" s="15" t="str">
        <f>IF(D555="","",
IF(AND(K555&lt;&gt;"SIM",V555&gt;0),"ERRO: % BC &gt; 0, mas NÃO permitida ❌",
IF(AND(K555="SIM",V555=0),"ATENÇÃO: BC permitida, mas % = 0 🔎",
"Base de cálculo aplicada corretamente ✅")))</f>
        <v/>
      </c>
      <c r="P555" s="31" t="str">
        <f>IF(D555="","",
IF(AND(Q555&lt;&gt;"SIM",U555&gt;0),"ERRO: % alíquota &gt; 0, mas NÃO permitida ❌",
IF(AND(Q555="SIM",U555=0),"ATENÇÃO: alíquota permitida, mas % = 0 🔎",
"Alíquota aplicada corretamente ✅")))</f>
        <v/>
      </c>
      <c r="Q555" s="8" t="str">
        <f>IF(E555="","",IFERROR(VLOOKUP(E555,REGRAS_CST!$A$2:$D$200,4,FALSE),""))</f>
        <v/>
      </c>
      <c r="S555" s="9">
        <f>IF($H555="","",$H555*(1-$U555))</f>
        <v>8.9999999999999993E-3</v>
      </c>
      <c r="T555" s="9">
        <f>IF($I555="","",$I555*(1-$U555))</f>
        <v>1E-3</v>
      </c>
      <c r="U555" s="16">
        <f>IFERROR(INDEX(BASE_CCLASSTRIB!$E:$E, MATCH(TEXT($D555,"000000"), BASE_CCLASSTRIB!$A:$A, 0))/100, 0)</f>
        <v>0</v>
      </c>
      <c r="V555" s="16">
        <f>IFERROR(INDEX(BASE_CCLASSTRIB!$F:$F, MATCH(TEXT($D555,"000000"), BASE_CCLASSTRIB!$A:$A, 0))/100, 0)</f>
        <v>0</v>
      </c>
    </row>
    <row r="556" spans="4:22" ht="32.25" customHeight="1">
      <c r="D556" s="39"/>
      <c r="E556" s="27" t="str">
        <f>IF(D556="","",LEFT(D556,3))</f>
        <v/>
      </c>
      <c r="F556" s="28" t="str">
        <f>IF(E556="","",IFERROR(VLOOKUP(E556,REGRAS_CST!$A$2:$B$200,2,FALSE),""))</f>
        <v/>
      </c>
      <c r="H556" s="29">
        <v>8.9999999999999993E-3</v>
      </c>
      <c r="I556" s="29">
        <v>1E-3</v>
      </c>
      <c r="K556" s="21" t="str">
        <f>IF(E556="","",IFERROR(VLOOKUP(E556,REGRAS_CST!$A$2:$C$200,3,FALSE),""))</f>
        <v/>
      </c>
      <c r="L556" s="23" t="str">
        <f>IF($G556="", "", $G556*(1-$V556))</f>
        <v/>
      </c>
      <c r="M556" s="24" t="str">
        <f>IF(OR($L556="",$S556=""),"",$L556*$S556)</f>
        <v/>
      </c>
      <c r="N556" s="24" t="str">
        <f>IF(OR($L556="",$T556=""),"",$L556*$T556)</f>
        <v/>
      </c>
      <c r="O556" s="15" t="str">
        <f>IF(D556="","",
IF(AND(K556&lt;&gt;"SIM",V556&gt;0),"ERRO: % BC &gt; 0, mas NÃO permitida ❌",
IF(AND(K556="SIM",V556=0),"ATENÇÃO: BC permitida, mas % = 0 🔎",
"Base de cálculo aplicada corretamente ✅")))</f>
        <v/>
      </c>
      <c r="P556" s="31" t="str">
        <f>IF(D556="","",
IF(AND(Q556&lt;&gt;"SIM",U556&gt;0),"ERRO: % alíquota &gt; 0, mas NÃO permitida ❌",
IF(AND(Q556="SIM",U556=0),"ATENÇÃO: alíquota permitida, mas % = 0 🔎",
"Alíquota aplicada corretamente ✅")))</f>
        <v/>
      </c>
      <c r="Q556" s="8" t="str">
        <f>IF(E556="","",IFERROR(VLOOKUP(E556,REGRAS_CST!$A$2:$D$200,4,FALSE),""))</f>
        <v/>
      </c>
      <c r="S556" s="9">
        <f>IF($H556="","",$H556*(1-$U556))</f>
        <v>8.9999999999999993E-3</v>
      </c>
      <c r="T556" s="9">
        <f>IF($I556="","",$I556*(1-$U556))</f>
        <v>1E-3</v>
      </c>
      <c r="U556" s="16">
        <f>IFERROR(INDEX(BASE_CCLASSTRIB!$E:$E, MATCH(TEXT($D556,"000000"), BASE_CCLASSTRIB!$A:$A, 0))/100, 0)</f>
        <v>0</v>
      </c>
      <c r="V556" s="16">
        <f>IFERROR(INDEX(BASE_CCLASSTRIB!$F:$F, MATCH(TEXT($D556,"000000"), BASE_CCLASSTRIB!$A:$A, 0))/100, 0)</f>
        <v>0</v>
      </c>
    </row>
    <row r="557" spans="4:22" ht="32.25" customHeight="1">
      <c r="D557" s="39"/>
      <c r="E557" s="27" t="str">
        <f>IF(D557="","",LEFT(D557,3))</f>
        <v/>
      </c>
      <c r="F557" s="28" t="str">
        <f>IF(E557="","",IFERROR(VLOOKUP(E557,REGRAS_CST!$A$2:$B$200,2,FALSE),""))</f>
        <v/>
      </c>
      <c r="H557" s="29">
        <v>8.9999999999999993E-3</v>
      </c>
      <c r="I557" s="29">
        <v>1E-3</v>
      </c>
      <c r="K557" s="21" t="str">
        <f>IF(E557="","",IFERROR(VLOOKUP(E557,REGRAS_CST!$A$2:$C$200,3,FALSE),""))</f>
        <v/>
      </c>
      <c r="L557" s="23" t="str">
        <f>IF($G557="", "", $G557*(1-$V557))</f>
        <v/>
      </c>
      <c r="M557" s="24" t="str">
        <f>IF(OR($L557="",$S557=""),"",$L557*$S557)</f>
        <v/>
      </c>
      <c r="N557" s="24" t="str">
        <f>IF(OR($L557="",$T557=""),"",$L557*$T557)</f>
        <v/>
      </c>
      <c r="O557" s="15" t="str">
        <f>IF(D557="","",
IF(AND(K557&lt;&gt;"SIM",V557&gt;0),"ERRO: % BC &gt; 0, mas NÃO permitida ❌",
IF(AND(K557="SIM",V557=0),"ATENÇÃO: BC permitida, mas % = 0 🔎",
"Base de cálculo aplicada corretamente ✅")))</f>
        <v/>
      </c>
      <c r="P557" s="31" t="str">
        <f>IF(D557="","",
IF(AND(Q557&lt;&gt;"SIM",U557&gt;0),"ERRO: % alíquota &gt; 0, mas NÃO permitida ❌",
IF(AND(Q557="SIM",U557=0),"ATENÇÃO: alíquota permitida, mas % = 0 🔎",
"Alíquota aplicada corretamente ✅")))</f>
        <v/>
      </c>
      <c r="Q557" s="8" t="str">
        <f>IF(E557="","",IFERROR(VLOOKUP(E557,REGRAS_CST!$A$2:$D$200,4,FALSE),""))</f>
        <v/>
      </c>
      <c r="S557" s="9">
        <f>IF($H557="","",$H557*(1-$U557))</f>
        <v>8.9999999999999993E-3</v>
      </c>
      <c r="T557" s="9">
        <f>IF($I557="","",$I557*(1-$U557))</f>
        <v>1E-3</v>
      </c>
      <c r="U557" s="16">
        <f>IFERROR(INDEX(BASE_CCLASSTRIB!$E:$E, MATCH(TEXT($D557,"000000"), BASE_CCLASSTRIB!$A:$A, 0))/100, 0)</f>
        <v>0</v>
      </c>
      <c r="V557" s="16">
        <f>IFERROR(INDEX(BASE_CCLASSTRIB!$F:$F, MATCH(TEXT($D557,"000000"), BASE_CCLASSTRIB!$A:$A, 0))/100, 0)</f>
        <v>0</v>
      </c>
    </row>
    <row r="558" spans="4:22" ht="32.25" customHeight="1">
      <c r="D558" s="39"/>
      <c r="E558" s="27" t="str">
        <f>IF(D558="","",LEFT(D558,3))</f>
        <v/>
      </c>
      <c r="F558" s="28" t="str">
        <f>IF(E558="","",IFERROR(VLOOKUP(E558,REGRAS_CST!$A$2:$B$200,2,FALSE),""))</f>
        <v/>
      </c>
      <c r="H558" s="29">
        <v>8.9999999999999993E-3</v>
      </c>
      <c r="I558" s="29">
        <v>1E-3</v>
      </c>
      <c r="K558" s="21" t="str">
        <f>IF(E558="","",IFERROR(VLOOKUP(E558,REGRAS_CST!$A$2:$C$200,3,FALSE),""))</f>
        <v/>
      </c>
      <c r="L558" s="23" t="str">
        <f>IF($G558="", "", $G558*(1-$V558))</f>
        <v/>
      </c>
      <c r="M558" s="24" t="str">
        <f>IF(OR($L558="",$S558=""),"",$L558*$S558)</f>
        <v/>
      </c>
      <c r="N558" s="24" t="str">
        <f>IF(OR($L558="",$T558=""),"",$L558*$T558)</f>
        <v/>
      </c>
      <c r="O558" s="15" t="str">
        <f>IF(D558="","",
IF(AND(K558&lt;&gt;"SIM",V558&gt;0),"ERRO: % BC &gt; 0, mas NÃO permitida ❌",
IF(AND(K558="SIM",V558=0),"ATENÇÃO: BC permitida, mas % = 0 🔎",
"Base de cálculo aplicada corretamente ✅")))</f>
        <v/>
      </c>
      <c r="P558" s="31" t="str">
        <f>IF(D558="","",
IF(AND(Q558&lt;&gt;"SIM",U558&gt;0),"ERRO: % alíquota &gt; 0, mas NÃO permitida ❌",
IF(AND(Q558="SIM",U558=0),"ATENÇÃO: alíquota permitida, mas % = 0 🔎",
"Alíquota aplicada corretamente ✅")))</f>
        <v/>
      </c>
      <c r="Q558" s="8" t="str">
        <f>IF(E558="","",IFERROR(VLOOKUP(E558,REGRAS_CST!$A$2:$D$200,4,FALSE),""))</f>
        <v/>
      </c>
      <c r="S558" s="9">
        <f>IF($H558="","",$H558*(1-$U558))</f>
        <v>8.9999999999999993E-3</v>
      </c>
      <c r="T558" s="9">
        <f>IF($I558="","",$I558*(1-$U558))</f>
        <v>1E-3</v>
      </c>
      <c r="U558" s="16">
        <f>IFERROR(INDEX(BASE_CCLASSTRIB!$E:$E, MATCH(TEXT($D558,"000000"), BASE_CCLASSTRIB!$A:$A, 0))/100, 0)</f>
        <v>0</v>
      </c>
      <c r="V558" s="16">
        <f>IFERROR(INDEX(BASE_CCLASSTRIB!$F:$F, MATCH(TEXT($D558,"000000"), BASE_CCLASSTRIB!$A:$A, 0))/100, 0)</f>
        <v>0</v>
      </c>
    </row>
    <row r="559" spans="4:22" ht="32.25" customHeight="1">
      <c r="D559" s="39"/>
      <c r="E559" s="27" t="str">
        <f>IF(D559="","",LEFT(D559,3))</f>
        <v/>
      </c>
      <c r="F559" s="28" t="str">
        <f>IF(E559="","",IFERROR(VLOOKUP(E559,REGRAS_CST!$A$2:$B$200,2,FALSE),""))</f>
        <v/>
      </c>
      <c r="H559" s="29">
        <v>8.9999999999999993E-3</v>
      </c>
      <c r="I559" s="29">
        <v>1E-3</v>
      </c>
      <c r="K559" s="21" t="str">
        <f>IF(E559="","",IFERROR(VLOOKUP(E559,REGRAS_CST!$A$2:$C$200,3,FALSE),""))</f>
        <v/>
      </c>
      <c r="L559" s="23" t="str">
        <f>IF($G559="", "", $G559*(1-$V559))</f>
        <v/>
      </c>
      <c r="M559" s="24" t="str">
        <f>IF(OR($L559="",$S559=""),"",$L559*$S559)</f>
        <v/>
      </c>
      <c r="N559" s="24" t="str">
        <f>IF(OR($L559="",$T559=""),"",$L559*$T559)</f>
        <v/>
      </c>
      <c r="O559" s="15" t="str">
        <f>IF(D559="","",
IF(AND(K559&lt;&gt;"SIM",V559&gt;0),"ERRO: % BC &gt; 0, mas NÃO permitida ❌",
IF(AND(K559="SIM",V559=0),"ATENÇÃO: BC permitida, mas % = 0 🔎",
"Base de cálculo aplicada corretamente ✅")))</f>
        <v/>
      </c>
      <c r="P559" s="31" t="str">
        <f>IF(D559="","",
IF(AND(Q559&lt;&gt;"SIM",U559&gt;0),"ERRO: % alíquota &gt; 0, mas NÃO permitida ❌",
IF(AND(Q559="SIM",U559=0),"ATENÇÃO: alíquota permitida, mas % = 0 🔎",
"Alíquota aplicada corretamente ✅")))</f>
        <v/>
      </c>
      <c r="Q559" s="8" t="str">
        <f>IF(E559="","",IFERROR(VLOOKUP(E559,REGRAS_CST!$A$2:$D$200,4,FALSE),""))</f>
        <v/>
      </c>
      <c r="S559" s="9">
        <f>IF($H559="","",$H559*(1-$U559))</f>
        <v>8.9999999999999993E-3</v>
      </c>
      <c r="T559" s="9">
        <f>IF($I559="","",$I559*(1-$U559))</f>
        <v>1E-3</v>
      </c>
      <c r="U559" s="16">
        <f>IFERROR(INDEX(BASE_CCLASSTRIB!$E:$E, MATCH(TEXT($D559,"000000"), BASE_CCLASSTRIB!$A:$A, 0))/100, 0)</f>
        <v>0</v>
      </c>
      <c r="V559" s="16">
        <f>IFERROR(INDEX(BASE_CCLASSTRIB!$F:$F, MATCH(TEXT($D559,"000000"), BASE_CCLASSTRIB!$A:$A, 0))/100, 0)</f>
        <v>0</v>
      </c>
    </row>
    <row r="560" spans="4:22" ht="32.25" customHeight="1">
      <c r="D560" s="40"/>
      <c r="E560" s="27" t="str">
        <f>IF(D560="","",LEFT(D560,3))</f>
        <v/>
      </c>
      <c r="F560" s="28" t="str">
        <f>IF(E560="","",IFERROR(VLOOKUP(E560,REGRAS_CST!$A$2:$B$200,2,FALSE),""))</f>
        <v/>
      </c>
      <c r="H560" s="29">
        <v>8.9999999999999993E-3</v>
      </c>
      <c r="I560" s="29">
        <v>1E-3</v>
      </c>
      <c r="K560" s="21" t="str">
        <f>IF(E560="","",IFERROR(VLOOKUP(E560,REGRAS_CST!$A$2:$C$200,3,FALSE),""))</f>
        <v/>
      </c>
      <c r="L560" s="23" t="str">
        <f>IF($G560="", "", $G560*(1-$V560))</f>
        <v/>
      </c>
      <c r="M560" s="24" t="str">
        <f>IF(OR($L560="",$S560=""),"",$L560*$S560)</f>
        <v/>
      </c>
      <c r="N560" s="24" t="str">
        <f>IF(OR($L560="",$T560=""),"",$L560*$T560)</f>
        <v/>
      </c>
      <c r="O560" s="15" t="str">
        <f>IF(D560="","",
IF(AND(K560&lt;&gt;"SIM",V560&gt;0),"ERRO: % BC &gt; 0, mas NÃO permitida ❌",
IF(AND(K560="SIM",V560=0),"ATENÇÃO: BC permitida, mas % = 0 🔎",
"Base de cálculo aplicada corretamente ✅")))</f>
        <v/>
      </c>
      <c r="P560" s="31" t="str">
        <f>IF(D560="","",
IF(AND(Q560&lt;&gt;"SIM",U560&gt;0),"ERRO: % alíquota &gt; 0, mas NÃO permitida ❌",
IF(AND(Q560="SIM",U560=0),"ATENÇÃO: alíquota permitida, mas % = 0 🔎",
"Alíquota aplicada corretamente ✅")))</f>
        <v/>
      </c>
      <c r="Q560" s="8" t="str">
        <f>IF(E560="","",IFERROR(VLOOKUP(E560,REGRAS_CST!$A$2:$D$200,4,FALSE),""))</f>
        <v/>
      </c>
      <c r="S560" s="9">
        <f>IF($H560="","",$H560*(1-$U560))</f>
        <v>8.9999999999999993E-3</v>
      </c>
      <c r="T560" s="9">
        <f>IF($I560="","",$I560*(1-$U560))</f>
        <v>1E-3</v>
      </c>
      <c r="U560" s="16">
        <f>IFERROR(INDEX(BASE_CCLASSTRIB!$E:$E, MATCH(TEXT($D560,"000000"), BASE_CCLASSTRIB!$A:$A, 0))/100, 0)</f>
        <v>0</v>
      </c>
      <c r="V560" s="16">
        <f>IFERROR(INDEX(BASE_CCLASSTRIB!$F:$F, MATCH(TEXT($D560,"000000"), BASE_CCLASSTRIB!$A:$A, 0))/100, 0)</f>
        <v>0</v>
      </c>
    </row>
    <row r="561" spans="4:22" ht="32.25" customHeight="1">
      <c r="D561" s="39"/>
      <c r="E561" s="27" t="str">
        <f>IF(D561="","",LEFT(D561,3))</f>
        <v/>
      </c>
      <c r="F561" s="28" t="str">
        <f>IF(E561="","",IFERROR(VLOOKUP(E561,REGRAS_CST!$A$2:$B$200,2,FALSE),""))</f>
        <v/>
      </c>
      <c r="H561" s="29">
        <v>8.9999999999999993E-3</v>
      </c>
      <c r="I561" s="29">
        <v>1E-3</v>
      </c>
      <c r="K561" s="21" t="str">
        <f>IF(E561="","",IFERROR(VLOOKUP(E561,REGRAS_CST!$A$2:$C$200,3,FALSE),""))</f>
        <v/>
      </c>
      <c r="L561" s="23" t="str">
        <f>IF($G561="", "", $G561*(1-$V561))</f>
        <v/>
      </c>
      <c r="M561" s="24" t="str">
        <f>IF(OR($L561="",$S561=""),"",$L561*$S561)</f>
        <v/>
      </c>
      <c r="N561" s="24" t="str">
        <f>IF(OR($L561="",$T561=""),"",$L561*$T561)</f>
        <v/>
      </c>
      <c r="O561" s="15" t="str">
        <f>IF(D561="","",
IF(AND(K561&lt;&gt;"SIM",V561&gt;0),"ERRO: % BC &gt; 0, mas NÃO permitida ❌",
IF(AND(K561="SIM",V561=0),"ATENÇÃO: BC permitida, mas % = 0 🔎",
"Base de cálculo aplicada corretamente ✅")))</f>
        <v/>
      </c>
      <c r="P561" s="31" t="str">
        <f>IF(D561="","",
IF(AND(Q561&lt;&gt;"SIM",U561&gt;0),"ERRO: % alíquota &gt; 0, mas NÃO permitida ❌",
IF(AND(Q561="SIM",U561=0),"ATENÇÃO: alíquota permitida, mas % = 0 🔎",
"Alíquota aplicada corretamente ✅")))</f>
        <v/>
      </c>
      <c r="Q561" s="8" t="str">
        <f>IF(E561="","",IFERROR(VLOOKUP(E561,REGRAS_CST!$A$2:$D$200,4,FALSE),""))</f>
        <v/>
      </c>
      <c r="S561" s="9">
        <f>IF($H561="","",$H561*(1-$U561))</f>
        <v>8.9999999999999993E-3</v>
      </c>
      <c r="T561" s="9">
        <f>IF($I561="","",$I561*(1-$U561))</f>
        <v>1E-3</v>
      </c>
      <c r="U561" s="16">
        <f>IFERROR(INDEX(BASE_CCLASSTRIB!$E:$E, MATCH(TEXT($D561,"000000"), BASE_CCLASSTRIB!$A:$A, 0))/100, 0)</f>
        <v>0</v>
      </c>
      <c r="V561" s="16">
        <f>IFERROR(INDEX(BASE_CCLASSTRIB!$F:$F, MATCH(TEXT($D561,"000000"), BASE_CCLASSTRIB!$A:$A, 0))/100, 0)</f>
        <v>0</v>
      </c>
    </row>
    <row r="562" spans="4:22" ht="32.25" customHeight="1">
      <c r="D562" s="39"/>
      <c r="E562" s="27" t="str">
        <f>IF(D562="","",LEFT(D562,3))</f>
        <v/>
      </c>
      <c r="F562" s="28" t="str">
        <f>IF(E562="","",IFERROR(VLOOKUP(E562,REGRAS_CST!$A$2:$B$200,2,FALSE),""))</f>
        <v/>
      </c>
      <c r="H562" s="29">
        <v>8.9999999999999993E-3</v>
      </c>
      <c r="I562" s="29">
        <v>1E-3</v>
      </c>
      <c r="K562" s="21" t="str">
        <f>IF(E562="","",IFERROR(VLOOKUP(E562,REGRAS_CST!$A$2:$C$200,3,FALSE),""))</f>
        <v/>
      </c>
      <c r="L562" s="23" t="str">
        <f>IF($G562="", "", $G562*(1-$V562))</f>
        <v/>
      </c>
      <c r="M562" s="24" t="str">
        <f>IF(OR($L562="",$S562=""),"",$L562*$S562)</f>
        <v/>
      </c>
      <c r="N562" s="24" t="str">
        <f>IF(OR($L562="",$T562=""),"",$L562*$T562)</f>
        <v/>
      </c>
      <c r="O562" s="15" t="str">
        <f>IF(D562="","",
IF(AND(K562&lt;&gt;"SIM",V562&gt;0),"ERRO: % BC &gt; 0, mas NÃO permitida ❌",
IF(AND(K562="SIM",V562=0),"ATENÇÃO: BC permitida, mas % = 0 🔎",
"Base de cálculo aplicada corretamente ✅")))</f>
        <v/>
      </c>
      <c r="P562" s="31" t="str">
        <f>IF(D562="","",
IF(AND(Q562&lt;&gt;"SIM",U562&gt;0),"ERRO: % alíquota &gt; 0, mas NÃO permitida ❌",
IF(AND(Q562="SIM",U562=0),"ATENÇÃO: alíquota permitida, mas % = 0 🔎",
"Alíquota aplicada corretamente ✅")))</f>
        <v/>
      </c>
      <c r="Q562" s="8" t="str">
        <f>IF(E562="","",IFERROR(VLOOKUP(E562,REGRAS_CST!$A$2:$D$200,4,FALSE),""))</f>
        <v/>
      </c>
      <c r="S562" s="9">
        <f>IF($H562="","",$H562*(1-$U562))</f>
        <v>8.9999999999999993E-3</v>
      </c>
      <c r="T562" s="9">
        <f>IF($I562="","",$I562*(1-$U562))</f>
        <v>1E-3</v>
      </c>
      <c r="U562" s="16">
        <f>IFERROR(INDEX(BASE_CCLASSTRIB!$E:$E, MATCH(TEXT($D562,"000000"), BASE_CCLASSTRIB!$A:$A, 0))/100, 0)</f>
        <v>0</v>
      </c>
      <c r="V562" s="16">
        <f>IFERROR(INDEX(BASE_CCLASSTRIB!$F:$F, MATCH(TEXT($D562,"000000"), BASE_CCLASSTRIB!$A:$A, 0))/100, 0)</f>
        <v>0</v>
      </c>
    </row>
    <row r="563" spans="4:22" ht="32.25" customHeight="1">
      <c r="D563" s="40"/>
      <c r="E563" s="27" t="str">
        <f>IF(D563="","",LEFT(D563,3))</f>
        <v/>
      </c>
      <c r="F563" s="28" t="str">
        <f>IF(E563="","",IFERROR(VLOOKUP(E563,REGRAS_CST!$A$2:$B$200,2,FALSE),""))</f>
        <v/>
      </c>
      <c r="H563" s="29">
        <v>8.9999999999999993E-3</v>
      </c>
      <c r="I563" s="29">
        <v>1E-3</v>
      </c>
      <c r="K563" s="21" t="str">
        <f>IF(E563="","",IFERROR(VLOOKUP(E563,REGRAS_CST!$A$2:$C$200,3,FALSE),""))</f>
        <v/>
      </c>
      <c r="L563" s="23" t="str">
        <f>IF($G563="", "", $G563*(1-$V563))</f>
        <v/>
      </c>
      <c r="M563" s="24" t="str">
        <f>IF(OR($L563="",$S563=""),"",$L563*$S563)</f>
        <v/>
      </c>
      <c r="N563" s="24" t="str">
        <f>IF(OR($L563="",$T563=""),"",$L563*$T563)</f>
        <v/>
      </c>
      <c r="O563" s="15" t="str">
        <f>IF(D563="","",
IF(AND(K563&lt;&gt;"SIM",V563&gt;0),"ERRO: % BC &gt; 0, mas NÃO permitida ❌",
IF(AND(K563="SIM",V563=0),"ATENÇÃO: BC permitida, mas % = 0 🔎",
"Base de cálculo aplicada corretamente ✅")))</f>
        <v/>
      </c>
      <c r="P563" s="31" t="str">
        <f>IF(D563="","",
IF(AND(Q563&lt;&gt;"SIM",U563&gt;0),"ERRO: % alíquota &gt; 0, mas NÃO permitida ❌",
IF(AND(Q563="SIM",U563=0),"ATENÇÃO: alíquota permitida, mas % = 0 🔎",
"Alíquota aplicada corretamente ✅")))</f>
        <v/>
      </c>
      <c r="Q563" s="8" t="str">
        <f>IF(E563="","",IFERROR(VLOOKUP(E563,REGRAS_CST!$A$2:$D$200,4,FALSE),""))</f>
        <v/>
      </c>
      <c r="S563" s="9">
        <f>IF($H563="","",$H563*(1-$U563))</f>
        <v>8.9999999999999993E-3</v>
      </c>
      <c r="T563" s="9">
        <f>IF($I563="","",$I563*(1-$U563))</f>
        <v>1E-3</v>
      </c>
      <c r="U563" s="16">
        <f>IFERROR(INDEX(BASE_CCLASSTRIB!$E:$E, MATCH(TEXT($D563,"000000"), BASE_CCLASSTRIB!$A:$A, 0))/100, 0)</f>
        <v>0</v>
      </c>
      <c r="V563" s="16">
        <f>IFERROR(INDEX(BASE_CCLASSTRIB!$F:$F, MATCH(TEXT($D563,"000000"), BASE_CCLASSTRIB!$A:$A, 0))/100, 0)</f>
        <v>0</v>
      </c>
    </row>
    <row r="564" spans="4:22" ht="32.25" customHeight="1">
      <c r="D564" s="39"/>
      <c r="E564" s="27" t="str">
        <f>IF(D564="","",LEFT(D564,3))</f>
        <v/>
      </c>
      <c r="F564" s="28" t="str">
        <f>IF(E564="","",IFERROR(VLOOKUP(E564,REGRAS_CST!$A$2:$B$200,2,FALSE),""))</f>
        <v/>
      </c>
      <c r="H564" s="29">
        <v>8.9999999999999993E-3</v>
      </c>
      <c r="I564" s="29">
        <v>1E-3</v>
      </c>
      <c r="K564" s="21" t="str">
        <f>IF(E564="","",IFERROR(VLOOKUP(E564,REGRAS_CST!$A$2:$C$200,3,FALSE),""))</f>
        <v/>
      </c>
      <c r="L564" s="23" t="str">
        <f>IF($G564="", "", $G564*(1-$V564))</f>
        <v/>
      </c>
      <c r="M564" s="24" t="str">
        <f>IF(OR($L564="",$S564=""),"",$L564*$S564)</f>
        <v/>
      </c>
      <c r="N564" s="24" t="str">
        <f>IF(OR($L564="",$T564=""),"",$L564*$T564)</f>
        <v/>
      </c>
      <c r="O564" s="15" t="str">
        <f>IF(D564="","",
IF(AND(K564&lt;&gt;"SIM",V564&gt;0),"ERRO: % BC &gt; 0, mas NÃO permitida ❌",
IF(AND(K564="SIM",V564=0),"ATENÇÃO: BC permitida, mas % = 0 🔎",
"Base de cálculo aplicada corretamente ✅")))</f>
        <v/>
      </c>
      <c r="P564" s="31" t="str">
        <f>IF(D564="","",
IF(AND(Q564&lt;&gt;"SIM",U564&gt;0),"ERRO: % alíquota &gt; 0, mas NÃO permitida ❌",
IF(AND(Q564="SIM",U564=0),"ATENÇÃO: alíquota permitida, mas % = 0 🔎",
"Alíquota aplicada corretamente ✅")))</f>
        <v/>
      </c>
      <c r="Q564" s="8" t="str">
        <f>IF(E564="","",IFERROR(VLOOKUP(E564,REGRAS_CST!$A$2:$D$200,4,FALSE),""))</f>
        <v/>
      </c>
      <c r="S564" s="9">
        <f>IF($H564="","",$H564*(1-$U564))</f>
        <v>8.9999999999999993E-3</v>
      </c>
      <c r="T564" s="9">
        <f>IF($I564="","",$I564*(1-$U564))</f>
        <v>1E-3</v>
      </c>
      <c r="U564" s="16">
        <f>IFERROR(INDEX(BASE_CCLASSTRIB!$E:$E, MATCH(TEXT($D564,"000000"), BASE_CCLASSTRIB!$A:$A, 0))/100, 0)</f>
        <v>0</v>
      </c>
      <c r="V564" s="16">
        <f>IFERROR(INDEX(BASE_CCLASSTRIB!$F:$F, MATCH(TEXT($D564,"000000"), BASE_CCLASSTRIB!$A:$A, 0))/100, 0)</f>
        <v>0</v>
      </c>
    </row>
    <row r="565" spans="4:22" ht="32.25" customHeight="1">
      <c r="D565" s="40"/>
      <c r="E565" s="27" t="str">
        <f>IF(D565="","",LEFT(D565,3))</f>
        <v/>
      </c>
      <c r="F565" s="28" t="str">
        <f>IF(E565="","",IFERROR(VLOOKUP(E565,REGRAS_CST!$A$2:$B$200,2,FALSE),""))</f>
        <v/>
      </c>
      <c r="H565" s="29">
        <v>8.9999999999999993E-3</v>
      </c>
      <c r="I565" s="29">
        <v>1E-3</v>
      </c>
      <c r="K565" s="21" t="str">
        <f>IF(E565="","",IFERROR(VLOOKUP(E565,REGRAS_CST!$A$2:$C$200,3,FALSE),""))</f>
        <v/>
      </c>
      <c r="L565" s="23" t="str">
        <f>IF($G565="", "", $G565*(1-$V565))</f>
        <v/>
      </c>
      <c r="M565" s="24" t="str">
        <f>IF(OR($L565="",$S565=""),"",$L565*$S565)</f>
        <v/>
      </c>
      <c r="N565" s="24" t="str">
        <f>IF(OR($L565="",$T565=""),"",$L565*$T565)</f>
        <v/>
      </c>
      <c r="O565" s="15" t="str">
        <f>IF(D565="","",
IF(AND(K565&lt;&gt;"SIM",V565&gt;0),"ERRO: % BC &gt; 0, mas NÃO permitida ❌",
IF(AND(K565="SIM",V565=0),"ATENÇÃO: BC permitida, mas % = 0 🔎",
"Base de cálculo aplicada corretamente ✅")))</f>
        <v/>
      </c>
      <c r="P565" s="31" t="str">
        <f>IF(D565="","",
IF(AND(Q565&lt;&gt;"SIM",U565&gt;0),"ERRO: % alíquota &gt; 0, mas NÃO permitida ❌",
IF(AND(Q565="SIM",U565=0),"ATENÇÃO: alíquota permitida, mas % = 0 🔎",
"Alíquota aplicada corretamente ✅")))</f>
        <v/>
      </c>
      <c r="Q565" s="8" t="str">
        <f>IF(E565="","",IFERROR(VLOOKUP(E565,REGRAS_CST!$A$2:$D$200,4,FALSE),""))</f>
        <v/>
      </c>
      <c r="S565" s="9">
        <f>IF($H565="","",$H565*(1-$U565))</f>
        <v>8.9999999999999993E-3</v>
      </c>
      <c r="T565" s="9">
        <f>IF($I565="","",$I565*(1-$U565))</f>
        <v>1E-3</v>
      </c>
      <c r="U565" s="16">
        <f>IFERROR(INDEX(BASE_CCLASSTRIB!$E:$E, MATCH(TEXT($D565,"000000"), BASE_CCLASSTRIB!$A:$A, 0))/100, 0)</f>
        <v>0</v>
      </c>
      <c r="V565" s="16">
        <f>IFERROR(INDEX(BASE_CCLASSTRIB!$F:$F, MATCH(TEXT($D565,"000000"), BASE_CCLASSTRIB!$A:$A, 0))/100, 0)</f>
        <v>0</v>
      </c>
    </row>
    <row r="566" spans="4:22" ht="32.25" customHeight="1">
      <c r="D566" s="39"/>
      <c r="E566" s="27" t="str">
        <f>IF(D566="","",LEFT(D566,3))</f>
        <v/>
      </c>
      <c r="F566" s="28" t="str">
        <f>IF(E566="","",IFERROR(VLOOKUP(E566,REGRAS_CST!$A$2:$B$200,2,FALSE),""))</f>
        <v/>
      </c>
      <c r="H566" s="29">
        <v>8.9999999999999993E-3</v>
      </c>
      <c r="I566" s="29">
        <v>1E-3</v>
      </c>
      <c r="K566" s="21" t="str">
        <f>IF(E566="","",IFERROR(VLOOKUP(E566,REGRAS_CST!$A$2:$C$200,3,FALSE),""))</f>
        <v/>
      </c>
      <c r="L566" s="23" t="str">
        <f>IF($G566="", "", $G566*(1-$V566))</f>
        <v/>
      </c>
      <c r="M566" s="24" t="str">
        <f>IF(OR($L566="",$S566=""),"",$L566*$S566)</f>
        <v/>
      </c>
      <c r="N566" s="24" t="str">
        <f>IF(OR($L566="",$T566=""),"",$L566*$T566)</f>
        <v/>
      </c>
      <c r="O566" s="15" t="str">
        <f>IF(D566="","",
IF(AND(K566&lt;&gt;"SIM",V566&gt;0),"ERRO: % BC &gt; 0, mas NÃO permitida ❌",
IF(AND(K566="SIM",V566=0),"ATENÇÃO: BC permitida, mas % = 0 🔎",
"Base de cálculo aplicada corretamente ✅")))</f>
        <v/>
      </c>
      <c r="P566" s="31" t="str">
        <f>IF(D566="","",
IF(AND(Q566&lt;&gt;"SIM",U566&gt;0),"ERRO: % alíquota &gt; 0, mas NÃO permitida ❌",
IF(AND(Q566="SIM",U566=0),"ATENÇÃO: alíquota permitida, mas % = 0 🔎",
"Alíquota aplicada corretamente ✅")))</f>
        <v/>
      </c>
      <c r="Q566" s="8" t="str">
        <f>IF(E566="","",IFERROR(VLOOKUP(E566,REGRAS_CST!$A$2:$D$200,4,FALSE),""))</f>
        <v/>
      </c>
      <c r="S566" s="9">
        <f>IF($H566="","",$H566*(1-$U566))</f>
        <v>8.9999999999999993E-3</v>
      </c>
      <c r="T566" s="9">
        <f>IF($I566="","",$I566*(1-$U566))</f>
        <v>1E-3</v>
      </c>
      <c r="U566" s="16">
        <f>IFERROR(INDEX(BASE_CCLASSTRIB!$E:$E, MATCH(TEXT($D566,"000000"), BASE_CCLASSTRIB!$A:$A, 0))/100, 0)</f>
        <v>0</v>
      </c>
      <c r="V566" s="16">
        <f>IFERROR(INDEX(BASE_CCLASSTRIB!$F:$F, MATCH(TEXT($D566,"000000"), BASE_CCLASSTRIB!$A:$A, 0))/100, 0)</f>
        <v>0</v>
      </c>
    </row>
    <row r="567" spans="4:22" ht="32.25" customHeight="1">
      <c r="D567" s="39"/>
      <c r="E567" s="27" t="str">
        <f>IF(D567="","",LEFT(D567,3))</f>
        <v/>
      </c>
      <c r="F567" s="28" t="str">
        <f>IF(E567="","",IFERROR(VLOOKUP(E567,REGRAS_CST!$A$2:$B$200,2,FALSE),""))</f>
        <v/>
      </c>
      <c r="H567" s="29">
        <v>8.9999999999999993E-3</v>
      </c>
      <c r="I567" s="29">
        <v>1E-3</v>
      </c>
      <c r="K567" s="21" t="str">
        <f>IF(E567="","",IFERROR(VLOOKUP(E567,REGRAS_CST!$A$2:$C$200,3,FALSE),""))</f>
        <v/>
      </c>
      <c r="L567" s="23" t="str">
        <f>IF($G567="", "", $G567*(1-$V567))</f>
        <v/>
      </c>
      <c r="M567" s="24" t="str">
        <f>IF(OR($L567="",$S567=""),"",$L567*$S567)</f>
        <v/>
      </c>
      <c r="N567" s="24" t="str">
        <f>IF(OR($L567="",$T567=""),"",$L567*$T567)</f>
        <v/>
      </c>
      <c r="O567" s="15" t="str">
        <f>IF(D567="","",
IF(AND(K567&lt;&gt;"SIM",V567&gt;0),"ERRO: % BC &gt; 0, mas NÃO permitida ❌",
IF(AND(K567="SIM",V567=0),"ATENÇÃO: BC permitida, mas % = 0 🔎",
"Base de cálculo aplicada corretamente ✅")))</f>
        <v/>
      </c>
      <c r="P567" s="31" t="str">
        <f>IF(D567="","",
IF(AND(Q567&lt;&gt;"SIM",U567&gt;0),"ERRO: % alíquota &gt; 0, mas NÃO permitida ❌",
IF(AND(Q567="SIM",U567=0),"ATENÇÃO: alíquota permitida, mas % = 0 🔎",
"Alíquota aplicada corretamente ✅")))</f>
        <v/>
      </c>
      <c r="Q567" s="8" t="str">
        <f>IF(E567="","",IFERROR(VLOOKUP(E567,REGRAS_CST!$A$2:$D$200,4,FALSE),""))</f>
        <v/>
      </c>
      <c r="S567" s="9">
        <f>IF($H567="","",$H567*(1-$U567))</f>
        <v>8.9999999999999993E-3</v>
      </c>
      <c r="T567" s="9">
        <f>IF($I567="","",$I567*(1-$U567))</f>
        <v>1E-3</v>
      </c>
      <c r="U567" s="16">
        <f>IFERROR(INDEX(BASE_CCLASSTRIB!$E:$E, MATCH(TEXT($D567,"000000"), BASE_CCLASSTRIB!$A:$A, 0))/100, 0)</f>
        <v>0</v>
      </c>
      <c r="V567" s="16">
        <f>IFERROR(INDEX(BASE_CCLASSTRIB!$F:$F, MATCH(TEXT($D567,"000000"), BASE_CCLASSTRIB!$A:$A, 0))/100, 0)</f>
        <v>0</v>
      </c>
    </row>
    <row r="568" spans="4:22" ht="32.25" customHeight="1">
      <c r="D568" s="39"/>
      <c r="E568" s="27" t="str">
        <f>IF(D568="","",LEFT(D568,3))</f>
        <v/>
      </c>
      <c r="F568" s="28" t="str">
        <f>IF(E568="","",IFERROR(VLOOKUP(E568,REGRAS_CST!$A$2:$B$200,2,FALSE),""))</f>
        <v/>
      </c>
      <c r="H568" s="29">
        <v>8.9999999999999993E-3</v>
      </c>
      <c r="I568" s="29">
        <v>1E-3</v>
      </c>
      <c r="K568" s="21" t="str">
        <f>IF(E568="","",IFERROR(VLOOKUP(E568,REGRAS_CST!$A$2:$C$200,3,FALSE),""))</f>
        <v/>
      </c>
      <c r="L568" s="23" t="str">
        <f>IF($G568="", "", $G568*(1-$V568))</f>
        <v/>
      </c>
      <c r="M568" s="24" t="str">
        <f>IF(OR($L568="",$S568=""),"",$L568*$S568)</f>
        <v/>
      </c>
      <c r="N568" s="24" t="str">
        <f>IF(OR($L568="",$T568=""),"",$L568*$T568)</f>
        <v/>
      </c>
      <c r="O568" s="15" t="str">
        <f>IF(D568="","",
IF(AND(K568&lt;&gt;"SIM",V568&gt;0),"ERRO: % BC &gt; 0, mas NÃO permitida ❌",
IF(AND(K568="SIM",V568=0),"ATENÇÃO: BC permitida, mas % = 0 🔎",
"Base de cálculo aplicada corretamente ✅")))</f>
        <v/>
      </c>
      <c r="P568" s="31" t="str">
        <f>IF(D568="","",
IF(AND(Q568&lt;&gt;"SIM",U568&gt;0),"ERRO: % alíquota &gt; 0, mas NÃO permitida ❌",
IF(AND(Q568="SIM",U568=0),"ATENÇÃO: alíquota permitida, mas % = 0 🔎",
"Alíquota aplicada corretamente ✅")))</f>
        <v/>
      </c>
      <c r="Q568" s="8" t="str">
        <f>IF(E568="","",IFERROR(VLOOKUP(E568,REGRAS_CST!$A$2:$D$200,4,FALSE),""))</f>
        <v/>
      </c>
      <c r="S568" s="9">
        <f>IF($H568="","",$H568*(1-$U568))</f>
        <v>8.9999999999999993E-3</v>
      </c>
      <c r="T568" s="9">
        <f>IF($I568="","",$I568*(1-$U568))</f>
        <v>1E-3</v>
      </c>
      <c r="U568" s="16">
        <f>IFERROR(INDEX(BASE_CCLASSTRIB!$E:$E, MATCH(TEXT($D568,"000000"), BASE_CCLASSTRIB!$A:$A, 0))/100, 0)</f>
        <v>0</v>
      </c>
      <c r="V568" s="16">
        <f>IFERROR(INDEX(BASE_CCLASSTRIB!$F:$F, MATCH(TEXT($D568,"000000"), BASE_CCLASSTRIB!$A:$A, 0))/100, 0)</f>
        <v>0</v>
      </c>
    </row>
    <row r="569" spans="4:22" ht="32.25" customHeight="1">
      <c r="D569" s="39"/>
      <c r="E569" s="27" t="str">
        <f>IF(D569="","",LEFT(D569,3))</f>
        <v/>
      </c>
      <c r="F569" s="28" t="str">
        <f>IF(E569="","",IFERROR(VLOOKUP(E569,REGRAS_CST!$A$2:$B$200,2,FALSE),""))</f>
        <v/>
      </c>
      <c r="H569" s="29">
        <v>8.9999999999999993E-3</v>
      </c>
      <c r="I569" s="29">
        <v>1E-3</v>
      </c>
      <c r="K569" s="21" t="str">
        <f>IF(E569="","",IFERROR(VLOOKUP(E569,REGRAS_CST!$A$2:$C$200,3,FALSE),""))</f>
        <v/>
      </c>
      <c r="L569" s="23" t="str">
        <f>IF($G569="", "", $G569*(1-$V569))</f>
        <v/>
      </c>
      <c r="M569" s="24" t="str">
        <f>IF(OR($L569="",$S569=""),"",$L569*$S569)</f>
        <v/>
      </c>
      <c r="N569" s="24" t="str">
        <f>IF(OR($L569="",$T569=""),"",$L569*$T569)</f>
        <v/>
      </c>
      <c r="O569" s="15" t="str">
        <f>IF(D569="","",
IF(AND(K569&lt;&gt;"SIM",V569&gt;0),"ERRO: % BC &gt; 0, mas NÃO permitida ❌",
IF(AND(K569="SIM",V569=0),"ATENÇÃO: BC permitida, mas % = 0 🔎",
"Base de cálculo aplicada corretamente ✅")))</f>
        <v/>
      </c>
      <c r="P569" s="31" t="str">
        <f>IF(D569="","",
IF(AND(Q569&lt;&gt;"SIM",U569&gt;0),"ERRO: % alíquota &gt; 0, mas NÃO permitida ❌",
IF(AND(Q569="SIM",U569=0),"ATENÇÃO: alíquota permitida, mas % = 0 🔎",
"Alíquota aplicada corretamente ✅")))</f>
        <v/>
      </c>
      <c r="Q569" s="8" t="str">
        <f>IF(E569="","",IFERROR(VLOOKUP(E569,REGRAS_CST!$A$2:$D$200,4,FALSE),""))</f>
        <v/>
      </c>
      <c r="S569" s="9">
        <f>IF($H569="","",$H569*(1-$U569))</f>
        <v>8.9999999999999993E-3</v>
      </c>
      <c r="T569" s="9">
        <f>IF($I569="","",$I569*(1-$U569))</f>
        <v>1E-3</v>
      </c>
      <c r="U569" s="16">
        <f>IFERROR(INDEX(BASE_CCLASSTRIB!$E:$E, MATCH(TEXT($D569,"000000"), BASE_CCLASSTRIB!$A:$A, 0))/100, 0)</f>
        <v>0</v>
      </c>
      <c r="V569" s="16">
        <f>IFERROR(INDEX(BASE_CCLASSTRIB!$F:$F, MATCH(TEXT($D569,"000000"), BASE_CCLASSTRIB!$A:$A, 0))/100, 0)</f>
        <v>0</v>
      </c>
    </row>
    <row r="570" spans="4:22" ht="32.25" customHeight="1">
      <c r="D570" s="39"/>
      <c r="E570" s="27" t="str">
        <f>IF(D570="","",LEFT(D570,3))</f>
        <v/>
      </c>
      <c r="F570" s="28" t="str">
        <f>IF(E570="","",IFERROR(VLOOKUP(E570,REGRAS_CST!$A$2:$B$200,2,FALSE),""))</f>
        <v/>
      </c>
      <c r="H570" s="29">
        <v>8.9999999999999993E-3</v>
      </c>
      <c r="I570" s="29">
        <v>1E-3</v>
      </c>
      <c r="K570" s="21" t="str">
        <f>IF(E570="","",IFERROR(VLOOKUP(E570,REGRAS_CST!$A$2:$C$200,3,FALSE),""))</f>
        <v/>
      </c>
      <c r="L570" s="23" t="str">
        <f>IF($G570="", "", $G570*(1-$V570))</f>
        <v/>
      </c>
      <c r="M570" s="24" t="str">
        <f>IF(OR($L570="",$S570=""),"",$L570*$S570)</f>
        <v/>
      </c>
      <c r="N570" s="24" t="str">
        <f>IF(OR($L570="",$T570=""),"",$L570*$T570)</f>
        <v/>
      </c>
      <c r="O570" s="15" t="str">
        <f>IF(D570="","",
IF(AND(K570&lt;&gt;"SIM",V570&gt;0),"ERRO: % BC &gt; 0, mas NÃO permitida ❌",
IF(AND(K570="SIM",V570=0),"ATENÇÃO: BC permitida, mas % = 0 🔎",
"Base de cálculo aplicada corretamente ✅")))</f>
        <v/>
      </c>
      <c r="P570" s="31" t="str">
        <f>IF(D570="","",
IF(AND(Q570&lt;&gt;"SIM",U570&gt;0),"ERRO: % alíquota &gt; 0, mas NÃO permitida ❌",
IF(AND(Q570="SIM",U570=0),"ATENÇÃO: alíquota permitida, mas % = 0 🔎",
"Alíquota aplicada corretamente ✅")))</f>
        <v/>
      </c>
      <c r="Q570" s="8" t="str">
        <f>IF(E570="","",IFERROR(VLOOKUP(E570,REGRAS_CST!$A$2:$D$200,4,FALSE),""))</f>
        <v/>
      </c>
      <c r="S570" s="9">
        <f>IF($H570="","",$H570*(1-$U570))</f>
        <v>8.9999999999999993E-3</v>
      </c>
      <c r="T570" s="9">
        <f>IF($I570="","",$I570*(1-$U570))</f>
        <v>1E-3</v>
      </c>
      <c r="U570" s="16">
        <f>IFERROR(INDEX(BASE_CCLASSTRIB!$E:$E, MATCH(TEXT($D570,"000000"), BASE_CCLASSTRIB!$A:$A, 0))/100, 0)</f>
        <v>0</v>
      </c>
      <c r="V570" s="16">
        <f>IFERROR(INDEX(BASE_CCLASSTRIB!$F:$F, MATCH(TEXT($D570,"000000"), BASE_CCLASSTRIB!$A:$A, 0))/100, 0)</f>
        <v>0</v>
      </c>
    </row>
    <row r="571" spans="4:22" ht="32.25" customHeight="1">
      <c r="D571" s="39"/>
      <c r="E571" s="27" t="str">
        <f>IF(D571="","",LEFT(D571,3))</f>
        <v/>
      </c>
      <c r="F571" s="28" t="str">
        <f>IF(E571="","",IFERROR(VLOOKUP(E571,REGRAS_CST!$A$2:$B$200,2,FALSE),""))</f>
        <v/>
      </c>
      <c r="H571" s="29">
        <v>8.9999999999999993E-3</v>
      </c>
      <c r="I571" s="29">
        <v>1E-3</v>
      </c>
      <c r="K571" s="21" t="str">
        <f>IF(E571="","",IFERROR(VLOOKUP(E571,REGRAS_CST!$A$2:$C$200,3,FALSE),""))</f>
        <v/>
      </c>
      <c r="L571" s="23" t="str">
        <f>IF($G571="", "", $G571*(1-$V571))</f>
        <v/>
      </c>
      <c r="M571" s="24" t="str">
        <f>IF(OR($L571="",$S571=""),"",$L571*$S571)</f>
        <v/>
      </c>
      <c r="N571" s="24" t="str">
        <f>IF(OR($L571="",$T571=""),"",$L571*$T571)</f>
        <v/>
      </c>
      <c r="O571" s="15" t="str">
        <f>IF(D571="","",
IF(AND(K571&lt;&gt;"SIM",V571&gt;0),"ERRO: % BC &gt; 0, mas NÃO permitida ❌",
IF(AND(K571="SIM",V571=0),"ATENÇÃO: BC permitida, mas % = 0 🔎",
"Base de cálculo aplicada corretamente ✅")))</f>
        <v/>
      </c>
      <c r="P571" s="31" t="str">
        <f>IF(D571="","",
IF(AND(Q571&lt;&gt;"SIM",U571&gt;0),"ERRO: % alíquota &gt; 0, mas NÃO permitida ❌",
IF(AND(Q571="SIM",U571=0),"ATENÇÃO: alíquota permitida, mas % = 0 🔎",
"Alíquota aplicada corretamente ✅")))</f>
        <v/>
      </c>
      <c r="Q571" s="8" t="str">
        <f>IF(E571="","",IFERROR(VLOOKUP(E571,REGRAS_CST!$A$2:$D$200,4,FALSE),""))</f>
        <v/>
      </c>
      <c r="S571" s="9">
        <f>IF($H571="","",$H571*(1-$U571))</f>
        <v>8.9999999999999993E-3</v>
      </c>
      <c r="T571" s="9">
        <f>IF($I571="","",$I571*(1-$U571))</f>
        <v>1E-3</v>
      </c>
      <c r="U571" s="16">
        <f>IFERROR(INDEX(BASE_CCLASSTRIB!$E:$E, MATCH(TEXT($D571,"000000"), BASE_CCLASSTRIB!$A:$A, 0))/100, 0)</f>
        <v>0</v>
      </c>
      <c r="V571" s="16">
        <f>IFERROR(INDEX(BASE_CCLASSTRIB!$F:$F, MATCH(TEXT($D571,"000000"), BASE_CCLASSTRIB!$A:$A, 0))/100, 0)</f>
        <v>0</v>
      </c>
    </row>
    <row r="572" spans="4:22" ht="32.25" customHeight="1">
      <c r="D572" s="39"/>
      <c r="E572" s="27" t="str">
        <f>IF(D572="","",LEFT(D572,3))</f>
        <v/>
      </c>
      <c r="F572" s="28" t="str">
        <f>IF(E572="","",IFERROR(VLOOKUP(E572,REGRAS_CST!$A$2:$B$200,2,FALSE),""))</f>
        <v/>
      </c>
      <c r="H572" s="29">
        <v>8.9999999999999993E-3</v>
      </c>
      <c r="I572" s="29">
        <v>1E-3</v>
      </c>
      <c r="K572" s="21" t="str">
        <f>IF(E572="","",IFERROR(VLOOKUP(E572,REGRAS_CST!$A$2:$C$200,3,FALSE),""))</f>
        <v/>
      </c>
      <c r="L572" s="23" t="str">
        <f>IF($G572="", "", $G572*(1-$V572))</f>
        <v/>
      </c>
      <c r="M572" s="24" t="str">
        <f>IF(OR($L572="",$S572=""),"",$L572*$S572)</f>
        <v/>
      </c>
      <c r="N572" s="24" t="str">
        <f>IF(OR($L572="",$T572=""),"",$L572*$T572)</f>
        <v/>
      </c>
      <c r="O572" s="15" t="str">
        <f>IF(D572="","",
IF(AND(K572&lt;&gt;"SIM",V572&gt;0),"ERRO: % BC &gt; 0, mas NÃO permitida ❌",
IF(AND(K572="SIM",V572=0),"ATENÇÃO: BC permitida, mas % = 0 🔎",
"Base de cálculo aplicada corretamente ✅")))</f>
        <v/>
      </c>
      <c r="P572" s="31" t="str">
        <f>IF(D572="","",
IF(AND(Q572&lt;&gt;"SIM",U572&gt;0),"ERRO: % alíquota &gt; 0, mas NÃO permitida ❌",
IF(AND(Q572="SIM",U572=0),"ATENÇÃO: alíquota permitida, mas % = 0 🔎",
"Alíquota aplicada corretamente ✅")))</f>
        <v/>
      </c>
      <c r="Q572" s="8" t="str">
        <f>IF(E572="","",IFERROR(VLOOKUP(E572,REGRAS_CST!$A$2:$D$200,4,FALSE),""))</f>
        <v/>
      </c>
      <c r="S572" s="9">
        <f>IF($H572="","",$H572*(1-$U572))</f>
        <v>8.9999999999999993E-3</v>
      </c>
      <c r="T572" s="9">
        <f>IF($I572="","",$I572*(1-$U572))</f>
        <v>1E-3</v>
      </c>
      <c r="U572" s="16">
        <f>IFERROR(INDEX(BASE_CCLASSTRIB!$E:$E, MATCH(TEXT($D572,"000000"), BASE_CCLASSTRIB!$A:$A, 0))/100, 0)</f>
        <v>0</v>
      </c>
      <c r="V572" s="16">
        <f>IFERROR(INDEX(BASE_CCLASSTRIB!$F:$F, MATCH(TEXT($D572,"000000"), BASE_CCLASSTRIB!$A:$A, 0))/100, 0)</f>
        <v>0</v>
      </c>
    </row>
    <row r="573" spans="4:22" ht="32.25" customHeight="1">
      <c r="D573" s="39"/>
      <c r="E573" s="27" t="str">
        <f>IF(D573="","",LEFT(D573,3))</f>
        <v/>
      </c>
      <c r="F573" s="28" t="str">
        <f>IF(E573="","",IFERROR(VLOOKUP(E573,REGRAS_CST!$A$2:$B$200,2,FALSE),""))</f>
        <v/>
      </c>
      <c r="H573" s="29">
        <v>8.9999999999999993E-3</v>
      </c>
      <c r="I573" s="29">
        <v>1E-3</v>
      </c>
      <c r="K573" s="21" t="str">
        <f>IF(E573="","",IFERROR(VLOOKUP(E573,REGRAS_CST!$A$2:$C$200,3,FALSE),""))</f>
        <v/>
      </c>
      <c r="L573" s="23" t="str">
        <f>IF($G573="", "", $G573*(1-$V573))</f>
        <v/>
      </c>
      <c r="M573" s="24" t="str">
        <f>IF(OR($L573="",$S573=""),"",$L573*$S573)</f>
        <v/>
      </c>
      <c r="N573" s="24" t="str">
        <f>IF(OR($L573="",$T573=""),"",$L573*$T573)</f>
        <v/>
      </c>
      <c r="O573" s="15" t="str">
        <f>IF(D573="","",
IF(AND(K573&lt;&gt;"SIM",V573&gt;0),"ERRO: % BC &gt; 0, mas NÃO permitida ❌",
IF(AND(K573="SIM",V573=0),"ATENÇÃO: BC permitida, mas % = 0 🔎",
"Base de cálculo aplicada corretamente ✅")))</f>
        <v/>
      </c>
      <c r="P573" s="31" t="str">
        <f>IF(D573="","",
IF(AND(Q573&lt;&gt;"SIM",U573&gt;0),"ERRO: % alíquota &gt; 0, mas NÃO permitida ❌",
IF(AND(Q573="SIM",U573=0),"ATENÇÃO: alíquota permitida, mas % = 0 🔎",
"Alíquota aplicada corretamente ✅")))</f>
        <v/>
      </c>
      <c r="Q573" s="8" t="str">
        <f>IF(E573="","",IFERROR(VLOOKUP(E573,REGRAS_CST!$A$2:$D$200,4,FALSE),""))</f>
        <v/>
      </c>
      <c r="S573" s="9">
        <f>IF($H573="","",$H573*(1-$U573))</f>
        <v>8.9999999999999993E-3</v>
      </c>
      <c r="T573" s="9">
        <f>IF($I573="","",$I573*(1-$U573))</f>
        <v>1E-3</v>
      </c>
      <c r="U573" s="16">
        <f>IFERROR(INDEX(BASE_CCLASSTRIB!$E:$E, MATCH(TEXT($D573,"000000"), BASE_CCLASSTRIB!$A:$A, 0))/100, 0)</f>
        <v>0</v>
      </c>
      <c r="V573" s="16">
        <f>IFERROR(INDEX(BASE_CCLASSTRIB!$F:$F, MATCH(TEXT($D573,"000000"), BASE_CCLASSTRIB!$A:$A, 0))/100, 0)</f>
        <v>0</v>
      </c>
    </row>
    <row r="574" spans="4:22" ht="32.25" customHeight="1">
      <c r="D574" s="40"/>
      <c r="E574" s="27" t="str">
        <f>IF(D574="","",LEFT(D574,3))</f>
        <v/>
      </c>
      <c r="F574" s="28" t="str">
        <f>IF(E574="","",IFERROR(VLOOKUP(E574,REGRAS_CST!$A$2:$B$200,2,FALSE),""))</f>
        <v/>
      </c>
      <c r="H574" s="29">
        <v>8.9999999999999993E-3</v>
      </c>
      <c r="I574" s="29">
        <v>1E-3</v>
      </c>
      <c r="K574" s="21" t="str">
        <f>IF(E574="","",IFERROR(VLOOKUP(E574,REGRAS_CST!$A$2:$C$200,3,FALSE),""))</f>
        <v/>
      </c>
      <c r="L574" s="23" t="str">
        <f>IF($G574="", "", $G574*(1-$V574))</f>
        <v/>
      </c>
      <c r="M574" s="24" t="str">
        <f>IF(OR($L574="",$S574=""),"",$L574*$S574)</f>
        <v/>
      </c>
      <c r="N574" s="24" t="str">
        <f>IF(OR($L574="",$T574=""),"",$L574*$T574)</f>
        <v/>
      </c>
      <c r="O574" s="15" t="str">
        <f>IF(D574="","",
IF(AND(K574&lt;&gt;"SIM",V574&gt;0),"ERRO: % BC &gt; 0, mas NÃO permitida ❌",
IF(AND(K574="SIM",V574=0),"ATENÇÃO: BC permitida, mas % = 0 🔎",
"Base de cálculo aplicada corretamente ✅")))</f>
        <v/>
      </c>
      <c r="P574" s="31" t="str">
        <f>IF(D574="","",
IF(AND(Q574&lt;&gt;"SIM",U574&gt;0),"ERRO: % alíquota &gt; 0, mas NÃO permitida ❌",
IF(AND(Q574="SIM",U574=0),"ATENÇÃO: alíquota permitida, mas % = 0 🔎",
"Alíquota aplicada corretamente ✅")))</f>
        <v/>
      </c>
      <c r="Q574" s="8" t="str">
        <f>IF(E574="","",IFERROR(VLOOKUP(E574,REGRAS_CST!$A$2:$D$200,4,FALSE),""))</f>
        <v/>
      </c>
      <c r="S574" s="9">
        <f>IF($H574="","",$H574*(1-$U574))</f>
        <v>8.9999999999999993E-3</v>
      </c>
      <c r="T574" s="9">
        <f>IF($I574="","",$I574*(1-$U574))</f>
        <v>1E-3</v>
      </c>
      <c r="U574" s="16">
        <f>IFERROR(INDEX(BASE_CCLASSTRIB!$E:$E, MATCH(TEXT($D574,"000000"), BASE_CCLASSTRIB!$A:$A, 0))/100, 0)</f>
        <v>0</v>
      </c>
      <c r="V574" s="16">
        <f>IFERROR(INDEX(BASE_CCLASSTRIB!$F:$F, MATCH(TEXT($D574,"000000"), BASE_CCLASSTRIB!$A:$A, 0))/100, 0)</f>
        <v>0</v>
      </c>
    </row>
    <row r="575" spans="4:22" ht="32.25" customHeight="1">
      <c r="D575" s="39"/>
      <c r="E575" s="27" t="str">
        <f>IF(D575="","",LEFT(D575,3))</f>
        <v/>
      </c>
      <c r="F575" s="28" t="str">
        <f>IF(E575="","",IFERROR(VLOOKUP(E575,REGRAS_CST!$A$2:$B$200,2,FALSE),""))</f>
        <v/>
      </c>
      <c r="H575" s="29">
        <v>8.9999999999999993E-3</v>
      </c>
      <c r="I575" s="29">
        <v>1E-3</v>
      </c>
      <c r="K575" s="21" t="str">
        <f>IF(E575="","",IFERROR(VLOOKUP(E575,REGRAS_CST!$A$2:$C$200,3,FALSE),""))</f>
        <v/>
      </c>
      <c r="L575" s="23" t="str">
        <f>IF($G575="", "", $G575*(1-$V575))</f>
        <v/>
      </c>
      <c r="M575" s="24" t="str">
        <f>IF(OR($L575="",$S575=""),"",$L575*$S575)</f>
        <v/>
      </c>
      <c r="N575" s="24" t="str">
        <f>IF(OR($L575="",$T575=""),"",$L575*$T575)</f>
        <v/>
      </c>
      <c r="O575" s="15" t="str">
        <f>IF(D575="","",
IF(AND(K575&lt;&gt;"SIM",V575&gt;0),"ERRO: % BC &gt; 0, mas NÃO permitida ❌",
IF(AND(K575="SIM",V575=0),"ATENÇÃO: BC permitida, mas % = 0 🔎",
"Base de cálculo aplicada corretamente ✅")))</f>
        <v/>
      </c>
      <c r="P575" s="31" t="str">
        <f>IF(D575="","",
IF(AND(Q575&lt;&gt;"SIM",U575&gt;0),"ERRO: % alíquota &gt; 0, mas NÃO permitida ❌",
IF(AND(Q575="SIM",U575=0),"ATENÇÃO: alíquota permitida, mas % = 0 🔎",
"Alíquota aplicada corretamente ✅")))</f>
        <v/>
      </c>
      <c r="Q575" s="8" t="str">
        <f>IF(E575="","",IFERROR(VLOOKUP(E575,REGRAS_CST!$A$2:$D$200,4,FALSE),""))</f>
        <v/>
      </c>
      <c r="S575" s="9">
        <f>IF($H575="","",$H575*(1-$U575))</f>
        <v>8.9999999999999993E-3</v>
      </c>
      <c r="T575" s="9">
        <f>IF($I575="","",$I575*(1-$U575))</f>
        <v>1E-3</v>
      </c>
      <c r="U575" s="16">
        <f>IFERROR(INDEX(BASE_CCLASSTRIB!$E:$E, MATCH(TEXT($D575,"000000"), BASE_CCLASSTRIB!$A:$A, 0))/100, 0)</f>
        <v>0</v>
      </c>
      <c r="V575" s="16">
        <f>IFERROR(INDEX(BASE_CCLASSTRIB!$F:$F, MATCH(TEXT($D575,"000000"), BASE_CCLASSTRIB!$A:$A, 0))/100, 0)</f>
        <v>0</v>
      </c>
    </row>
    <row r="576" spans="4:22" ht="32.25" customHeight="1">
      <c r="D576" s="39"/>
      <c r="E576" s="27" t="str">
        <f>IF(D576="","",LEFT(D576,3))</f>
        <v/>
      </c>
      <c r="F576" s="28" t="str">
        <f>IF(E576="","",IFERROR(VLOOKUP(E576,REGRAS_CST!$A$2:$B$200,2,FALSE),""))</f>
        <v/>
      </c>
      <c r="H576" s="29">
        <v>8.9999999999999993E-3</v>
      </c>
      <c r="I576" s="29">
        <v>1E-3</v>
      </c>
      <c r="K576" s="21" t="str">
        <f>IF(E576="","",IFERROR(VLOOKUP(E576,REGRAS_CST!$A$2:$C$200,3,FALSE),""))</f>
        <v/>
      </c>
      <c r="L576" s="23" t="str">
        <f>IF($G576="", "", $G576*(1-$V576))</f>
        <v/>
      </c>
      <c r="M576" s="24" t="str">
        <f>IF(OR($L576="",$S576=""),"",$L576*$S576)</f>
        <v/>
      </c>
      <c r="N576" s="24" t="str">
        <f>IF(OR($L576="",$T576=""),"",$L576*$T576)</f>
        <v/>
      </c>
      <c r="O576" s="15" t="str">
        <f>IF(D576="","",
IF(AND(K576&lt;&gt;"SIM",V576&gt;0),"ERRO: % BC &gt; 0, mas NÃO permitida ❌",
IF(AND(K576="SIM",V576=0),"ATENÇÃO: BC permitida, mas % = 0 🔎",
"Base de cálculo aplicada corretamente ✅")))</f>
        <v/>
      </c>
      <c r="P576" s="31" t="str">
        <f>IF(D576="","",
IF(AND(Q576&lt;&gt;"SIM",U576&gt;0),"ERRO: % alíquota &gt; 0, mas NÃO permitida ❌",
IF(AND(Q576="SIM",U576=0),"ATENÇÃO: alíquota permitida, mas % = 0 🔎",
"Alíquota aplicada corretamente ✅")))</f>
        <v/>
      </c>
      <c r="Q576" s="8" t="str">
        <f>IF(E576="","",IFERROR(VLOOKUP(E576,REGRAS_CST!$A$2:$D$200,4,FALSE),""))</f>
        <v/>
      </c>
      <c r="S576" s="9">
        <f>IF($H576="","",$H576*(1-$U576))</f>
        <v>8.9999999999999993E-3</v>
      </c>
      <c r="T576" s="9">
        <f>IF($I576="","",$I576*(1-$U576))</f>
        <v>1E-3</v>
      </c>
      <c r="U576" s="16">
        <f>IFERROR(INDEX(BASE_CCLASSTRIB!$E:$E, MATCH(TEXT($D576,"000000"), BASE_CCLASSTRIB!$A:$A, 0))/100, 0)</f>
        <v>0</v>
      </c>
      <c r="V576" s="16">
        <f>IFERROR(INDEX(BASE_CCLASSTRIB!$F:$F, MATCH(TEXT($D576,"000000"), BASE_CCLASSTRIB!$A:$A, 0))/100, 0)</f>
        <v>0</v>
      </c>
    </row>
    <row r="577" spans="4:22" ht="32.25" customHeight="1">
      <c r="D577" s="39"/>
      <c r="E577" s="27" t="str">
        <f>IF(D577="","",LEFT(D577,3))</f>
        <v/>
      </c>
      <c r="F577" s="28" t="str">
        <f>IF(E577="","",IFERROR(VLOOKUP(E577,REGRAS_CST!$A$2:$B$200,2,FALSE),""))</f>
        <v/>
      </c>
      <c r="H577" s="29">
        <v>8.9999999999999993E-3</v>
      </c>
      <c r="I577" s="29">
        <v>1E-3</v>
      </c>
      <c r="K577" s="21" t="str">
        <f>IF(E577="","",IFERROR(VLOOKUP(E577,REGRAS_CST!$A$2:$C$200,3,FALSE),""))</f>
        <v/>
      </c>
      <c r="L577" s="23" t="str">
        <f>IF($G577="", "", $G577*(1-$V577))</f>
        <v/>
      </c>
      <c r="M577" s="24" t="str">
        <f>IF(OR($L577="",$S577=""),"",$L577*$S577)</f>
        <v/>
      </c>
      <c r="N577" s="24" t="str">
        <f>IF(OR($L577="",$T577=""),"",$L577*$T577)</f>
        <v/>
      </c>
      <c r="O577" s="15" t="str">
        <f>IF(D577="","",
IF(AND(K577&lt;&gt;"SIM",V577&gt;0),"ERRO: % BC &gt; 0, mas NÃO permitida ❌",
IF(AND(K577="SIM",V577=0),"ATENÇÃO: BC permitida, mas % = 0 🔎",
"Base de cálculo aplicada corretamente ✅")))</f>
        <v/>
      </c>
      <c r="P577" s="31" t="str">
        <f>IF(D577="","",
IF(AND(Q577&lt;&gt;"SIM",U577&gt;0),"ERRO: % alíquota &gt; 0, mas NÃO permitida ❌",
IF(AND(Q577="SIM",U577=0),"ATENÇÃO: alíquota permitida, mas % = 0 🔎",
"Alíquota aplicada corretamente ✅")))</f>
        <v/>
      </c>
      <c r="Q577" s="8" t="str">
        <f>IF(E577="","",IFERROR(VLOOKUP(E577,REGRAS_CST!$A$2:$D$200,4,FALSE),""))</f>
        <v/>
      </c>
      <c r="S577" s="9">
        <f>IF($H577="","",$H577*(1-$U577))</f>
        <v>8.9999999999999993E-3</v>
      </c>
      <c r="T577" s="9">
        <f>IF($I577="","",$I577*(1-$U577))</f>
        <v>1E-3</v>
      </c>
      <c r="U577" s="16">
        <f>IFERROR(INDEX(BASE_CCLASSTRIB!$E:$E, MATCH(TEXT($D577,"000000"), BASE_CCLASSTRIB!$A:$A, 0))/100, 0)</f>
        <v>0</v>
      </c>
      <c r="V577" s="16">
        <f>IFERROR(INDEX(BASE_CCLASSTRIB!$F:$F, MATCH(TEXT($D577,"000000"), BASE_CCLASSTRIB!$A:$A, 0))/100, 0)</f>
        <v>0</v>
      </c>
    </row>
    <row r="578" spans="4:22" ht="32.25" customHeight="1">
      <c r="D578" s="39"/>
      <c r="E578" s="27" t="str">
        <f>IF(D578="","",LEFT(D578,3))</f>
        <v/>
      </c>
      <c r="F578" s="28" t="str">
        <f>IF(E578="","",IFERROR(VLOOKUP(E578,REGRAS_CST!$A$2:$B$200,2,FALSE),""))</f>
        <v/>
      </c>
      <c r="H578" s="29">
        <v>8.9999999999999993E-3</v>
      </c>
      <c r="I578" s="29">
        <v>1E-3</v>
      </c>
      <c r="K578" s="21" t="str">
        <f>IF(E578="","",IFERROR(VLOOKUP(E578,REGRAS_CST!$A$2:$C$200,3,FALSE),""))</f>
        <v/>
      </c>
      <c r="L578" s="23" t="str">
        <f>IF($G578="", "", $G578*(1-$V578))</f>
        <v/>
      </c>
      <c r="M578" s="24" t="str">
        <f>IF(OR($L578="",$S578=""),"",$L578*$S578)</f>
        <v/>
      </c>
      <c r="N578" s="24" t="str">
        <f>IF(OR($L578="",$T578=""),"",$L578*$T578)</f>
        <v/>
      </c>
      <c r="O578" s="15" t="str">
        <f>IF(D578="","",
IF(AND(K578&lt;&gt;"SIM",V578&gt;0),"ERRO: % BC &gt; 0, mas NÃO permitida ❌",
IF(AND(K578="SIM",V578=0),"ATENÇÃO: BC permitida, mas % = 0 🔎",
"Base de cálculo aplicada corretamente ✅")))</f>
        <v/>
      </c>
      <c r="P578" s="31" t="str">
        <f>IF(D578="","",
IF(AND(Q578&lt;&gt;"SIM",U578&gt;0),"ERRO: % alíquota &gt; 0, mas NÃO permitida ❌",
IF(AND(Q578="SIM",U578=0),"ATENÇÃO: alíquota permitida, mas % = 0 🔎",
"Alíquota aplicada corretamente ✅")))</f>
        <v/>
      </c>
      <c r="Q578" s="8" t="str">
        <f>IF(E578="","",IFERROR(VLOOKUP(E578,REGRAS_CST!$A$2:$D$200,4,FALSE),""))</f>
        <v/>
      </c>
      <c r="S578" s="9">
        <f>IF($H578="","",$H578*(1-$U578))</f>
        <v>8.9999999999999993E-3</v>
      </c>
      <c r="T578" s="9">
        <f>IF($I578="","",$I578*(1-$U578))</f>
        <v>1E-3</v>
      </c>
      <c r="U578" s="16">
        <f>IFERROR(INDEX(BASE_CCLASSTRIB!$E:$E, MATCH(TEXT($D578,"000000"), BASE_CCLASSTRIB!$A:$A, 0))/100, 0)</f>
        <v>0</v>
      </c>
      <c r="V578" s="16">
        <f>IFERROR(INDEX(BASE_CCLASSTRIB!$F:$F, MATCH(TEXT($D578,"000000"), BASE_CCLASSTRIB!$A:$A, 0))/100, 0)</f>
        <v>0</v>
      </c>
    </row>
    <row r="579" spans="4:22" ht="32.25" customHeight="1">
      <c r="D579" s="40"/>
      <c r="E579" s="27" t="str">
        <f>IF(D579="","",LEFT(D579,3))</f>
        <v/>
      </c>
      <c r="F579" s="28" t="str">
        <f>IF(E579="","",IFERROR(VLOOKUP(E579,REGRAS_CST!$A$2:$B$200,2,FALSE),""))</f>
        <v/>
      </c>
      <c r="H579" s="29">
        <v>8.9999999999999993E-3</v>
      </c>
      <c r="I579" s="29">
        <v>1E-3</v>
      </c>
      <c r="K579" s="21" t="str">
        <f>IF(E579="","",IFERROR(VLOOKUP(E579,REGRAS_CST!$A$2:$C$200,3,FALSE),""))</f>
        <v/>
      </c>
      <c r="L579" s="23" t="str">
        <f>IF($G579="", "", $G579*(1-$V579))</f>
        <v/>
      </c>
      <c r="M579" s="24" t="str">
        <f>IF(OR($L579="",$S579=""),"",$L579*$S579)</f>
        <v/>
      </c>
      <c r="N579" s="24" t="str">
        <f>IF(OR($L579="",$T579=""),"",$L579*$T579)</f>
        <v/>
      </c>
      <c r="O579" s="15" t="str">
        <f>IF(D579="","",
IF(AND(K579&lt;&gt;"SIM",V579&gt;0),"ERRO: % BC &gt; 0, mas NÃO permitida ❌",
IF(AND(K579="SIM",V579=0),"ATENÇÃO: BC permitida, mas % = 0 🔎",
"Base de cálculo aplicada corretamente ✅")))</f>
        <v/>
      </c>
      <c r="P579" s="31" t="str">
        <f>IF(D579="","",
IF(AND(Q579&lt;&gt;"SIM",U579&gt;0),"ERRO: % alíquota &gt; 0, mas NÃO permitida ❌",
IF(AND(Q579="SIM",U579=0),"ATENÇÃO: alíquota permitida, mas % = 0 🔎",
"Alíquota aplicada corretamente ✅")))</f>
        <v/>
      </c>
      <c r="Q579" s="8" t="str">
        <f>IF(E579="","",IFERROR(VLOOKUP(E579,REGRAS_CST!$A$2:$D$200,4,FALSE),""))</f>
        <v/>
      </c>
      <c r="S579" s="9">
        <f>IF($H579="","",$H579*(1-$U579))</f>
        <v>8.9999999999999993E-3</v>
      </c>
      <c r="T579" s="9">
        <f>IF($I579="","",$I579*(1-$U579))</f>
        <v>1E-3</v>
      </c>
      <c r="U579" s="16">
        <f>IFERROR(INDEX(BASE_CCLASSTRIB!$E:$E, MATCH(TEXT($D579,"000000"), BASE_CCLASSTRIB!$A:$A, 0))/100, 0)</f>
        <v>0</v>
      </c>
      <c r="V579" s="16">
        <f>IFERROR(INDEX(BASE_CCLASSTRIB!$F:$F, MATCH(TEXT($D579,"000000"), BASE_CCLASSTRIB!$A:$A, 0))/100, 0)</f>
        <v>0</v>
      </c>
    </row>
    <row r="580" spans="4:22" ht="32.25" customHeight="1">
      <c r="D580" s="39"/>
      <c r="E580" s="27" t="str">
        <f>IF(D580="","",LEFT(D580,3))</f>
        <v/>
      </c>
      <c r="F580" s="28" t="str">
        <f>IF(E580="","",IFERROR(VLOOKUP(E580,REGRAS_CST!$A$2:$B$200,2,FALSE),""))</f>
        <v/>
      </c>
      <c r="H580" s="29">
        <v>8.9999999999999993E-3</v>
      </c>
      <c r="I580" s="29">
        <v>1E-3</v>
      </c>
      <c r="K580" s="21" t="str">
        <f>IF(E580="","",IFERROR(VLOOKUP(E580,REGRAS_CST!$A$2:$C$200,3,FALSE),""))</f>
        <v/>
      </c>
      <c r="L580" s="23" t="str">
        <f>IF($G580="", "", $G580*(1-$V580))</f>
        <v/>
      </c>
      <c r="M580" s="24" t="str">
        <f>IF(OR($L580="",$S580=""),"",$L580*$S580)</f>
        <v/>
      </c>
      <c r="N580" s="24" t="str">
        <f>IF(OR($L580="",$T580=""),"",$L580*$T580)</f>
        <v/>
      </c>
      <c r="O580" s="15" t="str">
        <f>IF(D580="","",
IF(AND(K580&lt;&gt;"SIM",V580&gt;0),"ERRO: % BC &gt; 0, mas NÃO permitida ❌",
IF(AND(K580="SIM",V580=0),"ATENÇÃO: BC permitida, mas % = 0 🔎",
"Base de cálculo aplicada corretamente ✅")))</f>
        <v/>
      </c>
      <c r="P580" s="31" t="str">
        <f>IF(D580="","",
IF(AND(Q580&lt;&gt;"SIM",U580&gt;0),"ERRO: % alíquota &gt; 0, mas NÃO permitida ❌",
IF(AND(Q580="SIM",U580=0),"ATENÇÃO: alíquota permitida, mas % = 0 🔎",
"Alíquota aplicada corretamente ✅")))</f>
        <v/>
      </c>
      <c r="Q580" s="8" t="str">
        <f>IF(E580="","",IFERROR(VLOOKUP(E580,REGRAS_CST!$A$2:$D$200,4,FALSE),""))</f>
        <v/>
      </c>
      <c r="S580" s="9">
        <f>IF($H580="","",$H580*(1-$U580))</f>
        <v>8.9999999999999993E-3</v>
      </c>
      <c r="T580" s="9">
        <f>IF($I580="","",$I580*(1-$U580))</f>
        <v>1E-3</v>
      </c>
      <c r="U580" s="16">
        <f>IFERROR(INDEX(BASE_CCLASSTRIB!$E:$E, MATCH(TEXT($D580,"000000"), BASE_CCLASSTRIB!$A:$A, 0))/100, 0)</f>
        <v>0</v>
      </c>
      <c r="V580" s="16">
        <f>IFERROR(INDEX(BASE_CCLASSTRIB!$F:$F, MATCH(TEXT($D580,"000000"), BASE_CCLASSTRIB!$A:$A, 0))/100, 0)</f>
        <v>0</v>
      </c>
    </row>
    <row r="581" spans="4:22" ht="32.25" customHeight="1">
      <c r="D581" s="39"/>
      <c r="E581" s="27" t="str">
        <f>IF(D581="","",LEFT(D581,3))</f>
        <v/>
      </c>
      <c r="F581" s="28" t="str">
        <f>IF(E581="","",IFERROR(VLOOKUP(E581,REGRAS_CST!$A$2:$B$200,2,FALSE),""))</f>
        <v/>
      </c>
      <c r="H581" s="29">
        <v>8.9999999999999993E-3</v>
      </c>
      <c r="I581" s="29">
        <v>1E-3</v>
      </c>
      <c r="K581" s="21" t="str">
        <f>IF(E581="","",IFERROR(VLOOKUP(E581,REGRAS_CST!$A$2:$C$200,3,FALSE),""))</f>
        <v/>
      </c>
      <c r="L581" s="23" t="str">
        <f>IF($G581="", "", $G581*(1-$V581))</f>
        <v/>
      </c>
      <c r="M581" s="24" t="str">
        <f>IF(OR($L581="",$S581=""),"",$L581*$S581)</f>
        <v/>
      </c>
      <c r="N581" s="24" t="str">
        <f>IF(OR($L581="",$T581=""),"",$L581*$T581)</f>
        <v/>
      </c>
      <c r="O581" s="15" t="str">
        <f>IF(D581="","",
IF(AND(K581&lt;&gt;"SIM",V581&gt;0),"ERRO: % BC &gt; 0, mas NÃO permitida ❌",
IF(AND(K581="SIM",V581=0),"ATENÇÃO: BC permitida, mas % = 0 🔎",
"Base de cálculo aplicada corretamente ✅")))</f>
        <v/>
      </c>
      <c r="P581" s="31" t="str">
        <f>IF(D581="","",
IF(AND(Q581&lt;&gt;"SIM",U581&gt;0),"ERRO: % alíquota &gt; 0, mas NÃO permitida ❌",
IF(AND(Q581="SIM",U581=0),"ATENÇÃO: alíquota permitida, mas % = 0 🔎",
"Alíquota aplicada corretamente ✅")))</f>
        <v/>
      </c>
      <c r="Q581" s="8" t="str">
        <f>IF(E581="","",IFERROR(VLOOKUP(E581,REGRAS_CST!$A$2:$D$200,4,FALSE),""))</f>
        <v/>
      </c>
      <c r="S581" s="9">
        <f>IF($H581="","",$H581*(1-$U581))</f>
        <v>8.9999999999999993E-3</v>
      </c>
      <c r="T581" s="9">
        <f>IF($I581="","",$I581*(1-$U581))</f>
        <v>1E-3</v>
      </c>
      <c r="U581" s="16">
        <f>IFERROR(INDEX(BASE_CCLASSTRIB!$E:$E, MATCH(TEXT($D581,"000000"), BASE_CCLASSTRIB!$A:$A, 0))/100, 0)</f>
        <v>0</v>
      </c>
      <c r="V581" s="16">
        <f>IFERROR(INDEX(BASE_CCLASSTRIB!$F:$F, MATCH(TEXT($D581,"000000"), BASE_CCLASSTRIB!$A:$A, 0))/100, 0)</f>
        <v>0</v>
      </c>
    </row>
    <row r="582" spans="4:22" ht="32.25" customHeight="1">
      <c r="D582" s="39"/>
      <c r="E582" s="27" t="str">
        <f>IF(D582="","",LEFT(D582,3))</f>
        <v/>
      </c>
      <c r="F582" s="28" t="str">
        <f>IF(E582="","",IFERROR(VLOOKUP(E582,REGRAS_CST!$A$2:$B$200,2,FALSE),""))</f>
        <v/>
      </c>
      <c r="H582" s="29">
        <v>8.9999999999999993E-3</v>
      </c>
      <c r="I582" s="29">
        <v>1E-3</v>
      </c>
      <c r="K582" s="21" t="str">
        <f>IF(E582="","",IFERROR(VLOOKUP(E582,REGRAS_CST!$A$2:$C$200,3,FALSE),""))</f>
        <v/>
      </c>
      <c r="L582" s="23" t="str">
        <f>IF($G582="", "", $G582*(1-$V582))</f>
        <v/>
      </c>
      <c r="M582" s="24" t="str">
        <f>IF(OR($L582="",$S582=""),"",$L582*$S582)</f>
        <v/>
      </c>
      <c r="N582" s="24" t="str">
        <f>IF(OR($L582="",$T582=""),"",$L582*$T582)</f>
        <v/>
      </c>
      <c r="O582" s="15" t="str">
        <f>IF(D582="","",
IF(AND(K582&lt;&gt;"SIM",V582&gt;0),"ERRO: % BC &gt; 0, mas NÃO permitida ❌",
IF(AND(K582="SIM",V582=0),"ATENÇÃO: BC permitida, mas % = 0 🔎",
"Base de cálculo aplicada corretamente ✅")))</f>
        <v/>
      </c>
      <c r="P582" s="31" t="str">
        <f>IF(D582="","",
IF(AND(Q582&lt;&gt;"SIM",U582&gt;0),"ERRO: % alíquota &gt; 0, mas NÃO permitida ❌",
IF(AND(Q582="SIM",U582=0),"ATENÇÃO: alíquota permitida, mas % = 0 🔎",
"Alíquota aplicada corretamente ✅")))</f>
        <v/>
      </c>
      <c r="Q582" s="8" t="str">
        <f>IF(E582="","",IFERROR(VLOOKUP(E582,REGRAS_CST!$A$2:$D$200,4,FALSE),""))</f>
        <v/>
      </c>
      <c r="S582" s="9">
        <f>IF($H582="","",$H582*(1-$U582))</f>
        <v>8.9999999999999993E-3</v>
      </c>
      <c r="T582" s="9">
        <f>IF($I582="","",$I582*(1-$U582))</f>
        <v>1E-3</v>
      </c>
      <c r="U582" s="16">
        <f>IFERROR(INDEX(BASE_CCLASSTRIB!$E:$E, MATCH(TEXT($D582,"000000"), BASE_CCLASSTRIB!$A:$A, 0))/100, 0)</f>
        <v>0</v>
      </c>
      <c r="V582" s="16">
        <f>IFERROR(INDEX(BASE_CCLASSTRIB!$F:$F, MATCH(TEXT($D582,"000000"), BASE_CCLASSTRIB!$A:$A, 0))/100, 0)</f>
        <v>0</v>
      </c>
    </row>
    <row r="583" spans="4:22" ht="32.25" customHeight="1">
      <c r="D583" s="40"/>
      <c r="E583" s="27" t="str">
        <f>IF(D583="","",LEFT(D583,3))</f>
        <v/>
      </c>
      <c r="F583" s="28" t="str">
        <f>IF(E583="","",IFERROR(VLOOKUP(E583,REGRAS_CST!$A$2:$B$200,2,FALSE),""))</f>
        <v/>
      </c>
      <c r="H583" s="29">
        <v>8.9999999999999993E-3</v>
      </c>
      <c r="I583" s="29">
        <v>1E-3</v>
      </c>
      <c r="K583" s="21" t="str">
        <f>IF(E583="","",IFERROR(VLOOKUP(E583,REGRAS_CST!$A$2:$C$200,3,FALSE),""))</f>
        <v/>
      </c>
      <c r="L583" s="23" t="str">
        <f>IF($G583="", "", $G583*(1-$V583))</f>
        <v/>
      </c>
      <c r="M583" s="24" t="str">
        <f>IF(OR($L583="",$S583=""),"",$L583*$S583)</f>
        <v/>
      </c>
      <c r="N583" s="24" t="str">
        <f>IF(OR($L583="",$T583=""),"",$L583*$T583)</f>
        <v/>
      </c>
      <c r="O583" s="15" t="str">
        <f>IF(D583="","",
IF(AND(K583&lt;&gt;"SIM",V583&gt;0),"ERRO: % BC &gt; 0, mas NÃO permitida ❌",
IF(AND(K583="SIM",V583=0),"ATENÇÃO: BC permitida, mas % = 0 🔎",
"Base de cálculo aplicada corretamente ✅")))</f>
        <v/>
      </c>
      <c r="P583" s="31" t="str">
        <f>IF(D583="","",
IF(AND(Q583&lt;&gt;"SIM",U583&gt;0),"ERRO: % alíquota &gt; 0, mas NÃO permitida ❌",
IF(AND(Q583="SIM",U583=0),"ATENÇÃO: alíquota permitida, mas % = 0 🔎",
"Alíquota aplicada corretamente ✅")))</f>
        <v/>
      </c>
      <c r="Q583" s="8" t="str">
        <f>IF(E583="","",IFERROR(VLOOKUP(E583,REGRAS_CST!$A$2:$D$200,4,FALSE),""))</f>
        <v/>
      </c>
      <c r="S583" s="9">
        <f>IF($H583="","",$H583*(1-$U583))</f>
        <v>8.9999999999999993E-3</v>
      </c>
      <c r="T583" s="9">
        <f>IF($I583="","",$I583*(1-$U583))</f>
        <v>1E-3</v>
      </c>
      <c r="U583" s="16">
        <f>IFERROR(INDEX(BASE_CCLASSTRIB!$E:$E, MATCH(TEXT($D583,"000000"), BASE_CCLASSTRIB!$A:$A, 0))/100, 0)</f>
        <v>0</v>
      </c>
      <c r="V583" s="16">
        <f>IFERROR(INDEX(BASE_CCLASSTRIB!$F:$F, MATCH(TEXT($D583,"000000"), BASE_CCLASSTRIB!$A:$A, 0))/100, 0)</f>
        <v>0</v>
      </c>
    </row>
    <row r="584" spans="4:22" ht="32.25" customHeight="1">
      <c r="D584" s="39"/>
      <c r="E584" s="27" t="str">
        <f>IF(D584="","",LEFT(D584,3))</f>
        <v/>
      </c>
      <c r="F584" s="28" t="str">
        <f>IF(E584="","",IFERROR(VLOOKUP(E584,REGRAS_CST!$A$2:$B$200,2,FALSE),""))</f>
        <v/>
      </c>
      <c r="H584" s="29">
        <v>8.9999999999999993E-3</v>
      </c>
      <c r="I584" s="29">
        <v>1E-3</v>
      </c>
      <c r="K584" s="21" t="str">
        <f>IF(E584="","",IFERROR(VLOOKUP(E584,REGRAS_CST!$A$2:$C$200,3,FALSE),""))</f>
        <v/>
      </c>
      <c r="L584" s="23" t="str">
        <f>IF($G584="", "", $G584*(1-$V584))</f>
        <v/>
      </c>
      <c r="M584" s="24" t="str">
        <f>IF(OR($L584="",$S584=""),"",$L584*$S584)</f>
        <v/>
      </c>
      <c r="N584" s="24" t="str">
        <f>IF(OR($L584="",$T584=""),"",$L584*$T584)</f>
        <v/>
      </c>
      <c r="O584" s="15" t="str">
        <f>IF(D584="","",
IF(AND(K584&lt;&gt;"SIM",V584&gt;0),"ERRO: % BC &gt; 0, mas NÃO permitida ❌",
IF(AND(K584="SIM",V584=0),"ATENÇÃO: BC permitida, mas % = 0 🔎",
"Base de cálculo aplicada corretamente ✅")))</f>
        <v/>
      </c>
      <c r="P584" s="31" t="str">
        <f>IF(D584="","",
IF(AND(Q584&lt;&gt;"SIM",U584&gt;0),"ERRO: % alíquota &gt; 0, mas NÃO permitida ❌",
IF(AND(Q584="SIM",U584=0),"ATENÇÃO: alíquota permitida, mas % = 0 🔎",
"Alíquota aplicada corretamente ✅")))</f>
        <v/>
      </c>
      <c r="Q584" s="8" t="str">
        <f>IF(E584="","",IFERROR(VLOOKUP(E584,REGRAS_CST!$A$2:$D$200,4,FALSE),""))</f>
        <v/>
      </c>
      <c r="S584" s="9">
        <f>IF($H584="","",$H584*(1-$U584))</f>
        <v>8.9999999999999993E-3</v>
      </c>
      <c r="T584" s="9">
        <f>IF($I584="","",$I584*(1-$U584))</f>
        <v>1E-3</v>
      </c>
      <c r="U584" s="16">
        <f>IFERROR(INDEX(BASE_CCLASSTRIB!$E:$E, MATCH(TEXT($D584,"000000"), BASE_CCLASSTRIB!$A:$A, 0))/100, 0)</f>
        <v>0</v>
      </c>
      <c r="V584" s="16">
        <f>IFERROR(INDEX(BASE_CCLASSTRIB!$F:$F, MATCH(TEXT($D584,"000000"), BASE_CCLASSTRIB!$A:$A, 0))/100, 0)</f>
        <v>0</v>
      </c>
    </row>
    <row r="585" spans="4:22" ht="32.25" customHeight="1">
      <c r="D585" s="39"/>
      <c r="E585" s="27" t="str">
        <f>IF(D585="","",LEFT(D585,3))</f>
        <v/>
      </c>
      <c r="F585" s="28" t="str">
        <f>IF(E585="","",IFERROR(VLOOKUP(E585,REGRAS_CST!$A$2:$B$200,2,FALSE),""))</f>
        <v/>
      </c>
      <c r="H585" s="29">
        <v>8.9999999999999993E-3</v>
      </c>
      <c r="I585" s="29">
        <v>1E-3</v>
      </c>
      <c r="K585" s="21" t="str">
        <f>IF(E585="","",IFERROR(VLOOKUP(E585,REGRAS_CST!$A$2:$C$200,3,FALSE),""))</f>
        <v/>
      </c>
      <c r="L585" s="23" t="str">
        <f>IF($G585="", "", $G585*(1-$V585))</f>
        <v/>
      </c>
      <c r="M585" s="24" t="str">
        <f>IF(OR($L585="",$S585=""),"",$L585*$S585)</f>
        <v/>
      </c>
      <c r="N585" s="24" t="str">
        <f>IF(OR($L585="",$T585=""),"",$L585*$T585)</f>
        <v/>
      </c>
      <c r="O585" s="15" t="str">
        <f>IF(D585="","",
IF(AND(K585&lt;&gt;"SIM",V585&gt;0),"ERRO: % BC &gt; 0, mas NÃO permitida ❌",
IF(AND(K585="SIM",V585=0),"ATENÇÃO: BC permitida, mas % = 0 🔎",
"Base de cálculo aplicada corretamente ✅")))</f>
        <v/>
      </c>
      <c r="P585" s="31" t="str">
        <f>IF(D585="","",
IF(AND(Q585&lt;&gt;"SIM",U585&gt;0),"ERRO: % alíquota &gt; 0, mas NÃO permitida ❌",
IF(AND(Q585="SIM",U585=0),"ATENÇÃO: alíquota permitida, mas % = 0 🔎",
"Alíquota aplicada corretamente ✅")))</f>
        <v/>
      </c>
      <c r="Q585" s="8" t="str">
        <f>IF(E585="","",IFERROR(VLOOKUP(E585,REGRAS_CST!$A$2:$D$200,4,FALSE),""))</f>
        <v/>
      </c>
      <c r="S585" s="9">
        <f>IF($H585="","",$H585*(1-$U585))</f>
        <v>8.9999999999999993E-3</v>
      </c>
      <c r="T585" s="9">
        <f>IF($I585="","",$I585*(1-$U585))</f>
        <v>1E-3</v>
      </c>
      <c r="U585" s="16">
        <f>IFERROR(INDEX(BASE_CCLASSTRIB!$E:$E, MATCH(TEXT($D585,"000000"), BASE_CCLASSTRIB!$A:$A, 0))/100, 0)</f>
        <v>0</v>
      </c>
      <c r="V585" s="16">
        <f>IFERROR(INDEX(BASE_CCLASSTRIB!$F:$F, MATCH(TEXT($D585,"000000"), BASE_CCLASSTRIB!$A:$A, 0))/100, 0)</f>
        <v>0</v>
      </c>
    </row>
    <row r="586" spans="4:22" ht="32.25" customHeight="1">
      <c r="D586" s="39"/>
      <c r="E586" s="27" t="str">
        <f>IF(D586="","",LEFT(D586,3))</f>
        <v/>
      </c>
      <c r="F586" s="28" t="str">
        <f>IF(E586="","",IFERROR(VLOOKUP(E586,REGRAS_CST!$A$2:$B$200,2,FALSE),""))</f>
        <v/>
      </c>
      <c r="H586" s="29">
        <v>8.9999999999999993E-3</v>
      </c>
      <c r="I586" s="29">
        <v>1E-3</v>
      </c>
      <c r="K586" s="21" t="str">
        <f>IF(E586="","",IFERROR(VLOOKUP(E586,REGRAS_CST!$A$2:$C$200,3,FALSE),""))</f>
        <v/>
      </c>
      <c r="L586" s="23" t="str">
        <f>IF($G586="", "", $G586*(1-$V586))</f>
        <v/>
      </c>
      <c r="M586" s="24" t="str">
        <f>IF(OR($L586="",$S586=""),"",$L586*$S586)</f>
        <v/>
      </c>
      <c r="N586" s="24" t="str">
        <f>IF(OR($L586="",$T586=""),"",$L586*$T586)</f>
        <v/>
      </c>
      <c r="O586" s="15" t="str">
        <f>IF(D586="","",
IF(AND(K586&lt;&gt;"SIM",V586&gt;0),"ERRO: % BC &gt; 0, mas NÃO permitida ❌",
IF(AND(K586="SIM",V586=0),"ATENÇÃO: BC permitida, mas % = 0 🔎",
"Base de cálculo aplicada corretamente ✅")))</f>
        <v/>
      </c>
      <c r="P586" s="31" t="str">
        <f>IF(D586="","",
IF(AND(Q586&lt;&gt;"SIM",U586&gt;0),"ERRO: % alíquota &gt; 0, mas NÃO permitida ❌",
IF(AND(Q586="SIM",U586=0),"ATENÇÃO: alíquota permitida, mas % = 0 🔎",
"Alíquota aplicada corretamente ✅")))</f>
        <v/>
      </c>
      <c r="Q586" s="8" t="str">
        <f>IF(E586="","",IFERROR(VLOOKUP(E586,REGRAS_CST!$A$2:$D$200,4,FALSE),""))</f>
        <v/>
      </c>
      <c r="S586" s="9">
        <f>IF($H586="","",$H586*(1-$U586))</f>
        <v>8.9999999999999993E-3</v>
      </c>
      <c r="T586" s="9">
        <f>IF($I586="","",$I586*(1-$U586))</f>
        <v>1E-3</v>
      </c>
      <c r="U586" s="16">
        <f>IFERROR(INDEX(BASE_CCLASSTRIB!$E:$E, MATCH(TEXT($D586,"000000"), BASE_CCLASSTRIB!$A:$A, 0))/100, 0)</f>
        <v>0</v>
      </c>
      <c r="V586" s="16">
        <f>IFERROR(INDEX(BASE_CCLASSTRIB!$F:$F, MATCH(TEXT($D586,"000000"), BASE_CCLASSTRIB!$A:$A, 0))/100, 0)</f>
        <v>0</v>
      </c>
    </row>
    <row r="587" spans="4:22" ht="32.25" customHeight="1">
      <c r="D587" s="39"/>
      <c r="E587" s="27" t="str">
        <f>IF(D587="","",LEFT(D587,3))</f>
        <v/>
      </c>
      <c r="F587" s="28" t="str">
        <f>IF(E587="","",IFERROR(VLOOKUP(E587,REGRAS_CST!$A$2:$B$200,2,FALSE),""))</f>
        <v/>
      </c>
      <c r="H587" s="29">
        <v>8.9999999999999993E-3</v>
      </c>
      <c r="I587" s="29">
        <v>1E-3</v>
      </c>
      <c r="K587" s="21" t="str">
        <f>IF(E587="","",IFERROR(VLOOKUP(E587,REGRAS_CST!$A$2:$C$200,3,FALSE),""))</f>
        <v/>
      </c>
      <c r="L587" s="23" t="str">
        <f>IF($G587="", "", $G587*(1-$V587))</f>
        <v/>
      </c>
      <c r="M587" s="24" t="str">
        <f>IF(OR($L587="",$S587=""),"",$L587*$S587)</f>
        <v/>
      </c>
      <c r="N587" s="24" t="str">
        <f>IF(OR($L587="",$T587=""),"",$L587*$T587)</f>
        <v/>
      </c>
      <c r="O587" s="15" t="str">
        <f>IF(D587="","",
IF(AND(K587&lt;&gt;"SIM",V587&gt;0),"ERRO: % BC &gt; 0, mas NÃO permitida ❌",
IF(AND(K587="SIM",V587=0),"ATENÇÃO: BC permitida, mas % = 0 🔎",
"Base de cálculo aplicada corretamente ✅")))</f>
        <v/>
      </c>
      <c r="P587" s="31" t="str">
        <f>IF(D587="","",
IF(AND(Q587&lt;&gt;"SIM",U587&gt;0),"ERRO: % alíquota &gt; 0, mas NÃO permitida ❌",
IF(AND(Q587="SIM",U587=0),"ATENÇÃO: alíquota permitida, mas % = 0 🔎",
"Alíquota aplicada corretamente ✅")))</f>
        <v/>
      </c>
      <c r="Q587" s="8" t="str">
        <f>IF(E587="","",IFERROR(VLOOKUP(E587,REGRAS_CST!$A$2:$D$200,4,FALSE),""))</f>
        <v/>
      </c>
      <c r="S587" s="9">
        <f>IF($H587="","",$H587*(1-$U587))</f>
        <v>8.9999999999999993E-3</v>
      </c>
      <c r="T587" s="9">
        <f>IF($I587="","",$I587*(1-$U587))</f>
        <v>1E-3</v>
      </c>
      <c r="U587" s="16">
        <f>IFERROR(INDEX(BASE_CCLASSTRIB!$E:$E, MATCH(TEXT($D587,"000000"), BASE_CCLASSTRIB!$A:$A, 0))/100, 0)</f>
        <v>0</v>
      </c>
      <c r="V587" s="16">
        <f>IFERROR(INDEX(BASE_CCLASSTRIB!$F:$F, MATCH(TEXT($D587,"000000"), BASE_CCLASSTRIB!$A:$A, 0))/100, 0)</f>
        <v>0</v>
      </c>
    </row>
    <row r="588" spans="4:22" ht="32.25" customHeight="1">
      <c r="D588" s="39"/>
      <c r="E588" s="27" t="str">
        <f>IF(D588="","",LEFT(D588,3))</f>
        <v/>
      </c>
      <c r="F588" s="28" t="str">
        <f>IF(E588="","",IFERROR(VLOOKUP(E588,REGRAS_CST!$A$2:$B$200,2,FALSE),""))</f>
        <v/>
      </c>
      <c r="H588" s="29">
        <v>8.9999999999999993E-3</v>
      </c>
      <c r="I588" s="29">
        <v>1E-3</v>
      </c>
      <c r="K588" s="21" t="str">
        <f>IF(E588="","",IFERROR(VLOOKUP(E588,REGRAS_CST!$A$2:$C$200,3,FALSE),""))</f>
        <v/>
      </c>
      <c r="L588" s="23" t="str">
        <f>IF($G588="", "", $G588*(1-$V588))</f>
        <v/>
      </c>
      <c r="M588" s="24" t="str">
        <f>IF(OR($L588="",$S588=""),"",$L588*$S588)</f>
        <v/>
      </c>
      <c r="N588" s="24" t="str">
        <f>IF(OR($L588="",$T588=""),"",$L588*$T588)</f>
        <v/>
      </c>
      <c r="O588" s="15" t="str">
        <f>IF(D588="","",
IF(AND(K588&lt;&gt;"SIM",V588&gt;0),"ERRO: % BC &gt; 0, mas NÃO permitida ❌",
IF(AND(K588="SIM",V588=0),"ATENÇÃO: BC permitida, mas % = 0 🔎",
"Base de cálculo aplicada corretamente ✅")))</f>
        <v/>
      </c>
      <c r="P588" s="31" t="str">
        <f>IF(D588="","",
IF(AND(Q588&lt;&gt;"SIM",U588&gt;0),"ERRO: % alíquota &gt; 0, mas NÃO permitida ❌",
IF(AND(Q588="SIM",U588=0),"ATENÇÃO: alíquota permitida, mas % = 0 🔎",
"Alíquota aplicada corretamente ✅")))</f>
        <v/>
      </c>
      <c r="Q588" s="8" t="str">
        <f>IF(E588="","",IFERROR(VLOOKUP(E588,REGRAS_CST!$A$2:$D$200,4,FALSE),""))</f>
        <v/>
      </c>
      <c r="S588" s="9">
        <f>IF($H588="","",$H588*(1-$U588))</f>
        <v>8.9999999999999993E-3</v>
      </c>
      <c r="T588" s="9">
        <f>IF($I588="","",$I588*(1-$U588))</f>
        <v>1E-3</v>
      </c>
      <c r="U588" s="16">
        <f>IFERROR(INDEX(BASE_CCLASSTRIB!$E:$E, MATCH(TEXT($D588,"000000"), BASE_CCLASSTRIB!$A:$A, 0))/100, 0)</f>
        <v>0</v>
      </c>
      <c r="V588" s="16">
        <f>IFERROR(INDEX(BASE_CCLASSTRIB!$F:$F, MATCH(TEXT($D588,"000000"), BASE_CCLASSTRIB!$A:$A, 0))/100, 0)</f>
        <v>0</v>
      </c>
    </row>
    <row r="589" spans="4:22" ht="32.25" customHeight="1">
      <c r="D589" s="39"/>
      <c r="E589" s="27" t="str">
        <f>IF(D589="","",LEFT(D589,3))</f>
        <v/>
      </c>
      <c r="F589" s="28" t="str">
        <f>IF(E589="","",IFERROR(VLOOKUP(E589,REGRAS_CST!$A$2:$B$200,2,FALSE),""))</f>
        <v/>
      </c>
      <c r="H589" s="29">
        <v>8.9999999999999993E-3</v>
      </c>
      <c r="I589" s="29">
        <v>1E-3</v>
      </c>
      <c r="K589" s="21" t="str">
        <f>IF(E589="","",IFERROR(VLOOKUP(E589,REGRAS_CST!$A$2:$C$200,3,FALSE),""))</f>
        <v/>
      </c>
      <c r="L589" s="23" t="str">
        <f>IF($G589="", "", $G589*(1-$V589))</f>
        <v/>
      </c>
      <c r="M589" s="24" t="str">
        <f>IF(OR($L589="",$S589=""),"",$L589*$S589)</f>
        <v/>
      </c>
      <c r="N589" s="24" t="str">
        <f>IF(OR($L589="",$T589=""),"",$L589*$T589)</f>
        <v/>
      </c>
      <c r="O589" s="15" t="str">
        <f>IF(D589="","",
IF(AND(K589&lt;&gt;"SIM",V589&gt;0),"ERRO: % BC &gt; 0, mas NÃO permitida ❌",
IF(AND(K589="SIM",V589=0),"ATENÇÃO: BC permitida, mas % = 0 🔎",
"Base de cálculo aplicada corretamente ✅")))</f>
        <v/>
      </c>
      <c r="P589" s="31" t="str">
        <f>IF(D589="","",
IF(AND(Q589&lt;&gt;"SIM",U589&gt;0),"ERRO: % alíquota &gt; 0, mas NÃO permitida ❌",
IF(AND(Q589="SIM",U589=0),"ATENÇÃO: alíquota permitida, mas % = 0 🔎",
"Alíquota aplicada corretamente ✅")))</f>
        <v/>
      </c>
      <c r="Q589" s="8" t="str">
        <f>IF(E589="","",IFERROR(VLOOKUP(E589,REGRAS_CST!$A$2:$D$200,4,FALSE),""))</f>
        <v/>
      </c>
      <c r="S589" s="9">
        <f>IF($H589="","",$H589*(1-$U589))</f>
        <v>8.9999999999999993E-3</v>
      </c>
      <c r="T589" s="9">
        <f>IF($I589="","",$I589*(1-$U589))</f>
        <v>1E-3</v>
      </c>
      <c r="U589" s="16">
        <f>IFERROR(INDEX(BASE_CCLASSTRIB!$E:$E, MATCH(TEXT($D589,"000000"), BASE_CCLASSTRIB!$A:$A, 0))/100, 0)</f>
        <v>0</v>
      </c>
      <c r="V589" s="16">
        <f>IFERROR(INDEX(BASE_CCLASSTRIB!$F:$F, MATCH(TEXT($D589,"000000"), BASE_CCLASSTRIB!$A:$A, 0))/100, 0)</f>
        <v>0</v>
      </c>
    </row>
    <row r="590" spans="4:22" ht="32.25" customHeight="1">
      <c r="D590" s="39"/>
      <c r="E590" s="27" t="str">
        <f>IF(D590="","",LEFT(D590,3))</f>
        <v/>
      </c>
      <c r="F590" s="28" t="str">
        <f>IF(E590="","",IFERROR(VLOOKUP(E590,REGRAS_CST!$A$2:$B$200,2,FALSE),""))</f>
        <v/>
      </c>
      <c r="H590" s="29">
        <v>8.9999999999999993E-3</v>
      </c>
      <c r="I590" s="29">
        <v>1E-3</v>
      </c>
      <c r="K590" s="21" t="str">
        <f>IF(E590="","",IFERROR(VLOOKUP(E590,REGRAS_CST!$A$2:$C$200,3,FALSE),""))</f>
        <v/>
      </c>
      <c r="L590" s="23" t="str">
        <f>IF($G590="", "", $G590*(1-$V590))</f>
        <v/>
      </c>
      <c r="M590" s="24" t="str">
        <f>IF(OR($L590="",$S590=""),"",$L590*$S590)</f>
        <v/>
      </c>
      <c r="N590" s="24" t="str">
        <f>IF(OR($L590="",$T590=""),"",$L590*$T590)</f>
        <v/>
      </c>
      <c r="O590" s="15" t="str">
        <f>IF(D590="","",
IF(AND(K590&lt;&gt;"SIM",V590&gt;0),"ERRO: % BC &gt; 0, mas NÃO permitida ❌",
IF(AND(K590="SIM",V590=0),"ATENÇÃO: BC permitida, mas % = 0 🔎",
"Base de cálculo aplicada corretamente ✅")))</f>
        <v/>
      </c>
      <c r="P590" s="31" t="str">
        <f>IF(D590="","",
IF(AND(Q590&lt;&gt;"SIM",U590&gt;0),"ERRO: % alíquota &gt; 0, mas NÃO permitida ❌",
IF(AND(Q590="SIM",U590=0),"ATENÇÃO: alíquota permitida, mas % = 0 🔎",
"Alíquota aplicada corretamente ✅")))</f>
        <v/>
      </c>
      <c r="Q590" s="8" t="str">
        <f>IF(E590="","",IFERROR(VLOOKUP(E590,REGRAS_CST!$A$2:$D$200,4,FALSE),""))</f>
        <v/>
      </c>
      <c r="S590" s="9">
        <f>IF($H590="","",$H590*(1-$U590))</f>
        <v>8.9999999999999993E-3</v>
      </c>
      <c r="T590" s="9">
        <f>IF($I590="","",$I590*(1-$U590))</f>
        <v>1E-3</v>
      </c>
      <c r="U590" s="16">
        <f>IFERROR(INDEX(BASE_CCLASSTRIB!$E:$E, MATCH(TEXT($D590,"000000"), BASE_CCLASSTRIB!$A:$A, 0))/100, 0)</f>
        <v>0</v>
      </c>
      <c r="V590" s="16">
        <f>IFERROR(INDEX(BASE_CCLASSTRIB!$F:$F, MATCH(TEXT($D590,"000000"), BASE_CCLASSTRIB!$A:$A, 0))/100, 0)</f>
        <v>0</v>
      </c>
    </row>
    <row r="591" spans="4:22" ht="32.25" customHeight="1">
      <c r="D591" s="40"/>
      <c r="E591" s="27" t="str">
        <f>IF(D591="","",LEFT(D591,3))</f>
        <v/>
      </c>
      <c r="F591" s="28" t="str">
        <f>IF(E591="","",IFERROR(VLOOKUP(E591,REGRAS_CST!$A$2:$B$200,2,FALSE),""))</f>
        <v/>
      </c>
      <c r="H591" s="29">
        <v>8.9999999999999993E-3</v>
      </c>
      <c r="I591" s="29">
        <v>1E-3</v>
      </c>
      <c r="K591" s="21" t="str">
        <f>IF(E591="","",IFERROR(VLOOKUP(E591,REGRAS_CST!$A$2:$C$200,3,FALSE),""))</f>
        <v/>
      </c>
      <c r="L591" s="23" t="str">
        <f>IF($G591="", "", $G591*(1-$V591))</f>
        <v/>
      </c>
      <c r="M591" s="24" t="str">
        <f>IF(OR($L591="",$S591=""),"",$L591*$S591)</f>
        <v/>
      </c>
      <c r="N591" s="24" t="str">
        <f>IF(OR($L591="",$T591=""),"",$L591*$T591)</f>
        <v/>
      </c>
      <c r="O591" s="15" t="str">
        <f>IF(D591="","",
IF(AND(K591&lt;&gt;"SIM",V591&gt;0),"ERRO: % BC &gt; 0, mas NÃO permitida ❌",
IF(AND(K591="SIM",V591=0),"ATENÇÃO: BC permitida, mas % = 0 🔎",
"Base de cálculo aplicada corretamente ✅")))</f>
        <v/>
      </c>
      <c r="P591" s="31" t="str">
        <f>IF(D591="","",
IF(AND(Q591&lt;&gt;"SIM",U591&gt;0),"ERRO: % alíquota &gt; 0, mas NÃO permitida ❌",
IF(AND(Q591="SIM",U591=0),"ATENÇÃO: alíquota permitida, mas % = 0 🔎",
"Alíquota aplicada corretamente ✅")))</f>
        <v/>
      </c>
      <c r="Q591" s="8" t="str">
        <f>IF(E591="","",IFERROR(VLOOKUP(E591,REGRAS_CST!$A$2:$D$200,4,FALSE),""))</f>
        <v/>
      </c>
      <c r="S591" s="9">
        <f>IF($H591="","",$H591*(1-$U591))</f>
        <v>8.9999999999999993E-3</v>
      </c>
      <c r="T591" s="9">
        <f>IF($I591="","",$I591*(1-$U591))</f>
        <v>1E-3</v>
      </c>
      <c r="U591" s="16">
        <f>IFERROR(INDEX(BASE_CCLASSTRIB!$E:$E, MATCH(TEXT($D591,"000000"), BASE_CCLASSTRIB!$A:$A, 0))/100, 0)</f>
        <v>0</v>
      </c>
      <c r="V591" s="16">
        <f>IFERROR(INDEX(BASE_CCLASSTRIB!$F:$F, MATCH(TEXT($D591,"000000"), BASE_CCLASSTRIB!$A:$A, 0))/100, 0)</f>
        <v>0</v>
      </c>
    </row>
    <row r="592" spans="4:22" ht="32.25" customHeight="1">
      <c r="D592" s="39"/>
      <c r="E592" s="27" t="str">
        <f>IF(D592="","",LEFT(D592,3))</f>
        <v/>
      </c>
      <c r="F592" s="28" t="str">
        <f>IF(E592="","",IFERROR(VLOOKUP(E592,REGRAS_CST!$A$2:$B$200,2,FALSE),""))</f>
        <v/>
      </c>
      <c r="H592" s="29">
        <v>8.9999999999999993E-3</v>
      </c>
      <c r="I592" s="29">
        <v>1E-3</v>
      </c>
      <c r="K592" s="21" t="str">
        <f>IF(E592="","",IFERROR(VLOOKUP(E592,REGRAS_CST!$A$2:$C$200,3,FALSE),""))</f>
        <v/>
      </c>
      <c r="L592" s="23" t="str">
        <f>IF($G592="", "", $G592*(1-$V592))</f>
        <v/>
      </c>
      <c r="M592" s="24" t="str">
        <f>IF(OR($L592="",$S592=""),"",$L592*$S592)</f>
        <v/>
      </c>
      <c r="N592" s="24" t="str">
        <f>IF(OR($L592="",$T592=""),"",$L592*$T592)</f>
        <v/>
      </c>
      <c r="O592" s="15" t="str">
        <f>IF(D592="","",
IF(AND(K592&lt;&gt;"SIM",V592&gt;0),"ERRO: % BC &gt; 0, mas NÃO permitida ❌",
IF(AND(K592="SIM",V592=0),"ATENÇÃO: BC permitida, mas % = 0 🔎",
"Base de cálculo aplicada corretamente ✅")))</f>
        <v/>
      </c>
      <c r="P592" s="31" t="str">
        <f>IF(D592="","",
IF(AND(Q592&lt;&gt;"SIM",U592&gt;0),"ERRO: % alíquota &gt; 0, mas NÃO permitida ❌",
IF(AND(Q592="SIM",U592=0),"ATENÇÃO: alíquota permitida, mas % = 0 🔎",
"Alíquota aplicada corretamente ✅")))</f>
        <v/>
      </c>
      <c r="Q592" s="8" t="str">
        <f>IF(E592="","",IFERROR(VLOOKUP(E592,REGRAS_CST!$A$2:$D$200,4,FALSE),""))</f>
        <v/>
      </c>
      <c r="S592" s="9">
        <f>IF($H592="","",$H592*(1-$U592))</f>
        <v>8.9999999999999993E-3</v>
      </c>
      <c r="T592" s="9">
        <f>IF($I592="","",$I592*(1-$U592))</f>
        <v>1E-3</v>
      </c>
      <c r="U592" s="16">
        <f>IFERROR(INDEX(BASE_CCLASSTRIB!$E:$E, MATCH(TEXT($D592,"000000"), BASE_CCLASSTRIB!$A:$A, 0))/100, 0)</f>
        <v>0</v>
      </c>
      <c r="V592" s="16">
        <f>IFERROR(INDEX(BASE_CCLASSTRIB!$F:$F, MATCH(TEXT($D592,"000000"), BASE_CCLASSTRIB!$A:$A, 0))/100, 0)</f>
        <v>0</v>
      </c>
    </row>
    <row r="593" spans="4:22" ht="32.25" customHeight="1">
      <c r="D593" s="39"/>
      <c r="E593" s="27" t="str">
        <f>IF(D593="","",LEFT(D593,3))</f>
        <v/>
      </c>
      <c r="F593" s="28" t="str">
        <f>IF(E593="","",IFERROR(VLOOKUP(E593,REGRAS_CST!$A$2:$B$200,2,FALSE),""))</f>
        <v/>
      </c>
      <c r="H593" s="29">
        <v>8.9999999999999993E-3</v>
      </c>
      <c r="I593" s="29">
        <v>1E-3</v>
      </c>
      <c r="K593" s="21" t="str">
        <f>IF(E593="","",IFERROR(VLOOKUP(E593,REGRAS_CST!$A$2:$C$200,3,FALSE),""))</f>
        <v/>
      </c>
      <c r="L593" s="23" t="str">
        <f>IF($G593="", "", $G593*(1-$V593))</f>
        <v/>
      </c>
      <c r="M593" s="24" t="str">
        <f>IF(OR($L593="",$S593=""),"",$L593*$S593)</f>
        <v/>
      </c>
      <c r="N593" s="24" t="str">
        <f>IF(OR($L593="",$T593=""),"",$L593*$T593)</f>
        <v/>
      </c>
      <c r="O593" s="15" t="str">
        <f>IF(D593="","",
IF(AND(K593&lt;&gt;"SIM",V593&gt;0),"ERRO: % BC &gt; 0, mas NÃO permitida ❌",
IF(AND(K593="SIM",V593=0),"ATENÇÃO: BC permitida, mas % = 0 🔎",
"Base de cálculo aplicada corretamente ✅")))</f>
        <v/>
      </c>
      <c r="P593" s="31" t="str">
        <f>IF(D593="","",
IF(AND(Q593&lt;&gt;"SIM",U593&gt;0),"ERRO: % alíquota &gt; 0, mas NÃO permitida ❌",
IF(AND(Q593="SIM",U593=0),"ATENÇÃO: alíquota permitida, mas % = 0 🔎",
"Alíquota aplicada corretamente ✅")))</f>
        <v/>
      </c>
      <c r="Q593" s="8" t="str">
        <f>IF(E593="","",IFERROR(VLOOKUP(E593,REGRAS_CST!$A$2:$D$200,4,FALSE),""))</f>
        <v/>
      </c>
      <c r="S593" s="9">
        <f>IF($H593="","",$H593*(1-$U593))</f>
        <v>8.9999999999999993E-3</v>
      </c>
      <c r="T593" s="9">
        <f>IF($I593="","",$I593*(1-$U593))</f>
        <v>1E-3</v>
      </c>
      <c r="U593" s="16">
        <f>IFERROR(INDEX(BASE_CCLASSTRIB!$E:$E, MATCH(TEXT($D593,"000000"), BASE_CCLASSTRIB!$A:$A, 0))/100, 0)</f>
        <v>0</v>
      </c>
      <c r="V593" s="16">
        <f>IFERROR(INDEX(BASE_CCLASSTRIB!$F:$F, MATCH(TEXT($D593,"000000"), BASE_CCLASSTRIB!$A:$A, 0))/100, 0)</f>
        <v>0</v>
      </c>
    </row>
    <row r="594" spans="4:22" ht="32.25" customHeight="1">
      <c r="D594" s="40"/>
      <c r="E594" s="27" t="str">
        <f>IF(D594="","",LEFT(D594,3))</f>
        <v/>
      </c>
      <c r="F594" s="28" t="str">
        <f>IF(E594="","",IFERROR(VLOOKUP(E594,REGRAS_CST!$A$2:$B$200,2,FALSE),""))</f>
        <v/>
      </c>
      <c r="H594" s="29">
        <v>8.9999999999999993E-3</v>
      </c>
      <c r="I594" s="29">
        <v>1E-3</v>
      </c>
      <c r="K594" s="21" t="str">
        <f>IF(E594="","",IFERROR(VLOOKUP(E594,REGRAS_CST!$A$2:$C$200,3,FALSE),""))</f>
        <v/>
      </c>
      <c r="L594" s="23" t="str">
        <f>IF($G594="", "", $G594*(1-$V594))</f>
        <v/>
      </c>
      <c r="M594" s="24" t="str">
        <f>IF(OR($L594="",$S594=""),"",$L594*$S594)</f>
        <v/>
      </c>
      <c r="N594" s="24" t="str">
        <f>IF(OR($L594="",$T594=""),"",$L594*$T594)</f>
        <v/>
      </c>
      <c r="O594" s="15" t="str">
        <f>IF(D594="","",
IF(AND(K594&lt;&gt;"SIM",V594&gt;0),"ERRO: % BC &gt; 0, mas NÃO permitida ❌",
IF(AND(K594="SIM",V594=0),"ATENÇÃO: BC permitida, mas % = 0 🔎",
"Base de cálculo aplicada corretamente ✅")))</f>
        <v/>
      </c>
      <c r="P594" s="31" t="str">
        <f>IF(D594="","",
IF(AND(Q594&lt;&gt;"SIM",U594&gt;0),"ERRO: % alíquota &gt; 0, mas NÃO permitida ❌",
IF(AND(Q594="SIM",U594=0),"ATENÇÃO: alíquota permitida, mas % = 0 🔎",
"Alíquota aplicada corretamente ✅")))</f>
        <v/>
      </c>
      <c r="Q594" s="8" t="str">
        <f>IF(E594="","",IFERROR(VLOOKUP(E594,REGRAS_CST!$A$2:$D$200,4,FALSE),""))</f>
        <v/>
      </c>
      <c r="S594" s="9">
        <f>IF($H594="","",$H594*(1-$U594))</f>
        <v>8.9999999999999993E-3</v>
      </c>
      <c r="T594" s="9">
        <f>IF($I594="","",$I594*(1-$U594))</f>
        <v>1E-3</v>
      </c>
      <c r="U594" s="16">
        <f>IFERROR(INDEX(BASE_CCLASSTRIB!$E:$E, MATCH(TEXT($D594,"000000"), BASE_CCLASSTRIB!$A:$A, 0))/100, 0)</f>
        <v>0</v>
      </c>
      <c r="V594" s="16">
        <f>IFERROR(INDEX(BASE_CCLASSTRIB!$F:$F, MATCH(TEXT($D594,"000000"), BASE_CCLASSTRIB!$A:$A, 0))/100, 0)</f>
        <v>0</v>
      </c>
    </row>
    <row r="595" spans="4:22" ht="32.25" customHeight="1">
      <c r="D595" s="39"/>
      <c r="E595" s="27" t="str">
        <f>IF(D595="","",LEFT(D595,3))</f>
        <v/>
      </c>
      <c r="F595" s="28" t="str">
        <f>IF(E595="","",IFERROR(VLOOKUP(E595,REGRAS_CST!$A$2:$B$200,2,FALSE),""))</f>
        <v/>
      </c>
      <c r="H595" s="29">
        <v>8.9999999999999993E-3</v>
      </c>
      <c r="I595" s="29">
        <v>1E-3</v>
      </c>
      <c r="K595" s="21" t="str">
        <f>IF(E595="","",IFERROR(VLOOKUP(E595,REGRAS_CST!$A$2:$C$200,3,FALSE),""))</f>
        <v/>
      </c>
      <c r="L595" s="23" t="str">
        <f>IF($G595="", "", $G595*(1-$V595))</f>
        <v/>
      </c>
      <c r="M595" s="24" t="str">
        <f>IF(OR($L595="",$S595=""),"",$L595*$S595)</f>
        <v/>
      </c>
      <c r="N595" s="24" t="str">
        <f>IF(OR($L595="",$T595=""),"",$L595*$T595)</f>
        <v/>
      </c>
      <c r="O595" s="15" t="str">
        <f>IF(D595="","",
IF(AND(K595&lt;&gt;"SIM",V595&gt;0),"ERRO: % BC &gt; 0, mas NÃO permitida ❌",
IF(AND(K595="SIM",V595=0),"ATENÇÃO: BC permitida, mas % = 0 🔎",
"Base de cálculo aplicada corretamente ✅")))</f>
        <v/>
      </c>
      <c r="P595" s="31" t="str">
        <f>IF(D595="","",
IF(AND(Q595&lt;&gt;"SIM",U595&gt;0),"ERRO: % alíquota &gt; 0, mas NÃO permitida ❌",
IF(AND(Q595="SIM",U595=0),"ATENÇÃO: alíquota permitida, mas % = 0 🔎",
"Alíquota aplicada corretamente ✅")))</f>
        <v/>
      </c>
      <c r="Q595" s="8" t="str">
        <f>IF(E595="","",IFERROR(VLOOKUP(E595,REGRAS_CST!$A$2:$D$200,4,FALSE),""))</f>
        <v/>
      </c>
      <c r="S595" s="9">
        <f>IF($H595="","",$H595*(1-$U595))</f>
        <v>8.9999999999999993E-3</v>
      </c>
      <c r="T595" s="9">
        <f>IF($I595="","",$I595*(1-$U595))</f>
        <v>1E-3</v>
      </c>
      <c r="U595" s="16">
        <f>IFERROR(INDEX(BASE_CCLASSTRIB!$E:$E, MATCH(TEXT($D595,"000000"), BASE_CCLASSTRIB!$A:$A, 0))/100, 0)</f>
        <v>0</v>
      </c>
      <c r="V595" s="16">
        <f>IFERROR(INDEX(BASE_CCLASSTRIB!$F:$F, MATCH(TEXT($D595,"000000"), BASE_CCLASSTRIB!$A:$A, 0))/100, 0)</f>
        <v>0</v>
      </c>
    </row>
    <row r="596" spans="4:22" ht="32.25" customHeight="1">
      <c r="D596" s="40"/>
      <c r="E596" s="27" t="str">
        <f>IF(D596="","",LEFT(D596,3))</f>
        <v/>
      </c>
      <c r="F596" s="28" t="str">
        <f>IF(E596="","",IFERROR(VLOOKUP(E596,REGRAS_CST!$A$2:$B$200,2,FALSE),""))</f>
        <v/>
      </c>
      <c r="H596" s="29">
        <v>8.9999999999999993E-3</v>
      </c>
      <c r="I596" s="29">
        <v>1E-3</v>
      </c>
      <c r="K596" s="21" t="str">
        <f>IF(E596="","",IFERROR(VLOOKUP(E596,REGRAS_CST!$A$2:$C$200,3,FALSE),""))</f>
        <v/>
      </c>
      <c r="L596" s="23" t="str">
        <f>IF($G596="", "", $G596*(1-$V596))</f>
        <v/>
      </c>
      <c r="M596" s="24" t="str">
        <f>IF(OR($L596="",$S596=""),"",$L596*$S596)</f>
        <v/>
      </c>
      <c r="N596" s="24" t="str">
        <f>IF(OR($L596="",$T596=""),"",$L596*$T596)</f>
        <v/>
      </c>
      <c r="O596" s="15" t="str">
        <f>IF(D596="","",
IF(AND(K596&lt;&gt;"SIM",V596&gt;0),"ERRO: % BC &gt; 0, mas NÃO permitida ❌",
IF(AND(K596="SIM",V596=0),"ATENÇÃO: BC permitida, mas % = 0 🔎",
"Base de cálculo aplicada corretamente ✅")))</f>
        <v/>
      </c>
      <c r="P596" s="31" t="str">
        <f>IF(D596="","",
IF(AND(Q596&lt;&gt;"SIM",U596&gt;0),"ERRO: % alíquota &gt; 0, mas NÃO permitida ❌",
IF(AND(Q596="SIM",U596=0),"ATENÇÃO: alíquota permitida, mas % = 0 🔎",
"Alíquota aplicada corretamente ✅")))</f>
        <v/>
      </c>
      <c r="Q596" s="8" t="str">
        <f>IF(E596="","",IFERROR(VLOOKUP(E596,REGRAS_CST!$A$2:$D$200,4,FALSE),""))</f>
        <v/>
      </c>
      <c r="S596" s="9">
        <f>IF($H596="","",$H596*(1-$U596))</f>
        <v>8.9999999999999993E-3</v>
      </c>
      <c r="T596" s="9">
        <f>IF($I596="","",$I596*(1-$U596))</f>
        <v>1E-3</v>
      </c>
      <c r="U596" s="16">
        <f>IFERROR(INDEX(BASE_CCLASSTRIB!$E:$E, MATCH(TEXT($D596,"000000"), BASE_CCLASSTRIB!$A:$A, 0))/100, 0)</f>
        <v>0</v>
      </c>
      <c r="V596" s="16">
        <f>IFERROR(INDEX(BASE_CCLASSTRIB!$F:$F, MATCH(TEXT($D596,"000000"), BASE_CCLASSTRIB!$A:$A, 0))/100, 0)</f>
        <v>0</v>
      </c>
    </row>
    <row r="597" spans="4:22" ht="32.25" customHeight="1">
      <c r="D597" s="39"/>
      <c r="E597" s="27" t="str">
        <f>IF(D597="","",LEFT(D597,3))</f>
        <v/>
      </c>
      <c r="F597" s="28" t="str">
        <f>IF(E597="","",IFERROR(VLOOKUP(E597,REGRAS_CST!$A$2:$B$200,2,FALSE),""))</f>
        <v/>
      </c>
      <c r="H597" s="29">
        <v>8.9999999999999993E-3</v>
      </c>
      <c r="I597" s="29">
        <v>1E-3</v>
      </c>
      <c r="K597" s="21" t="str">
        <f>IF(E597="","",IFERROR(VLOOKUP(E597,REGRAS_CST!$A$2:$C$200,3,FALSE),""))</f>
        <v/>
      </c>
      <c r="L597" s="23" t="str">
        <f>IF($G597="", "", $G597*(1-$V597))</f>
        <v/>
      </c>
      <c r="M597" s="24" t="str">
        <f>IF(OR($L597="",$S597=""),"",$L597*$S597)</f>
        <v/>
      </c>
      <c r="N597" s="24" t="str">
        <f>IF(OR($L597="",$T597=""),"",$L597*$T597)</f>
        <v/>
      </c>
      <c r="O597" s="15" t="str">
        <f>IF(D597="","",
IF(AND(K597&lt;&gt;"SIM",V597&gt;0),"ERRO: % BC &gt; 0, mas NÃO permitida ❌",
IF(AND(K597="SIM",V597=0),"ATENÇÃO: BC permitida, mas % = 0 🔎",
"Base de cálculo aplicada corretamente ✅")))</f>
        <v/>
      </c>
      <c r="P597" s="31" t="str">
        <f>IF(D597="","",
IF(AND(Q597&lt;&gt;"SIM",U597&gt;0),"ERRO: % alíquota &gt; 0, mas NÃO permitida ❌",
IF(AND(Q597="SIM",U597=0),"ATENÇÃO: alíquota permitida, mas % = 0 🔎",
"Alíquota aplicada corretamente ✅")))</f>
        <v/>
      </c>
      <c r="Q597" s="8" t="str">
        <f>IF(E597="","",IFERROR(VLOOKUP(E597,REGRAS_CST!$A$2:$D$200,4,FALSE),""))</f>
        <v/>
      </c>
      <c r="S597" s="9">
        <f>IF($H597="","",$H597*(1-$U597))</f>
        <v>8.9999999999999993E-3</v>
      </c>
      <c r="T597" s="9">
        <f>IF($I597="","",$I597*(1-$U597))</f>
        <v>1E-3</v>
      </c>
      <c r="U597" s="16">
        <f>IFERROR(INDEX(BASE_CCLASSTRIB!$E:$E, MATCH(TEXT($D597,"000000"), BASE_CCLASSTRIB!$A:$A, 0))/100, 0)</f>
        <v>0</v>
      </c>
      <c r="V597" s="16">
        <f>IFERROR(INDEX(BASE_CCLASSTRIB!$F:$F, MATCH(TEXT($D597,"000000"), BASE_CCLASSTRIB!$A:$A, 0))/100, 0)</f>
        <v>0</v>
      </c>
    </row>
    <row r="598" spans="4:22" ht="32.25" customHeight="1">
      <c r="D598" s="40"/>
      <c r="E598" s="27" t="str">
        <f>IF(D598="","",LEFT(D598,3))</f>
        <v/>
      </c>
      <c r="F598" s="28" t="str">
        <f>IF(E598="","",IFERROR(VLOOKUP(E598,REGRAS_CST!$A$2:$B$200,2,FALSE),""))</f>
        <v/>
      </c>
      <c r="H598" s="29">
        <v>8.9999999999999993E-3</v>
      </c>
      <c r="I598" s="29">
        <v>1E-3</v>
      </c>
      <c r="K598" s="21" t="str">
        <f>IF(E598="","",IFERROR(VLOOKUP(E598,REGRAS_CST!$A$2:$C$200,3,FALSE),""))</f>
        <v/>
      </c>
      <c r="L598" s="23" t="str">
        <f>IF($G598="", "", $G598*(1-$V598))</f>
        <v/>
      </c>
      <c r="M598" s="24" t="str">
        <f>IF(OR($L598="",$S598=""),"",$L598*$S598)</f>
        <v/>
      </c>
      <c r="N598" s="24" t="str">
        <f>IF(OR($L598="",$T598=""),"",$L598*$T598)</f>
        <v/>
      </c>
      <c r="O598" s="15" t="str">
        <f>IF(D598="","",
IF(AND(K598&lt;&gt;"SIM",V598&gt;0),"ERRO: % BC &gt; 0, mas NÃO permitida ❌",
IF(AND(K598="SIM",V598=0),"ATENÇÃO: BC permitida, mas % = 0 🔎",
"Base de cálculo aplicada corretamente ✅")))</f>
        <v/>
      </c>
      <c r="P598" s="31" t="str">
        <f>IF(D598="","",
IF(AND(Q598&lt;&gt;"SIM",U598&gt;0),"ERRO: % alíquota &gt; 0, mas NÃO permitida ❌",
IF(AND(Q598="SIM",U598=0),"ATENÇÃO: alíquota permitida, mas % = 0 🔎",
"Alíquota aplicada corretamente ✅")))</f>
        <v/>
      </c>
      <c r="Q598" s="8" t="str">
        <f>IF(E598="","",IFERROR(VLOOKUP(E598,REGRAS_CST!$A$2:$D$200,4,FALSE),""))</f>
        <v/>
      </c>
      <c r="S598" s="9">
        <f>IF($H598="","",$H598*(1-$U598))</f>
        <v>8.9999999999999993E-3</v>
      </c>
      <c r="T598" s="9">
        <f>IF($I598="","",$I598*(1-$U598))</f>
        <v>1E-3</v>
      </c>
      <c r="U598" s="16">
        <f>IFERROR(INDEX(BASE_CCLASSTRIB!$E:$E, MATCH(TEXT($D598,"000000"), BASE_CCLASSTRIB!$A:$A, 0))/100, 0)</f>
        <v>0</v>
      </c>
      <c r="V598" s="16">
        <f>IFERROR(INDEX(BASE_CCLASSTRIB!$F:$F, MATCH(TEXT($D598,"000000"), BASE_CCLASSTRIB!$A:$A, 0))/100, 0)</f>
        <v>0</v>
      </c>
    </row>
    <row r="599" spans="4:22" ht="32.25" customHeight="1">
      <c r="D599" s="39"/>
      <c r="E599" s="27" t="str">
        <f>IF(D599="","",LEFT(D599,3))</f>
        <v/>
      </c>
      <c r="F599" s="28" t="str">
        <f>IF(E599="","",IFERROR(VLOOKUP(E599,REGRAS_CST!$A$2:$B$200,2,FALSE),""))</f>
        <v/>
      </c>
      <c r="H599" s="29">
        <v>8.9999999999999993E-3</v>
      </c>
      <c r="I599" s="29">
        <v>1E-3</v>
      </c>
      <c r="K599" s="21" t="str">
        <f>IF(E599="","",IFERROR(VLOOKUP(E599,REGRAS_CST!$A$2:$C$200,3,FALSE),""))</f>
        <v/>
      </c>
      <c r="L599" s="23" t="str">
        <f>IF($G599="", "", $G599*(1-$V599))</f>
        <v/>
      </c>
      <c r="M599" s="24" t="str">
        <f>IF(OR($L599="",$S599=""),"",$L599*$S599)</f>
        <v/>
      </c>
      <c r="N599" s="24" t="str">
        <f>IF(OR($L599="",$T599=""),"",$L599*$T599)</f>
        <v/>
      </c>
      <c r="O599" s="15" t="str">
        <f>IF(D599="","",
IF(AND(K599&lt;&gt;"SIM",V599&gt;0),"ERRO: % BC &gt; 0, mas NÃO permitida ❌",
IF(AND(K599="SIM",V599=0),"ATENÇÃO: BC permitida, mas % = 0 🔎",
"Base de cálculo aplicada corretamente ✅")))</f>
        <v/>
      </c>
      <c r="P599" s="31" t="str">
        <f>IF(D599="","",
IF(AND(Q599&lt;&gt;"SIM",U599&gt;0),"ERRO: % alíquota &gt; 0, mas NÃO permitida ❌",
IF(AND(Q599="SIM",U599=0),"ATENÇÃO: alíquota permitida, mas % = 0 🔎",
"Alíquota aplicada corretamente ✅")))</f>
        <v/>
      </c>
      <c r="Q599" s="8" t="str">
        <f>IF(E599="","",IFERROR(VLOOKUP(E599,REGRAS_CST!$A$2:$D$200,4,FALSE),""))</f>
        <v/>
      </c>
      <c r="S599" s="9">
        <f>IF($H599="","",$H599*(1-$U599))</f>
        <v>8.9999999999999993E-3</v>
      </c>
      <c r="T599" s="9">
        <f>IF($I599="","",$I599*(1-$U599))</f>
        <v>1E-3</v>
      </c>
      <c r="U599" s="16">
        <f>IFERROR(INDEX(BASE_CCLASSTRIB!$E:$E, MATCH(TEXT($D599,"000000"), BASE_CCLASSTRIB!$A:$A, 0))/100, 0)</f>
        <v>0</v>
      </c>
      <c r="V599" s="16">
        <f>IFERROR(INDEX(BASE_CCLASSTRIB!$F:$F, MATCH(TEXT($D599,"000000"), BASE_CCLASSTRIB!$A:$A, 0))/100, 0)</f>
        <v>0</v>
      </c>
    </row>
    <row r="600" spans="4:22" ht="32.25" customHeight="1">
      <c r="D600" s="39"/>
      <c r="E600" s="27" t="str">
        <f>IF(D600="","",LEFT(D600,3))</f>
        <v/>
      </c>
      <c r="F600" s="28" t="str">
        <f>IF(E600="","",IFERROR(VLOOKUP(E600,REGRAS_CST!$A$2:$B$200,2,FALSE),""))</f>
        <v/>
      </c>
      <c r="H600" s="29">
        <v>8.9999999999999993E-3</v>
      </c>
      <c r="I600" s="29">
        <v>1E-3</v>
      </c>
      <c r="K600" s="21" t="str">
        <f>IF(E600="","",IFERROR(VLOOKUP(E600,REGRAS_CST!$A$2:$C$200,3,FALSE),""))</f>
        <v/>
      </c>
      <c r="L600" s="23" t="str">
        <f>IF($G600="", "", $G600*(1-$V600))</f>
        <v/>
      </c>
      <c r="M600" s="24" t="str">
        <f>IF(OR($L600="",$S600=""),"",$L600*$S600)</f>
        <v/>
      </c>
      <c r="N600" s="24" t="str">
        <f>IF(OR($L600="",$T600=""),"",$L600*$T600)</f>
        <v/>
      </c>
      <c r="O600" s="15" t="str">
        <f>IF(D600="","",
IF(AND(K600&lt;&gt;"SIM",V600&gt;0),"ERRO: % BC &gt; 0, mas NÃO permitida ❌",
IF(AND(K600="SIM",V600=0),"ATENÇÃO: BC permitida, mas % = 0 🔎",
"Base de cálculo aplicada corretamente ✅")))</f>
        <v/>
      </c>
      <c r="P600" s="31" t="str">
        <f>IF(D600="","",
IF(AND(Q600&lt;&gt;"SIM",U600&gt;0),"ERRO: % alíquota &gt; 0, mas NÃO permitida ❌",
IF(AND(Q600="SIM",U600=0),"ATENÇÃO: alíquota permitida, mas % = 0 🔎",
"Alíquota aplicada corretamente ✅")))</f>
        <v/>
      </c>
      <c r="Q600" s="8" t="str">
        <f>IF(E600="","",IFERROR(VLOOKUP(E600,REGRAS_CST!$A$2:$D$200,4,FALSE),""))</f>
        <v/>
      </c>
      <c r="S600" s="9">
        <f>IF($H600="","",$H600*(1-$U600))</f>
        <v>8.9999999999999993E-3</v>
      </c>
      <c r="T600" s="9">
        <f>IF($I600="","",$I600*(1-$U600))</f>
        <v>1E-3</v>
      </c>
      <c r="U600" s="16">
        <f>IFERROR(INDEX(BASE_CCLASSTRIB!$E:$E, MATCH(TEXT($D600,"000000"), BASE_CCLASSTRIB!$A:$A, 0))/100, 0)</f>
        <v>0</v>
      </c>
      <c r="V600" s="16">
        <f>IFERROR(INDEX(BASE_CCLASSTRIB!$F:$F, MATCH(TEXT($D600,"000000"), BASE_CCLASSTRIB!$A:$A, 0))/100, 0)</f>
        <v>0</v>
      </c>
    </row>
    <row r="601" spans="4:22" ht="32.25" customHeight="1">
      <c r="D601" s="39"/>
      <c r="E601" s="27" t="str">
        <f>IF(D601="","",LEFT(D601,3))</f>
        <v/>
      </c>
      <c r="F601" s="28" t="str">
        <f>IF(E601="","",IFERROR(VLOOKUP(E601,REGRAS_CST!$A$2:$B$200,2,FALSE),""))</f>
        <v/>
      </c>
      <c r="H601" s="29">
        <v>8.9999999999999993E-3</v>
      </c>
      <c r="I601" s="29">
        <v>1E-3</v>
      </c>
      <c r="K601" s="21" t="str">
        <f>IF(E601="","",IFERROR(VLOOKUP(E601,REGRAS_CST!$A$2:$C$200,3,FALSE),""))</f>
        <v/>
      </c>
      <c r="L601" s="23" t="str">
        <f>IF($G601="", "", $G601*(1-$V601))</f>
        <v/>
      </c>
      <c r="M601" s="24" t="str">
        <f>IF(OR($L601="",$S601=""),"",$L601*$S601)</f>
        <v/>
      </c>
      <c r="N601" s="24" t="str">
        <f>IF(OR($L601="",$T601=""),"",$L601*$T601)</f>
        <v/>
      </c>
      <c r="O601" s="15" t="str">
        <f>IF(D601="","",
IF(AND(K601&lt;&gt;"SIM",V601&gt;0),"ERRO: % BC &gt; 0, mas NÃO permitida ❌",
IF(AND(K601="SIM",V601=0),"ATENÇÃO: BC permitida, mas % = 0 🔎",
"Base de cálculo aplicada corretamente ✅")))</f>
        <v/>
      </c>
      <c r="P601" s="31" t="str">
        <f>IF(D601="","",
IF(AND(Q601&lt;&gt;"SIM",U601&gt;0),"ERRO: % alíquota &gt; 0, mas NÃO permitida ❌",
IF(AND(Q601="SIM",U601=0),"ATENÇÃO: alíquota permitida, mas % = 0 🔎",
"Alíquota aplicada corretamente ✅")))</f>
        <v/>
      </c>
      <c r="Q601" s="8" t="str">
        <f>IF(E601="","",IFERROR(VLOOKUP(E601,REGRAS_CST!$A$2:$D$200,4,FALSE),""))</f>
        <v/>
      </c>
      <c r="S601" s="9">
        <f>IF($H601="","",$H601*(1-$U601))</f>
        <v>8.9999999999999993E-3</v>
      </c>
      <c r="T601" s="9">
        <f>IF($I601="","",$I601*(1-$U601))</f>
        <v>1E-3</v>
      </c>
      <c r="U601" s="16">
        <f>IFERROR(INDEX(BASE_CCLASSTRIB!$E:$E, MATCH(TEXT($D601,"000000"), BASE_CCLASSTRIB!$A:$A, 0))/100, 0)</f>
        <v>0</v>
      </c>
      <c r="V601" s="16">
        <f>IFERROR(INDEX(BASE_CCLASSTRIB!$F:$F, MATCH(TEXT($D601,"000000"), BASE_CCLASSTRIB!$A:$A, 0))/100, 0)</f>
        <v>0</v>
      </c>
    </row>
    <row r="602" spans="4:22" ht="32.25" customHeight="1">
      <c r="D602" s="40"/>
      <c r="E602" s="27" t="str">
        <f>IF(D602="","",LEFT(D602,3))</f>
        <v/>
      </c>
      <c r="F602" s="28" t="str">
        <f>IF(E602="","",IFERROR(VLOOKUP(E602,REGRAS_CST!$A$2:$B$200,2,FALSE),""))</f>
        <v/>
      </c>
      <c r="H602" s="29">
        <v>8.9999999999999993E-3</v>
      </c>
      <c r="I602" s="29">
        <v>1E-3</v>
      </c>
      <c r="K602" s="21" t="str">
        <f>IF(E602="","",IFERROR(VLOOKUP(E602,REGRAS_CST!$A$2:$C$200,3,FALSE),""))</f>
        <v/>
      </c>
      <c r="L602" s="23" t="str">
        <f>IF($G602="", "", $G602*(1-$V602))</f>
        <v/>
      </c>
      <c r="M602" s="24" t="str">
        <f>IF(OR($L602="",$S602=""),"",$L602*$S602)</f>
        <v/>
      </c>
      <c r="N602" s="24" t="str">
        <f>IF(OR($L602="",$T602=""),"",$L602*$T602)</f>
        <v/>
      </c>
      <c r="O602" s="15" t="str">
        <f>IF(D602="","",
IF(AND(K602&lt;&gt;"SIM",V602&gt;0),"ERRO: % BC &gt; 0, mas NÃO permitida ❌",
IF(AND(K602="SIM",V602=0),"ATENÇÃO: BC permitida, mas % = 0 🔎",
"Base de cálculo aplicada corretamente ✅")))</f>
        <v/>
      </c>
      <c r="P602" s="31" t="str">
        <f>IF(D602="","",
IF(AND(Q602&lt;&gt;"SIM",U602&gt;0),"ERRO: % alíquota &gt; 0, mas NÃO permitida ❌",
IF(AND(Q602="SIM",U602=0),"ATENÇÃO: alíquota permitida, mas % = 0 🔎",
"Alíquota aplicada corretamente ✅")))</f>
        <v/>
      </c>
      <c r="Q602" s="8" t="str">
        <f>IF(E602="","",IFERROR(VLOOKUP(E602,REGRAS_CST!$A$2:$D$200,4,FALSE),""))</f>
        <v/>
      </c>
      <c r="S602" s="9">
        <f>IF($H602="","",$H602*(1-$U602))</f>
        <v>8.9999999999999993E-3</v>
      </c>
      <c r="T602" s="9">
        <f>IF($I602="","",$I602*(1-$U602))</f>
        <v>1E-3</v>
      </c>
      <c r="U602" s="16">
        <f>IFERROR(INDEX(BASE_CCLASSTRIB!$E:$E, MATCH(TEXT($D602,"000000"), BASE_CCLASSTRIB!$A:$A, 0))/100, 0)</f>
        <v>0</v>
      </c>
      <c r="V602" s="16">
        <f>IFERROR(INDEX(BASE_CCLASSTRIB!$F:$F, MATCH(TEXT($D602,"000000"), BASE_CCLASSTRIB!$A:$A, 0))/100, 0)</f>
        <v>0</v>
      </c>
    </row>
    <row r="603" spans="4:22" ht="32.25" customHeight="1">
      <c r="D603" s="39"/>
      <c r="E603" s="27" t="str">
        <f>IF(D603="","",LEFT(D603,3))</f>
        <v/>
      </c>
      <c r="F603" s="28" t="str">
        <f>IF(E603="","",IFERROR(VLOOKUP(E603,REGRAS_CST!$A$2:$B$200,2,FALSE),""))</f>
        <v/>
      </c>
      <c r="H603" s="29">
        <v>8.9999999999999993E-3</v>
      </c>
      <c r="I603" s="29">
        <v>1E-3</v>
      </c>
      <c r="K603" s="21" t="str">
        <f>IF(E603="","",IFERROR(VLOOKUP(E603,REGRAS_CST!$A$2:$C$200,3,FALSE),""))</f>
        <v/>
      </c>
      <c r="L603" s="23" t="str">
        <f>IF($G603="", "", $G603*(1-$V603))</f>
        <v/>
      </c>
      <c r="M603" s="24" t="str">
        <f>IF(OR($L603="",$S603=""),"",$L603*$S603)</f>
        <v/>
      </c>
      <c r="N603" s="24" t="str">
        <f>IF(OR($L603="",$T603=""),"",$L603*$T603)</f>
        <v/>
      </c>
      <c r="O603" s="15" t="str">
        <f>IF(D603="","",
IF(AND(K603&lt;&gt;"SIM",V603&gt;0),"ERRO: % BC &gt; 0, mas NÃO permitida ❌",
IF(AND(K603="SIM",V603=0),"ATENÇÃO: BC permitida, mas % = 0 🔎",
"Base de cálculo aplicada corretamente ✅")))</f>
        <v/>
      </c>
      <c r="P603" s="31" t="str">
        <f>IF(D603="","",
IF(AND(Q603&lt;&gt;"SIM",U603&gt;0),"ERRO: % alíquota &gt; 0, mas NÃO permitida ❌",
IF(AND(Q603="SIM",U603=0),"ATENÇÃO: alíquota permitida, mas % = 0 🔎",
"Alíquota aplicada corretamente ✅")))</f>
        <v/>
      </c>
      <c r="Q603" s="8" t="str">
        <f>IF(E603="","",IFERROR(VLOOKUP(E603,REGRAS_CST!$A$2:$D$200,4,FALSE),""))</f>
        <v/>
      </c>
      <c r="S603" s="9">
        <f>IF($H603="","",$H603*(1-$U603))</f>
        <v>8.9999999999999993E-3</v>
      </c>
      <c r="T603" s="9">
        <f>IF($I603="","",$I603*(1-$U603))</f>
        <v>1E-3</v>
      </c>
      <c r="U603" s="16">
        <f>IFERROR(INDEX(BASE_CCLASSTRIB!$E:$E, MATCH(TEXT($D603,"000000"), BASE_CCLASSTRIB!$A:$A, 0))/100, 0)</f>
        <v>0</v>
      </c>
      <c r="V603" s="16">
        <f>IFERROR(INDEX(BASE_CCLASSTRIB!$F:$F, MATCH(TEXT($D603,"000000"), BASE_CCLASSTRIB!$A:$A, 0))/100, 0)</f>
        <v>0</v>
      </c>
    </row>
    <row r="604" spans="4:22" ht="32.25" customHeight="1">
      <c r="D604" s="39"/>
      <c r="E604" s="27" t="str">
        <f>IF(D604="","",LEFT(D604,3))</f>
        <v/>
      </c>
      <c r="F604" s="28" t="str">
        <f>IF(E604="","",IFERROR(VLOOKUP(E604,REGRAS_CST!$A$2:$B$200,2,FALSE),""))</f>
        <v/>
      </c>
      <c r="H604" s="29">
        <v>8.9999999999999993E-3</v>
      </c>
      <c r="I604" s="29">
        <v>1E-3</v>
      </c>
      <c r="K604" s="21" t="str">
        <f>IF(E604="","",IFERROR(VLOOKUP(E604,REGRAS_CST!$A$2:$C$200,3,FALSE),""))</f>
        <v/>
      </c>
      <c r="L604" s="23" t="str">
        <f>IF($G604="", "", $G604*(1-$V604))</f>
        <v/>
      </c>
      <c r="M604" s="24" t="str">
        <f>IF(OR($L604="",$S604=""),"",$L604*$S604)</f>
        <v/>
      </c>
      <c r="N604" s="24" t="str">
        <f>IF(OR($L604="",$T604=""),"",$L604*$T604)</f>
        <v/>
      </c>
      <c r="O604" s="15" t="str">
        <f>IF(D604="","",
IF(AND(K604&lt;&gt;"SIM",V604&gt;0),"ERRO: % BC &gt; 0, mas NÃO permitida ❌",
IF(AND(K604="SIM",V604=0),"ATENÇÃO: BC permitida, mas % = 0 🔎",
"Base de cálculo aplicada corretamente ✅")))</f>
        <v/>
      </c>
      <c r="P604" s="31" t="str">
        <f>IF(D604="","",
IF(AND(Q604&lt;&gt;"SIM",U604&gt;0),"ERRO: % alíquota &gt; 0, mas NÃO permitida ❌",
IF(AND(Q604="SIM",U604=0),"ATENÇÃO: alíquota permitida, mas % = 0 🔎",
"Alíquota aplicada corretamente ✅")))</f>
        <v/>
      </c>
      <c r="Q604" s="8" t="str">
        <f>IF(E604="","",IFERROR(VLOOKUP(E604,REGRAS_CST!$A$2:$D$200,4,FALSE),""))</f>
        <v/>
      </c>
      <c r="S604" s="9">
        <f>IF($H604="","",$H604*(1-$U604))</f>
        <v>8.9999999999999993E-3</v>
      </c>
      <c r="T604" s="9">
        <f>IF($I604="","",$I604*(1-$U604))</f>
        <v>1E-3</v>
      </c>
      <c r="U604" s="16">
        <f>IFERROR(INDEX(BASE_CCLASSTRIB!$E:$E, MATCH(TEXT($D604,"000000"), BASE_CCLASSTRIB!$A:$A, 0))/100, 0)</f>
        <v>0</v>
      </c>
      <c r="V604" s="16">
        <f>IFERROR(INDEX(BASE_CCLASSTRIB!$F:$F, MATCH(TEXT($D604,"000000"), BASE_CCLASSTRIB!$A:$A, 0))/100, 0)</f>
        <v>0</v>
      </c>
    </row>
    <row r="605" spans="4:22" ht="32.25" customHeight="1">
      <c r="D605" s="39"/>
      <c r="E605" s="27" t="str">
        <f>IF(D605="","",LEFT(D605,3))</f>
        <v/>
      </c>
      <c r="F605" s="28" t="str">
        <f>IF(E605="","",IFERROR(VLOOKUP(E605,REGRAS_CST!$A$2:$B$200,2,FALSE),""))</f>
        <v/>
      </c>
      <c r="H605" s="29">
        <v>8.9999999999999993E-3</v>
      </c>
      <c r="I605" s="29">
        <v>1E-3</v>
      </c>
      <c r="K605" s="21" t="str">
        <f>IF(E605="","",IFERROR(VLOOKUP(E605,REGRAS_CST!$A$2:$C$200,3,FALSE),""))</f>
        <v/>
      </c>
      <c r="L605" s="23" t="str">
        <f>IF($G605="", "", $G605*(1-$V605))</f>
        <v/>
      </c>
      <c r="M605" s="24" t="str">
        <f>IF(OR($L605="",$S605=""),"",$L605*$S605)</f>
        <v/>
      </c>
      <c r="N605" s="24" t="str">
        <f>IF(OR($L605="",$T605=""),"",$L605*$T605)</f>
        <v/>
      </c>
      <c r="O605" s="15" t="str">
        <f>IF(D605="","",
IF(AND(K605&lt;&gt;"SIM",V605&gt;0),"ERRO: % BC &gt; 0, mas NÃO permitida ❌",
IF(AND(K605="SIM",V605=0),"ATENÇÃO: BC permitida, mas % = 0 🔎",
"Base de cálculo aplicada corretamente ✅")))</f>
        <v/>
      </c>
      <c r="P605" s="31" t="str">
        <f>IF(D605="","",
IF(AND(Q605&lt;&gt;"SIM",U605&gt;0),"ERRO: % alíquota &gt; 0, mas NÃO permitida ❌",
IF(AND(Q605="SIM",U605=0),"ATENÇÃO: alíquota permitida, mas % = 0 🔎",
"Alíquota aplicada corretamente ✅")))</f>
        <v/>
      </c>
      <c r="Q605" s="8" t="str">
        <f>IF(E605="","",IFERROR(VLOOKUP(E605,REGRAS_CST!$A$2:$D$200,4,FALSE),""))</f>
        <v/>
      </c>
      <c r="S605" s="9">
        <f>IF($H605="","",$H605*(1-$U605))</f>
        <v>8.9999999999999993E-3</v>
      </c>
      <c r="T605" s="9">
        <f>IF($I605="","",$I605*(1-$U605))</f>
        <v>1E-3</v>
      </c>
      <c r="U605" s="16">
        <f>IFERROR(INDEX(BASE_CCLASSTRIB!$E:$E, MATCH(TEXT($D605,"000000"), BASE_CCLASSTRIB!$A:$A, 0))/100, 0)</f>
        <v>0</v>
      </c>
      <c r="V605" s="16">
        <f>IFERROR(INDEX(BASE_CCLASSTRIB!$F:$F, MATCH(TEXT($D605,"000000"), BASE_CCLASSTRIB!$A:$A, 0))/100, 0)</f>
        <v>0</v>
      </c>
    </row>
    <row r="606" spans="4:22" ht="32.25" customHeight="1">
      <c r="D606" s="39"/>
      <c r="E606" s="27" t="str">
        <f>IF(D606="","",LEFT(D606,3))</f>
        <v/>
      </c>
      <c r="F606" s="28" t="str">
        <f>IF(E606="","",IFERROR(VLOOKUP(E606,REGRAS_CST!$A$2:$B$200,2,FALSE),""))</f>
        <v/>
      </c>
      <c r="H606" s="29">
        <v>8.9999999999999993E-3</v>
      </c>
      <c r="I606" s="29">
        <v>1E-3</v>
      </c>
      <c r="K606" s="21" t="str">
        <f>IF(E606="","",IFERROR(VLOOKUP(E606,REGRAS_CST!$A$2:$C$200,3,FALSE),""))</f>
        <v/>
      </c>
      <c r="L606" s="23" t="str">
        <f>IF($G606="", "", $G606*(1-$V606))</f>
        <v/>
      </c>
      <c r="M606" s="24" t="str">
        <f>IF(OR($L606="",$S606=""),"",$L606*$S606)</f>
        <v/>
      </c>
      <c r="N606" s="24" t="str">
        <f>IF(OR($L606="",$T606=""),"",$L606*$T606)</f>
        <v/>
      </c>
      <c r="O606" s="15" t="str">
        <f>IF(D606="","",
IF(AND(K606&lt;&gt;"SIM",V606&gt;0),"ERRO: % BC &gt; 0, mas NÃO permitida ❌",
IF(AND(K606="SIM",V606=0),"ATENÇÃO: BC permitida, mas % = 0 🔎",
"Base de cálculo aplicada corretamente ✅")))</f>
        <v/>
      </c>
      <c r="P606" s="31" t="str">
        <f>IF(D606="","",
IF(AND(Q606&lt;&gt;"SIM",U606&gt;0),"ERRO: % alíquota &gt; 0, mas NÃO permitida ❌",
IF(AND(Q606="SIM",U606=0),"ATENÇÃO: alíquota permitida, mas % = 0 🔎",
"Alíquota aplicada corretamente ✅")))</f>
        <v/>
      </c>
      <c r="Q606" s="8" t="str">
        <f>IF(E606="","",IFERROR(VLOOKUP(E606,REGRAS_CST!$A$2:$D$200,4,FALSE),""))</f>
        <v/>
      </c>
      <c r="S606" s="9">
        <f>IF($H606="","",$H606*(1-$U606))</f>
        <v>8.9999999999999993E-3</v>
      </c>
      <c r="T606" s="9">
        <f>IF($I606="","",$I606*(1-$U606))</f>
        <v>1E-3</v>
      </c>
      <c r="U606" s="16">
        <f>IFERROR(INDEX(BASE_CCLASSTRIB!$E:$E, MATCH(TEXT($D606,"000000"), BASE_CCLASSTRIB!$A:$A, 0))/100, 0)</f>
        <v>0</v>
      </c>
      <c r="V606" s="16">
        <f>IFERROR(INDEX(BASE_CCLASSTRIB!$F:$F, MATCH(TEXT($D606,"000000"), BASE_CCLASSTRIB!$A:$A, 0))/100, 0)</f>
        <v>0</v>
      </c>
    </row>
    <row r="607" spans="4:22" ht="32.25" customHeight="1">
      <c r="D607" s="39"/>
      <c r="E607" s="27" t="str">
        <f>IF(D607="","",LEFT(D607,3))</f>
        <v/>
      </c>
      <c r="F607" s="28" t="str">
        <f>IF(E607="","",IFERROR(VLOOKUP(E607,REGRAS_CST!$A$2:$B$200,2,FALSE),""))</f>
        <v/>
      </c>
      <c r="H607" s="29">
        <v>8.9999999999999993E-3</v>
      </c>
      <c r="I607" s="29">
        <v>1E-3</v>
      </c>
      <c r="K607" s="21" t="str">
        <f>IF(E607="","",IFERROR(VLOOKUP(E607,REGRAS_CST!$A$2:$C$200,3,FALSE),""))</f>
        <v/>
      </c>
      <c r="L607" s="23" t="str">
        <f>IF($G607="", "", $G607*(1-$V607))</f>
        <v/>
      </c>
      <c r="M607" s="24" t="str">
        <f>IF(OR($L607="",$S607=""),"",$L607*$S607)</f>
        <v/>
      </c>
      <c r="N607" s="24" t="str">
        <f>IF(OR($L607="",$T607=""),"",$L607*$T607)</f>
        <v/>
      </c>
      <c r="O607" s="15" t="str">
        <f>IF(D607="","",
IF(AND(K607&lt;&gt;"SIM",V607&gt;0),"ERRO: % BC &gt; 0, mas NÃO permitida ❌",
IF(AND(K607="SIM",V607=0),"ATENÇÃO: BC permitida, mas % = 0 🔎",
"Base de cálculo aplicada corretamente ✅")))</f>
        <v/>
      </c>
      <c r="P607" s="31" t="str">
        <f>IF(D607="","",
IF(AND(Q607&lt;&gt;"SIM",U607&gt;0),"ERRO: % alíquota &gt; 0, mas NÃO permitida ❌",
IF(AND(Q607="SIM",U607=0),"ATENÇÃO: alíquota permitida, mas % = 0 🔎",
"Alíquota aplicada corretamente ✅")))</f>
        <v/>
      </c>
      <c r="Q607" s="8" t="str">
        <f>IF(E607="","",IFERROR(VLOOKUP(E607,REGRAS_CST!$A$2:$D$200,4,FALSE),""))</f>
        <v/>
      </c>
      <c r="S607" s="9">
        <f>IF($H607="","",$H607*(1-$U607))</f>
        <v>8.9999999999999993E-3</v>
      </c>
      <c r="T607" s="9">
        <f>IF($I607="","",$I607*(1-$U607))</f>
        <v>1E-3</v>
      </c>
      <c r="U607" s="16">
        <f>IFERROR(INDEX(BASE_CCLASSTRIB!$E:$E, MATCH(TEXT($D607,"000000"), BASE_CCLASSTRIB!$A:$A, 0))/100, 0)</f>
        <v>0</v>
      </c>
      <c r="V607" s="16">
        <f>IFERROR(INDEX(BASE_CCLASSTRIB!$F:$F, MATCH(TEXT($D607,"000000"), BASE_CCLASSTRIB!$A:$A, 0))/100, 0)</f>
        <v>0</v>
      </c>
    </row>
    <row r="608" spans="4:22" ht="32.25" customHeight="1">
      <c r="D608" s="39"/>
      <c r="E608" s="27" t="str">
        <f>IF(D608="","",LEFT(D608,3))</f>
        <v/>
      </c>
      <c r="F608" s="28" t="str">
        <f>IF(E608="","",IFERROR(VLOOKUP(E608,REGRAS_CST!$A$2:$B$200,2,FALSE),""))</f>
        <v/>
      </c>
      <c r="H608" s="29">
        <v>8.9999999999999993E-3</v>
      </c>
      <c r="I608" s="29">
        <v>1E-3</v>
      </c>
      <c r="K608" s="21" t="str">
        <f>IF(E608="","",IFERROR(VLOOKUP(E608,REGRAS_CST!$A$2:$C$200,3,FALSE),""))</f>
        <v/>
      </c>
      <c r="L608" s="23" t="str">
        <f>IF($G608="", "", $G608*(1-$V608))</f>
        <v/>
      </c>
      <c r="M608" s="24" t="str">
        <f>IF(OR($L608="",$S608=""),"",$L608*$S608)</f>
        <v/>
      </c>
      <c r="N608" s="24" t="str">
        <f>IF(OR($L608="",$T608=""),"",$L608*$T608)</f>
        <v/>
      </c>
      <c r="O608" s="15" t="str">
        <f>IF(D608="","",
IF(AND(K608&lt;&gt;"SIM",V608&gt;0),"ERRO: % BC &gt; 0, mas NÃO permitida ❌",
IF(AND(K608="SIM",V608=0),"ATENÇÃO: BC permitida, mas % = 0 🔎",
"Base de cálculo aplicada corretamente ✅")))</f>
        <v/>
      </c>
      <c r="P608" s="31" t="str">
        <f>IF(D608="","",
IF(AND(Q608&lt;&gt;"SIM",U608&gt;0),"ERRO: % alíquota &gt; 0, mas NÃO permitida ❌",
IF(AND(Q608="SIM",U608=0),"ATENÇÃO: alíquota permitida, mas % = 0 🔎",
"Alíquota aplicada corretamente ✅")))</f>
        <v/>
      </c>
      <c r="Q608" s="8" t="str">
        <f>IF(E608="","",IFERROR(VLOOKUP(E608,REGRAS_CST!$A$2:$D$200,4,FALSE),""))</f>
        <v/>
      </c>
      <c r="S608" s="9">
        <f>IF($H608="","",$H608*(1-$U608))</f>
        <v>8.9999999999999993E-3</v>
      </c>
      <c r="T608" s="9">
        <f>IF($I608="","",$I608*(1-$U608))</f>
        <v>1E-3</v>
      </c>
      <c r="U608" s="16">
        <f>IFERROR(INDEX(BASE_CCLASSTRIB!$E:$E, MATCH(TEXT($D608,"000000"), BASE_CCLASSTRIB!$A:$A, 0))/100, 0)</f>
        <v>0</v>
      </c>
      <c r="V608" s="16">
        <f>IFERROR(INDEX(BASE_CCLASSTRIB!$F:$F, MATCH(TEXT($D608,"000000"), BASE_CCLASSTRIB!$A:$A, 0))/100, 0)</f>
        <v>0</v>
      </c>
    </row>
    <row r="609" spans="4:22" ht="32.25" customHeight="1">
      <c r="D609" s="39"/>
      <c r="E609" s="27" t="str">
        <f>IF(D609="","",LEFT(D609,3))</f>
        <v/>
      </c>
      <c r="F609" s="28" t="str">
        <f>IF(E609="","",IFERROR(VLOOKUP(E609,REGRAS_CST!$A$2:$B$200,2,FALSE),""))</f>
        <v/>
      </c>
      <c r="H609" s="29">
        <v>8.9999999999999993E-3</v>
      </c>
      <c r="I609" s="29">
        <v>1E-3</v>
      </c>
      <c r="K609" s="21" t="str">
        <f>IF(E609="","",IFERROR(VLOOKUP(E609,REGRAS_CST!$A$2:$C$200,3,FALSE),""))</f>
        <v/>
      </c>
      <c r="L609" s="23" t="str">
        <f>IF($G609="", "", $G609*(1-$V609))</f>
        <v/>
      </c>
      <c r="M609" s="24" t="str">
        <f>IF(OR($L609="",$S609=""),"",$L609*$S609)</f>
        <v/>
      </c>
      <c r="N609" s="24" t="str">
        <f>IF(OR($L609="",$T609=""),"",$L609*$T609)</f>
        <v/>
      </c>
      <c r="O609" s="15" t="str">
        <f>IF(D609="","",
IF(AND(K609&lt;&gt;"SIM",V609&gt;0),"ERRO: % BC &gt; 0, mas NÃO permitida ❌",
IF(AND(K609="SIM",V609=0),"ATENÇÃO: BC permitida, mas % = 0 🔎",
"Base de cálculo aplicada corretamente ✅")))</f>
        <v/>
      </c>
      <c r="P609" s="31" t="str">
        <f>IF(D609="","",
IF(AND(Q609&lt;&gt;"SIM",U609&gt;0),"ERRO: % alíquota &gt; 0, mas NÃO permitida ❌",
IF(AND(Q609="SIM",U609=0),"ATENÇÃO: alíquota permitida, mas % = 0 🔎",
"Alíquota aplicada corretamente ✅")))</f>
        <v/>
      </c>
      <c r="Q609" s="8" t="str">
        <f>IF(E609="","",IFERROR(VLOOKUP(E609,REGRAS_CST!$A$2:$D$200,4,FALSE),""))</f>
        <v/>
      </c>
      <c r="S609" s="9">
        <f>IF($H609="","",$H609*(1-$U609))</f>
        <v>8.9999999999999993E-3</v>
      </c>
      <c r="T609" s="9">
        <f>IF($I609="","",$I609*(1-$U609))</f>
        <v>1E-3</v>
      </c>
      <c r="U609" s="16">
        <f>IFERROR(INDEX(BASE_CCLASSTRIB!$E:$E, MATCH(TEXT($D609,"000000"), BASE_CCLASSTRIB!$A:$A, 0))/100, 0)</f>
        <v>0</v>
      </c>
      <c r="V609" s="16">
        <f>IFERROR(INDEX(BASE_CCLASSTRIB!$F:$F, MATCH(TEXT($D609,"000000"), BASE_CCLASSTRIB!$A:$A, 0))/100, 0)</f>
        <v>0</v>
      </c>
    </row>
    <row r="610" spans="4:22" ht="32.25" customHeight="1">
      <c r="D610" s="40"/>
      <c r="E610" s="27" t="str">
        <f>IF(D610="","",LEFT(D610,3))</f>
        <v/>
      </c>
      <c r="F610" s="28" t="str">
        <f>IF(E610="","",IFERROR(VLOOKUP(E610,REGRAS_CST!$A$2:$B$200,2,FALSE),""))</f>
        <v/>
      </c>
      <c r="H610" s="29">
        <v>8.9999999999999993E-3</v>
      </c>
      <c r="I610" s="29">
        <v>1E-3</v>
      </c>
      <c r="K610" s="21" t="str">
        <f>IF(E610="","",IFERROR(VLOOKUP(E610,REGRAS_CST!$A$2:$C$200,3,FALSE),""))</f>
        <v/>
      </c>
      <c r="L610" s="23" t="str">
        <f>IF($G610="", "", $G610*(1-$V610))</f>
        <v/>
      </c>
      <c r="M610" s="24" t="str">
        <f>IF(OR($L610="",$S610=""),"",$L610*$S610)</f>
        <v/>
      </c>
      <c r="N610" s="24" t="str">
        <f>IF(OR($L610="",$T610=""),"",$L610*$T610)</f>
        <v/>
      </c>
      <c r="O610" s="15" t="str">
        <f>IF(D610="","",
IF(AND(K610&lt;&gt;"SIM",V610&gt;0),"ERRO: % BC &gt; 0, mas NÃO permitida ❌",
IF(AND(K610="SIM",V610=0),"ATENÇÃO: BC permitida, mas % = 0 🔎",
"Base de cálculo aplicada corretamente ✅")))</f>
        <v/>
      </c>
      <c r="P610" s="31" t="str">
        <f>IF(D610="","",
IF(AND(Q610&lt;&gt;"SIM",U610&gt;0),"ERRO: % alíquota &gt; 0, mas NÃO permitida ❌",
IF(AND(Q610="SIM",U610=0),"ATENÇÃO: alíquota permitida, mas % = 0 🔎",
"Alíquota aplicada corretamente ✅")))</f>
        <v/>
      </c>
      <c r="Q610" s="8" t="str">
        <f>IF(E610="","",IFERROR(VLOOKUP(E610,REGRAS_CST!$A$2:$D$200,4,FALSE),""))</f>
        <v/>
      </c>
      <c r="S610" s="9">
        <f>IF($H610="","",$H610*(1-$U610))</f>
        <v>8.9999999999999993E-3</v>
      </c>
      <c r="T610" s="9">
        <f>IF($I610="","",$I610*(1-$U610))</f>
        <v>1E-3</v>
      </c>
      <c r="U610" s="16">
        <f>IFERROR(INDEX(BASE_CCLASSTRIB!$E:$E, MATCH(TEXT($D610,"000000"), BASE_CCLASSTRIB!$A:$A, 0))/100, 0)</f>
        <v>0</v>
      </c>
      <c r="V610" s="16">
        <f>IFERROR(INDEX(BASE_CCLASSTRIB!$F:$F, MATCH(TEXT($D610,"000000"), BASE_CCLASSTRIB!$A:$A, 0))/100, 0)</f>
        <v>0</v>
      </c>
    </row>
    <row r="611" spans="4:22" ht="32.25" customHeight="1">
      <c r="D611" s="39"/>
      <c r="E611" s="27" t="str">
        <f>IF(D611="","",LEFT(D611,3))</f>
        <v/>
      </c>
      <c r="F611" s="28" t="str">
        <f>IF(E611="","",IFERROR(VLOOKUP(E611,REGRAS_CST!$A$2:$B$200,2,FALSE),""))</f>
        <v/>
      </c>
      <c r="H611" s="29">
        <v>8.9999999999999993E-3</v>
      </c>
      <c r="I611" s="29">
        <v>1E-3</v>
      </c>
      <c r="K611" s="21" t="str">
        <f>IF(E611="","",IFERROR(VLOOKUP(E611,REGRAS_CST!$A$2:$C$200,3,FALSE),""))</f>
        <v/>
      </c>
      <c r="L611" s="23" t="str">
        <f>IF($G611="", "", $G611*(1-$V611))</f>
        <v/>
      </c>
      <c r="M611" s="24" t="str">
        <f>IF(OR($L611="",$S611=""),"",$L611*$S611)</f>
        <v/>
      </c>
      <c r="N611" s="24" t="str">
        <f>IF(OR($L611="",$T611=""),"",$L611*$T611)</f>
        <v/>
      </c>
      <c r="O611" s="15" t="str">
        <f>IF(D611="","",
IF(AND(K611&lt;&gt;"SIM",V611&gt;0),"ERRO: % BC &gt; 0, mas NÃO permitida ❌",
IF(AND(K611="SIM",V611=0),"ATENÇÃO: BC permitida, mas % = 0 🔎",
"Base de cálculo aplicada corretamente ✅")))</f>
        <v/>
      </c>
      <c r="P611" s="31" t="str">
        <f>IF(D611="","",
IF(AND(Q611&lt;&gt;"SIM",U611&gt;0),"ERRO: % alíquota &gt; 0, mas NÃO permitida ❌",
IF(AND(Q611="SIM",U611=0),"ATENÇÃO: alíquota permitida, mas % = 0 🔎",
"Alíquota aplicada corretamente ✅")))</f>
        <v/>
      </c>
      <c r="Q611" s="8" t="str">
        <f>IF(E611="","",IFERROR(VLOOKUP(E611,REGRAS_CST!$A$2:$D$200,4,FALSE),""))</f>
        <v/>
      </c>
      <c r="S611" s="9">
        <f>IF($H611="","",$H611*(1-$U611))</f>
        <v>8.9999999999999993E-3</v>
      </c>
      <c r="T611" s="9">
        <f>IF($I611="","",$I611*(1-$U611))</f>
        <v>1E-3</v>
      </c>
      <c r="U611" s="16">
        <f>IFERROR(INDEX(BASE_CCLASSTRIB!$E:$E, MATCH(TEXT($D611,"000000"), BASE_CCLASSTRIB!$A:$A, 0))/100, 0)</f>
        <v>0</v>
      </c>
      <c r="V611" s="16">
        <f>IFERROR(INDEX(BASE_CCLASSTRIB!$F:$F, MATCH(TEXT($D611,"000000"), BASE_CCLASSTRIB!$A:$A, 0))/100, 0)</f>
        <v>0</v>
      </c>
    </row>
    <row r="612" spans="4:22" ht="32.25" customHeight="1">
      <c r="D612" s="39"/>
      <c r="E612" s="27" t="str">
        <f>IF(D612="","",LEFT(D612,3))</f>
        <v/>
      </c>
      <c r="F612" s="28" t="str">
        <f>IF(E612="","",IFERROR(VLOOKUP(E612,REGRAS_CST!$A$2:$B$200,2,FALSE),""))</f>
        <v/>
      </c>
      <c r="H612" s="29">
        <v>8.9999999999999993E-3</v>
      </c>
      <c r="I612" s="29">
        <v>1E-3</v>
      </c>
      <c r="K612" s="21" t="str">
        <f>IF(E612="","",IFERROR(VLOOKUP(E612,REGRAS_CST!$A$2:$C$200,3,FALSE),""))</f>
        <v/>
      </c>
      <c r="L612" s="23" t="str">
        <f>IF($G612="", "", $G612*(1-$V612))</f>
        <v/>
      </c>
      <c r="M612" s="24" t="str">
        <f>IF(OR($L612="",$S612=""),"",$L612*$S612)</f>
        <v/>
      </c>
      <c r="N612" s="24" t="str">
        <f>IF(OR($L612="",$T612=""),"",$L612*$T612)</f>
        <v/>
      </c>
      <c r="O612" s="15" t="str">
        <f>IF(D612="","",
IF(AND(K612&lt;&gt;"SIM",V612&gt;0),"ERRO: % BC &gt; 0, mas NÃO permitida ❌",
IF(AND(K612="SIM",V612=0),"ATENÇÃO: BC permitida, mas % = 0 🔎",
"Base de cálculo aplicada corretamente ✅")))</f>
        <v/>
      </c>
      <c r="P612" s="31" t="str">
        <f>IF(D612="","",
IF(AND(Q612&lt;&gt;"SIM",U612&gt;0),"ERRO: % alíquota &gt; 0, mas NÃO permitida ❌",
IF(AND(Q612="SIM",U612=0),"ATENÇÃO: alíquota permitida, mas % = 0 🔎",
"Alíquota aplicada corretamente ✅")))</f>
        <v/>
      </c>
      <c r="Q612" s="8" t="str">
        <f>IF(E612="","",IFERROR(VLOOKUP(E612,REGRAS_CST!$A$2:$D$200,4,FALSE),""))</f>
        <v/>
      </c>
      <c r="S612" s="9">
        <f>IF($H612="","",$H612*(1-$U612))</f>
        <v>8.9999999999999993E-3</v>
      </c>
      <c r="T612" s="9">
        <f>IF($I612="","",$I612*(1-$U612))</f>
        <v>1E-3</v>
      </c>
      <c r="U612" s="16">
        <f>IFERROR(INDEX(BASE_CCLASSTRIB!$E:$E, MATCH(TEXT($D612,"000000"), BASE_CCLASSTRIB!$A:$A, 0))/100, 0)</f>
        <v>0</v>
      </c>
      <c r="V612" s="16">
        <f>IFERROR(INDEX(BASE_CCLASSTRIB!$F:$F, MATCH(TEXT($D612,"000000"), BASE_CCLASSTRIB!$A:$A, 0))/100, 0)</f>
        <v>0</v>
      </c>
    </row>
    <row r="613" spans="4:22" ht="32.25" customHeight="1">
      <c r="D613" s="39"/>
      <c r="E613" s="27" t="str">
        <f>IF(D613="","",LEFT(D613,3))</f>
        <v/>
      </c>
      <c r="F613" s="28" t="str">
        <f>IF(E613="","",IFERROR(VLOOKUP(E613,REGRAS_CST!$A$2:$B$200,2,FALSE),""))</f>
        <v/>
      </c>
      <c r="H613" s="29">
        <v>8.9999999999999993E-3</v>
      </c>
      <c r="I613" s="29">
        <v>1E-3</v>
      </c>
      <c r="K613" s="21" t="str">
        <f>IF(E613="","",IFERROR(VLOOKUP(E613,REGRAS_CST!$A$2:$C$200,3,FALSE),""))</f>
        <v/>
      </c>
      <c r="L613" s="23" t="str">
        <f>IF($G613="", "", $G613*(1-$V613))</f>
        <v/>
      </c>
      <c r="M613" s="24" t="str">
        <f>IF(OR($L613="",$S613=""),"",$L613*$S613)</f>
        <v/>
      </c>
      <c r="N613" s="24" t="str">
        <f>IF(OR($L613="",$T613=""),"",$L613*$T613)</f>
        <v/>
      </c>
      <c r="O613" s="15" t="str">
        <f>IF(D613="","",
IF(AND(K613&lt;&gt;"SIM",V613&gt;0),"ERRO: % BC &gt; 0, mas NÃO permitida ❌",
IF(AND(K613="SIM",V613=0),"ATENÇÃO: BC permitida, mas % = 0 🔎",
"Base de cálculo aplicada corretamente ✅")))</f>
        <v/>
      </c>
      <c r="P613" s="31" t="str">
        <f>IF(D613="","",
IF(AND(Q613&lt;&gt;"SIM",U613&gt;0),"ERRO: % alíquota &gt; 0, mas NÃO permitida ❌",
IF(AND(Q613="SIM",U613=0),"ATENÇÃO: alíquota permitida, mas % = 0 🔎",
"Alíquota aplicada corretamente ✅")))</f>
        <v/>
      </c>
      <c r="Q613" s="8" t="str">
        <f>IF(E613="","",IFERROR(VLOOKUP(E613,REGRAS_CST!$A$2:$D$200,4,FALSE),""))</f>
        <v/>
      </c>
      <c r="S613" s="9">
        <f>IF($H613="","",$H613*(1-$U613))</f>
        <v>8.9999999999999993E-3</v>
      </c>
      <c r="T613" s="9">
        <f>IF($I613="","",$I613*(1-$U613))</f>
        <v>1E-3</v>
      </c>
      <c r="U613" s="16">
        <f>IFERROR(INDEX(BASE_CCLASSTRIB!$E:$E, MATCH(TEXT($D613,"000000"), BASE_CCLASSTRIB!$A:$A, 0))/100, 0)</f>
        <v>0</v>
      </c>
      <c r="V613" s="16">
        <f>IFERROR(INDEX(BASE_CCLASSTRIB!$F:$F, MATCH(TEXT($D613,"000000"), BASE_CCLASSTRIB!$A:$A, 0))/100, 0)</f>
        <v>0</v>
      </c>
    </row>
    <row r="614" spans="4:22" ht="32.25" customHeight="1">
      <c r="D614" s="40"/>
      <c r="E614" s="27" t="str">
        <f>IF(D614="","",LEFT(D614,3))</f>
        <v/>
      </c>
      <c r="F614" s="28" t="str">
        <f>IF(E614="","",IFERROR(VLOOKUP(E614,REGRAS_CST!$A$2:$B$200,2,FALSE),""))</f>
        <v/>
      </c>
      <c r="H614" s="29">
        <v>8.9999999999999993E-3</v>
      </c>
      <c r="I614" s="29">
        <v>1E-3</v>
      </c>
      <c r="K614" s="21" t="str">
        <f>IF(E614="","",IFERROR(VLOOKUP(E614,REGRAS_CST!$A$2:$C$200,3,FALSE),""))</f>
        <v/>
      </c>
      <c r="L614" s="23" t="str">
        <f>IF($G614="", "", $G614*(1-$V614))</f>
        <v/>
      </c>
      <c r="M614" s="24" t="str">
        <f>IF(OR($L614="",$S614=""),"",$L614*$S614)</f>
        <v/>
      </c>
      <c r="N614" s="24" t="str">
        <f>IF(OR($L614="",$T614=""),"",$L614*$T614)</f>
        <v/>
      </c>
      <c r="O614" s="15" t="str">
        <f>IF(D614="","",
IF(AND(K614&lt;&gt;"SIM",V614&gt;0),"ERRO: % BC &gt; 0, mas NÃO permitida ❌",
IF(AND(K614="SIM",V614=0),"ATENÇÃO: BC permitida, mas % = 0 🔎",
"Base de cálculo aplicada corretamente ✅")))</f>
        <v/>
      </c>
      <c r="P614" s="31" t="str">
        <f>IF(D614="","",
IF(AND(Q614&lt;&gt;"SIM",U614&gt;0),"ERRO: % alíquota &gt; 0, mas NÃO permitida ❌",
IF(AND(Q614="SIM",U614=0),"ATENÇÃO: alíquota permitida, mas % = 0 🔎",
"Alíquota aplicada corretamente ✅")))</f>
        <v/>
      </c>
      <c r="Q614" s="8" t="str">
        <f>IF(E614="","",IFERROR(VLOOKUP(E614,REGRAS_CST!$A$2:$D$200,4,FALSE),""))</f>
        <v/>
      </c>
      <c r="S614" s="9">
        <f>IF($H614="","",$H614*(1-$U614))</f>
        <v>8.9999999999999993E-3</v>
      </c>
      <c r="T614" s="9">
        <f>IF($I614="","",$I614*(1-$U614))</f>
        <v>1E-3</v>
      </c>
      <c r="U614" s="16">
        <f>IFERROR(INDEX(BASE_CCLASSTRIB!$E:$E, MATCH(TEXT($D614,"000000"), BASE_CCLASSTRIB!$A:$A, 0))/100, 0)</f>
        <v>0</v>
      </c>
      <c r="V614" s="16">
        <f>IFERROR(INDEX(BASE_CCLASSTRIB!$F:$F, MATCH(TEXT($D614,"000000"), BASE_CCLASSTRIB!$A:$A, 0))/100, 0)</f>
        <v>0</v>
      </c>
    </row>
    <row r="615" spans="4:22" ht="32.25" customHeight="1">
      <c r="D615" s="39"/>
      <c r="E615" s="27" t="str">
        <f>IF(D615="","",LEFT(D615,3))</f>
        <v/>
      </c>
      <c r="F615" s="28" t="str">
        <f>IF(E615="","",IFERROR(VLOOKUP(E615,REGRAS_CST!$A$2:$B$200,2,FALSE),""))</f>
        <v/>
      </c>
      <c r="H615" s="29">
        <v>8.9999999999999993E-3</v>
      </c>
      <c r="I615" s="29">
        <v>1E-3</v>
      </c>
      <c r="K615" s="21" t="str">
        <f>IF(E615="","",IFERROR(VLOOKUP(E615,REGRAS_CST!$A$2:$C$200,3,FALSE),""))</f>
        <v/>
      </c>
      <c r="L615" s="23" t="str">
        <f>IF($G615="", "", $G615*(1-$V615))</f>
        <v/>
      </c>
      <c r="M615" s="24" t="str">
        <f>IF(OR($L615="",$S615=""),"",$L615*$S615)</f>
        <v/>
      </c>
      <c r="N615" s="24" t="str">
        <f>IF(OR($L615="",$T615=""),"",$L615*$T615)</f>
        <v/>
      </c>
      <c r="O615" s="15" t="str">
        <f>IF(D615="","",
IF(AND(K615&lt;&gt;"SIM",V615&gt;0),"ERRO: % BC &gt; 0, mas NÃO permitida ❌",
IF(AND(K615="SIM",V615=0),"ATENÇÃO: BC permitida, mas % = 0 🔎",
"Base de cálculo aplicada corretamente ✅")))</f>
        <v/>
      </c>
      <c r="P615" s="31" t="str">
        <f>IF(D615="","",
IF(AND(Q615&lt;&gt;"SIM",U615&gt;0),"ERRO: % alíquota &gt; 0, mas NÃO permitida ❌",
IF(AND(Q615="SIM",U615=0),"ATENÇÃO: alíquota permitida, mas % = 0 🔎",
"Alíquota aplicada corretamente ✅")))</f>
        <v/>
      </c>
      <c r="Q615" s="8" t="str">
        <f>IF(E615="","",IFERROR(VLOOKUP(E615,REGRAS_CST!$A$2:$D$200,4,FALSE),""))</f>
        <v/>
      </c>
      <c r="S615" s="9">
        <f>IF($H615="","",$H615*(1-$U615))</f>
        <v>8.9999999999999993E-3</v>
      </c>
      <c r="T615" s="9">
        <f>IF($I615="","",$I615*(1-$U615))</f>
        <v>1E-3</v>
      </c>
      <c r="U615" s="16">
        <f>IFERROR(INDEX(BASE_CCLASSTRIB!$E:$E, MATCH(TEXT($D615,"000000"), BASE_CCLASSTRIB!$A:$A, 0))/100, 0)</f>
        <v>0</v>
      </c>
      <c r="V615" s="16">
        <f>IFERROR(INDEX(BASE_CCLASSTRIB!$F:$F, MATCH(TEXT($D615,"000000"), BASE_CCLASSTRIB!$A:$A, 0))/100, 0)</f>
        <v>0</v>
      </c>
    </row>
    <row r="616" spans="4:22" ht="32.25" customHeight="1">
      <c r="D616" s="39"/>
      <c r="E616" s="27" t="str">
        <f>IF(D616="","",LEFT(D616,3))</f>
        <v/>
      </c>
      <c r="F616" s="28" t="str">
        <f>IF(E616="","",IFERROR(VLOOKUP(E616,REGRAS_CST!$A$2:$B$200,2,FALSE),""))</f>
        <v/>
      </c>
      <c r="H616" s="29">
        <v>8.9999999999999993E-3</v>
      </c>
      <c r="I616" s="29">
        <v>1E-3</v>
      </c>
      <c r="K616" s="21" t="str">
        <f>IF(E616="","",IFERROR(VLOOKUP(E616,REGRAS_CST!$A$2:$C$200,3,FALSE),""))</f>
        <v/>
      </c>
      <c r="L616" s="23" t="str">
        <f>IF($G616="", "", $G616*(1-$V616))</f>
        <v/>
      </c>
      <c r="M616" s="24" t="str">
        <f>IF(OR($L616="",$S616=""),"",$L616*$S616)</f>
        <v/>
      </c>
      <c r="N616" s="24" t="str">
        <f>IF(OR($L616="",$T616=""),"",$L616*$T616)</f>
        <v/>
      </c>
      <c r="O616" s="15" t="str">
        <f>IF(D616="","",
IF(AND(K616&lt;&gt;"SIM",V616&gt;0),"ERRO: % BC &gt; 0, mas NÃO permitida ❌",
IF(AND(K616="SIM",V616=0),"ATENÇÃO: BC permitida, mas % = 0 🔎",
"Base de cálculo aplicada corretamente ✅")))</f>
        <v/>
      </c>
      <c r="P616" s="31" t="str">
        <f>IF(D616="","",
IF(AND(Q616&lt;&gt;"SIM",U616&gt;0),"ERRO: % alíquota &gt; 0, mas NÃO permitida ❌",
IF(AND(Q616="SIM",U616=0),"ATENÇÃO: alíquota permitida, mas % = 0 🔎",
"Alíquota aplicada corretamente ✅")))</f>
        <v/>
      </c>
      <c r="Q616" s="8" t="str">
        <f>IF(E616="","",IFERROR(VLOOKUP(E616,REGRAS_CST!$A$2:$D$200,4,FALSE),""))</f>
        <v/>
      </c>
      <c r="S616" s="9">
        <f>IF($H616="","",$H616*(1-$U616))</f>
        <v>8.9999999999999993E-3</v>
      </c>
      <c r="T616" s="9">
        <f>IF($I616="","",$I616*(1-$U616))</f>
        <v>1E-3</v>
      </c>
      <c r="U616" s="16">
        <f>IFERROR(INDEX(BASE_CCLASSTRIB!$E:$E, MATCH(TEXT($D616,"000000"), BASE_CCLASSTRIB!$A:$A, 0))/100, 0)</f>
        <v>0</v>
      </c>
      <c r="V616" s="16">
        <f>IFERROR(INDEX(BASE_CCLASSTRIB!$F:$F, MATCH(TEXT($D616,"000000"), BASE_CCLASSTRIB!$A:$A, 0))/100, 0)</f>
        <v>0</v>
      </c>
    </row>
    <row r="617" spans="4:22" ht="32.25" customHeight="1">
      <c r="D617" s="39"/>
      <c r="E617" s="27" t="str">
        <f>IF(D617="","",LEFT(D617,3))</f>
        <v/>
      </c>
      <c r="F617" s="28" t="str">
        <f>IF(E617="","",IFERROR(VLOOKUP(E617,REGRAS_CST!$A$2:$B$200,2,FALSE),""))</f>
        <v/>
      </c>
      <c r="H617" s="29">
        <v>8.9999999999999993E-3</v>
      </c>
      <c r="I617" s="29">
        <v>1E-3</v>
      </c>
      <c r="K617" s="21" t="str">
        <f>IF(E617="","",IFERROR(VLOOKUP(E617,REGRAS_CST!$A$2:$C$200,3,FALSE),""))</f>
        <v/>
      </c>
      <c r="L617" s="23" t="str">
        <f>IF($G617="", "", $G617*(1-$V617))</f>
        <v/>
      </c>
      <c r="M617" s="24" t="str">
        <f>IF(OR($L617="",$S617=""),"",$L617*$S617)</f>
        <v/>
      </c>
      <c r="N617" s="24" t="str">
        <f>IF(OR($L617="",$T617=""),"",$L617*$T617)</f>
        <v/>
      </c>
      <c r="O617" s="15" t="str">
        <f>IF(D617="","",
IF(AND(K617&lt;&gt;"SIM",V617&gt;0),"ERRO: % BC &gt; 0, mas NÃO permitida ❌",
IF(AND(K617="SIM",V617=0),"ATENÇÃO: BC permitida, mas % = 0 🔎",
"Base de cálculo aplicada corretamente ✅")))</f>
        <v/>
      </c>
      <c r="P617" s="31" t="str">
        <f>IF(D617="","",
IF(AND(Q617&lt;&gt;"SIM",U617&gt;0),"ERRO: % alíquota &gt; 0, mas NÃO permitida ❌",
IF(AND(Q617="SIM",U617=0),"ATENÇÃO: alíquota permitida, mas % = 0 🔎",
"Alíquota aplicada corretamente ✅")))</f>
        <v/>
      </c>
      <c r="Q617" s="8" t="str">
        <f>IF(E617="","",IFERROR(VLOOKUP(E617,REGRAS_CST!$A$2:$D$200,4,FALSE),""))</f>
        <v/>
      </c>
      <c r="S617" s="9">
        <f>IF($H617="","",$H617*(1-$U617))</f>
        <v>8.9999999999999993E-3</v>
      </c>
      <c r="T617" s="9">
        <f>IF($I617="","",$I617*(1-$U617))</f>
        <v>1E-3</v>
      </c>
      <c r="U617" s="16">
        <f>IFERROR(INDEX(BASE_CCLASSTRIB!$E:$E, MATCH(TEXT($D617,"000000"), BASE_CCLASSTRIB!$A:$A, 0))/100, 0)</f>
        <v>0</v>
      </c>
      <c r="V617" s="16">
        <f>IFERROR(INDEX(BASE_CCLASSTRIB!$F:$F, MATCH(TEXT($D617,"000000"), BASE_CCLASSTRIB!$A:$A, 0))/100, 0)</f>
        <v>0</v>
      </c>
    </row>
    <row r="618" spans="4:22" ht="32.25" customHeight="1">
      <c r="D618" s="40"/>
      <c r="E618" s="27" t="str">
        <f>IF(D618="","",LEFT(D618,3))</f>
        <v/>
      </c>
      <c r="F618" s="28" t="str">
        <f>IF(E618="","",IFERROR(VLOOKUP(E618,REGRAS_CST!$A$2:$B$200,2,FALSE),""))</f>
        <v/>
      </c>
      <c r="H618" s="29">
        <v>8.9999999999999993E-3</v>
      </c>
      <c r="I618" s="29">
        <v>1E-3</v>
      </c>
      <c r="K618" s="21" t="str">
        <f>IF(E618="","",IFERROR(VLOOKUP(E618,REGRAS_CST!$A$2:$C$200,3,FALSE),""))</f>
        <v/>
      </c>
      <c r="L618" s="23" t="str">
        <f>IF($G618="", "", $G618*(1-$V618))</f>
        <v/>
      </c>
      <c r="M618" s="24" t="str">
        <f>IF(OR($L618="",$S618=""),"",$L618*$S618)</f>
        <v/>
      </c>
      <c r="N618" s="24" t="str">
        <f>IF(OR($L618="",$T618=""),"",$L618*$T618)</f>
        <v/>
      </c>
      <c r="O618" s="15" t="str">
        <f>IF(D618="","",
IF(AND(K618&lt;&gt;"SIM",V618&gt;0),"ERRO: % BC &gt; 0, mas NÃO permitida ❌",
IF(AND(K618="SIM",V618=0),"ATENÇÃO: BC permitida, mas % = 0 🔎",
"Base de cálculo aplicada corretamente ✅")))</f>
        <v/>
      </c>
      <c r="P618" s="31" t="str">
        <f>IF(D618="","",
IF(AND(Q618&lt;&gt;"SIM",U618&gt;0),"ERRO: % alíquota &gt; 0, mas NÃO permitida ❌",
IF(AND(Q618="SIM",U618=0),"ATENÇÃO: alíquota permitida, mas % = 0 🔎",
"Alíquota aplicada corretamente ✅")))</f>
        <v/>
      </c>
      <c r="Q618" s="8" t="str">
        <f>IF(E618="","",IFERROR(VLOOKUP(E618,REGRAS_CST!$A$2:$D$200,4,FALSE),""))</f>
        <v/>
      </c>
      <c r="S618" s="9">
        <f>IF($H618="","",$H618*(1-$U618))</f>
        <v>8.9999999999999993E-3</v>
      </c>
      <c r="T618" s="9">
        <f>IF($I618="","",$I618*(1-$U618))</f>
        <v>1E-3</v>
      </c>
      <c r="U618" s="16">
        <f>IFERROR(INDEX(BASE_CCLASSTRIB!$E:$E, MATCH(TEXT($D618,"000000"), BASE_CCLASSTRIB!$A:$A, 0))/100, 0)</f>
        <v>0</v>
      </c>
      <c r="V618" s="16">
        <f>IFERROR(INDEX(BASE_CCLASSTRIB!$F:$F, MATCH(TEXT($D618,"000000"), BASE_CCLASSTRIB!$A:$A, 0))/100, 0)</f>
        <v>0</v>
      </c>
    </row>
    <row r="619" spans="4:22" ht="32.25" customHeight="1">
      <c r="D619" s="40"/>
      <c r="E619" s="27" t="str">
        <f>IF(D619="","",LEFT(D619,3))</f>
        <v/>
      </c>
      <c r="F619" s="28" t="str">
        <f>IF(E619="","",IFERROR(VLOOKUP(E619,REGRAS_CST!$A$2:$B$200,2,FALSE),""))</f>
        <v/>
      </c>
      <c r="H619" s="29">
        <v>8.9999999999999993E-3</v>
      </c>
      <c r="I619" s="29">
        <v>1E-3</v>
      </c>
      <c r="K619" s="21" t="str">
        <f>IF(E619="","",IFERROR(VLOOKUP(E619,REGRAS_CST!$A$2:$C$200,3,FALSE),""))</f>
        <v/>
      </c>
      <c r="L619" s="23" t="str">
        <f>IF($G619="", "", $G619*(1-$V619))</f>
        <v/>
      </c>
      <c r="M619" s="24" t="str">
        <f>IF(OR($L619="",$S619=""),"",$L619*$S619)</f>
        <v/>
      </c>
      <c r="N619" s="24" t="str">
        <f>IF(OR($L619="",$T619=""),"",$L619*$T619)</f>
        <v/>
      </c>
      <c r="O619" s="15" t="str">
        <f>IF(D619="","",
IF(AND(K619&lt;&gt;"SIM",V619&gt;0),"ERRO: % BC &gt; 0, mas NÃO permitida ❌",
IF(AND(K619="SIM",V619=0),"ATENÇÃO: BC permitida, mas % = 0 🔎",
"Base de cálculo aplicada corretamente ✅")))</f>
        <v/>
      </c>
      <c r="P619" s="31" t="str">
        <f>IF(D619="","",
IF(AND(Q619&lt;&gt;"SIM",U619&gt;0),"ERRO: % alíquota &gt; 0, mas NÃO permitida ❌",
IF(AND(Q619="SIM",U619=0),"ATENÇÃO: alíquota permitida, mas % = 0 🔎",
"Alíquota aplicada corretamente ✅")))</f>
        <v/>
      </c>
      <c r="Q619" s="8" t="str">
        <f>IF(E619="","",IFERROR(VLOOKUP(E619,REGRAS_CST!$A$2:$D$200,4,FALSE),""))</f>
        <v/>
      </c>
      <c r="S619" s="9">
        <f>IF($H619="","",$H619*(1-$U619))</f>
        <v>8.9999999999999993E-3</v>
      </c>
      <c r="T619" s="9">
        <f>IF($I619="","",$I619*(1-$U619))</f>
        <v>1E-3</v>
      </c>
      <c r="U619" s="16">
        <f>IFERROR(INDEX(BASE_CCLASSTRIB!$E:$E, MATCH(TEXT($D619,"000000"), BASE_CCLASSTRIB!$A:$A, 0))/100, 0)</f>
        <v>0</v>
      </c>
      <c r="V619" s="16">
        <f>IFERROR(INDEX(BASE_CCLASSTRIB!$F:$F, MATCH(TEXT($D619,"000000"), BASE_CCLASSTRIB!$A:$A, 0))/100, 0)</f>
        <v>0</v>
      </c>
    </row>
    <row r="620" spans="4:22" ht="32.25" customHeight="1">
      <c r="D620" s="39"/>
      <c r="E620" s="27" t="str">
        <f>IF(D620="","",LEFT(D620,3))</f>
        <v/>
      </c>
      <c r="F620" s="28" t="str">
        <f>IF(E620="","",IFERROR(VLOOKUP(E620,REGRAS_CST!$A$2:$B$200,2,FALSE),""))</f>
        <v/>
      </c>
      <c r="H620" s="29">
        <v>8.9999999999999993E-3</v>
      </c>
      <c r="I620" s="29">
        <v>1E-3</v>
      </c>
      <c r="K620" s="21" t="str">
        <f>IF(E620="","",IFERROR(VLOOKUP(E620,REGRAS_CST!$A$2:$C$200,3,FALSE),""))</f>
        <v/>
      </c>
      <c r="L620" s="23" t="str">
        <f>IF($G620="", "", $G620*(1-$V620))</f>
        <v/>
      </c>
      <c r="M620" s="24" t="str">
        <f>IF(OR($L620="",$S620=""),"",$L620*$S620)</f>
        <v/>
      </c>
      <c r="N620" s="24" t="str">
        <f>IF(OR($L620="",$T620=""),"",$L620*$T620)</f>
        <v/>
      </c>
      <c r="O620" s="15" t="str">
        <f>IF(D620="","",
IF(AND(K620&lt;&gt;"SIM",V620&gt;0),"ERRO: % BC &gt; 0, mas NÃO permitida ❌",
IF(AND(K620="SIM",V620=0),"ATENÇÃO: BC permitida, mas % = 0 🔎",
"Base de cálculo aplicada corretamente ✅")))</f>
        <v/>
      </c>
      <c r="P620" s="31" t="str">
        <f>IF(D620="","",
IF(AND(Q620&lt;&gt;"SIM",U620&gt;0),"ERRO: % alíquota &gt; 0, mas NÃO permitida ❌",
IF(AND(Q620="SIM",U620=0),"ATENÇÃO: alíquota permitida, mas % = 0 🔎",
"Alíquota aplicada corretamente ✅")))</f>
        <v/>
      </c>
      <c r="Q620" s="8" t="str">
        <f>IF(E620="","",IFERROR(VLOOKUP(E620,REGRAS_CST!$A$2:$D$200,4,FALSE),""))</f>
        <v/>
      </c>
      <c r="S620" s="9">
        <f>IF($H620="","",$H620*(1-$U620))</f>
        <v>8.9999999999999993E-3</v>
      </c>
      <c r="T620" s="9">
        <f>IF($I620="","",$I620*(1-$U620))</f>
        <v>1E-3</v>
      </c>
      <c r="U620" s="16">
        <f>IFERROR(INDEX(BASE_CCLASSTRIB!$E:$E, MATCH(TEXT($D620,"000000"), BASE_CCLASSTRIB!$A:$A, 0))/100, 0)</f>
        <v>0</v>
      </c>
      <c r="V620" s="16">
        <f>IFERROR(INDEX(BASE_CCLASSTRIB!$F:$F, MATCH(TEXT($D620,"000000"), BASE_CCLASSTRIB!$A:$A, 0))/100, 0)</f>
        <v>0</v>
      </c>
    </row>
    <row r="621" spans="4:22" ht="32.25" customHeight="1">
      <c r="D621" s="39"/>
      <c r="E621" s="27" t="str">
        <f>IF(D621="","",LEFT(D621,3))</f>
        <v/>
      </c>
      <c r="F621" s="28" t="str">
        <f>IF(E621="","",IFERROR(VLOOKUP(E621,REGRAS_CST!$A$2:$B$200,2,FALSE),""))</f>
        <v/>
      </c>
      <c r="H621" s="29">
        <v>8.9999999999999993E-3</v>
      </c>
      <c r="I621" s="29">
        <v>1E-3</v>
      </c>
      <c r="K621" s="21" t="str">
        <f>IF(E621="","",IFERROR(VLOOKUP(E621,REGRAS_CST!$A$2:$C$200,3,FALSE),""))</f>
        <v/>
      </c>
      <c r="L621" s="23" t="str">
        <f>IF($G621="", "", $G621*(1-$V621))</f>
        <v/>
      </c>
      <c r="M621" s="24" t="str">
        <f>IF(OR($L621="",$S621=""),"",$L621*$S621)</f>
        <v/>
      </c>
      <c r="N621" s="24" t="str">
        <f>IF(OR($L621="",$T621=""),"",$L621*$T621)</f>
        <v/>
      </c>
      <c r="O621" s="15" t="str">
        <f>IF(D621="","",
IF(AND(K621&lt;&gt;"SIM",V621&gt;0),"ERRO: % BC &gt; 0, mas NÃO permitida ❌",
IF(AND(K621="SIM",V621=0),"ATENÇÃO: BC permitida, mas % = 0 🔎",
"Base de cálculo aplicada corretamente ✅")))</f>
        <v/>
      </c>
      <c r="P621" s="31" t="str">
        <f>IF(D621="","",
IF(AND(Q621&lt;&gt;"SIM",U621&gt;0),"ERRO: % alíquota &gt; 0, mas NÃO permitida ❌",
IF(AND(Q621="SIM",U621=0),"ATENÇÃO: alíquota permitida, mas % = 0 🔎",
"Alíquota aplicada corretamente ✅")))</f>
        <v/>
      </c>
      <c r="Q621" s="8" t="str">
        <f>IF(E621="","",IFERROR(VLOOKUP(E621,REGRAS_CST!$A$2:$D$200,4,FALSE),""))</f>
        <v/>
      </c>
      <c r="S621" s="9">
        <f>IF($H621="","",$H621*(1-$U621))</f>
        <v>8.9999999999999993E-3</v>
      </c>
      <c r="T621" s="9">
        <f>IF($I621="","",$I621*(1-$U621))</f>
        <v>1E-3</v>
      </c>
      <c r="U621" s="16">
        <f>IFERROR(INDEX(BASE_CCLASSTRIB!$E:$E, MATCH(TEXT($D621,"000000"), BASE_CCLASSTRIB!$A:$A, 0))/100, 0)</f>
        <v>0</v>
      </c>
      <c r="V621" s="16">
        <f>IFERROR(INDEX(BASE_CCLASSTRIB!$F:$F, MATCH(TEXT($D621,"000000"), BASE_CCLASSTRIB!$A:$A, 0))/100, 0)</f>
        <v>0</v>
      </c>
    </row>
    <row r="622" spans="4:22" ht="32.25" customHeight="1">
      <c r="D622" s="39"/>
      <c r="E622" s="27" t="str">
        <f>IF(D622="","",LEFT(D622,3))</f>
        <v/>
      </c>
      <c r="F622" s="28" t="str">
        <f>IF(E622="","",IFERROR(VLOOKUP(E622,REGRAS_CST!$A$2:$B$200,2,FALSE),""))</f>
        <v/>
      </c>
      <c r="H622" s="29">
        <v>8.9999999999999993E-3</v>
      </c>
      <c r="I622" s="29">
        <v>1E-3</v>
      </c>
      <c r="K622" s="21" t="str">
        <f>IF(E622="","",IFERROR(VLOOKUP(E622,REGRAS_CST!$A$2:$C$200,3,FALSE),""))</f>
        <v/>
      </c>
      <c r="L622" s="23" t="str">
        <f>IF($G622="", "", $G622*(1-$V622))</f>
        <v/>
      </c>
      <c r="M622" s="24" t="str">
        <f>IF(OR($L622="",$S622=""),"",$L622*$S622)</f>
        <v/>
      </c>
      <c r="N622" s="24" t="str">
        <f>IF(OR($L622="",$T622=""),"",$L622*$T622)</f>
        <v/>
      </c>
      <c r="O622" s="15" t="str">
        <f>IF(D622="","",
IF(AND(K622&lt;&gt;"SIM",V622&gt;0),"ERRO: % BC &gt; 0, mas NÃO permitida ❌",
IF(AND(K622="SIM",V622=0),"ATENÇÃO: BC permitida, mas % = 0 🔎",
"Base de cálculo aplicada corretamente ✅")))</f>
        <v/>
      </c>
      <c r="P622" s="31" t="str">
        <f>IF(D622="","",
IF(AND(Q622&lt;&gt;"SIM",U622&gt;0),"ERRO: % alíquota &gt; 0, mas NÃO permitida ❌",
IF(AND(Q622="SIM",U622=0),"ATENÇÃO: alíquota permitida, mas % = 0 🔎",
"Alíquota aplicada corretamente ✅")))</f>
        <v/>
      </c>
      <c r="Q622" s="8" t="str">
        <f>IF(E622="","",IFERROR(VLOOKUP(E622,REGRAS_CST!$A$2:$D$200,4,FALSE),""))</f>
        <v/>
      </c>
      <c r="S622" s="9">
        <f>IF($H622="","",$H622*(1-$U622))</f>
        <v>8.9999999999999993E-3</v>
      </c>
      <c r="T622" s="9">
        <f>IF($I622="","",$I622*(1-$U622))</f>
        <v>1E-3</v>
      </c>
      <c r="U622" s="16">
        <f>IFERROR(INDEX(BASE_CCLASSTRIB!$E:$E, MATCH(TEXT($D622,"000000"), BASE_CCLASSTRIB!$A:$A, 0))/100, 0)</f>
        <v>0</v>
      </c>
      <c r="V622" s="16">
        <f>IFERROR(INDEX(BASE_CCLASSTRIB!$F:$F, MATCH(TEXT($D622,"000000"), BASE_CCLASSTRIB!$A:$A, 0))/100, 0)</f>
        <v>0</v>
      </c>
    </row>
    <row r="623" spans="4:22" ht="32.25" customHeight="1">
      <c r="D623" s="39"/>
      <c r="E623" s="27" t="str">
        <f>IF(D623="","",LEFT(D623,3))</f>
        <v/>
      </c>
      <c r="F623" s="28" t="str">
        <f>IF(E623="","",IFERROR(VLOOKUP(E623,REGRAS_CST!$A$2:$B$200,2,FALSE),""))</f>
        <v/>
      </c>
      <c r="H623" s="29">
        <v>8.9999999999999993E-3</v>
      </c>
      <c r="I623" s="29">
        <v>1E-3</v>
      </c>
      <c r="K623" s="21" t="str">
        <f>IF(E623="","",IFERROR(VLOOKUP(E623,REGRAS_CST!$A$2:$C$200,3,FALSE),""))</f>
        <v/>
      </c>
      <c r="L623" s="23" t="str">
        <f>IF($G623="", "", $G623*(1-$V623))</f>
        <v/>
      </c>
      <c r="M623" s="24" t="str">
        <f>IF(OR($L623="",$S623=""),"",$L623*$S623)</f>
        <v/>
      </c>
      <c r="N623" s="24" t="str">
        <f>IF(OR($L623="",$T623=""),"",$L623*$T623)</f>
        <v/>
      </c>
      <c r="O623" s="15" t="str">
        <f>IF(D623="","",
IF(AND(K623&lt;&gt;"SIM",V623&gt;0),"ERRO: % BC &gt; 0, mas NÃO permitida ❌",
IF(AND(K623="SIM",V623=0),"ATENÇÃO: BC permitida, mas % = 0 🔎",
"Base de cálculo aplicada corretamente ✅")))</f>
        <v/>
      </c>
      <c r="P623" s="31" t="str">
        <f>IF(D623="","",
IF(AND(Q623&lt;&gt;"SIM",U623&gt;0),"ERRO: % alíquota &gt; 0, mas NÃO permitida ❌",
IF(AND(Q623="SIM",U623=0),"ATENÇÃO: alíquota permitida, mas % = 0 🔎",
"Alíquota aplicada corretamente ✅")))</f>
        <v/>
      </c>
      <c r="Q623" s="8" t="str">
        <f>IF(E623="","",IFERROR(VLOOKUP(E623,REGRAS_CST!$A$2:$D$200,4,FALSE),""))</f>
        <v/>
      </c>
      <c r="S623" s="9">
        <f>IF($H623="","",$H623*(1-$U623))</f>
        <v>8.9999999999999993E-3</v>
      </c>
      <c r="T623" s="9">
        <f>IF($I623="","",$I623*(1-$U623))</f>
        <v>1E-3</v>
      </c>
      <c r="U623" s="16">
        <f>IFERROR(INDEX(BASE_CCLASSTRIB!$E:$E, MATCH(TEXT($D623,"000000"), BASE_CCLASSTRIB!$A:$A, 0))/100, 0)</f>
        <v>0</v>
      </c>
      <c r="V623" s="16">
        <f>IFERROR(INDEX(BASE_CCLASSTRIB!$F:$F, MATCH(TEXT($D623,"000000"), BASE_CCLASSTRIB!$A:$A, 0))/100, 0)</f>
        <v>0</v>
      </c>
    </row>
    <row r="624" spans="4:22" ht="32.25" customHeight="1">
      <c r="D624" s="39"/>
      <c r="E624" s="27" t="str">
        <f>IF(D624="","",LEFT(D624,3))</f>
        <v/>
      </c>
      <c r="F624" s="28" t="str">
        <f>IF(E624="","",IFERROR(VLOOKUP(E624,REGRAS_CST!$A$2:$B$200,2,FALSE),""))</f>
        <v/>
      </c>
      <c r="H624" s="29">
        <v>8.9999999999999993E-3</v>
      </c>
      <c r="I624" s="29">
        <v>1E-3</v>
      </c>
      <c r="K624" s="21" t="str">
        <f>IF(E624="","",IFERROR(VLOOKUP(E624,REGRAS_CST!$A$2:$C$200,3,FALSE),""))</f>
        <v/>
      </c>
      <c r="L624" s="23" t="str">
        <f>IF($G624="", "", $G624*(1-$V624))</f>
        <v/>
      </c>
      <c r="M624" s="24" t="str">
        <f>IF(OR($L624="",$S624=""),"",$L624*$S624)</f>
        <v/>
      </c>
      <c r="N624" s="24" t="str">
        <f>IF(OR($L624="",$T624=""),"",$L624*$T624)</f>
        <v/>
      </c>
      <c r="O624" s="15" t="str">
        <f>IF(D624="","",
IF(AND(K624&lt;&gt;"SIM",V624&gt;0),"ERRO: % BC &gt; 0, mas NÃO permitida ❌",
IF(AND(K624="SIM",V624=0),"ATENÇÃO: BC permitida, mas % = 0 🔎",
"Base de cálculo aplicada corretamente ✅")))</f>
        <v/>
      </c>
      <c r="P624" s="31" t="str">
        <f>IF(D624="","",
IF(AND(Q624&lt;&gt;"SIM",U624&gt;0),"ERRO: % alíquota &gt; 0, mas NÃO permitida ❌",
IF(AND(Q624="SIM",U624=0),"ATENÇÃO: alíquota permitida, mas % = 0 🔎",
"Alíquota aplicada corretamente ✅")))</f>
        <v/>
      </c>
      <c r="Q624" s="8" t="str">
        <f>IF(E624="","",IFERROR(VLOOKUP(E624,REGRAS_CST!$A$2:$D$200,4,FALSE),""))</f>
        <v/>
      </c>
      <c r="S624" s="9">
        <f>IF($H624="","",$H624*(1-$U624))</f>
        <v>8.9999999999999993E-3</v>
      </c>
      <c r="T624" s="9">
        <f>IF($I624="","",$I624*(1-$U624))</f>
        <v>1E-3</v>
      </c>
      <c r="U624" s="16">
        <f>IFERROR(INDEX(BASE_CCLASSTRIB!$E:$E, MATCH(TEXT($D624,"000000"), BASE_CCLASSTRIB!$A:$A, 0))/100, 0)</f>
        <v>0</v>
      </c>
      <c r="V624" s="16">
        <f>IFERROR(INDEX(BASE_CCLASSTRIB!$F:$F, MATCH(TEXT($D624,"000000"), BASE_CCLASSTRIB!$A:$A, 0))/100, 0)</f>
        <v>0</v>
      </c>
    </row>
    <row r="625" spans="4:22" ht="32.25" customHeight="1">
      <c r="D625" s="39"/>
      <c r="E625" s="27" t="str">
        <f>IF(D625="","",LEFT(D625,3))</f>
        <v/>
      </c>
      <c r="F625" s="28" t="str">
        <f>IF(E625="","",IFERROR(VLOOKUP(E625,REGRAS_CST!$A$2:$B$200,2,FALSE),""))</f>
        <v/>
      </c>
      <c r="H625" s="29">
        <v>8.9999999999999993E-3</v>
      </c>
      <c r="I625" s="29">
        <v>1E-3</v>
      </c>
      <c r="K625" s="21" t="str">
        <f>IF(E625="","",IFERROR(VLOOKUP(E625,REGRAS_CST!$A$2:$C$200,3,FALSE),""))</f>
        <v/>
      </c>
      <c r="L625" s="23" t="str">
        <f>IF($G625="", "", $G625*(1-$V625))</f>
        <v/>
      </c>
      <c r="M625" s="24" t="str">
        <f>IF(OR($L625="",$S625=""),"",$L625*$S625)</f>
        <v/>
      </c>
      <c r="N625" s="24" t="str">
        <f>IF(OR($L625="",$T625=""),"",$L625*$T625)</f>
        <v/>
      </c>
      <c r="O625" s="15" t="str">
        <f>IF(D625="","",
IF(AND(K625&lt;&gt;"SIM",V625&gt;0),"ERRO: % BC &gt; 0, mas NÃO permitida ❌",
IF(AND(K625="SIM",V625=0),"ATENÇÃO: BC permitida, mas % = 0 🔎",
"Base de cálculo aplicada corretamente ✅")))</f>
        <v/>
      </c>
      <c r="P625" s="31" t="str">
        <f>IF(D625="","",
IF(AND(Q625&lt;&gt;"SIM",U625&gt;0),"ERRO: % alíquota &gt; 0, mas NÃO permitida ❌",
IF(AND(Q625="SIM",U625=0),"ATENÇÃO: alíquota permitida, mas % = 0 🔎",
"Alíquota aplicada corretamente ✅")))</f>
        <v/>
      </c>
      <c r="Q625" s="8" t="str">
        <f>IF(E625="","",IFERROR(VLOOKUP(E625,REGRAS_CST!$A$2:$D$200,4,FALSE),""))</f>
        <v/>
      </c>
      <c r="S625" s="9">
        <f>IF($H625="","",$H625*(1-$U625))</f>
        <v>8.9999999999999993E-3</v>
      </c>
      <c r="T625" s="9">
        <f>IF($I625="","",$I625*(1-$U625))</f>
        <v>1E-3</v>
      </c>
      <c r="U625" s="16">
        <f>IFERROR(INDEX(BASE_CCLASSTRIB!$E:$E, MATCH(TEXT($D625,"000000"), BASE_CCLASSTRIB!$A:$A, 0))/100, 0)</f>
        <v>0</v>
      </c>
      <c r="V625" s="16">
        <f>IFERROR(INDEX(BASE_CCLASSTRIB!$F:$F, MATCH(TEXT($D625,"000000"), BASE_CCLASSTRIB!$A:$A, 0))/100, 0)</f>
        <v>0</v>
      </c>
    </row>
    <row r="626" spans="4:22" ht="32.25" customHeight="1">
      <c r="D626" s="39"/>
      <c r="E626" s="27" t="str">
        <f>IF(D626="","",LEFT(D626,3))</f>
        <v/>
      </c>
      <c r="F626" s="28" t="str">
        <f>IF(E626="","",IFERROR(VLOOKUP(E626,REGRAS_CST!$A$2:$B$200,2,FALSE),""))</f>
        <v/>
      </c>
      <c r="H626" s="29">
        <v>8.9999999999999993E-3</v>
      </c>
      <c r="I626" s="29">
        <v>1E-3</v>
      </c>
      <c r="K626" s="21" t="str">
        <f>IF(E626="","",IFERROR(VLOOKUP(E626,REGRAS_CST!$A$2:$C$200,3,FALSE),""))</f>
        <v/>
      </c>
      <c r="L626" s="23" t="str">
        <f>IF($G626="", "", $G626*(1-$V626))</f>
        <v/>
      </c>
      <c r="M626" s="24" t="str">
        <f>IF(OR($L626="",$S626=""),"",$L626*$S626)</f>
        <v/>
      </c>
      <c r="N626" s="24" t="str">
        <f>IF(OR($L626="",$T626=""),"",$L626*$T626)</f>
        <v/>
      </c>
      <c r="O626" s="15" t="str">
        <f>IF(D626="","",
IF(AND(K626&lt;&gt;"SIM",V626&gt;0),"ERRO: % BC &gt; 0, mas NÃO permitida ❌",
IF(AND(K626="SIM",V626=0),"ATENÇÃO: BC permitida, mas % = 0 🔎",
"Base de cálculo aplicada corretamente ✅")))</f>
        <v/>
      </c>
      <c r="P626" s="31" t="str">
        <f>IF(D626="","",
IF(AND(Q626&lt;&gt;"SIM",U626&gt;0),"ERRO: % alíquota &gt; 0, mas NÃO permitida ❌",
IF(AND(Q626="SIM",U626=0),"ATENÇÃO: alíquota permitida, mas % = 0 🔎",
"Alíquota aplicada corretamente ✅")))</f>
        <v/>
      </c>
      <c r="Q626" s="8" t="str">
        <f>IF(E626="","",IFERROR(VLOOKUP(E626,REGRAS_CST!$A$2:$D$200,4,FALSE),""))</f>
        <v/>
      </c>
      <c r="S626" s="9">
        <f>IF($H626="","",$H626*(1-$U626))</f>
        <v>8.9999999999999993E-3</v>
      </c>
      <c r="T626" s="9">
        <f>IF($I626="","",$I626*(1-$U626))</f>
        <v>1E-3</v>
      </c>
      <c r="U626" s="16">
        <f>IFERROR(INDEX(BASE_CCLASSTRIB!$E:$E, MATCH(TEXT($D626,"000000"), BASE_CCLASSTRIB!$A:$A, 0))/100, 0)</f>
        <v>0</v>
      </c>
      <c r="V626" s="16">
        <f>IFERROR(INDEX(BASE_CCLASSTRIB!$F:$F, MATCH(TEXT($D626,"000000"), BASE_CCLASSTRIB!$A:$A, 0))/100, 0)</f>
        <v>0</v>
      </c>
    </row>
    <row r="627" spans="4:22" ht="32.25" customHeight="1">
      <c r="D627" s="39"/>
      <c r="E627" s="27" t="str">
        <f>IF(D627="","",LEFT(D627,3))</f>
        <v/>
      </c>
      <c r="F627" s="28" t="str">
        <f>IF(E627="","",IFERROR(VLOOKUP(E627,REGRAS_CST!$A$2:$B$200,2,FALSE),""))</f>
        <v/>
      </c>
      <c r="H627" s="29">
        <v>8.9999999999999993E-3</v>
      </c>
      <c r="I627" s="29">
        <v>1E-3</v>
      </c>
      <c r="K627" s="21" t="str">
        <f>IF(E627="","",IFERROR(VLOOKUP(E627,REGRAS_CST!$A$2:$C$200,3,FALSE),""))</f>
        <v/>
      </c>
      <c r="L627" s="23" t="str">
        <f>IF($G627="", "", $G627*(1-$V627))</f>
        <v/>
      </c>
      <c r="M627" s="24" t="str">
        <f>IF(OR($L627="",$S627=""),"",$L627*$S627)</f>
        <v/>
      </c>
      <c r="N627" s="24" t="str">
        <f>IF(OR($L627="",$T627=""),"",$L627*$T627)</f>
        <v/>
      </c>
      <c r="O627" s="15" t="str">
        <f>IF(D627="","",
IF(AND(K627&lt;&gt;"SIM",V627&gt;0),"ERRO: % BC &gt; 0, mas NÃO permitida ❌",
IF(AND(K627="SIM",V627=0),"ATENÇÃO: BC permitida, mas % = 0 🔎",
"Base de cálculo aplicada corretamente ✅")))</f>
        <v/>
      </c>
      <c r="P627" s="31" t="str">
        <f>IF(D627="","",
IF(AND(Q627&lt;&gt;"SIM",U627&gt;0),"ERRO: % alíquota &gt; 0, mas NÃO permitida ❌",
IF(AND(Q627="SIM",U627=0),"ATENÇÃO: alíquota permitida, mas % = 0 🔎",
"Alíquota aplicada corretamente ✅")))</f>
        <v/>
      </c>
      <c r="Q627" s="8" t="str">
        <f>IF(E627="","",IFERROR(VLOOKUP(E627,REGRAS_CST!$A$2:$D$200,4,FALSE),""))</f>
        <v/>
      </c>
      <c r="S627" s="9">
        <f>IF($H627="","",$H627*(1-$U627))</f>
        <v>8.9999999999999993E-3</v>
      </c>
      <c r="T627" s="9">
        <f>IF($I627="","",$I627*(1-$U627))</f>
        <v>1E-3</v>
      </c>
      <c r="U627" s="16">
        <f>IFERROR(INDEX(BASE_CCLASSTRIB!$E:$E, MATCH(TEXT($D627,"000000"), BASE_CCLASSTRIB!$A:$A, 0))/100, 0)</f>
        <v>0</v>
      </c>
      <c r="V627" s="16">
        <f>IFERROR(INDEX(BASE_CCLASSTRIB!$F:$F, MATCH(TEXT($D627,"000000"), BASE_CCLASSTRIB!$A:$A, 0))/100, 0)</f>
        <v>0</v>
      </c>
    </row>
    <row r="628" spans="4:22" ht="32.25" customHeight="1">
      <c r="D628" s="39"/>
      <c r="E628" s="27" t="str">
        <f>IF(D628="","",LEFT(D628,3))</f>
        <v/>
      </c>
      <c r="F628" s="28" t="str">
        <f>IF(E628="","",IFERROR(VLOOKUP(E628,REGRAS_CST!$A$2:$B$200,2,FALSE),""))</f>
        <v/>
      </c>
      <c r="H628" s="29">
        <v>8.9999999999999993E-3</v>
      </c>
      <c r="I628" s="29">
        <v>1E-3</v>
      </c>
      <c r="K628" s="21" t="str">
        <f>IF(E628="","",IFERROR(VLOOKUP(E628,REGRAS_CST!$A$2:$C$200,3,FALSE),""))</f>
        <v/>
      </c>
      <c r="L628" s="23" t="str">
        <f>IF($G628="", "", $G628*(1-$V628))</f>
        <v/>
      </c>
      <c r="M628" s="24" t="str">
        <f>IF(OR($L628="",$S628=""),"",$L628*$S628)</f>
        <v/>
      </c>
      <c r="N628" s="24" t="str">
        <f>IF(OR($L628="",$T628=""),"",$L628*$T628)</f>
        <v/>
      </c>
      <c r="O628" s="15" t="str">
        <f>IF(D628="","",
IF(AND(K628&lt;&gt;"SIM",V628&gt;0),"ERRO: % BC &gt; 0, mas NÃO permitida ❌",
IF(AND(K628="SIM",V628=0),"ATENÇÃO: BC permitida, mas % = 0 🔎",
"Base de cálculo aplicada corretamente ✅")))</f>
        <v/>
      </c>
      <c r="P628" s="31" t="str">
        <f>IF(D628="","",
IF(AND(Q628&lt;&gt;"SIM",U628&gt;0),"ERRO: % alíquota &gt; 0, mas NÃO permitida ❌",
IF(AND(Q628="SIM",U628=0),"ATENÇÃO: alíquota permitida, mas % = 0 🔎",
"Alíquota aplicada corretamente ✅")))</f>
        <v/>
      </c>
      <c r="Q628" s="8" t="str">
        <f>IF(E628="","",IFERROR(VLOOKUP(E628,REGRAS_CST!$A$2:$D$200,4,FALSE),""))</f>
        <v/>
      </c>
      <c r="S628" s="9">
        <f>IF($H628="","",$H628*(1-$U628))</f>
        <v>8.9999999999999993E-3</v>
      </c>
      <c r="T628" s="9">
        <f>IF($I628="","",$I628*(1-$U628))</f>
        <v>1E-3</v>
      </c>
      <c r="U628" s="16">
        <f>IFERROR(INDEX(BASE_CCLASSTRIB!$E:$E, MATCH(TEXT($D628,"000000"), BASE_CCLASSTRIB!$A:$A, 0))/100, 0)</f>
        <v>0</v>
      </c>
      <c r="V628" s="16">
        <f>IFERROR(INDEX(BASE_CCLASSTRIB!$F:$F, MATCH(TEXT($D628,"000000"), BASE_CCLASSTRIB!$A:$A, 0))/100, 0)</f>
        <v>0</v>
      </c>
    </row>
    <row r="629" spans="4:22" ht="32.25" customHeight="1">
      <c r="D629" s="39"/>
      <c r="E629" s="27" t="str">
        <f>IF(D629="","",LEFT(D629,3))</f>
        <v/>
      </c>
      <c r="F629" s="28" t="str">
        <f>IF(E629="","",IFERROR(VLOOKUP(E629,REGRAS_CST!$A$2:$B$200,2,FALSE),""))</f>
        <v/>
      </c>
      <c r="H629" s="29">
        <v>8.9999999999999993E-3</v>
      </c>
      <c r="I629" s="29">
        <v>1E-3</v>
      </c>
      <c r="K629" s="21" t="str">
        <f>IF(E629="","",IFERROR(VLOOKUP(E629,REGRAS_CST!$A$2:$C$200,3,FALSE),""))</f>
        <v/>
      </c>
      <c r="L629" s="23" t="str">
        <f>IF($G629="", "", $G629*(1-$V629))</f>
        <v/>
      </c>
      <c r="M629" s="24" t="str">
        <f>IF(OR($L629="",$S629=""),"",$L629*$S629)</f>
        <v/>
      </c>
      <c r="N629" s="24" t="str">
        <f>IF(OR($L629="",$T629=""),"",$L629*$T629)</f>
        <v/>
      </c>
      <c r="O629" s="15" t="str">
        <f>IF(D629="","",
IF(AND(K629&lt;&gt;"SIM",V629&gt;0),"ERRO: % BC &gt; 0, mas NÃO permitida ❌",
IF(AND(K629="SIM",V629=0),"ATENÇÃO: BC permitida, mas % = 0 🔎",
"Base de cálculo aplicada corretamente ✅")))</f>
        <v/>
      </c>
      <c r="P629" s="31" t="str">
        <f>IF(D629="","",
IF(AND(Q629&lt;&gt;"SIM",U629&gt;0),"ERRO: % alíquota &gt; 0, mas NÃO permitida ❌",
IF(AND(Q629="SIM",U629=0),"ATENÇÃO: alíquota permitida, mas % = 0 🔎",
"Alíquota aplicada corretamente ✅")))</f>
        <v/>
      </c>
      <c r="Q629" s="8" t="str">
        <f>IF(E629="","",IFERROR(VLOOKUP(E629,REGRAS_CST!$A$2:$D$200,4,FALSE),""))</f>
        <v/>
      </c>
      <c r="S629" s="9">
        <f>IF($H629="","",$H629*(1-$U629))</f>
        <v>8.9999999999999993E-3</v>
      </c>
      <c r="T629" s="9">
        <f>IF($I629="","",$I629*(1-$U629))</f>
        <v>1E-3</v>
      </c>
      <c r="U629" s="16">
        <f>IFERROR(INDEX(BASE_CCLASSTRIB!$E:$E, MATCH(TEXT($D629,"000000"), BASE_CCLASSTRIB!$A:$A, 0))/100, 0)</f>
        <v>0</v>
      </c>
      <c r="V629" s="16">
        <f>IFERROR(INDEX(BASE_CCLASSTRIB!$F:$F, MATCH(TEXT($D629,"000000"), BASE_CCLASSTRIB!$A:$A, 0))/100, 0)</f>
        <v>0</v>
      </c>
    </row>
    <row r="630" spans="4:22" ht="32.25" customHeight="1">
      <c r="D630" s="40"/>
      <c r="E630" s="27" t="str">
        <f>IF(D630="","",LEFT(D630,3))</f>
        <v/>
      </c>
      <c r="F630" s="28" t="str">
        <f>IF(E630="","",IFERROR(VLOOKUP(E630,REGRAS_CST!$A$2:$B$200,2,FALSE),""))</f>
        <v/>
      </c>
      <c r="H630" s="29">
        <v>8.9999999999999993E-3</v>
      </c>
      <c r="I630" s="29">
        <v>1E-3</v>
      </c>
      <c r="K630" s="21" t="str">
        <f>IF(E630="","",IFERROR(VLOOKUP(E630,REGRAS_CST!$A$2:$C$200,3,FALSE),""))</f>
        <v/>
      </c>
      <c r="L630" s="23" t="str">
        <f>IF($G630="", "", $G630*(1-$V630))</f>
        <v/>
      </c>
      <c r="M630" s="24" t="str">
        <f>IF(OR($L630="",$S630=""),"",$L630*$S630)</f>
        <v/>
      </c>
      <c r="N630" s="24" t="str">
        <f>IF(OR($L630="",$T630=""),"",$L630*$T630)</f>
        <v/>
      </c>
      <c r="O630" s="15" t="str">
        <f>IF(D630="","",
IF(AND(K630&lt;&gt;"SIM",V630&gt;0),"ERRO: % BC &gt; 0, mas NÃO permitida ❌",
IF(AND(K630="SIM",V630=0),"ATENÇÃO: BC permitida, mas % = 0 🔎",
"Base de cálculo aplicada corretamente ✅")))</f>
        <v/>
      </c>
      <c r="P630" s="31" t="str">
        <f>IF(D630="","",
IF(AND(Q630&lt;&gt;"SIM",U630&gt;0),"ERRO: % alíquota &gt; 0, mas NÃO permitida ❌",
IF(AND(Q630="SIM",U630=0),"ATENÇÃO: alíquota permitida, mas % = 0 🔎",
"Alíquota aplicada corretamente ✅")))</f>
        <v/>
      </c>
      <c r="Q630" s="8" t="str">
        <f>IF(E630="","",IFERROR(VLOOKUP(E630,REGRAS_CST!$A$2:$D$200,4,FALSE),""))</f>
        <v/>
      </c>
      <c r="S630" s="9">
        <f>IF($H630="","",$H630*(1-$U630))</f>
        <v>8.9999999999999993E-3</v>
      </c>
      <c r="T630" s="9">
        <f>IF($I630="","",$I630*(1-$U630))</f>
        <v>1E-3</v>
      </c>
      <c r="U630" s="16">
        <f>IFERROR(INDEX(BASE_CCLASSTRIB!$E:$E, MATCH(TEXT($D630,"000000"), BASE_CCLASSTRIB!$A:$A, 0))/100, 0)</f>
        <v>0</v>
      </c>
      <c r="V630" s="16">
        <f>IFERROR(INDEX(BASE_CCLASSTRIB!$F:$F, MATCH(TEXT($D630,"000000"), BASE_CCLASSTRIB!$A:$A, 0))/100, 0)</f>
        <v>0</v>
      </c>
    </row>
    <row r="631" spans="4:22" ht="32.25" customHeight="1">
      <c r="D631" s="39"/>
      <c r="E631" s="27" t="str">
        <f>IF(D631="","",LEFT(D631,3))</f>
        <v/>
      </c>
      <c r="F631" s="28" t="str">
        <f>IF(E631="","",IFERROR(VLOOKUP(E631,REGRAS_CST!$A$2:$B$200,2,FALSE),""))</f>
        <v/>
      </c>
      <c r="H631" s="29">
        <v>8.9999999999999993E-3</v>
      </c>
      <c r="I631" s="29">
        <v>1E-3</v>
      </c>
      <c r="K631" s="21" t="str">
        <f>IF(E631="","",IFERROR(VLOOKUP(E631,REGRAS_CST!$A$2:$C$200,3,FALSE),""))</f>
        <v/>
      </c>
      <c r="L631" s="23" t="str">
        <f>IF($G631="", "", $G631*(1-$V631))</f>
        <v/>
      </c>
      <c r="M631" s="24" t="str">
        <f>IF(OR($L631="",$S631=""),"",$L631*$S631)</f>
        <v/>
      </c>
      <c r="N631" s="24" t="str">
        <f>IF(OR($L631="",$T631=""),"",$L631*$T631)</f>
        <v/>
      </c>
      <c r="O631" s="15" t="str">
        <f>IF(D631="","",
IF(AND(K631&lt;&gt;"SIM",V631&gt;0),"ERRO: % BC &gt; 0, mas NÃO permitida ❌",
IF(AND(K631="SIM",V631=0),"ATENÇÃO: BC permitida, mas % = 0 🔎",
"Base de cálculo aplicada corretamente ✅")))</f>
        <v/>
      </c>
      <c r="P631" s="31" t="str">
        <f>IF(D631="","",
IF(AND(Q631&lt;&gt;"SIM",U631&gt;0),"ERRO: % alíquota &gt; 0, mas NÃO permitida ❌",
IF(AND(Q631="SIM",U631=0),"ATENÇÃO: alíquota permitida, mas % = 0 🔎",
"Alíquota aplicada corretamente ✅")))</f>
        <v/>
      </c>
      <c r="Q631" s="8" t="str">
        <f>IF(E631="","",IFERROR(VLOOKUP(E631,REGRAS_CST!$A$2:$D$200,4,FALSE),""))</f>
        <v/>
      </c>
      <c r="S631" s="9">
        <f>IF($H631="","",$H631*(1-$U631))</f>
        <v>8.9999999999999993E-3</v>
      </c>
      <c r="T631" s="9">
        <f>IF($I631="","",$I631*(1-$U631))</f>
        <v>1E-3</v>
      </c>
      <c r="U631" s="16">
        <f>IFERROR(INDEX(BASE_CCLASSTRIB!$E:$E, MATCH(TEXT($D631,"000000"), BASE_CCLASSTRIB!$A:$A, 0))/100, 0)</f>
        <v>0</v>
      </c>
      <c r="V631" s="16">
        <f>IFERROR(INDEX(BASE_CCLASSTRIB!$F:$F, MATCH(TEXT($D631,"000000"), BASE_CCLASSTRIB!$A:$A, 0))/100, 0)</f>
        <v>0</v>
      </c>
    </row>
    <row r="632" spans="4:22" ht="32.25" customHeight="1">
      <c r="D632" s="39"/>
      <c r="E632" s="27" t="str">
        <f>IF(D632="","",LEFT(D632,3))</f>
        <v/>
      </c>
      <c r="F632" s="28" t="str">
        <f>IF(E632="","",IFERROR(VLOOKUP(E632,REGRAS_CST!$A$2:$B$200,2,FALSE),""))</f>
        <v/>
      </c>
      <c r="H632" s="29">
        <v>8.9999999999999993E-3</v>
      </c>
      <c r="I632" s="29">
        <v>1E-3</v>
      </c>
      <c r="K632" s="21" t="str">
        <f>IF(E632="","",IFERROR(VLOOKUP(E632,REGRAS_CST!$A$2:$C$200,3,FALSE),""))</f>
        <v/>
      </c>
      <c r="L632" s="23" t="str">
        <f>IF($G632="", "", $G632*(1-$V632))</f>
        <v/>
      </c>
      <c r="M632" s="24" t="str">
        <f>IF(OR($L632="",$S632=""),"",$L632*$S632)</f>
        <v/>
      </c>
      <c r="N632" s="24" t="str">
        <f>IF(OR($L632="",$T632=""),"",$L632*$T632)</f>
        <v/>
      </c>
      <c r="O632" s="15" t="str">
        <f>IF(D632="","",
IF(AND(K632&lt;&gt;"SIM",V632&gt;0),"ERRO: % BC &gt; 0, mas NÃO permitida ❌",
IF(AND(K632="SIM",V632=0),"ATENÇÃO: BC permitida, mas % = 0 🔎",
"Base de cálculo aplicada corretamente ✅")))</f>
        <v/>
      </c>
      <c r="P632" s="31" t="str">
        <f>IF(D632="","",
IF(AND(Q632&lt;&gt;"SIM",U632&gt;0),"ERRO: % alíquota &gt; 0, mas NÃO permitida ❌",
IF(AND(Q632="SIM",U632=0),"ATENÇÃO: alíquota permitida, mas % = 0 🔎",
"Alíquota aplicada corretamente ✅")))</f>
        <v/>
      </c>
      <c r="Q632" s="8" t="str">
        <f>IF(E632="","",IFERROR(VLOOKUP(E632,REGRAS_CST!$A$2:$D$200,4,FALSE),""))</f>
        <v/>
      </c>
      <c r="S632" s="9">
        <f>IF($H632="","",$H632*(1-$U632))</f>
        <v>8.9999999999999993E-3</v>
      </c>
      <c r="T632" s="9">
        <f>IF($I632="","",$I632*(1-$U632))</f>
        <v>1E-3</v>
      </c>
      <c r="U632" s="16">
        <f>IFERROR(INDEX(BASE_CCLASSTRIB!$E:$E, MATCH(TEXT($D632,"000000"), BASE_CCLASSTRIB!$A:$A, 0))/100, 0)</f>
        <v>0</v>
      </c>
      <c r="V632" s="16">
        <f>IFERROR(INDEX(BASE_CCLASSTRIB!$F:$F, MATCH(TEXT($D632,"000000"), BASE_CCLASSTRIB!$A:$A, 0))/100, 0)</f>
        <v>0</v>
      </c>
    </row>
    <row r="633" spans="4:22" ht="32.25" customHeight="1">
      <c r="D633" s="39"/>
      <c r="E633" s="27" t="str">
        <f>IF(D633="","",LEFT(D633,3))</f>
        <v/>
      </c>
      <c r="F633" s="28" t="str">
        <f>IF(E633="","",IFERROR(VLOOKUP(E633,REGRAS_CST!$A$2:$B$200,2,FALSE),""))</f>
        <v/>
      </c>
      <c r="H633" s="29">
        <v>8.9999999999999993E-3</v>
      </c>
      <c r="I633" s="29">
        <v>1E-3</v>
      </c>
      <c r="K633" s="21" t="str">
        <f>IF(E633="","",IFERROR(VLOOKUP(E633,REGRAS_CST!$A$2:$C$200,3,FALSE),""))</f>
        <v/>
      </c>
      <c r="L633" s="23" t="str">
        <f>IF($G633="", "", $G633*(1-$V633))</f>
        <v/>
      </c>
      <c r="M633" s="24" t="str">
        <f>IF(OR($L633="",$S633=""),"",$L633*$S633)</f>
        <v/>
      </c>
      <c r="N633" s="24" t="str">
        <f>IF(OR($L633="",$T633=""),"",$L633*$T633)</f>
        <v/>
      </c>
      <c r="O633" s="15" t="str">
        <f>IF(D633="","",
IF(AND(K633&lt;&gt;"SIM",V633&gt;0),"ERRO: % BC &gt; 0, mas NÃO permitida ❌",
IF(AND(K633="SIM",V633=0),"ATENÇÃO: BC permitida, mas % = 0 🔎",
"Base de cálculo aplicada corretamente ✅")))</f>
        <v/>
      </c>
      <c r="P633" s="31" t="str">
        <f>IF(D633="","",
IF(AND(Q633&lt;&gt;"SIM",U633&gt;0),"ERRO: % alíquota &gt; 0, mas NÃO permitida ❌",
IF(AND(Q633="SIM",U633=0),"ATENÇÃO: alíquota permitida, mas % = 0 🔎",
"Alíquota aplicada corretamente ✅")))</f>
        <v/>
      </c>
      <c r="Q633" s="8" t="str">
        <f>IF(E633="","",IFERROR(VLOOKUP(E633,REGRAS_CST!$A$2:$D$200,4,FALSE),""))</f>
        <v/>
      </c>
      <c r="S633" s="9">
        <f>IF($H633="","",$H633*(1-$U633))</f>
        <v>8.9999999999999993E-3</v>
      </c>
      <c r="T633" s="9">
        <f>IF($I633="","",$I633*(1-$U633))</f>
        <v>1E-3</v>
      </c>
      <c r="U633" s="16">
        <f>IFERROR(INDEX(BASE_CCLASSTRIB!$E:$E, MATCH(TEXT($D633,"000000"), BASE_CCLASSTRIB!$A:$A, 0))/100, 0)</f>
        <v>0</v>
      </c>
      <c r="V633" s="16">
        <f>IFERROR(INDEX(BASE_CCLASSTRIB!$F:$F, MATCH(TEXT($D633,"000000"), BASE_CCLASSTRIB!$A:$A, 0))/100, 0)</f>
        <v>0</v>
      </c>
    </row>
    <row r="634" spans="4:22" ht="32.25" customHeight="1">
      <c r="D634" s="40"/>
      <c r="E634" s="27" t="str">
        <f>IF(D634="","",LEFT(D634,3))</f>
        <v/>
      </c>
      <c r="F634" s="28" t="str">
        <f>IF(E634="","",IFERROR(VLOOKUP(E634,REGRAS_CST!$A$2:$B$200,2,FALSE),""))</f>
        <v/>
      </c>
      <c r="H634" s="29">
        <v>8.9999999999999993E-3</v>
      </c>
      <c r="I634" s="29">
        <v>1E-3</v>
      </c>
      <c r="K634" s="21" t="str">
        <f>IF(E634="","",IFERROR(VLOOKUP(E634,REGRAS_CST!$A$2:$C$200,3,FALSE),""))</f>
        <v/>
      </c>
      <c r="L634" s="23" t="str">
        <f>IF($G634="", "", $G634*(1-$V634))</f>
        <v/>
      </c>
      <c r="M634" s="24" t="str">
        <f>IF(OR($L634="",$S634=""),"",$L634*$S634)</f>
        <v/>
      </c>
      <c r="N634" s="24" t="str">
        <f>IF(OR($L634="",$T634=""),"",$L634*$T634)</f>
        <v/>
      </c>
      <c r="O634" s="15" t="str">
        <f>IF(D634="","",
IF(AND(K634&lt;&gt;"SIM",V634&gt;0),"ERRO: % BC &gt; 0, mas NÃO permitida ❌",
IF(AND(K634="SIM",V634=0),"ATENÇÃO: BC permitida, mas % = 0 🔎",
"Base de cálculo aplicada corretamente ✅")))</f>
        <v/>
      </c>
      <c r="P634" s="31" t="str">
        <f>IF(D634="","",
IF(AND(Q634&lt;&gt;"SIM",U634&gt;0),"ERRO: % alíquota &gt; 0, mas NÃO permitida ❌",
IF(AND(Q634="SIM",U634=0),"ATENÇÃO: alíquota permitida, mas % = 0 🔎",
"Alíquota aplicada corretamente ✅")))</f>
        <v/>
      </c>
      <c r="Q634" s="8" t="str">
        <f>IF(E634="","",IFERROR(VLOOKUP(E634,REGRAS_CST!$A$2:$D$200,4,FALSE),""))</f>
        <v/>
      </c>
      <c r="S634" s="9">
        <f>IF($H634="","",$H634*(1-$U634))</f>
        <v>8.9999999999999993E-3</v>
      </c>
      <c r="T634" s="9">
        <f>IF($I634="","",$I634*(1-$U634))</f>
        <v>1E-3</v>
      </c>
      <c r="U634" s="16">
        <f>IFERROR(INDEX(BASE_CCLASSTRIB!$E:$E, MATCH(TEXT($D634,"000000"), BASE_CCLASSTRIB!$A:$A, 0))/100, 0)</f>
        <v>0</v>
      </c>
      <c r="V634" s="16">
        <f>IFERROR(INDEX(BASE_CCLASSTRIB!$F:$F, MATCH(TEXT($D634,"000000"), BASE_CCLASSTRIB!$A:$A, 0))/100, 0)</f>
        <v>0</v>
      </c>
    </row>
    <row r="635" spans="4:22" ht="32.25" customHeight="1">
      <c r="D635" s="40"/>
      <c r="E635" s="27" t="str">
        <f>IF(D635="","",LEFT(D635,3))</f>
        <v/>
      </c>
      <c r="F635" s="28" t="str">
        <f>IF(E635="","",IFERROR(VLOOKUP(E635,REGRAS_CST!$A$2:$B$200,2,FALSE),""))</f>
        <v/>
      </c>
      <c r="H635" s="29">
        <v>8.9999999999999993E-3</v>
      </c>
      <c r="I635" s="29">
        <v>1E-3</v>
      </c>
      <c r="K635" s="21" t="str">
        <f>IF(E635="","",IFERROR(VLOOKUP(E635,REGRAS_CST!$A$2:$C$200,3,FALSE),""))</f>
        <v/>
      </c>
      <c r="L635" s="23" t="str">
        <f>IF($G635="", "", $G635*(1-$V635))</f>
        <v/>
      </c>
      <c r="M635" s="24" t="str">
        <f>IF(OR($L635="",$S635=""),"",$L635*$S635)</f>
        <v/>
      </c>
      <c r="N635" s="24" t="str">
        <f>IF(OR($L635="",$T635=""),"",$L635*$T635)</f>
        <v/>
      </c>
      <c r="O635" s="15" t="str">
        <f>IF(D635="","",
IF(AND(K635&lt;&gt;"SIM",V635&gt;0),"ERRO: % BC &gt; 0, mas NÃO permitida ❌",
IF(AND(K635="SIM",V635=0),"ATENÇÃO: BC permitida, mas % = 0 🔎",
"Base de cálculo aplicada corretamente ✅")))</f>
        <v/>
      </c>
      <c r="P635" s="31" t="str">
        <f>IF(D635="","",
IF(AND(Q635&lt;&gt;"SIM",U635&gt;0),"ERRO: % alíquota &gt; 0, mas NÃO permitida ❌",
IF(AND(Q635="SIM",U635=0),"ATENÇÃO: alíquota permitida, mas % = 0 🔎",
"Alíquota aplicada corretamente ✅")))</f>
        <v/>
      </c>
      <c r="Q635" s="8" t="str">
        <f>IF(E635="","",IFERROR(VLOOKUP(E635,REGRAS_CST!$A$2:$D$200,4,FALSE),""))</f>
        <v/>
      </c>
      <c r="S635" s="9">
        <f>IF($H635="","",$H635*(1-$U635))</f>
        <v>8.9999999999999993E-3</v>
      </c>
      <c r="T635" s="9">
        <f>IF($I635="","",$I635*(1-$U635))</f>
        <v>1E-3</v>
      </c>
      <c r="U635" s="16">
        <f>IFERROR(INDEX(BASE_CCLASSTRIB!$E:$E, MATCH(TEXT($D635,"000000"), BASE_CCLASSTRIB!$A:$A, 0))/100, 0)</f>
        <v>0</v>
      </c>
      <c r="V635" s="16">
        <f>IFERROR(INDEX(BASE_CCLASSTRIB!$F:$F, MATCH(TEXT($D635,"000000"), BASE_CCLASSTRIB!$A:$A, 0))/100, 0)</f>
        <v>0</v>
      </c>
    </row>
    <row r="636" spans="4:22" ht="32.25" customHeight="1">
      <c r="D636" s="39"/>
      <c r="E636" s="27" t="str">
        <f>IF(D636="","",LEFT(D636,3))</f>
        <v/>
      </c>
      <c r="F636" s="28" t="str">
        <f>IF(E636="","",IFERROR(VLOOKUP(E636,REGRAS_CST!$A$2:$B$200,2,FALSE),""))</f>
        <v/>
      </c>
      <c r="H636" s="29">
        <v>8.9999999999999993E-3</v>
      </c>
      <c r="I636" s="29">
        <v>1E-3</v>
      </c>
      <c r="K636" s="21" t="str">
        <f>IF(E636="","",IFERROR(VLOOKUP(E636,REGRAS_CST!$A$2:$C$200,3,FALSE),""))</f>
        <v/>
      </c>
      <c r="L636" s="23" t="str">
        <f>IF($G636="", "", $G636*(1-$V636))</f>
        <v/>
      </c>
      <c r="M636" s="24" t="str">
        <f>IF(OR($L636="",$S636=""),"",$L636*$S636)</f>
        <v/>
      </c>
      <c r="N636" s="24" t="str">
        <f>IF(OR($L636="",$T636=""),"",$L636*$T636)</f>
        <v/>
      </c>
      <c r="O636" s="15" t="str">
        <f>IF(D636="","",
IF(AND(K636&lt;&gt;"SIM",V636&gt;0),"ERRO: % BC &gt; 0, mas NÃO permitida ❌",
IF(AND(K636="SIM",V636=0),"ATENÇÃO: BC permitida, mas % = 0 🔎",
"Base de cálculo aplicada corretamente ✅")))</f>
        <v/>
      </c>
      <c r="P636" s="31" t="str">
        <f>IF(D636="","",
IF(AND(Q636&lt;&gt;"SIM",U636&gt;0),"ERRO: % alíquota &gt; 0, mas NÃO permitida ❌",
IF(AND(Q636="SIM",U636=0),"ATENÇÃO: alíquota permitida, mas % = 0 🔎",
"Alíquota aplicada corretamente ✅")))</f>
        <v/>
      </c>
      <c r="Q636" s="8" t="str">
        <f>IF(E636="","",IFERROR(VLOOKUP(E636,REGRAS_CST!$A$2:$D$200,4,FALSE),""))</f>
        <v/>
      </c>
      <c r="S636" s="9">
        <f>IF($H636="","",$H636*(1-$U636))</f>
        <v>8.9999999999999993E-3</v>
      </c>
      <c r="T636" s="9">
        <f>IF($I636="","",$I636*(1-$U636))</f>
        <v>1E-3</v>
      </c>
      <c r="U636" s="16">
        <f>IFERROR(INDEX(BASE_CCLASSTRIB!$E:$E, MATCH(TEXT($D636,"000000"), BASE_CCLASSTRIB!$A:$A, 0))/100, 0)</f>
        <v>0</v>
      </c>
      <c r="V636" s="16">
        <f>IFERROR(INDEX(BASE_CCLASSTRIB!$F:$F, MATCH(TEXT($D636,"000000"), BASE_CCLASSTRIB!$A:$A, 0))/100, 0)</f>
        <v>0</v>
      </c>
    </row>
    <row r="637" spans="4:22" ht="32.25" customHeight="1">
      <c r="D637" s="39"/>
      <c r="E637" s="27" t="str">
        <f>IF(D637="","",LEFT(D637,3))</f>
        <v/>
      </c>
      <c r="F637" s="28" t="str">
        <f>IF(E637="","",IFERROR(VLOOKUP(E637,REGRAS_CST!$A$2:$B$200,2,FALSE),""))</f>
        <v/>
      </c>
      <c r="H637" s="29">
        <v>8.9999999999999993E-3</v>
      </c>
      <c r="I637" s="29">
        <v>1E-3</v>
      </c>
      <c r="K637" s="21" t="str">
        <f>IF(E637="","",IFERROR(VLOOKUP(E637,REGRAS_CST!$A$2:$C$200,3,FALSE),""))</f>
        <v/>
      </c>
      <c r="L637" s="23" t="str">
        <f>IF($G637="", "", $G637*(1-$V637))</f>
        <v/>
      </c>
      <c r="M637" s="24" t="str">
        <f>IF(OR($L637="",$S637=""),"",$L637*$S637)</f>
        <v/>
      </c>
      <c r="N637" s="24" t="str">
        <f>IF(OR($L637="",$T637=""),"",$L637*$T637)</f>
        <v/>
      </c>
      <c r="O637" s="15" t="str">
        <f>IF(D637="","",
IF(AND(K637&lt;&gt;"SIM",V637&gt;0),"ERRO: % BC &gt; 0, mas NÃO permitida ❌",
IF(AND(K637="SIM",V637=0),"ATENÇÃO: BC permitida, mas % = 0 🔎",
"Base de cálculo aplicada corretamente ✅")))</f>
        <v/>
      </c>
      <c r="P637" s="31" t="str">
        <f>IF(D637="","",
IF(AND(Q637&lt;&gt;"SIM",U637&gt;0),"ERRO: % alíquota &gt; 0, mas NÃO permitida ❌",
IF(AND(Q637="SIM",U637=0),"ATENÇÃO: alíquota permitida, mas % = 0 🔎",
"Alíquota aplicada corretamente ✅")))</f>
        <v/>
      </c>
      <c r="Q637" s="8" t="str">
        <f>IF(E637="","",IFERROR(VLOOKUP(E637,REGRAS_CST!$A$2:$D$200,4,FALSE),""))</f>
        <v/>
      </c>
      <c r="S637" s="9">
        <f>IF($H637="","",$H637*(1-$U637))</f>
        <v>8.9999999999999993E-3</v>
      </c>
      <c r="T637" s="9">
        <f>IF($I637="","",$I637*(1-$U637))</f>
        <v>1E-3</v>
      </c>
      <c r="U637" s="16">
        <f>IFERROR(INDEX(BASE_CCLASSTRIB!$E:$E, MATCH(TEXT($D637,"000000"), BASE_CCLASSTRIB!$A:$A, 0))/100, 0)</f>
        <v>0</v>
      </c>
      <c r="V637" s="16">
        <f>IFERROR(INDEX(BASE_CCLASSTRIB!$F:$F, MATCH(TEXT($D637,"000000"), BASE_CCLASSTRIB!$A:$A, 0))/100, 0)</f>
        <v>0</v>
      </c>
    </row>
    <row r="638" spans="4:22" ht="32.25" customHeight="1">
      <c r="D638" s="39"/>
      <c r="E638" s="27" t="str">
        <f>IF(D638="","",LEFT(D638,3))</f>
        <v/>
      </c>
      <c r="F638" s="28" t="str">
        <f>IF(E638="","",IFERROR(VLOOKUP(E638,REGRAS_CST!$A$2:$B$200,2,FALSE),""))</f>
        <v/>
      </c>
      <c r="H638" s="29">
        <v>8.9999999999999993E-3</v>
      </c>
      <c r="I638" s="29">
        <v>1E-3</v>
      </c>
      <c r="K638" s="21" t="str">
        <f>IF(E638="","",IFERROR(VLOOKUP(E638,REGRAS_CST!$A$2:$C$200,3,FALSE),""))</f>
        <v/>
      </c>
      <c r="L638" s="23" t="str">
        <f>IF($G638="", "", $G638*(1-$V638))</f>
        <v/>
      </c>
      <c r="M638" s="24" t="str">
        <f>IF(OR($L638="",$S638=""),"",$L638*$S638)</f>
        <v/>
      </c>
      <c r="N638" s="24" t="str">
        <f>IF(OR($L638="",$T638=""),"",$L638*$T638)</f>
        <v/>
      </c>
      <c r="O638" s="15" t="str">
        <f>IF(D638="","",
IF(AND(K638&lt;&gt;"SIM",V638&gt;0),"ERRO: % BC &gt; 0, mas NÃO permitida ❌",
IF(AND(K638="SIM",V638=0),"ATENÇÃO: BC permitida, mas % = 0 🔎",
"Base de cálculo aplicada corretamente ✅")))</f>
        <v/>
      </c>
      <c r="P638" s="31" t="str">
        <f>IF(D638="","",
IF(AND(Q638&lt;&gt;"SIM",U638&gt;0),"ERRO: % alíquota &gt; 0, mas NÃO permitida ❌",
IF(AND(Q638="SIM",U638=0),"ATENÇÃO: alíquota permitida, mas % = 0 🔎",
"Alíquota aplicada corretamente ✅")))</f>
        <v/>
      </c>
      <c r="Q638" s="8" t="str">
        <f>IF(E638="","",IFERROR(VLOOKUP(E638,REGRAS_CST!$A$2:$D$200,4,FALSE),""))</f>
        <v/>
      </c>
      <c r="S638" s="9">
        <f>IF($H638="","",$H638*(1-$U638))</f>
        <v>8.9999999999999993E-3</v>
      </c>
      <c r="T638" s="9">
        <f>IF($I638="","",$I638*(1-$U638))</f>
        <v>1E-3</v>
      </c>
      <c r="U638" s="16">
        <f>IFERROR(INDEX(BASE_CCLASSTRIB!$E:$E, MATCH(TEXT($D638,"000000"), BASE_CCLASSTRIB!$A:$A, 0))/100, 0)</f>
        <v>0</v>
      </c>
      <c r="V638" s="16">
        <f>IFERROR(INDEX(BASE_CCLASSTRIB!$F:$F, MATCH(TEXT($D638,"000000"), BASE_CCLASSTRIB!$A:$A, 0))/100, 0)</f>
        <v>0</v>
      </c>
    </row>
    <row r="639" spans="4:22" ht="32.25" customHeight="1">
      <c r="D639" s="39"/>
      <c r="E639" s="27" t="str">
        <f>IF(D639="","",LEFT(D639,3))</f>
        <v/>
      </c>
      <c r="F639" s="28" t="str">
        <f>IF(E639="","",IFERROR(VLOOKUP(E639,REGRAS_CST!$A$2:$B$200,2,FALSE),""))</f>
        <v/>
      </c>
      <c r="H639" s="29">
        <v>8.9999999999999993E-3</v>
      </c>
      <c r="I639" s="29">
        <v>1E-3</v>
      </c>
      <c r="K639" s="21" t="str">
        <f>IF(E639="","",IFERROR(VLOOKUP(E639,REGRAS_CST!$A$2:$C$200,3,FALSE),""))</f>
        <v/>
      </c>
      <c r="L639" s="23" t="str">
        <f>IF($G639="", "", $G639*(1-$V639))</f>
        <v/>
      </c>
      <c r="M639" s="24" t="str">
        <f>IF(OR($L639="",$S639=""),"",$L639*$S639)</f>
        <v/>
      </c>
      <c r="N639" s="24" t="str">
        <f>IF(OR($L639="",$T639=""),"",$L639*$T639)</f>
        <v/>
      </c>
      <c r="O639" s="15" t="str">
        <f>IF(D639="","",
IF(AND(K639&lt;&gt;"SIM",V639&gt;0),"ERRO: % BC &gt; 0, mas NÃO permitida ❌",
IF(AND(K639="SIM",V639=0),"ATENÇÃO: BC permitida, mas % = 0 🔎",
"Base de cálculo aplicada corretamente ✅")))</f>
        <v/>
      </c>
      <c r="P639" s="31" t="str">
        <f>IF(D639="","",
IF(AND(Q639&lt;&gt;"SIM",U639&gt;0),"ERRO: % alíquota &gt; 0, mas NÃO permitida ❌",
IF(AND(Q639="SIM",U639=0),"ATENÇÃO: alíquota permitida, mas % = 0 🔎",
"Alíquota aplicada corretamente ✅")))</f>
        <v/>
      </c>
      <c r="Q639" s="8" t="str">
        <f>IF(E639="","",IFERROR(VLOOKUP(E639,REGRAS_CST!$A$2:$D$200,4,FALSE),""))</f>
        <v/>
      </c>
      <c r="S639" s="9">
        <f>IF($H639="","",$H639*(1-$U639))</f>
        <v>8.9999999999999993E-3</v>
      </c>
      <c r="T639" s="9">
        <f>IF($I639="","",$I639*(1-$U639))</f>
        <v>1E-3</v>
      </c>
      <c r="U639" s="16">
        <f>IFERROR(INDEX(BASE_CCLASSTRIB!$E:$E, MATCH(TEXT($D639,"000000"), BASE_CCLASSTRIB!$A:$A, 0))/100, 0)</f>
        <v>0</v>
      </c>
      <c r="V639" s="16">
        <f>IFERROR(INDEX(BASE_CCLASSTRIB!$F:$F, MATCH(TEXT($D639,"000000"), BASE_CCLASSTRIB!$A:$A, 0))/100, 0)</f>
        <v>0</v>
      </c>
    </row>
    <row r="640" spans="4:22" ht="32.25" customHeight="1">
      <c r="D640" s="39"/>
      <c r="E640" s="27" t="str">
        <f>IF(D640="","",LEFT(D640,3))</f>
        <v/>
      </c>
      <c r="F640" s="28" t="str">
        <f>IF(E640="","",IFERROR(VLOOKUP(E640,REGRAS_CST!$A$2:$B$200,2,FALSE),""))</f>
        <v/>
      </c>
      <c r="H640" s="29">
        <v>8.9999999999999993E-3</v>
      </c>
      <c r="I640" s="29">
        <v>1E-3</v>
      </c>
      <c r="K640" s="21" t="str">
        <f>IF(E640="","",IFERROR(VLOOKUP(E640,REGRAS_CST!$A$2:$C$200,3,FALSE),""))</f>
        <v/>
      </c>
      <c r="L640" s="23" t="str">
        <f>IF($G640="", "", $G640*(1-$V640))</f>
        <v/>
      </c>
      <c r="M640" s="24" t="str">
        <f>IF(OR($L640="",$S640=""),"",$L640*$S640)</f>
        <v/>
      </c>
      <c r="N640" s="24" t="str">
        <f>IF(OR($L640="",$T640=""),"",$L640*$T640)</f>
        <v/>
      </c>
      <c r="O640" s="15" t="str">
        <f>IF(D640="","",
IF(AND(K640&lt;&gt;"SIM",V640&gt;0),"ERRO: % BC &gt; 0, mas NÃO permitida ❌",
IF(AND(K640="SIM",V640=0),"ATENÇÃO: BC permitida, mas % = 0 🔎",
"Base de cálculo aplicada corretamente ✅")))</f>
        <v/>
      </c>
      <c r="P640" s="31" t="str">
        <f>IF(D640="","",
IF(AND(Q640&lt;&gt;"SIM",U640&gt;0),"ERRO: % alíquota &gt; 0, mas NÃO permitida ❌",
IF(AND(Q640="SIM",U640=0),"ATENÇÃO: alíquota permitida, mas % = 0 🔎",
"Alíquota aplicada corretamente ✅")))</f>
        <v/>
      </c>
      <c r="Q640" s="8" t="str">
        <f>IF(E640="","",IFERROR(VLOOKUP(E640,REGRAS_CST!$A$2:$D$200,4,FALSE),""))</f>
        <v/>
      </c>
      <c r="S640" s="9">
        <f>IF($H640="","",$H640*(1-$U640))</f>
        <v>8.9999999999999993E-3</v>
      </c>
      <c r="T640" s="9">
        <f>IF($I640="","",$I640*(1-$U640))</f>
        <v>1E-3</v>
      </c>
      <c r="U640" s="16">
        <f>IFERROR(INDEX(BASE_CCLASSTRIB!$E:$E, MATCH(TEXT($D640,"000000"), BASE_CCLASSTRIB!$A:$A, 0))/100, 0)</f>
        <v>0</v>
      </c>
      <c r="V640" s="16">
        <f>IFERROR(INDEX(BASE_CCLASSTRIB!$F:$F, MATCH(TEXT($D640,"000000"), BASE_CCLASSTRIB!$A:$A, 0))/100, 0)</f>
        <v>0</v>
      </c>
    </row>
    <row r="641" spans="4:22" ht="32.25" customHeight="1">
      <c r="D641" s="39"/>
      <c r="E641" s="27" t="str">
        <f>IF(D641="","",LEFT(D641,3))</f>
        <v/>
      </c>
      <c r="F641" s="28" t="str">
        <f>IF(E641="","",IFERROR(VLOOKUP(E641,REGRAS_CST!$A$2:$B$200,2,FALSE),""))</f>
        <v/>
      </c>
      <c r="H641" s="29">
        <v>8.9999999999999993E-3</v>
      </c>
      <c r="I641" s="29">
        <v>1E-3</v>
      </c>
      <c r="K641" s="21" t="str">
        <f>IF(E641="","",IFERROR(VLOOKUP(E641,REGRAS_CST!$A$2:$C$200,3,FALSE),""))</f>
        <v/>
      </c>
      <c r="L641" s="23" t="str">
        <f>IF($G641="", "", $G641*(1-$V641))</f>
        <v/>
      </c>
      <c r="M641" s="24" t="str">
        <f>IF(OR($L641="",$S641=""),"",$L641*$S641)</f>
        <v/>
      </c>
      <c r="N641" s="24" t="str">
        <f>IF(OR($L641="",$T641=""),"",$L641*$T641)</f>
        <v/>
      </c>
      <c r="O641" s="15" t="str">
        <f>IF(D641="","",
IF(AND(K641&lt;&gt;"SIM",V641&gt;0),"ERRO: % BC &gt; 0, mas NÃO permitida ❌",
IF(AND(K641="SIM",V641=0),"ATENÇÃO: BC permitida, mas % = 0 🔎",
"Base de cálculo aplicada corretamente ✅")))</f>
        <v/>
      </c>
      <c r="P641" s="31" t="str">
        <f>IF(D641="","",
IF(AND(Q641&lt;&gt;"SIM",U641&gt;0),"ERRO: % alíquota &gt; 0, mas NÃO permitida ❌",
IF(AND(Q641="SIM",U641=0),"ATENÇÃO: alíquota permitida, mas % = 0 🔎",
"Alíquota aplicada corretamente ✅")))</f>
        <v/>
      </c>
      <c r="Q641" s="8" t="str">
        <f>IF(E641="","",IFERROR(VLOOKUP(E641,REGRAS_CST!$A$2:$D$200,4,FALSE),""))</f>
        <v/>
      </c>
      <c r="S641" s="9">
        <f>IF($H641="","",$H641*(1-$U641))</f>
        <v>8.9999999999999993E-3</v>
      </c>
      <c r="T641" s="9">
        <f>IF($I641="","",$I641*(1-$U641))</f>
        <v>1E-3</v>
      </c>
      <c r="U641" s="16">
        <f>IFERROR(INDEX(BASE_CCLASSTRIB!$E:$E, MATCH(TEXT($D641,"000000"), BASE_CCLASSTRIB!$A:$A, 0))/100, 0)</f>
        <v>0</v>
      </c>
      <c r="V641" s="16">
        <f>IFERROR(INDEX(BASE_CCLASSTRIB!$F:$F, MATCH(TEXT($D641,"000000"), BASE_CCLASSTRIB!$A:$A, 0))/100, 0)</f>
        <v>0</v>
      </c>
    </row>
    <row r="642" spans="4:22" ht="32.25" customHeight="1">
      <c r="D642" s="39"/>
      <c r="E642" s="27" t="str">
        <f>IF(D642="","",LEFT(D642,3))</f>
        <v/>
      </c>
      <c r="F642" s="28" t="str">
        <f>IF(E642="","",IFERROR(VLOOKUP(E642,REGRAS_CST!$A$2:$B$200,2,FALSE),""))</f>
        <v/>
      </c>
      <c r="H642" s="29">
        <v>8.9999999999999993E-3</v>
      </c>
      <c r="I642" s="29">
        <v>1E-3</v>
      </c>
      <c r="K642" s="21" t="str">
        <f>IF(E642="","",IFERROR(VLOOKUP(E642,REGRAS_CST!$A$2:$C$200,3,FALSE),""))</f>
        <v/>
      </c>
      <c r="L642" s="23" t="str">
        <f>IF($G642="", "", $G642*(1-$V642))</f>
        <v/>
      </c>
      <c r="M642" s="24" t="str">
        <f>IF(OR($L642="",$S642=""),"",$L642*$S642)</f>
        <v/>
      </c>
      <c r="N642" s="24" t="str">
        <f>IF(OR($L642="",$T642=""),"",$L642*$T642)</f>
        <v/>
      </c>
      <c r="O642" s="15" t="str">
        <f>IF(D642="","",
IF(AND(K642&lt;&gt;"SIM",V642&gt;0),"ERRO: % BC &gt; 0, mas NÃO permitida ❌",
IF(AND(K642="SIM",V642=0),"ATENÇÃO: BC permitida, mas % = 0 🔎",
"Base de cálculo aplicada corretamente ✅")))</f>
        <v/>
      </c>
      <c r="P642" s="31" t="str">
        <f>IF(D642="","",
IF(AND(Q642&lt;&gt;"SIM",U642&gt;0),"ERRO: % alíquota &gt; 0, mas NÃO permitida ❌",
IF(AND(Q642="SIM",U642=0),"ATENÇÃO: alíquota permitida, mas % = 0 🔎",
"Alíquota aplicada corretamente ✅")))</f>
        <v/>
      </c>
      <c r="Q642" s="8" t="str">
        <f>IF(E642="","",IFERROR(VLOOKUP(E642,REGRAS_CST!$A$2:$D$200,4,FALSE),""))</f>
        <v/>
      </c>
      <c r="S642" s="9">
        <f>IF($H642="","",$H642*(1-$U642))</f>
        <v>8.9999999999999993E-3</v>
      </c>
      <c r="T642" s="9">
        <f>IF($I642="","",$I642*(1-$U642))</f>
        <v>1E-3</v>
      </c>
      <c r="U642" s="16">
        <f>IFERROR(INDEX(BASE_CCLASSTRIB!$E:$E, MATCH(TEXT($D642,"000000"), BASE_CCLASSTRIB!$A:$A, 0))/100, 0)</f>
        <v>0</v>
      </c>
      <c r="V642" s="16">
        <f>IFERROR(INDEX(BASE_CCLASSTRIB!$F:$F, MATCH(TEXT($D642,"000000"), BASE_CCLASSTRIB!$A:$A, 0))/100, 0)</f>
        <v>0</v>
      </c>
    </row>
    <row r="643" spans="4:22" ht="32.25" customHeight="1">
      <c r="D643" s="40"/>
      <c r="E643" s="27" t="str">
        <f>IF(D643="","",LEFT(D643,3))</f>
        <v/>
      </c>
      <c r="F643" s="28" t="str">
        <f>IF(E643="","",IFERROR(VLOOKUP(E643,REGRAS_CST!$A$2:$B$200,2,FALSE),""))</f>
        <v/>
      </c>
      <c r="H643" s="29">
        <v>8.9999999999999993E-3</v>
      </c>
      <c r="I643" s="29">
        <v>1E-3</v>
      </c>
      <c r="K643" s="21" t="str">
        <f>IF(E643="","",IFERROR(VLOOKUP(E643,REGRAS_CST!$A$2:$C$200,3,FALSE),""))</f>
        <v/>
      </c>
      <c r="L643" s="23" t="str">
        <f>IF($G643="", "", $G643*(1-$V643))</f>
        <v/>
      </c>
      <c r="M643" s="24" t="str">
        <f>IF(OR($L643="",$S643=""),"",$L643*$S643)</f>
        <v/>
      </c>
      <c r="N643" s="24" t="str">
        <f>IF(OR($L643="",$T643=""),"",$L643*$T643)</f>
        <v/>
      </c>
      <c r="O643" s="15" t="str">
        <f>IF(D643="","",
IF(AND(K643&lt;&gt;"SIM",V643&gt;0),"ERRO: % BC &gt; 0, mas NÃO permitida ❌",
IF(AND(K643="SIM",V643=0),"ATENÇÃO: BC permitida, mas % = 0 🔎",
"Base de cálculo aplicada corretamente ✅")))</f>
        <v/>
      </c>
      <c r="P643" s="31" t="str">
        <f>IF(D643="","",
IF(AND(Q643&lt;&gt;"SIM",U643&gt;0),"ERRO: % alíquota &gt; 0, mas NÃO permitida ❌",
IF(AND(Q643="SIM",U643=0),"ATENÇÃO: alíquota permitida, mas % = 0 🔎",
"Alíquota aplicada corretamente ✅")))</f>
        <v/>
      </c>
      <c r="Q643" s="8" t="str">
        <f>IF(E643="","",IFERROR(VLOOKUP(E643,REGRAS_CST!$A$2:$D$200,4,FALSE),""))</f>
        <v/>
      </c>
      <c r="S643" s="9">
        <f>IF($H643="","",$H643*(1-$U643))</f>
        <v>8.9999999999999993E-3</v>
      </c>
      <c r="T643" s="9">
        <f>IF($I643="","",$I643*(1-$U643))</f>
        <v>1E-3</v>
      </c>
      <c r="U643" s="16">
        <f>IFERROR(INDEX(BASE_CCLASSTRIB!$E:$E, MATCH(TEXT($D643,"000000"), BASE_CCLASSTRIB!$A:$A, 0))/100, 0)</f>
        <v>0</v>
      </c>
      <c r="V643" s="16">
        <f>IFERROR(INDEX(BASE_CCLASSTRIB!$F:$F, MATCH(TEXT($D643,"000000"), BASE_CCLASSTRIB!$A:$A, 0))/100, 0)</f>
        <v>0</v>
      </c>
    </row>
    <row r="644" spans="4:22" ht="32.25" customHeight="1">
      <c r="D644" s="40"/>
      <c r="E644" s="27" t="str">
        <f>IF(D644="","",LEFT(D644,3))</f>
        <v/>
      </c>
      <c r="F644" s="28" t="str">
        <f>IF(E644="","",IFERROR(VLOOKUP(E644,REGRAS_CST!$A$2:$B$200,2,FALSE),""))</f>
        <v/>
      </c>
      <c r="H644" s="29">
        <v>8.9999999999999993E-3</v>
      </c>
      <c r="I644" s="29">
        <v>1E-3</v>
      </c>
      <c r="K644" s="21" t="str">
        <f>IF(E644="","",IFERROR(VLOOKUP(E644,REGRAS_CST!$A$2:$C$200,3,FALSE),""))</f>
        <v/>
      </c>
      <c r="L644" s="23" t="str">
        <f>IF($G644="", "", $G644*(1-$V644))</f>
        <v/>
      </c>
      <c r="M644" s="24" t="str">
        <f>IF(OR($L644="",$S644=""),"",$L644*$S644)</f>
        <v/>
      </c>
      <c r="N644" s="24" t="str">
        <f>IF(OR($L644="",$T644=""),"",$L644*$T644)</f>
        <v/>
      </c>
      <c r="O644" s="15" t="str">
        <f>IF(D644="","",
IF(AND(K644&lt;&gt;"SIM",V644&gt;0),"ERRO: % BC &gt; 0, mas NÃO permitida ❌",
IF(AND(K644="SIM",V644=0),"ATENÇÃO: BC permitida, mas % = 0 🔎",
"Base de cálculo aplicada corretamente ✅")))</f>
        <v/>
      </c>
      <c r="P644" s="31" t="str">
        <f>IF(D644="","",
IF(AND(Q644&lt;&gt;"SIM",U644&gt;0),"ERRO: % alíquota &gt; 0, mas NÃO permitida ❌",
IF(AND(Q644="SIM",U644=0),"ATENÇÃO: alíquota permitida, mas % = 0 🔎",
"Alíquota aplicada corretamente ✅")))</f>
        <v/>
      </c>
      <c r="Q644" s="8" t="str">
        <f>IF(E644="","",IFERROR(VLOOKUP(E644,REGRAS_CST!$A$2:$D$200,4,FALSE),""))</f>
        <v/>
      </c>
      <c r="S644" s="9">
        <f>IF($H644="","",$H644*(1-$U644))</f>
        <v>8.9999999999999993E-3</v>
      </c>
      <c r="T644" s="9">
        <f>IF($I644="","",$I644*(1-$U644))</f>
        <v>1E-3</v>
      </c>
      <c r="U644" s="16">
        <f>IFERROR(INDEX(BASE_CCLASSTRIB!$E:$E, MATCH(TEXT($D644,"000000"), BASE_CCLASSTRIB!$A:$A, 0))/100, 0)</f>
        <v>0</v>
      </c>
      <c r="V644" s="16">
        <f>IFERROR(INDEX(BASE_CCLASSTRIB!$F:$F, MATCH(TEXT($D644,"000000"), BASE_CCLASSTRIB!$A:$A, 0))/100, 0)</f>
        <v>0</v>
      </c>
    </row>
    <row r="645" spans="4:22" ht="32.25" customHeight="1">
      <c r="D645" s="39"/>
      <c r="E645" s="27" t="str">
        <f>IF(D645="","",LEFT(D645,3))</f>
        <v/>
      </c>
      <c r="F645" s="28" t="str">
        <f>IF(E645="","",IFERROR(VLOOKUP(E645,REGRAS_CST!$A$2:$B$200,2,FALSE),""))</f>
        <v/>
      </c>
      <c r="H645" s="29">
        <v>8.9999999999999993E-3</v>
      </c>
      <c r="I645" s="29">
        <v>1E-3</v>
      </c>
      <c r="K645" s="21" t="str">
        <f>IF(E645="","",IFERROR(VLOOKUP(E645,REGRAS_CST!$A$2:$C$200,3,FALSE),""))</f>
        <v/>
      </c>
      <c r="L645" s="23" t="str">
        <f>IF($G645="", "", $G645*(1-$V645))</f>
        <v/>
      </c>
      <c r="M645" s="24" t="str">
        <f>IF(OR($L645="",$S645=""),"",$L645*$S645)</f>
        <v/>
      </c>
      <c r="N645" s="24" t="str">
        <f>IF(OR($L645="",$T645=""),"",$L645*$T645)</f>
        <v/>
      </c>
      <c r="O645" s="15" t="str">
        <f>IF(D645="","",
IF(AND(K645&lt;&gt;"SIM",V645&gt;0),"ERRO: % BC &gt; 0, mas NÃO permitida ❌",
IF(AND(K645="SIM",V645=0),"ATENÇÃO: BC permitida, mas % = 0 🔎",
"Base de cálculo aplicada corretamente ✅")))</f>
        <v/>
      </c>
      <c r="P645" s="31" t="str">
        <f>IF(D645="","",
IF(AND(Q645&lt;&gt;"SIM",U645&gt;0),"ERRO: % alíquota &gt; 0, mas NÃO permitida ❌",
IF(AND(Q645="SIM",U645=0),"ATENÇÃO: alíquota permitida, mas % = 0 🔎",
"Alíquota aplicada corretamente ✅")))</f>
        <v/>
      </c>
      <c r="Q645" s="8" t="str">
        <f>IF(E645="","",IFERROR(VLOOKUP(E645,REGRAS_CST!$A$2:$D$200,4,FALSE),""))</f>
        <v/>
      </c>
      <c r="S645" s="9">
        <f>IF($H645="","",$H645*(1-$U645))</f>
        <v>8.9999999999999993E-3</v>
      </c>
      <c r="T645" s="9">
        <f>IF($I645="","",$I645*(1-$U645))</f>
        <v>1E-3</v>
      </c>
      <c r="U645" s="16">
        <f>IFERROR(INDEX(BASE_CCLASSTRIB!$E:$E, MATCH(TEXT($D645,"000000"), BASE_CCLASSTRIB!$A:$A, 0))/100, 0)</f>
        <v>0</v>
      </c>
      <c r="V645" s="16">
        <f>IFERROR(INDEX(BASE_CCLASSTRIB!$F:$F, MATCH(TEXT($D645,"000000"), BASE_CCLASSTRIB!$A:$A, 0))/100, 0)</f>
        <v>0</v>
      </c>
    </row>
    <row r="646" spans="4:22" ht="32.25" customHeight="1">
      <c r="D646" s="39"/>
      <c r="E646" s="27" t="str">
        <f>IF(D646="","",LEFT(D646,3))</f>
        <v/>
      </c>
      <c r="F646" s="28" t="str">
        <f>IF(E646="","",IFERROR(VLOOKUP(E646,REGRAS_CST!$A$2:$B$200,2,FALSE),""))</f>
        <v/>
      </c>
      <c r="H646" s="29">
        <v>8.9999999999999993E-3</v>
      </c>
      <c r="I646" s="29">
        <v>1E-3</v>
      </c>
      <c r="K646" s="21" t="str">
        <f>IF(E646="","",IFERROR(VLOOKUP(E646,REGRAS_CST!$A$2:$C$200,3,FALSE),""))</f>
        <v/>
      </c>
      <c r="L646" s="23" t="str">
        <f>IF($G646="", "", $G646*(1-$V646))</f>
        <v/>
      </c>
      <c r="M646" s="24" t="str">
        <f>IF(OR($L646="",$S646=""),"",$L646*$S646)</f>
        <v/>
      </c>
      <c r="N646" s="24" t="str">
        <f>IF(OR($L646="",$T646=""),"",$L646*$T646)</f>
        <v/>
      </c>
      <c r="O646" s="15" t="str">
        <f>IF(D646="","",
IF(AND(K646&lt;&gt;"SIM",V646&gt;0),"ERRO: % BC &gt; 0, mas NÃO permitida ❌",
IF(AND(K646="SIM",V646=0),"ATENÇÃO: BC permitida, mas % = 0 🔎",
"Base de cálculo aplicada corretamente ✅")))</f>
        <v/>
      </c>
      <c r="P646" s="31" t="str">
        <f>IF(D646="","",
IF(AND(Q646&lt;&gt;"SIM",U646&gt;0),"ERRO: % alíquota &gt; 0, mas NÃO permitida ❌",
IF(AND(Q646="SIM",U646=0),"ATENÇÃO: alíquota permitida, mas % = 0 🔎",
"Alíquota aplicada corretamente ✅")))</f>
        <v/>
      </c>
      <c r="Q646" s="8" t="str">
        <f>IF(E646="","",IFERROR(VLOOKUP(E646,REGRAS_CST!$A$2:$D$200,4,FALSE),""))</f>
        <v/>
      </c>
      <c r="S646" s="9">
        <f>IF($H646="","",$H646*(1-$U646))</f>
        <v>8.9999999999999993E-3</v>
      </c>
      <c r="T646" s="9">
        <f>IF($I646="","",$I646*(1-$U646))</f>
        <v>1E-3</v>
      </c>
      <c r="U646" s="16">
        <f>IFERROR(INDEX(BASE_CCLASSTRIB!$E:$E, MATCH(TEXT($D646,"000000"), BASE_CCLASSTRIB!$A:$A, 0))/100, 0)</f>
        <v>0</v>
      </c>
      <c r="V646" s="16">
        <f>IFERROR(INDEX(BASE_CCLASSTRIB!$F:$F, MATCH(TEXT($D646,"000000"), BASE_CCLASSTRIB!$A:$A, 0))/100, 0)</f>
        <v>0</v>
      </c>
    </row>
    <row r="647" spans="4:22" ht="32.25" customHeight="1">
      <c r="D647" s="39"/>
      <c r="E647" s="27" t="str">
        <f>IF(D647="","",LEFT(D647,3))</f>
        <v/>
      </c>
      <c r="F647" s="28" t="str">
        <f>IF(E647="","",IFERROR(VLOOKUP(E647,REGRAS_CST!$A$2:$B$200,2,FALSE),""))</f>
        <v/>
      </c>
      <c r="H647" s="29">
        <v>8.9999999999999993E-3</v>
      </c>
      <c r="I647" s="29">
        <v>1E-3</v>
      </c>
      <c r="K647" s="21" t="str">
        <f>IF(E647="","",IFERROR(VLOOKUP(E647,REGRAS_CST!$A$2:$C$200,3,FALSE),""))</f>
        <v/>
      </c>
      <c r="L647" s="23" t="str">
        <f>IF($G647="", "", $G647*(1-$V647))</f>
        <v/>
      </c>
      <c r="M647" s="24" t="str">
        <f>IF(OR($L647="",$S647=""),"",$L647*$S647)</f>
        <v/>
      </c>
      <c r="N647" s="24" t="str">
        <f>IF(OR($L647="",$T647=""),"",$L647*$T647)</f>
        <v/>
      </c>
      <c r="O647" s="15" t="str">
        <f>IF(D647="","",
IF(AND(K647&lt;&gt;"SIM",V647&gt;0),"ERRO: % BC &gt; 0, mas NÃO permitida ❌",
IF(AND(K647="SIM",V647=0),"ATENÇÃO: BC permitida, mas % = 0 🔎",
"Base de cálculo aplicada corretamente ✅")))</f>
        <v/>
      </c>
      <c r="P647" s="31" t="str">
        <f>IF(D647="","",
IF(AND(Q647&lt;&gt;"SIM",U647&gt;0),"ERRO: % alíquota &gt; 0, mas NÃO permitida ❌",
IF(AND(Q647="SIM",U647=0),"ATENÇÃO: alíquota permitida, mas % = 0 🔎",
"Alíquota aplicada corretamente ✅")))</f>
        <v/>
      </c>
      <c r="Q647" s="8" t="str">
        <f>IF(E647="","",IFERROR(VLOOKUP(E647,REGRAS_CST!$A$2:$D$200,4,FALSE),""))</f>
        <v/>
      </c>
      <c r="S647" s="9">
        <f>IF($H647="","",$H647*(1-$U647))</f>
        <v>8.9999999999999993E-3</v>
      </c>
      <c r="T647" s="9">
        <f>IF($I647="","",$I647*(1-$U647))</f>
        <v>1E-3</v>
      </c>
      <c r="U647" s="16">
        <f>IFERROR(INDEX(BASE_CCLASSTRIB!$E:$E, MATCH(TEXT($D647,"000000"), BASE_CCLASSTRIB!$A:$A, 0))/100, 0)</f>
        <v>0</v>
      </c>
      <c r="V647" s="16">
        <f>IFERROR(INDEX(BASE_CCLASSTRIB!$F:$F, MATCH(TEXT($D647,"000000"), BASE_CCLASSTRIB!$A:$A, 0))/100, 0)</f>
        <v>0</v>
      </c>
    </row>
    <row r="648" spans="4:22" ht="32.25" customHeight="1">
      <c r="D648" s="40"/>
      <c r="E648" s="27" t="str">
        <f>IF(D648="","",LEFT(D648,3))</f>
        <v/>
      </c>
      <c r="F648" s="28" t="str">
        <f>IF(E648="","",IFERROR(VLOOKUP(E648,REGRAS_CST!$A$2:$B$200,2,FALSE),""))</f>
        <v/>
      </c>
      <c r="H648" s="29">
        <v>8.9999999999999993E-3</v>
      </c>
      <c r="I648" s="29">
        <v>1E-3</v>
      </c>
      <c r="K648" s="21" t="str">
        <f>IF(E648="","",IFERROR(VLOOKUP(E648,REGRAS_CST!$A$2:$C$200,3,FALSE),""))</f>
        <v/>
      </c>
      <c r="L648" s="23" t="str">
        <f>IF($G648="", "", $G648*(1-$V648))</f>
        <v/>
      </c>
      <c r="M648" s="24" t="str">
        <f>IF(OR($L648="",$S648=""),"",$L648*$S648)</f>
        <v/>
      </c>
      <c r="N648" s="24" t="str">
        <f>IF(OR($L648="",$T648=""),"",$L648*$T648)</f>
        <v/>
      </c>
      <c r="O648" s="15" t="str">
        <f>IF(D648="","",
IF(AND(K648&lt;&gt;"SIM",V648&gt;0),"ERRO: % BC &gt; 0, mas NÃO permitida ❌",
IF(AND(K648="SIM",V648=0),"ATENÇÃO: BC permitida, mas % = 0 🔎",
"Base de cálculo aplicada corretamente ✅")))</f>
        <v/>
      </c>
      <c r="P648" s="31" t="str">
        <f>IF(D648="","",
IF(AND(Q648&lt;&gt;"SIM",U648&gt;0),"ERRO: % alíquota &gt; 0, mas NÃO permitida ❌",
IF(AND(Q648="SIM",U648=0),"ATENÇÃO: alíquota permitida, mas % = 0 🔎",
"Alíquota aplicada corretamente ✅")))</f>
        <v/>
      </c>
      <c r="Q648" s="8" t="str">
        <f>IF(E648="","",IFERROR(VLOOKUP(E648,REGRAS_CST!$A$2:$D$200,4,FALSE),""))</f>
        <v/>
      </c>
      <c r="S648" s="9">
        <f>IF($H648="","",$H648*(1-$U648))</f>
        <v>8.9999999999999993E-3</v>
      </c>
      <c r="T648" s="9">
        <f>IF($I648="","",$I648*(1-$U648))</f>
        <v>1E-3</v>
      </c>
      <c r="U648" s="16">
        <f>IFERROR(INDEX(BASE_CCLASSTRIB!$E:$E, MATCH(TEXT($D648,"000000"), BASE_CCLASSTRIB!$A:$A, 0))/100, 0)</f>
        <v>0</v>
      </c>
      <c r="V648" s="16">
        <f>IFERROR(INDEX(BASE_CCLASSTRIB!$F:$F, MATCH(TEXT($D648,"000000"), BASE_CCLASSTRIB!$A:$A, 0))/100, 0)</f>
        <v>0</v>
      </c>
    </row>
    <row r="649" spans="4:22" ht="32.25" customHeight="1">
      <c r="D649" s="39"/>
      <c r="E649" s="27" t="str">
        <f>IF(D649="","",LEFT(D649,3))</f>
        <v/>
      </c>
      <c r="F649" s="28" t="str">
        <f>IF(E649="","",IFERROR(VLOOKUP(E649,REGRAS_CST!$A$2:$B$200,2,FALSE),""))</f>
        <v/>
      </c>
      <c r="H649" s="29">
        <v>8.9999999999999993E-3</v>
      </c>
      <c r="I649" s="29">
        <v>1E-3</v>
      </c>
      <c r="K649" s="21" t="str">
        <f>IF(E649="","",IFERROR(VLOOKUP(E649,REGRAS_CST!$A$2:$C$200,3,FALSE),""))</f>
        <v/>
      </c>
      <c r="L649" s="23" t="str">
        <f>IF($G649="", "", $G649*(1-$V649))</f>
        <v/>
      </c>
      <c r="M649" s="24" t="str">
        <f>IF(OR($L649="",$S649=""),"",$L649*$S649)</f>
        <v/>
      </c>
      <c r="N649" s="24" t="str">
        <f>IF(OR($L649="",$T649=""),"",$L649*$T649)</f>
        <v/>
      </c>
      <c r="O649" s="15" t="str">
        <f>IF(D649="","",
IF(AND(K649&lt;&gt;"SIM",V649&gt;0),"ERRO: % BC &gt; 0, mas NÃO permitida ❌",
IF(AND(K649="SIM",V649=0),"ATENÇÃO: BC permitida, mas % = 0 🔎",
"Base de cálculo aplicada corretamente ✅")))</f>
        <v/>
      </c>
      <c r="P649" s="31" t="str">
        <f>IF(D649="","",
IF(AND(Q649&lt;&gt;"SIM",U649&gt;0),"ERRO: % alíquota &gt; 0, mas NÃO permitida ❌",
IF(AND(Q649="SIM",U649=0),"ATENÇÃO: alíquota permitida, mas % = 0 🔎",
"Alíquota aplicada corretamente ✅")))</f>
        <v/>
      </c>
      <c r="Q649" s="8" t="str">
        <f>IF(E649="","",IFERROR(VLOOKUP(E649,REGRAS_CST!$A$2:$D$200,4,FALSE),""))</f>
        <v/>
      </c>
      <c r="S649" s="9">
        <f>IF($H649="","",$H649*(1-$U649))</f>
        <v>8.9999999999999993E-3</v>
      </c>
      <c r="T649" s="9">
        <f>IF($I649="","",$I649*(1-$U649))</f>
        <v>1E-3</v>
      </c>
      <c r="U649" s="16">
        <f>IFERROR(INDEX(BASE_CCLASSTRIB!$E:$E, MATCH(TEXT($D649,"000000"), BASE_CCLASSTRIB!$A:$A, 0))/100, 0)</f>
        <v>0</v>
      </c>
      <c r="V649" s="16">
        <f>IFERROR(INDEX(BASE_CCLASSTRIB!$F:$F, MATCH(TEXT($D649,"000000"), BASE_CCLASSTRIB!$A:$A, 0))/100, 0)</f>
        <v>0</v>
      </c>
    </row>
    <row r="650" spans="4:22" ht="32.25" customHeight="1">
      <c r="D650" s="39"/>
      <c r="E650" s="27" t="str">
        <f>IF(D650="","",LEFT(D650,3))</f>
        <v/>
      </c>
      <c r="F650" s="28" t="str">
        <f>IF(E650="","",IFERROR(VLOOKUP(E650,REGRAS_CST!$A$2:$B$200,2,FALSE),""))</f>
        <v/>
      </c>
      <c r="H650" s="29">
        <v>8.9999999999999993E-3</v>
      </c>
      <c r="I650" s="29">
        <v>1E-3</v>
      </c>
      <c r="K650" s="21" t="str">
        <f>IF(E650="","",IFERROR(VLOOKUP(E650,REGRAS_CST!$A$2:$C$200,3,FALSE),""))</f>
        <v/>
      </c>
      <c r="L650" s="23" t="str">
        <f>IF($G650="", "", $G650*(1-$V650))</f>
        <v/>
      </c>
      <c r="M650" s="24" t="str">
        <f>IF(OR($L650="",$S650=""),"",$L650*$S650)</f>
        <v/>
      </c>
      <c r="N650" s="24" t="str">
        <f>IF(OR($L650="",$T650=""),"",$L650*$T650)</f>
        <v/>
      </c>
      <c r="O650" s="15" t="str">
        <f>IF(D650="","",
IF(AND(K650&lt;&gt;"SIM",V650&gt;0),"ERRO: % BC &gt; 0, mas NÃO permitida ❌",
IF(AND(K650="SIM",V650=0),"ATENÇÃO: BC permitida, mas % = 0 🔎",
"Base de cálculo aplicada corretamente ✅")))</f>
        <v/>
      </c>
      <c r="P650" s="31" t="str">
        <f>IF(D650="","",
IF(AND(Q650&lt;&gt;"SIM",U650&gt;0),"ERRO: % alíquota &gt; 0, mas NÃO permitida ❌",
IF(AND(Q650="SIM",U650=0),"ATENÇÃO: alíquota permitida, mas % = 0 🔎",
"Alíquota aplicada corretamente ✅")))</f>
        <v/>
      </c>
      <c r="Q650" s="8" t="str">
        <f>IF(E650="","",IFERROR(VLOOKUP(E650,REGRAS_CST!$A$2:$D$200,4,FALSE),""))</f>
        <v/>
      </c>
      <c r="S650" s="9">
        <f>IF($H650="","",$H650*(1-$U650))</f>
        <v>8.9999999999999993E-3</v>
      </c>
      <c r="T650" s="9">
        <f>IF($I650="","",$I650*(1-$U650))</f>
        <v>1E-3</v>
      </c>
      <c r="U650" s="16">
        <f>IFERROR(INDEX(BASE_CCLASSTRIB!$E:$E, MATCH(TEXT($D650,"000000"), BASE_CCLASSTRIB!$A:$A, 0))/100, 0)</f>
        <v>0</v>
      </c>
      <c r="V650" s="16">
        <f>IFERROR(INDEX(BASE_CCLASSTRIB!$F:$F, MATCH(TEXT($D650,"000000"), BASE_CCLASSTRIB!$A:$A, 0))/100, 0)</f>
        <v>0</v>
      </c>
    </row>
    <row r="651" spans="4:22" ht="32.25" customHeight="1">
      <c r="D651" s="39"/>
      <c r="E651" s="27" t="str">
        <f>IF(D651="","",LEFT(D651,3))</f>
        <v/>
      </c>
      <c r="F651" s="28" t="str">
        <f>IF(E651="","",IFERROR(VLOOKUP(E651,REGRAS_CST!$A$2:$B$200,2,FALSE),""))</f>
        <v/>
      </c>
      <c r="H651" s="29">
        <v>8.9999999999999993E-3</v>
      </c>
      <c r="I651" s="29">
        <v>1E-3</v>
      </c>
      <c r="K651" s="21" t="str">
        <f>IF(E651="","",IFERROR(VLOOKUP(E651,REGRAS_CST!$A$2:$C$200,3,FALSE),""))</f>
        <v/>
      </c>
      <c r="L651" s="23" t="str">
        <f>IF($G651="", "", $G651*(1-$V651))</f>
        <v/>
      </c>
      <c r="M651" s="24" t="str">
        <f>IF(OR($L651="",$S651=""),"",$L651*$S651)</f>
        <v/>
      </c>
      <c r="N651" s="24" t="str">
        <f>IF(OR($L651="",$T651=""),"",$L651*$T651)</f>
        <v/>
      </c>
      <c r="O651" s="15" t="str">
        <f>IF(D651="","",
IF(AND(K651&lt;&gt;"SIM",V651&gt;0),"ERRO: % BC &gt; 0, mas NÃO permitida ❌",
IF(AND(K651="SIM",V651=0),"ATENÇÃO: BC permitida, mas % = 0 🔎",
"Base de cálculo aplicada corretamente ✅")))</f>
        <v/>
      </c>
      <c r="P651" s="31" t="str">
        <f>IF(D651="","",
IF(AND(Q651&lt;&gt;"SIM",U651&gt;0),"ERRO: % alíquota &gt; 0, mas NÃO permitida ❌",
IF(AND(Q651="SIM",U651=0),"ATENÇÃO: alíquota permitida, mas % = 0 🔎",
"Alíquota aplicada corretamente ✅")))</f>
        <v/>
      </c>
      <c r="Q651" s="8" t="str">
        <f>IF(E651="","",IFERROR(VLOOKUP(E651,REGRAS_CST!$A$2:$D$200,4,FALSE),""))</f>
        <v/>
      </c>
      <c r="S651" s="9">
        <f>IF($H651="","",$H651*(1-$U651))</f>
        <v>8.9999999999999993E-3</v>
      </c>
      <c r="T651" s="9">
        <f>IF($I651="","",$I651*(1-$U651))</f>
        <v>1E-3</v>
      </c>
      <c r="U651" s="16">
        <f>IFERROR(INDEX(BASE_CCLASSTRIB!$E:$E, MATCH(TEXT($D651,"000000"), BASE_CCLASSTRIB!$A:$A, 0))/100, 0)</f>
        <v>0</v>
      </c>
      <c r="V651" s="16">
        <f>IFERROR(INDEX(BASE_CCLASSTRIB!$F:$F, MATCH(TEXT($D651,"000000"), BASE_CCLASSTRIB!$A:$A, 0))/100, 0)</f>
        <v>0</v>
      </c>
    </row>
    <row r="652" spans="4:22" ht="32.25" customHeight="1">
      <c r="D652" s="40"/>
      <c r="E652" s="27" t="str">
        <f>IF(D652="","",LEFT(D652,3))</f>
        <v/>
      </c>
      <c r="F652" s="28" t="str">
        <f>IF(E652="","",IFERROR(VLOOKUP(E652,REGRAS_CST!$A$2:$B$200,2,FALSE),""))</f>
        <v/>
      </c>
      <c r="H652" s="29">
        <v>8.9999999999999993E-3</v>
      </c>
      <c r="I652" s="29">
        <v>1E-3</v>
      </c>
      <c r="K652" s="21" t="str">
        <f>IF(E652="","",IFERROR(VLOOKUP(E652,REGRAS_CST!$A$2:$C$200,3,FALSE),""))</f>
        <v/>
      </c>
      <c r="L652" s="23" t="str">
        <f>IF($G652="", "", $G652*(1-$V652))</f>
        <v/>
      </c>
      <c r="M652" s="24" t="str">
        <f>IF(OR($L652="",$S652=""),"",$L652*$S652)</f>
        <v/>
      </c>
      <c r="N652" s="24" t="str">
        <f>IF(OR($L652="",$T652=""),"",$L652*$T652)</f>
        <v/>
      </c>
      <c r="O652" s="15" t="str">
        <f>IF(D652="","",
IF(AND(K652&lt;&gt;"SIM",V652&gt;0),"ERRO: % BC &gt; 0, mas NÃO permitida ❌",
IF(AND(K652="SIM",V652=0),"ATENÇÃO: BC permitida, mas % = 0 🔎",
"Base de cálculo aplicada corretamente ✅")))</f>
        <v/>
      </c>
      <c r="P652" s="31" t="str">
        <f>IF(D652="","",
IF(AND(Q652&lt;&gt;"SIM",U652&gt;0),"ERRO: % alíquota &gt; 0, mas NÃO permitida ❌",
IF(AND(Q652="SIM",U652=0),"ATENÇÃO: alíquota permitida, mas % = 0 🔎",
"Alíquota aplicada corretamente ✅")))</f>
        <v/>
      </c>
      <c r="Q652" s="8" t="str">
        <f>IF(E652="","",IFERROR(VLOOKUP(E652,REGRAS_CST!$A$2:$D$200,4,FALSE),""))</f>
        <v/>
      </c>
      <c r="S652" s="9">
        <f>IF($H652="","",$H652*(1-$U652))</f>
        <v>8.9999999999999993E-3</v>
      </c>
      <c r="T652" s="9">
        <f>IF($I652="","",$I652*(1-$U652))</f>
        <v>1E-3</v>
      </c>
      <c r="U652" s="16">
        <f>IFERROR(INDEX(BASE_CCLASSTRIB!$E:$E, MATCH(TEXT($D652,"000000"), BASE_CCLASSTRIB!$A:$A, 0))/100, 0)</f>
        <v>0</v>
      </c>
      <c r="V652" s="16">
        <f>IFERROR(INDEX(BASE_CCLASSTRIB!$F:$F, MATCH(TEXT($D652,"000000"), BASE_CCLASSTRIB!$A:$A, 0))/100, 0)</f>
        <v>0</v>
      </c>
    </row>
    <row r="653" spans="4:22" ht="32.25" customHeight="1">
      <c r="D653" s="39"/>
      <c r="E653" s="27" t="str">
        <f>IF(D653="","",LEFT(D653,3))</f>
        <v/>
      </c>
      <c r="F653" s="28" t="str">
        <f>IF(E653="","",IFERROR(VLOOKUP(E653,REGRAS_CST!$A$2:$B$200,2,FALSE),""))</f>
        <v/>
      </c>
      <c r="H653" s="29">
        <v>8.9999999999999993E-3</v>
      </c>
      <c r="I653" s="29">
        <v>1E-3</v>
      </c>
      <c r="K653" s="21" t="str">
        <f>IF(E653="","",IFERROR(VLOOKUP(E653,REGRAS_CST!$A$2:$C$200,3,FALSE),""))</f>
        <v/>
      </c>
      <c r="L653" s="23" t="str">
        <f>IF($G653="", "", $G653*(1-$V653))</f>
        <v/>
      </c>
      <c r="M653" s="24" t="str">
        <f>IF(OR($L653="",$S653=""),"",$L653*$S653)</f>
        <v/>
      </c>
      <c r="N653" s="24" t="str">
        <f>IF(OR($L653="",$T653=""),"",$L653*$T653)</f>
        <v/>
      </c>
      <c r="O653" s="15" t="str">
        <f>IF(D653="","",
IF(AND(K653&lt;&gt;"SIM",V653&gt;0),"ERRO: % BC &gt; 0, mas NÃO permitida ❌",
IF(AND(K653="SIM",V653=0),"ATENÇÃO: BC permitida, mas % = 0 🔎",
"Base de cálculo aplicada corretamente ✅")))</f>
        <v/>
      </c>
      <c r="P653" s="31" t="str">
        <f>IF(D653="","",
IF(AND(Q653&lt;&gt;"SIM",U653&gt;0),"ERRO: % alíquota &gt; 0, mas NÃO permitida ❌",
IF(AND(Q653="SIM",U653=0),"ATENÇÃO: alíquota permitida, mas % = 0 🔎",
"Alíquota aplicada corretamente ✅")))</f>
        <v/>
      </c>
      <c r="Q653" s="8" t="str">
        <f>IF(E653="","",IFERROR(VLOOKUP(E653,REGRAS_CST!$A$2:$D$200,4,FALSE),""))</f>
        <v/>
      </c>
      <c r="S653" s="9">
        <f>IF($H653="","",$H653*(1-$U653))</f>
        <v>8.9999999999999993E-3</v>
      </c>
      <c r="T653" s="9">
        <f>IF($I653="","",$I653*(1-$U653))</f>
        <v>1E-3</v>
      </c>
      <c r="U653" s="16">
        <f>IFERROR(INDEX(BASE_CCLASSTRIB!$E:$E, MATCH(TEXT($D653,"000000"), BASE_CCLASSTRIB!$A:$A, 0))/100, 0)</f>
        <v>0</v>
      </c>
      <c r="V653" s="16">
        <f>IFERROR(INDEX(BASE_CCLASSTRIB!$F:$F, MATCH(TEXT($D653,"000000"), BASE_CCLASSTRIB!$A:$A, 0))/100, 0)</f>
        <v>0</v>
      </c>
    </row>
    <row r="654" spans="4:22" ht="32.25" customHeight="1">
      <c r="D654" s="39"/>
      <c r="E654" s="27" t="str">
        <f>IF(D654="","",LEFT(D654,3))</f>
        <v/>
      </c>
      <c r="F654" s="28" t="str">
        <f>IF(E654="","",IFERROR(VLOOKUP(E654,REGRAS_CST!$A$2:$B$200,2,FALSE),""))</f>
        <v/>
      </c>
      <c r="H654" s="29">
        <v>8.9999999999999993E-3</v>
      </c>
      <c r="I654" s="29">
        <v>1E-3</v>
      </c>
      <c r="K654" s="21" t="str">
        <f>IF(E654="","",IFERROR(VLOOKUP(E654,REGRAS_CST!$A$2:$C$200,3,FALSE),""))</f>
        <v/>
      </c>
      <c r="L654" s="23" t="str">
        <f>IF($G654="", "", $G654*(1-$V654))</f>
        <v/>
      </c>
      <c r="M654" s="24" t="str">
        <f>IF(OR($L654="",$S654=""),"",$L654*$S654)</f>
        <v/>
      </c>
      <c r="N654" s="24" t="str">
        <f>IF(OR($L654="",$T654=""),"",$L654*$T654)</f>
        <v/>
      </c>
      <c r="O654" s="15" t="str">
        <f>IF(D654="","",
IF(AND(K654&lt;&gt;"SIM",V654&gt;0),"ERRO: % BC &gt; 0, mas NÃO permitida ❌",
IF(AND(K654="SIM",V654=0),"ATENÇÃO: BC permitida, mas % = 0 🔎",
"Base de cálculo aplicada corretamente ✅")))</f>
        <v/>
      </c>
      <c r="P654" s="31" t="str">
        <f>IF(D654="","",
IF(AND(Q654&lt;&gt;"SIM",U654&gt;0),"ERRO: % alíquota &gt; 0, mas NÃO permitida ❌",
IF(AND(Q654="SIM",U654=0),"ATENÇÃO: alíquota permitida, mas % = 0 🔎",
"Alíquota aplicada corretamente ✅")))</f>
        <v/>
      </c>
      <c r="Q654" s="8" t="str">
        <f>IF(E654="","",IFERROR(VLOOKUP(E654,REGRAS_CST!$A$2:$D$200,4,FALSE),""))</f>
        <v/>
      </c>
      <c r="S654" s="9">
        <f>IF($H654="","",$H654*(1-$U654))</f>
        <v>8.9999999999999993E-3</v>
      </c>
      <c r="T654" s="9">
        <f>IF($I654="","",$I654*(1-$U654))</f>
        <v>1E-3</v>
      </c>
      <c r="U654" s="16">
        <f>IFERROR(INDEX(BASE_CCLASSTRIB!$E:$E, MATCH(TEXT($D654,"000000"), BASE_CCLASSTRIB!$A:$A, 0))/100, 0)</f>
        <v>0</v>
      </c>
      <c r="V654" s="16">
        <f>IFERROR(INDEX(BASE_CCLASSTRIB!$F:$F, MATCH(TEXT($D654,"000000"), BASE_CCLASSTRIB!$A:$A, 0))/100, 0)</f>
        <v>0</v>
      </c>
    </row>
    <row r="655" spans="4:22" ht="32.25" customHeight="1">
      <c r="D655" s="40"/>
      <c r="E655" s="27" t="str">
        <f>IF(D655="","",LEFT(D655,3))</f>
        <v/>
      </c>
      <c r="F655" s="28" t="str">
        <f>IF(E655="","",IFERROR(VLOOKUP(E655,REGRAS_CST!$A$2:$B$200,2,FALSE),""))</f>
        <v/>
      </c>
      <c r="H655" s="29">
        <v>8.9999999999999993E-3</v>
      </c>
      <c r="I655" s="29">
        <v>1E-3</v>
      </c>
      <c r="K655" s="21" t="str">
        <f>IF(E655="","",IFERROR(VLOOKUP(E655,REGRAS_CST!$A$2:$C$200,3,FALSE),""))</f>
        <v/>
      </c>
      <c r="L655" s="23" t="str">
        <f>IF($G655="", "", $G655*(1-$V655))</f>
        <v/>
      </c>
      <c r="M655" s="24" t="str">
        <f>IF(OR($L655="",$S655=""),"",$L655*$S655)</f>
        <v/>
      </c>
      <c r="N655" s="24" t="str">
        <f>IF(OR($L655="",$T655=""),"",$L655*$T655)</f>
        <v/>
      </c>
      <c r="O655" s="15" t="str">
        <f>IF(D655="","",
IF(AND(K655&lt;&gt;"SIM",V655&gt;0),"ERRO: % BC &gt; 0, mas NÃO permitida ❌",
IF(AND(K655="SIM",V655=0),"ATENÇÃO: BC permitida, mas % = 0 🔎",
"Base de cálculo aplicada corretamente ✅")))</f>
        <v/>
      </c>
      <c r="P655" s="31" t="str">
        <f>IF(D655="","",
IF(AND(Q655&lt;&gt;"SIM",U655&gt;0),"ERRO: % alíquota &gt; 0, mas NÃO permitida ❌",
IF(AND(Q655="SIM",U655=0),"ATENÇÃO: alíquota permitida, mas % = 0 🔎",
"Alíquota aplicada corretamente ✅")))</f>
        <v/>
      </c>
      <c r="Q655" s="8" t="str">
        <f>IF(E655="","",IFERROR(VLOOKUP(E655,REGRAS_CST!$A$2:$D$200,4,FALSE),""))</f>
        <v/>
      </c>
      <c r="S655" s="9">
        <f>IF($H655="","",$H655*(1-$U655))</f>
        <v>8.9999999999999993E-3</v>
      </c>
      <c r="T655" s="9">
        <f>IF($I655="","",$I655*(1-$U655))</f>
        <v>1E-3</v>
      </c>
      <c r="U655" s="16">
        <f>IFERROR(INDEX(BASE_CCLASSTRIB!$E:$E, MATCH(TEXT($D655,"000000"), BASE_CCLASSTRIB!$A:$A, 0))/100, 0)</f>
        <v>0</v>
      </c>
      <c r="V655" s="16">
        <f>IFERROR(INDEX(BASE_CCLASSTRIB!$F:$F, MATCH(TEXT($D655,"000000"), BASE_CCLASSTRIB!$A:$A, 0))/100, 0)</f>
        <v>0</v>
      </c>
    </row>
    <row r="656" spans="4:22" ht="32.25" customHeight="1">
      <c r="D656" s="39"/>
      <c r="E656" s="27" t="str">
        <f>IF(D656="","",LEFT(D656,3))</f>
        <v/>
      </c>
      <c r="F656" s="28" t="str">
        <f>IF(E656="","",IFERROR(VLOOKUP(E656,REGRAS_CST!$A$2:$B$200,2,FALSE),""))</f>
        <v/>
      </c>
      <c r="H656" s="29">
        <v>8.9999999999999993E-3</v>
      </c>
      <c r="I656" s="29">
        <v>1E-3</v>
      </c>
      <c r="K656" s="21" t="str">
        <f>IF(E656="","",IFERROR(VLOOKUP(E656,REGRAS_CST!$A$2:$C$200,3,FALSE),""))</f>
        <v/>
      </c>
      <c r="L656" s="23" t="str">
        <f>IF($G656="", "", $G656*(1-$V656))</f>
        <v/>
      </c>
      <c r="M656" s="24" t="str">
        <f>IF(OR($L656="",$S656=""),"",$L656*$S656)</f>
        <v/>
      </c>
      <c r="N656" s="24" t="str">
        <f>IF(OR($L656="",$T656=""),"",$L656*$T656)</f>
        <v/>
      </c>
      <c r="O656" s="15" t="str">
        <f>IF(D656="","",
IF(AND(K656&lt;&gt;"SIM",V656&gt;0),"ERRO: % BC &gt; 0, mas NÃO permitida ❌",
IF(AND(K656="SIM",V656=0),"ATENÇÃO: BC permitida, mas % = 0 🔎",
"Base de cálculo aplicada corretamente ✅")))</f>
        <v/>
      </c>
      <c r="P656" s="31" t="str">
        <f>IF(D656="","",
IF(AND(Q656&lt;&gt;"SIM",U656&gt;0),"ERRO: % alíquota &gt; 0, mas NÃO permitida ❌",
IF(AND(Q656="SIM",U656=0),"ATENÇÃO: alíquota permitida, mas % = 0 🔎",
"Alíquota aplicada corretamente ✅")))</f>
        <v/>
      </c>
      <c r="Q656" s="8" t="str">
        <f>IF(E656="","",IFERROR(VLOOKUP(E656,REGRAS_CST!$A$2:$D$200,4,FALSE),""))</f>
        <v/>
      </c>
      <c r="S656" s="9">
        <f>IF($H656="","",$H656*(1-$U656))</f>
        <v>8.9999999999999993E-3</v>
      </c>
      <c r="T656" s="9">
        <f>IF($I656="","",$I656*(1-$U656))</f>
        <v>1E-3</v>
      </c>
      <c r="U656" s="16">
        <f>IFERROR(INDEX(BASE_CCLASSTRIB!$E:$E, MATCH(TEXT($D656,"000000"), BASE_CCLASSTRIB!$A:$A, 0))/100, 0)</f>
        <v>0</v>
      </c>
      <c r="V656" s="16">
        <f>IFERROR(INDEX(BASE_CCLASSTRIB!$F:$F, MATCH(TEXT($D656,"000000"), BASE_CCLASSTRIB!$A:$A, 0))/100, 0)</f>
        <v>0</v>
      </c>
    </row>
    <row r="657" spans="4:22" ht="32.25" customHeight="1">
      <c r="D657" s="39"/>
      <c r="E657" s="27" t="str">
        <f>IF(D657="","",LEFT(D657,3))</f>
        <v/>
      </c>
      <c r="F657" s="28" t="str">
        <f>IF(E657="","",IFERROR(VLOOKUP(E657,REGRAS_CST!$A$2:$B$200,2,FALSE),""))</f>
        <v/>
      </c>
      <c r="H657" s="29">
        <v>8.9999999999999993E-3</v>
      </c>
      <c r="I657" s="29">
        <v>1E-3</v>
      </c>
      <c r="K657" s="21" t="str">
        <f>IF(E657="","",IFERROR(VLOOKUP(E657,REGRAS_CST!$A$2:$C$200,3,FALSE),""))</f>
        <v/>
      </c>
      <c r="L657" s="23" t="str">
        <f>IF($G657="", "", $G657*(1-$V657))</f>
        <v/>
      </c>
      <c r="M657" s="24" t="str">
        <f>IF(OR($L657="",$S657=""),"",$L657*$S657)</f>
        <v/>
      </c>
      <c r="N657" s="24" t="str">
        <f>IF(OR($L657="",$T657=""),"",$L657*$T657)</f>
        <v/>
      </c>
      <c r="O657" s="15" t="str">
        <f>IF(D657="","",
IF(AND(K657&lt;&gt;"SIM",V657&gt;0),"ERRO: % BC &gt; 0, mas NÃO permitida ❌",
IF(AND(K657="SIM",V657=0),"ATENÇÃO: BC permitida, mas % = 0 🔎",
"Base de cálculo aplicada corretamente ✅")))</f>
        <v/>
      </c>
      <c r="P657" s="31" t="str">
        <f>IF(D657="","",
IF(AND(Q657&lt;&gt;"SIM",U657&gt;0),"ERRO: % alíquota &gt; 0, mas NÃO permitida ❌",
IF(AND(Q657="SIM",U657=0),"ATENÇÃO: alíquota permitida, mas % = 0 🔎",
"Alíquota aplicada corretamente ✅")))</f>
        <v/>
      </c>
      <c r="Q657" s="8" t="str">
        <f>IF(E657="","",IFERROR(VLOOKUP(E657,REGRAS_CST!$A$2:$D$200,4,FALSE),""))</f>
        <v/>
      </c>
      <c r="S657" s="9">
        <f>IF($H657="","",$H657*(1-$U657))</f>
        <v>8.9999999999999993E-3</v>
      </c>
      <c r="T657" s="9">
        <f>IF($I657="","",$I657*(1-$U657))</f>
        <v>1E-3</v>
      </c>
      <c r="U657" s="16">
        <f>IFERROR(INDEX(BASE_CCLASSTRIB!$E:$E, MATCH(TEXT($D657,"000000"), BASE_CCLASSTRIB!$A:$A, 0))/100, 0)</f>
        <v>0</v>
      </c>
      <c r="V657" s="16">
        <f>IFERROR(INDEX(BASE_CCLASSTRIB!$F:$F, MATCH(TEXT($D657,"000000"), BASE_CCLASSTRIB!$A:$A, 0))/100, 0)</f>
        <v>0</v>
      </c>
    </row>
    <row r="658" spans="4:22" ht="32.25" customHeight="1">
      <c r="D658" s="39"/>
      <c r="E658" s="27" t="str">
        <f>IF(D658="","",LEFT(D658,3))</f>
        <v/>
      </c>
      <c r="F658" s="28" t="str">
        <f>IF(E658="","",IFERROR(VLOOKUP(E658,REGRAS_CST!$A$2:$B$200,2,FALSE),""))</f>
        <v/>
      </c>
      <c r="H658" s="29">
        <v>8.9999999999999993E-3</v>
      </c>
      <c r="I658" s="29">
        <v>1E-3</v>
      </c>
      <c r="K658" s="21" t="str">
        <f>IF(E658="","",IFERROR(VLOOKUP(E658,REGRAS_CST!$A$2:$C$200,3,FALSE),""))</f>
        <v/>
      </c>
      <c r="L658" s="23" t="str">
        <f>IF($G658="", "", $G658*(1-$V658))</f>
        <v/>
      </c>
      <c r="M658" s="24" t="str">
        <f>IF(OR($L658="",$S658=""),"",$L658*$S658)</f>
        <v/>
      </c>
      <c r="N658" s="24" t="str">
        <f>IF(OR($L658="",$T658=""),"",$L658*$T658)</f>
        <v/>
      </c>
      <c r="O658" s="15" t="str">
        <f>IF(D658="","",
IF(AND(K658&lt;&gt;"SIM",V658&gt;0),"ERRO: % BC &gt; 0, mas NÃO permitida ❌",
IF(AND(K658="SIM",V658=0),"ATENÇÃO: BC permitida, mas % = 0 🔎",
"Base de cálculo aplicada corretamente ✅")))</f>
        <v/>
      </c>
      <c r="P658" s="31" t="str">
        <f>IF(D658="","",
IF(AND(Q658&lt;&gt;"SIM",U658&gt;0),"ERRO: % alíquota &gt; 0, mas NÃO permitida ❌",
IF(AND(Q658="SIM",U658=0),"ATENÇÃO: alíquota permitida, mas % = 0 🔎",
"Alíquota aplicada corretamente ✅")))</f>
        <v/>
      </c>
      <c r="Q658" s="8" t="str">
        <f>IF(E658="","",IFERROR(VLOOKUP(E658,REGRAS_CST!$A$2:$D$200,4,FALSE),""))</f>
        <v/>
      </c>
      <c r="S658" s="9">
        <f>IF($H658="","",$H658*(1-$U658))</f>
        <v>8.9999999999999993E-3</v>
      </c>
      <c r="T658" s="9">
        <f>IF($I658="","",$I658*(1-$U658))</f>
        <v>1E-3</v>
      </c>
      <c r="U658" s="16">
        <f>IFERROR(INDEX(BASE_CCLASSTRIB!$E:$E, MATCH(TEXT($D658,"000000"), BASE_CCLASSTRIB!$A:$A, 0))/100, 0)</f>
        <v>0</v>
      </c>
      <c r="V658" s="16">
        <f>IFERROR(INDEX(BASE_CCLASSTRIB!$F:$F, MATCH(TEXT($D658,"000000"), BASE_CCLASSTRIB!$A:$A, 0))/100, 0)</f>
        <v>0</v>
      </c>
    </row>
    <row r="659" spans="4:22" ht="32.25" customHeight="1">
      <c r="D659" s="40"/>
      <c r="E659" s="27" t="str">
        <f>IF(D659="","",LEFT(D659,3))</f>
        <v/>
      </c>
      <c r="F659" s="28" t="str">
        <f>IF(E659="","",IFERROR(VLOOKUP(E659,REGRAS_CST!$A$2:$B$200,2,FALSE),""))</f>
        <v/>
      </c>
      <c r="H659" s="29">
        <v>8.9999999999999993E-3</v>
      </c>
      <c r="I659" s="29">
        <v>1E-3</v>
      </c>
      <c r="K659" s="21" t="str">
        <f>IF(E659="","",IFERROR(VLOOKUP(E659,REGRAS_CST!$A$2:$C$200,3,FALSE),""))</f>
        <v/>
      </c>
      <c r="L659" s="23" t="str">
        <f>IF($G659="", "", $G659*(1-$V659))</f>
        <v/>
      </c>
      <c r="M659" s="24" t="str">
        <f>IF(OR($L659="",$S659=""),"",$L659*$S659)</f>
        <v/>
      </c>
      <c r="N659" s="24" t="str">
        <f>IF(OR($L659="",$T659=""),"",$L659*$T659)</f>
        <v/>
      </c>
      <c r="O659" s="15" t="str">
        <f>IF(D659="","",
IF(AND(K659&lt;&gt;"SIM",V659&gt;0),"ERRO: % BC &gt; 0, mas NÃO permitida ❌",
IF(AND(K659="SIM",V659=0),"ATENÇÃO: BC permitida, mas % = 0 🔎",
"Base de cálculo aplicada corretamente ✅")))</f>
        <v/>
      </c>
      <c r="P659" s="31" t="str">
        <f>IF(D659="","",
IF(AND(Q659&lt;&gt;"SIM",U659&gt;0),"ERRO: % alíquota &gt; 0, mas NÃO permitida ❌",
IF(AND(Q659="SIM",U659=0),"ATENÇÃO: alíquota permitida, mas % = 0 🔎",
"Alíquota aplicada corretamente ✅")))</f>
        <v/>
      </c>
      <c r="Q659" s="8" t="str">
        <f>IF(E659="","",IFERROR(VLOOKUP(E659,REGRAS_CST!$A$2:$D$200,4,FALSE),""))</f>
        <v/>
      </c>
      <c r="S659" s="9">
        <f>IF($H659="","",$H659*(1-$U659))</f>
        <v>8.9999999999999993E-3</v>
      </c>
      <c r="T659" s="9">
        <f>IF($I659="","",$I659*(1-$U659))</f>
        <v>1E-3</v>
      </c>
      <c r="U659" s="16">
        <f>IFERROR(INDEX(BASE_CCLASSTRIB!$E:$E, MATCH(TEXT($D659,"000000"), BASE_CCLASSTRIB!$A:$A, 0))/100, 0)</f>
        <v>0</v>
      </c>
      <c r="V659" s="16">
        <f>IFERROR(INDEX(BASE_CCLASSTRIB!$F:$F, MATCH(TEXT($D659,"000000"), BASE_CCLASSTRIB!$A:$A, 0))/100, 0)</f>
        <v>0</v>
      </c>
    </row>
    <row r="660" spans="4:22" ht="32.25" customHeight="1">
      <c r="D660" s="40"/>
      <c r="E660" s="27" t="str">
        <f>IF(D660="","",LEFT(D660,3))</f>
        <v/>
      </c>
      <c r="F660" s="28" t="str">
        <f>IF(E660="","",IFERROR(VLOOKUP(E660,REGRAS_CST!$A$2:$B$200,2,FALSE),""))</f>
        <v/>
      </c>
      <c r="H660" s="29">
        <v>8.9999999999999993E-3</v>
      </c>
      <c r="I660" s="29">
        <v>1E-3</v>
      </c>
      <c r="K660" s="21" t="str">
        <f>IF(E660="","",IFERROR(VLOOKUP(E660,REGRAS_CST!$A$2:$C$200,3,FALSE),""))</f>
        <v/>
      </c>
      <c r="L660" s="23" t="str">
        <f>IF($G660="", "", $G660*(1-$V660))</f>
        <v/>
      </c>
      <c r="M660" s="24" t="str">
        <f>IF(OR($L660="",$S660=""),"",$L660*$S660)</f>
        <v/>
      </c>
      <c r="N660" s="24" t="str">
        <f>IF(OR($L660="",$T660=""),"",$L660*$T660)</f>
        <v/>
      </c>
      <c r="O660" s="15" t="str">
        <f>IF(D660="","",
IF(AND(K660&lt;&gt;"SIM",V660&gt;0),"ERRO: % BC &gt; 0, mas NÃO permitida ❌",
IF(AND(K660="SIM",V660=0),"ATENÇÃO: BC permitida, mas % = 0 🔎",
"Base de cálculo aplicada corretamente ✅")))</f>
        <v/>
      </c>
      <c r="P660" s="31" t="str">
        <f>IF(D660="","",
IF(AND(Q660&lt;&gt;"SIM",U660&gt;0),"ERRO: % alíquota &gt; 0, mas NÃO permitida ❌",
IF(AND(Q660="SIM",U660=0),"ATENÇÃO: alíquota permitida, mas % = 0 🔎",
"Alíquota aplicada corretamente ✅")))</f>
        <v/>
      </c>
      <c r="Q660" s="8" t="str">
        <f>IF(E660="","",IFERROR(VLOOKUP(E660,REGRAS_CST!$A$2:$D$200,4,FALSE),""))</f>
        <v/>
      </c>
      <c r="S660" s="9">
        <f>IF($H660="","",$H660*(1-$U660))</f>
        <v>8.9999999999999993E-3</v>
      </c>
      <c r="T660" s="9">
        <f>IF($I660="","",$I660*(1-$U660))</f>
        <v>1E-3</v>
      </c>
      <c r="U660" s="16">
        <f>IFERROR(INDEX(BASE_CCLASSTRIB!$E:$E, MATCH(TEXT($D660,"000000"), BASE_CCLASSTRIB!$A:$A, 0))/100, 0)</f>
        <v>0</v>
      </c>
      <c r="V660" s="16">
        <f>IFERROR(INDEX(BASE_CCLASSTRIB!$F:$F, MATCH(TEXT($D660,"000000"), BASE_CCLASSTRIB!$A:$A, 0))/100, 0)</f>
        <v>0</v>
      </c>
    </row>
    <row r="661" spans="4:22" ht="32.25" customHeight="1">
      <c r="D661" s="40"/>
      <c r="E661" s="27" t="str">
        <f>IF(D661="","",LEFT(D661,3))</f>
        <v/>
      </c>
      <c r="F661" s="28" t="str">
        <f>IF(E661="","",IFERROR(VLOOKUP(E661,REGRAS_CST!$A$2:$B$200,2,FALSE),""))</f>
        <v/>
      </c>
      <c r="H661" s="29">
        <v>8.9999999999999993E-3</v>
      </c>
      <c r="I661" s="29">
        <v>1E-3</v>
      </c>
      <c r="K661" s="21" t="str">
        <f>IF(E661="","",IFERROR(VLOOKUP(E661,REGRAS_CST!$A$2:$C$200,3,FALSE),""))</f>
        <v/>
      </c>
      <c r="L661" s="23" t="str">
        <f>IF($G661="", "", $G661*(1-$V661))</f>
        <v/>
      </c>
      <c r="M661" s="24" t="str">
        <f>IF(OR($L661="",$S661=""),"",$L661*$S661)</f>
        <v/>
      </c>
      <c r="N661" s="24" t="str">
        <f>IF(OR($L661="",$T661=""),"",$L661*$T661)</f>
        <v/>
      </c>
      <c r="O661" s="15" t="str">
        <f>IF(D661="","",
IF(AND(K661&lt;&gt;"SIM",V661&gt;0),"ERRO: % BC &gt; 0, mas NÃO permitida ❌",
IF(AND(K661="SIM",V661=0),"ATENÇÃO: BC permitida, mas % = 0 🔎",
"Base de cálculo aplicada corretamente ✅")))</f>
        <v/>
      </c>
      <c r="P661" s="31" t="str">
        <f>IF(D661="","",
IF(AND(Q661&lt;&gt;"SIM",U661&gt;0),"ERRO: % alíquota &gt; 0, mas NÃO permitida ❌",
IF(AND(Q661="SIM",U661=0),"ATENÇÃO: alíquota permitida, mas % = 0 🔎",
"Alíquota aplicada corretamente ✅")))</f>
        <v/>
      </c>
      <c r="Q661" s="8" t="str">
        <f>IF(E661="","",IFERROR(VLOOKUP(E661,REGRAS_CST!$A$2:$D$200,4,FALSE),""))</f>
        <v/>
      </c>
      <c r="S661" s="9">
        <f>IF($H661="","",$H661*(1-$U661))</f>
        <v>8.9999999999999993E-3</v>
      </c>
      <c r="T661" s="9">
        <f>IF($I661="","",$I661*(1-$U661))</f>
        <v>1E-3</v>
      </c>
      <c r="U661" s="16">
        <f>IFERROR(INDEX(BASE_CCLASSTRIB!$E:$E, MATCH(TEXT($D661,"000000"), BASE_CCLASSTRIB!$A:$A, 0))/100, 0)</f>
        <v>0</v>
      </c>
      <c r="V661" s="16">
        <f>IFERROR(INDEX(BASE_CCLASSTRIB!$F:$F, MATCH(TEXT($D661,"000000"), BASE_CCLASSTRIB!$A:$A, 0))/100, 0)</f>
        <v>0</v>
      </c>
    </row>
    <row r="662" spans="4:22" ht="32.25" customHeight="1">
      <c r="D662" s="39"/>
      <c r="E662" s="27" t="str">
        <f>IF(D662="","",LEFT(D662,3))</f>
        <v/>
      </c>
      <c r="F662" s="28" t="str">
        <f>IF(E662="","",IFERROR(VLOOKUP(E662,REGRAS_CST!$A$2:$B$200,2,FALSE),""))</f>
        <v/>
      </c>
      <c r="H662" s="29">
        <v>8.9999999999999993E-3</v>
      </c>
      <c r="I662" s="29">
        <v>1E-3</v>
      </c>
      <c r="K662" s="21" t="str">
        <f>IF(E662="","",IFERROR(VLOOKUP(E662,REGRAS_CST!$A$2:$C$200,3,FALSE),""))</f>
        <v/>
      </c>
      <c r="L662" s="23" t="str">
        <f>IF($G662="", "", $G662*(1-$V662))</f>
        <v/>
      </c>
      <c r="M662" s="24" t="str">
        <f>IF(OR($L662="",$S662=""),"",$L662*$S662)</f>
        <v/>
      </c>
      <c r="N662" s="24" t="str">
        <f>IF(OR($L662="",$T662=""),"",$L662*$T662)</f>
        <v/>
      </c>
      <c r="O662" s="15" t="str">
        <f>IF(D662="","",
IF(AND(K662&lt;&gt;"SIM",V662&gt;0),"ERRO: % BC &gt; 0, mas NÃO permitida ❌",
IF(AND(K662="SIM",V662=0),"ATENÇÃO: BC permitida, mas % = 0 🔎",
"Base de cálculo aplicada corretamente ✅")))</f>
        <v/>
      </c>
      <c r="P662" s="31" t="str">
        <f>IF(D662="","",
IF(AND(Q662&lt;&gt;"SIM",U662&gt;0),"ERRO: % alíquota &gt; 0, mas NÃO permitida ❌",
IF(AND(Q662="SIM",U662=0),"ATENÇÃO: alíquota permitida, mas % = 0 🔎",
"Alíquota aplicada corretamente ✅")))</f>
        <v/>
      </c>
      <c r="Q662" s="8" t="str">
        <f>IF(E662="","",IFERROR(VLOOKUP(E662,REGRAS_CST!$A$2:$D$200,4,FALSE),""))</f>
        <v/>
      </c>
      <c r="S662" s="9">
        <f>IF($H662="","",$H662*(1-$U662))</f>
        <v>8.9999999999999993E-3</v>
      </c>
      <c r="T662" s="9">
        <f>IF($I662="","",$I662*(1-$U662))</f>
        <v>1E-3</v>
      </c>
      <c r="U662" s="16">
        <f>IFERROR(INDEX(BASE_CCLASSTRIB!$E:$E, MATCH(TEXT($D662,"000000"), BASE_CCLASSTRIB!$A:$A, 0))/100, 0)</f>
        <v>0</v>
      </c>
      <c r="V662" s="16">
        <f>IFERROR(INDEX(BASE_CCLASSTRIB!$F:$F, MATCH(TEXT($D662,"000000"), BASE_CCLASSTRIB!$A:$A, 0))/100, 0)</f>
        <v>0</v>
      </c>
    </row>
    <row r="663" spans="4:22" ht="32.25" customHeight="1">
      <c r="D663" s="39"/>
      <c r="E663" s="27" t="str">
        <f>IF(D663="","",LEFT(D663,3))</f>
        <v/>
      </c>
      <c r="F663" s="28" t="str">
        <f>IF(E663="","",IFERROR(VLOOKUP(E663,REGRAS_CST!$A$2:$B$200,2,FALSE),""))</f>
        <v/>
      </c>
      <c r="H663" s="29">
        <v>8.9999999999999993E-3</v>
      </c>
      <c r="I663" s="29">
        <v>1E-3</v>
      </c>
      <c r="K663" s="21" t="str">
        <f>IF(E663="","",IFERROR(VLOOKUP(E663,REGRAS_CST!$A$2:$C$200,3,FALSE),""))</f>
        <v/>
      </c>
      <c r="L663" s="23" t="str">
        <f>IF($G663="", "", $G663*(1-$V663))</f>
        <v/>
      </c>
      <c r="M663" s="24" t="str">
        <f>IF(OR($L663="",$S663=""),"",$L663*$S663)</f>
        <v/>
      </c>
      <c r="N663" s="24" t="str">
        <f>IF(OR($L663="",$T663=""),"",$L663*$T663)</f>
        <v/>
      </c>
      <c r="O663" s="15" t="str">
        <f>IF(D663="","",
IF(AND(K663&lt;&gt;"SIM",V663&gt;0),"ERRO: % BC &gt; 0, mas NÃO permitida ❌",
IF(AND(K663="SIM",V663=0),"ATENÇÃO: BC permitida, mas % = 0 🔎",
"Base de cálculo aplicada corretamente ✅")))</f>
        <v/>
      </c>
      <c r="P663" s="31" t="str">
        <f>IF(D663="","",
IF(AND(Q663&lt;&gt;"SIM",U663&gt;0),"ERRO: % alíquota &gt; 0, mas NÃO permitida ❌",
IF(AND(Q663="SIM",U663=0),"ATENÇÃO: alíquota permitida, mas % = 0 🔎",
"Alíquota aplicada corretamente ✅")))</f>
        <v/>
      </c>
      <c r="Q663" s="8" t="str">
        <f>IF(E663="","",IFERROR(VLOOKUP(E663,REGRAS_CST!$A$2:$D$200,4,FALSE),""))</f>
        <v/>
      </c>
      <c r="S663" s="9">
        <f>IF($H663="","",$H663*(1-$U663))</f>
        <v>8.9999999999999993E-3</v>
      </c>
      <c r="T663" s="9">
        <f>IF($I663="","",$I663*(1-$U663))</f>
        <v>1E-3</v>
      </c>
      <c r="U663" s="16">
        <f>IFERROR(INDEX(BASE_CCLASSTRIB!$E:$E, MATCH(TEXT($D663,"000000"), BASE_CCLASSTRIB!$A:$A, 0))/100, 0)</f>
        <v>0</v>
      </c>
      <c r="V663" s="16">
        <f>IFERROR(INDEX(BASE_CCLASSTRIB!$F:$F, MATCH(TEXT($D663,"000000"), BASE_CCLASSTRIB!$A:$A, 0))/100, 0)</f>
        <v>0</v>
      </c>
    </row>
    <row r="664" spans="4:22" ht="32.25" customHeight="1">
      <c r="D664" s="39"/>
      <c r="E664" s="27" t="str">
        <f>IF(D664="","",LEFT(D664,3))</f>
        <v/>
      </c>
      <c r="F664" s="28" t="str">
        <f>IF(E664="","",IFERROR(VLOOKUP(E664,REGRAS_CST!$A$2:$B$200,2,FALSE),""))</f>
        <v/>
      </c>
      <c r="H664" s="29">
        <v>8.9999999999999993E-3</v>
      </c>
      <c r="I664" s="29">
        <v>1E-3</v>
      </c>
      <c r="K664" s="21" t="str">
        <f>IF(E664="","",IFERROR(VLOOKUP(E664,REGRAS_CST!$A$2:$C$200,3,FALSE),""))</f>
        <v/>
      </c>
      <c r="L664" s="23" t="str">
        <f>IF($G664="", "", $G664*(1-$V664))</f>
        <v/>
      </c>
      <c r="M664" s="24" t="str">
        <f>IF(OR($L664="",$S664=""),"",$L664*$S664)</f>
        <v/>
      </c>
      <c r="N664" s="24" t="str">
        <f>IF(OR($L664="",$T664=""),"",$L664*$T664)</f>
        <v/>
      </c>
      <c r="O664" s="15" t="str">
        <f>IF(D664="","",
IF(AND(K664&lt;&gt;"SIM",V664&gt;0),"ERRO: % BC &gt; 0, mas NÃO permitida ❌",
IF(AND(K664="SIM",V664=0),"ATENÇÃO: BC permitida, mas % = 0 🔎",
"Base de cálculo aplicada corretamente ✅")))</f>
        <v/>
      </c>
      <c r="P664" s="31" t="str">
        <f>IF(D664="","",
IF(AND(Q664&lt;&gt;"SIM",U664&gt;0),"ERRO: % alíquota &gt; 0, mas NÃO permitida ❌",
IF(AND(Q664="SIM",U664=0),"ATENÇÃO: alíquota permitida, mas % = 0 🔎",
"Alíquota aplicada corretamente ✅")))</f>
        <v/>
      </c>
      <c r="Q664" s="8" t="str">
        <f>IF(E664="","",IFERROR(VLOOKUP(E664,REGRAS_CST!$A$2:$D$200,4,FALSE),""))</f>
        <v/>
      </c>
      <c r="S664" s="9">
        <f>IF($H664="","",$H664*(1-$U664))</f>
        <v>8.9999999999999993E-3</v>
      </c>
      <c r="T664" s="9">
        <f>IF($I664="","",$I664*(1-$U664))</f>
        <v>1E-3</v>
      </c>
      <c r="U664" s="16">
        <f>IFERROR(INDEX(BASE_CCLASSTRIB!$E:$E, MATCH(TEXT($D664,"000000"), BASE_CCLASSTRIB!$A:$A, 0))/100, 0)</f>
        <v>0</v>
      </c>
      <c r="V664" s="16">
        <f>IFERROR(INDEX(BASE_CCLASSTRIB!$F:$F, MATCH(TEXT($D664,"000000"), BASE_CCLASSTRIB!$A:$A, 0))/100, 0)</f>
        <v>0</v>
      </c>
    </row>
    <row r="665" spans="4:22" ht="32.25" customHeight="1">
      <c r="D665" s="39"/>
      <c r="E665" s="27" t="str">
        <f>IF(D665="","",LEFT(D665,3))</f>
        <v/>
      </c>
      <c r="F665" s="28" t="str">
        <f>IF(E665="","",IFERROR(VLOOKUP(E665,REGRAS_CST!$A$2:$B$200,2,FALSE),""))</f>
        <v/>
      </c>
      <c r="H665" s="29">
        <v>8.9999999999999993E-3</v>
      </c>
      <c r="I665" s="29">
        <v>1E-3</v>
      </c>
      <c r="K665" s="21" t="str">
        <f>IF(E665="","",IFERROR(VLOOKUP(E665,REGRAS_CST!$A$2:$C$200,3,FALSE),""))</f>
        <v/>
      </c>
      <c r="L665" s="23" t="str">
        <f>IF($G665="", "", $G665*(1-$V665))</f>
        <v/>
      </c>
      <c r="M665" s="24" t="str">
        <f>IF(OR($L665="",$S665=""),"",$L665*$S665)</f>
        <v/>
      </c>
      <c r="N665" s="24" t="str">
        <f>IF(OR($L665="",$T665=""),"",$L665*$T665)</f>
        <v/>
      </c>
      <c r="O665" s="15" t="str">
        <f>IF(D665="","",
IF(AND(K665&lt;&gt;"SIM",V665&gt;0),"ERRO: % BC &gt; 0, mas NÃO permitida ❌",
IF(AND(K665="SIM",V665=0),"ATENÇÃO: BC permitida, mas % = 0 🔎",
"Base de cálculo aplicada corretamente ✅")))</f>
        <v/>
      </c>
      <c r="P665" s="31" t="str">
        <f>IF(D665="","",
IF(AND(Q665&lt;&gt;"SIM",U665&gt;0),"ERRO: % alíquota &gt; 0, mas NÃO permitida ❌",
IF(AND(Q665="SIM",U665=0),"ATENÇÃO: alíquota permitida, mas % = 0 🔎",
"Alíquota aplicada corretamente ✅")))</f>
        <v/>
      </c>
      <c r="Q665" s="8" t="str">
        <f>IF(E665="","",IFERROR(VLOOKUP(E665,REGRAS_CST!$A$2:$D$200,4,FALSE),""))</f>
        <v/>
      </c>
      <c r="S665" s="9">
        <f>IF($H665="","",$H665*(1-$U665))</f>
        <v>8.9999999999999993E-3</v>
      </c>
      <c r="T665" s="9">
        <f>IF($I665="","",$I665*(1-$U665))</f>
        <v>1E-3</v>
      </c>
      <c r="U665" s="16">
        <f>IFERROR(INDEX(BASE_CCLASSTRIB!$E:$E, MATCH(TEXT($D665,"000000"), BASE_CCLASSTRIB!$A:$A, 0))/100, 0)</f>
        <v>0</v>
      </c>
      <c r="V665" s="16">
        <f>IFERROR(INDEX(BASE_CCLASSTRIB!$F:$F, MATCH(TEXT($D665,"000000"), BASE_CCLASSTRIB!$A:$A, 0))/100, 0)</f>
        <v>0</v>
      </c>
    </row>
    <row r="666" spans="4:22" ht="32.25" customHeight="1">
      <c r="D666" s="39"/>
      <c r="E666" s="27" t="str">
        <f>IF(D666="","",LEFT(D666,3))</f>
        <v/>
      </c>
      <c r="F666" s="28" t="str">
        <f>IF(E666="","",IFERROR(VLOOKUP(E666,REGRAS_CST!$A$2:$B$200,2,FALSE),""))</f>
        <v/>
      </c>
      <c r="H666" s="29">
        <v>8.9999999999999993E-3</v>
      </c>
      <c r="I666" s="29">
        <v>1E-3</v>
      </c>
      <c r="K666" s="21" t="str">
        <f>IF(E666="","",IFERROR(VLOOKUP(E666,REGRAS_CST!$A$2:$C$200,3,FALSE),""))</f>
        <v/>
      </c>
      <c r="L666" s="23" t="str">
        <f>IF($G666="", "", $G666*(1-$V666))</f>
        <v/>
      </c>
      <c r="M666" s="24" t="str">
        <f>IF(OR($L666="",$S666=""),"",$L666*$S666)</f>
        <v/>
      </c>
      <c r="N666" s="24" t="str">
        <f>IF(OR($L666="",$T666=""),"",$L666*$T666)</f>
        <v/>
      </c>
      <c r="O666" s="15" t="str">
        <f>IF(D666="","",
IF(AND(K666&lt;&gt;"SIM",V666&gt;0),"ERRO: % BC &gt; 0, mas NÃO permitida ❌",
IF(AND(K666="SIM",V666=0),"ATENÇÃO: BC permitida, mas % = 0 🔎",
"Base de cálculo aplicada corretamente ✅")))</f>
        <v/>
      </c>
      <c r="P666" s="31" t="str">
        <f>IF(D666="","",
IF(AND(Q666&lt;&gt;"SIM",U666&gt;0),"ERRO: % alíquota &gt; 0, mas NÃO permitida ❌",
IF(AND(Q666="SIM",U666=0),"ATENÇÃO: alíquota permitida, mas % = 0 🔎",
"Alíquota aplicada corretamente ✅")))</f>
        <v/>
      </c>
      <c r="Q666" s="8" t="str">
        <f>IF(E666="","",IFERROR(VLOOKUP(E666,REGRAS_CST!$A$2:$D$200,4,FALSE),""))</f>
        <v/>
      </c>
      <c r="S666" s="9">
        <f>IF($H666="","",$H666*(1-$U666))</f>
        <v>8.9999999999999993E-3</v>
      </c>
      <c r="T666" s="9">
        <f>IF($I666="","",$I666*(1-$U666))</f>
        <v>1E-3</v>
      </c>
      <c r="U666" s="16">
        <f>IFERROR(INDEX(BASE_CCLASSTRIB!$E:$E, MATCH(TEXT($D666,"000000"), BASE_CCLASSTRIB!$A:$A, 0))/100, 0)</f>
        <v>0</v>
      </c>
      <c r="V666" s="16">
        <f>IFERROR(INDEX(BASE_CCLASSTRIB!$F:$F, MATCH(TEXT($D666,"000000"), BASE_CCLASSTRIB!$A:$A, 0))/100, 0)</f>
        <v>0</v>
      </c>
    </row>
    <row r="667" spans="4:22" ht="32.25" customHeight="1">
      <c r="D667" s="39"/>
      <c r="E667" s="27" t="str">
        <f>IF(D667="","",LEFT(D667,3))</f>
        <v/>
      </c>
      <c r="F667" s="28" t="str">
        <f>IF(E667="","",IFERROR(VLOOKUP(E667,REGRAS_CST!$A$2:$B$200,2,FALSE),""))</f>
        <v/>
      </c>
      <c r="H667" s="29">
        <v>8.9999999999999993E-3</v>
      </c>
      <c r="I667" s="29">
        <v>1E-3</v>
      </c>
      <c r="K667" s="21" t="str">
        <f>IF(E667="","",IFERROR(VLOOKUP(E667,REGRAS_CST!$A$2:$C$200,3,FALSE),""))</f>
        <v/>
      </c>
      <c r="L667" s="23" t="str">
        <f>IF($G667="", "", $G667*(1-$V667))</f>
        <v/>
      </c>
      <c r="M667" s="24" t="str">
        <f>IF(OR($L667="",$S667=""),"",$L667*$S667)</f>
        <v/>
      </c>
      <c r="N667" s="24" t="str">
        <f>IF(OR($L667="",$T667=""),"",$L667*$T667)</f>
        <v/>
      </c>
      <c r="O667" s="15" t="str">
        <f>IF(D667="","",
IF(AND(K667&lt;&gt;"SIM",V667&gt;0),"ERRO: % BC &gt; 0, mas NÃO permitida ❌",
IF(AND(K667="SIM",V667=0),"ATENÇÃO: BC permitida, mas % = 0 🔎",
"Base de cálculo aplicada corretamente ✅")))</f>
        <v/>
      </c>
      <c r="P667" s="31" t="str">
        <f>IF(D667="","",
IF(AND(Q667&lt;&gt;"SIM",U667&gt;0),"ERRO: % alíquota &gt; 0, mas NÃO permitida ❌",
IF(AND(Q667="SIM",U667=0),"ATENÇÃO: alíquota permitida, mas % = 0 🔎",
"Alíquota aplicada corretamente ✅")))</f>
        <v/>
      </c>
      <c r="Q667" s="8" t="str">
        <f>IF(E667="","",IFERROR(VLOOKUP(E667,REGRAS_CST!$A$2:$D$200,4,FALSE),""))</f>
        <v/>
      </c>
      <c r="S667" s="9">
        <f>IF($H667="","",$H667*(1-$U667))</f>
        <v>8.9999999999999993E-3</v>
      </c>
      <c r="T667" s="9">
        <f>IF($I667="","",$I667*(1-$U667))</f>
        <v>1E-3</v>
      </c>
      <c r="U667" s="16">
        <f>IFERROR(INDEX(BASE_CCLASSTRIB!$E:$E, MATCH(TEXT($D667,"000000"), BASE_CCLASSTRIB!$A:$A, 0))/100, 0)</f>
        <v>0</v>
      </c>
      <c r="V667" s="16">
        <f>IFERROR(INDEX(BASE_CCLASSTRIB!$F:$F, MATCH(TEXT($D667,"000000"), BASE_CCLASSTRIB!$A:$A, 0))/100, 0)</f>
        <v>0</v>
      </c>
    </row>
    <row r="668" spans="4:22" ht="32.25" customHeight="1">
      <c r="D668" s="39"/>
      <c r="E668" s="27" t="str">
        <f>IF(D668="","",LEFT(D668,3))</f>
        <v/>
      </c>
      <c r="F668" s="28" t="str">
        <f>IF(E668="","",IFERROR(VLOOKUP(E668,REGRAS_CST!$A$2:$B$200,2,FALSE),""))</f>
        <v/>
      </c>
      <c r="H668" s="29">
        <v>8.9999999999999993E-3</v>
      </c>
      <c r="I668" s="29">
        <v>1E-3</v>
      </c>
      <c r="K668" s="21" t="str">
        <f>IF(E668="","",IFERROR(VLOOKUP(E668,REGRAS_CST!$A$2:$C$200,3,FALSE),""))</f>
        <v/>
      </c>
      <c r="L668" s="23" t="str">
        <f>IF($G668="", "", $G668*(1-$V668))</f>
        <v/>
      </c>
      <c r="M668" s="24" t="str">
        <f>IF(OR($L668="",$S668=""),"",$L668*$S668)</f>
        <v/>
      </c>
      <c r="N668" s="24" t="str">
        <f>IF(OR($L668="",$T668=""),"",$L668*$T668)</f>
        <v/>
      </c>
      <c r="O668" s="15" t="str">
        <f>IF(D668="","",
IF(AND(K668&lt;&gt;"SIM",V668&gt;0),"ERRO: % BC &gt; 0, mas NÃO permitida ❌",
IF(AND(K668="SIM",V668=0),"ATENÇÃO: BC permitida, mas % = 0 🔎",
"Base de cálculo aplicada corretamente ✅")))</f>
        <v/>
      </c>
      <c r="P668" s="31" t="str">
        <f>IF(D668="","",
IF(AND(Q668&lt;&gt;"SIM",U668&gt;0),"ERRO: % alíquota &gt; 0, mas NÃO permitida ❌",
IF(AND(Q668="SIM",U668=0),"ATENÇÃO: alíquota permitida, mas % = 0 🔎",
"Alíquota aplicada corretamente ✅")))</f>
        <v/>
      </c>
      <c r="Q668" s="8" t="str">
        <f>IF(E668="","",IFERROR(VLOOKUP(E668,REGRAS_CST!$A$2:$D$200,4,FALSE),""))</f>
        <v/>
      </c>
      <c r="S668" s="9">
        <f>IF($H668="","",$H668*(1-$U668))</f>
        <v>8.9999999999999993E-3</v>
      </c>
      <c r="T668" s="9">
        <f>IF($I668="","",$I668*(1-$U668))</f>
        <v>1E-3</v>
      </c>
      <c r="U668" s="16">
        <f>IFERROR(INDEX(BASE_CCLASSTRIB!$E:$E, MATCH(TEXT($D668,"000000"), BASE_CCLASSTRIB!$A:$A, 0))/100, 0)</f>
        <v>0</v>
      </c>
      <c r="V668" s="16">
        <f>IFERROR(INDEX(BASE_CCLASSTRIB!$F:$F, MATCH(TEXT($D668,"000000"), BASE_CCLASSTRIB!$A:$A, 0))/100, 0)</f>
        <v>0</v>
      </c>
    </row>
    <row r="669" spans="4:22" ht="32.25" customHeight="1">
      <c r="D669" s="40"/>
      <c r="E669" s="27" t="str">
        <f>IF(D669="","",LEFT(D669,3))</f>
        <v/>
      </c>
      <c r="F669" s="28" t="str">
        <f>IF(E669="","",IFERROR(VLOOKUP(E669,REGRAS_CST!$A$2:$B$200,2,FALSE),""))</f>
        <v/>
      </c>
      <c r="H669" s="29">
        <v>8.9999999999999993E-3</v>
      </c>
      <c r="I669" s="29">
        <v>1E-3</v>
      </c>
      <c r="K669" s="21" t="str">
        <f>IF(E669="","",IFERROR(VLOOKUP(E669,REGRAS_CST!$A$2:$C$200,3,FALSE),""))</f>
        <v/>
      </c>
      <c r="L669" s="23" t="str">
        <f>IF($G669="", "", $G669*(1-$V669))</f>
        <v/>
      </c>
      <c r="M669" s="24" t="str">
        <f>IF(OR($L669="",$S669=""),"",$L669*$S669)</f>
        <v/>
      </c>
      <c r="N669" s="24" t="str">
        <f>IF(OR($L669="",$T669=""),"",$L669*$T669)</f>
        <v/>
      </c>
      <c r="O669" s="15" t="str">
        <f>IF(D669="","",
IF(AND(K669&lt;&gt;"SIM",V669&gt;0),"ERRO: % BC &gt; 0, mas NÃO permitida ❌",
IF(AND(K669="SIM",V669=0),"ATENÇÃO: BC permitida, mas % = 0 🔎",
"Base de cálculo aplicada corretamente ✅")))</f>
        <v/>
      </c>
      <c r="P669" s="31" t="str">
        <f>IF(D669="","",
IF(AND(Q669&lt;&gt;"SIM",U669&gt;0),"ERRO: % alíquota &gt; 0, mas NÃO permitida ❌",
IF(AND(Q669="SIM",U669=0),"ATENÇÃO: alíquota permitida, mas % = 0 🔎",
"Alíquota aplicada corretamente ✅")))</f>
        <v/>
      </c>
      <c r="Q669" s="8" t="str">
        <f>IF(E669="","",IFERROR(VLOOKUP(E669,REGRAS_CST!$A$2:$D$200,4,FALSE),""))</f>
        <v/>
      </c>
      <c r="S669" s="9">
        <f>IF($H669="","",$H669*(1-$U669))</f>
        <v>8.9999999999999993E-3</v>
      </c>
      <c r="T669" s="9">
        <f>IF($I669="","",$I669*(1-$U669))</f>
        <v>1E-3</v>
      </c>
      <c r="U669" s="16">
        <f>IFERROR(INDEX(BASE_CCLASSTRIB!$E:$E, MATCH(TEXT($D669,"000000"), BASE_CCLASSTRIB!$A:$A, 0))/100, 0)</f>
        <v>0</v>
      </c>
      <c r="V669" s="16">
        <f>IFERROR(INDEX(BASE_CCLASSTRIB!$F:$F, MATCH(TEXT($D669,"000000"), BASE_CCLASSTRIB!$A:$A, 0))/100, 0)</f>
        <v>0</v>
      </c>
    </row>
    <row r="670" spans="4:22" ht="32.25" customHeight="1">
      <c r="D670" s="39"/>
      <c r="E670" s="27" t="str">
        <f>IF(D670="","",LEFT(D670,3))</f>
        <v/>
      </c>
      <c r="F670" s="28" t="str">
        <f>IF(E670="","",IFERROR(VLOOKUP(E670,REGRAS_CST!$A$2:$B$200,2,FALSE),""))</f>
        <v/>
      </c>
      <c r="H670" s="29">
        <v>8.9999999999999993E-3</v>
      </c>
      <c r="I670" s="29">
        <v>1E-3</v>
      </c>
      <c r="K670" s="21" t="str">
        <f>IF(E670="","",IFERROR(VLOOKUP(E670,REGRAS_CST!$A$2:$C$200,3,FALSE),""))</f>
        <v/>
      </c>
      <c r="L670" s="23" t="str">
        <f>IF($G670="", "", $G670*(1-$V670))</f>
        <v/>
      </c>
      <c r="M670" s="24" t="str">
        <f>IF(OR($L670="",$S670=""),"",$L670*$S670)</f>
        <v/>
      </c>
      <c r="N670" s="24" t="str">
        <f>IF(OR($L670="",$T670=""),"",$L670*$T670)</f>
        <v/>
      </c>
      <c r="O670" s="15" t="str">
        <f>IF(D670="","",
IF(AND(K670&lt;&gt;"SIM",V670&gt;0),"ERRO: % BC &gt; 0, mas NÃO permitida ❌",
IF(AND(K670="SIM",V670=0),"ATENÇÃO: BC permitida, mas % = 0 🔎",
"Base de cálculo aplicada corretamente ✅")))</f>
        <v/>
      </c>
      <c r="P670" s="31" t="str">
        <f>IF(D670="","",
IF(AND(Q670&lt;&gt;"SIM",U670&gt;0),"ERRO: % alíquota &gt; 0, mas NÃO permitida ❌",
IF(AND(Q670="SIM",U670=0),"ATENÇÃO: alíquota permitida, mas % = 0 🔎",
"Alíquota aplicada corretamente ✅")))</f>
        <v/>
      </c>
      <c r="Q670" s="8" t="str">
        <f>IF(E670="","",IFERROR(VLOOKUP(E670,REGRAS_CST!$A$2:$D$200,4,FALSE),""))</f>
        <v/>
      </c>
      <c r="S670" s="9">
        <f>IF($H670="","",$H670*(1-$U670))</f>
        <v>8.9999999999999993E-3</v>
      </c>
      <c r="T670" s="9">
        <f>IF($I670="","",$I670*(1-$U670))</f>
        <v>1E-3</v>
      </c>
      <c r="U670" s="16">
        <f>IFERROR(INDEX(BASE_CCLASSTRIB!$E:$E, MATCH(TEXT($D670,"000000"), BASE_CCLASSTRIB!$A:$A, 0))/100, 0)</f>
        <v>0</v>
      </c>
      <c r="V670" s="16">
        <f>IFERROR(INDEX(BASE_CCLASSTRIB!$F:$F, MATCH(TEXT($D670,"000000"), BASE_CCLASSTRIB!$A:$A, 0))/100, 0)</f>
        <v>0</v>
      </c>
    </row>
    <row r="671" spans="4:22" ht="32.25" customHeight="1">
      <c r="D671" s="39"/>
      <c r="E671" s="27" t="str">
        <f>IF(D671="","",LEFT(D671,3))</f>
        <v/>
      </c>
      <c r="F671" s="28" t="str">
        <f>IF(E671="","",IFERROR(VLOOKUP(E671,REGRAS_CST!$A$2:$B$200,2,FALSE),""))</f>
        <v/>
      </c>
      <c r="H671" s="29">
        <v>8.9999999999999993E-3</v>
      </c>
      <c r="I671" s="29">
        <v>1E-3</v>
      </c>
      <c r="K671" s="21" t="str">
        <f>IF(E671="","",IFERROR(VLOOKUP(E671,REGRAS_CST!$A$2:$C$200,3,FALSE),""))</f>
        <v/>
      </c>
      <c r="L671" s="23" t="str">
        <f>IF($G671="", "", $G671*(1-$V671))</f>
        <v/>
      </c>
      <c r="M671" s="24" t="str">
        <f>IF(OR($L671="",$S671=""),"",$L671*$S671)</f>
        <v/>
      </c>
      <c r="N671" s="24" t="str">
        <f>IF(OR($L671="",$T671=""),"",$L671*$T671)</f>
        <v/>
      </c>
      <c r="O671" s="15" t="str">
        <f>IF(D671="","",
IF(AND(K671&lt;&gt;"SIM",V671&gt;0),"ERRO: % BC &gt; 0, mas NÃO permitida ❌",
IF(AND(K671="SIM",V671=0),"ATENÇÃO: BC permitida, mas % = 0 🔎",
"Base de cálculo aplicada corretamente ✅")))</f>
        <v/>
      </c>
      <c r="P671" s="31" t="str">
        <f>IF(D671="","",
IF(AND(Q671&lt;&gt;"SIM",U671&gt;0),"ERRO: % alíquota &gt; 0, mas NÃO permitida ❌",
IF(AND(Q671="SIM",U671=0),"ATENÇÃO: alíquota permitida, mas % = 0 🔎",
"Alíquota aplicada corretamente ✅")))</f>
        <v/>
      </c>
      <c r="Q671" s="8" t="str">
        <f>IF(E671="","",IFERROR(VLOOKUP(E671,REGRAS_CST!$A$2:$D$200,4,FALSE),""))</f>
        <v/>
      </c>
      <c r="S671" s="9">
        <f>IF($H671="","",$H671*(1-$U671))</f>
        <v>8.9999999999999993E-3</v>
      </c>
      <c r="T671" s="9">
        <f>IF($I671="","",$I671*(1-$U671))</f>
        <v>1E-3</v>
      </c>
      <c r="U671" s="16">
        <f>IFERROR(INDEX(BASE_CCLASSTRIB!$E:$E, MATCH(TEXT($D671,"000000"), BASE_CCLASSTRIB!$A:$A, 0))/100, 0)</f>
        <v>0</v>
      </c>
      <c r="V671" s="16">
        <f>IFERROR(INDEX(BASE_CCLASSTRIB!$F:$F, MATCH(TEXT($D671,"000000"), BASE_CCLASSTRIB!$A:$A, 0))/100, 0)</f>
        <v>0</v>
      </c>
    </row>
    <row r="672" spans="4:22" ht="32.25" customHeight="1">
      <c r="D672" s="39"/>
      <c r="E672" s="27" t="str">
        <f>IF(D672="","",LEFT(D672,3))</f>
        <v/>
      </c>
      <c r="F672" s="28" t="str">
        <f>IF(E672="","",IFERROR(VLOOKUP(E672,REGRAS_CST!$A$2:$B$200,2,FALSE),""))</f>
        <v/>
      </c>
      <c r="H672" s="29">
        <v>8.9999999999999993E-3</v>
      </c>
      <c r="I672" s="29">
        <v>1E-3</v>
      </c>
      <c r="K672" s="21" t="str">
        <f>IF(E672="","",IFERROR(VLOOKUP(E672,REGRAS_CST!$A$2:$C$200,3,FALSE),""))</f>
        <v/>
      </c>
      <c r="L672" s="23" t="str">
        <f>IF($G672="", "", $G672*(1-$V672))</f>
        <v/>
      </c>
      <c r="M672" s="24" t="str">
        <f>IF(OR($L672="",$S672=""),"",$L672*$S672)</f>
        <v/>
      </c>
      <c r="N672" s="24" t="str">
        <f>IF(OR($L672="",$T672=""),"",$L672*$T672)</f>
        <v/>
      </c>
      <c r="O672" s="15" t="str">
        <f>IF(D672="","",
IF(AND(K672&lt;&gt;"SIM",V672&gt;0),"ERRO: % BC &gt; 0, mas NÃO permitida ❌",
IF(AND(K672="SIM",V672=0),"ATENÇÃO: BC permitida, mas % = 0 🔎",
"Base de cálculo aplicada corretamente ✅")))</f>
        <v/>
      </c>
      <c r="P672" s="31" t="str">
        <f>IF(D672="","",
IF(AND(Q672&lt;&gt;"SIM",U672&gt;0),"ERRO: % alíquota &gt; 0, mas NÃO permitida ❌",
IF(AND(Q672="SIM",U672=0),"ATENÇÃO: alíquota permitida, mas % = 0 🔎",
"Alíquota aplicada corretamente ✅")))</f>
        <v/>
      </c>
      <c r="Q672" s="8" t="str">
        <f>IF(E672="","",IFERROR(VLOOKUP(E672,REGRAS_CST!$A$2:$D$200,4,FALSE),""))</f>
        <v/>
      </c>
      <c r="S672" s="9">
        <f>IF($H672="","",$H672*(1-$U672))</f>
        <v>8.9999999999999993E-3</v>
      </c>
      <c r="T672" s="9">
        <f>IF($I672="","",$I672*(1-$U672))</f>
        <v>1E-3</v>
      </c>
      <c r="U672" s="16">
        <f>IFERROR(INDEX(BASE_CCLASSTRIB!$E:$E, MATCH(TEXT($D672,"000000"), BASE_CCLASSTRIB!$A:$A, 0))/100, 0)</f>
        <v>0</v>
      </c>
      <c r="V672" s="16">
        <f>IFERROR(INDEX(BASE_CCLASSTRIB!$F:$F, MATCH(TEXT($D672,"000000"), BASE_CCLASSTRIB!$A:$A, 0))/100, 0)</f>
        <v>0</v>
      </c>
    </row>
    <row r="673" spans="4:22" ht="32.25" customHeight="1">
      <c r="D673" s="40"/>
      <c r="E673" s="27" t="str">
        <f>IF(D673="","",LEFT(D673,3))</f>
        <v/>
      </c>
      <c r="F673" s="28" t="str">
        <f>IF(E673="","",IFERROR(VLOOKUP(E673,REGRAS_CST!$A$2:$B$200,2,FALSE),""))</f>
        <v/>
      </c>
      <c r="H673" s="29">
        <v>8.9999999999999993E-3</v>
      </c>
      <c r="I673" s="29">
        <v>1E-3</v>
      </c>
      <c r="K673" s="21" t="str">
        <f>IF(E673="","",IFERROR(VLOOKUP(E673,REGRAS_CST!$A$2:$C$200,3,FALSE),""))</f>
        <v/>
      </c>
      <c r="L673" s="23" t="str">
        <f>IF($G673="", "", $G673*(1-$V673))</f>
        <v/>
      </c>
      <c r="M673" s="24" t="str">
        <f>IF(OR($L673="",$S673=""),"",$L673*$S673)</f>
        <v/>
      </c>
      <c r="N673" s="24" t="str">
        <f>IF(OR($L673="",$T673=""),"",$L673*$T673)</f>
        <v/>
      </c>
      <c r="O673" s="15" t="str">
        <f>IF(D673="","",
IF(AND(K673&lt;&gt;"SIM",V673&gt;0),"ERRO: % BC &gt; 0, mas NÃO permitida ❌",
IF(AND(K673="SIM",V673=0),"ATENÇÃO: BC permitida, mas % = 0 🔎",
"Base de cálculo aplicada corretamente ✅")))</f>
        <v/>
      </c>
      <c r="P673" s="31" t="str">
        <f>IF(D673="","",
IF(AND(Q673&lt;&gt;"SIM",U673&gt;0),"ERRO: % alíquota &gt; 0, mas NÃO permitida ❌",
IF(AND(Q673="SIM",U673=0),"ATENÇÃO: alíquota permitida, mas % = 0 🔎",
"Alíquota aplicada corretamente ✅")))</f>
        <v/>
      </c>
      <c r="Q673" s="8" t="str">
        <f>IF(E673="","",IFERROR(VLOOKUP(E673,REGRAS_CST!$A$2:$D$200,4,FALSE),""))</f>
        <v/>
      </c>
      <c r="S673" s="9">
        <f>IF($H673="","",$H673*(1-$U673))</f>
        <v>8.9999999999999993E-3</v>
      </c>
      <c r="T673" s="9">
        <f>IF($I673="","",$I673*(1-$U673))</f>
        <v>1E-3</v>
      </c>
      <c r="U673" s="16">
        <f>IFERROR(INDEX(BASE_CCLASSTRIB!$E:$E, MATCH(TEXT($D673,"000000"), BASE_CCLASSTRIB!$A:$A, 0))/100, 0)</f>
        <v>0</v>
      </c>
      <c r="V673" s="16">
        <f>IFERROR(INDEX(BASE_CCLASSTRIB!$F:$F, MATCH(TEXT($D673,"000000"), BASE_CCLASSTRIB!$A:$A, 0))/100, 0)</f>
        <v>0</v>
      </c>
    </row>
    <row r="674" spans="4:22" ht="32.25" customHeight="1">
      <c r="D674" s="39"/>
      <c r="E674" s="27" t="str">
        <f>IF(D674="","",LEFT(D674,3))</f>
        <v/>
      </c>
      <c r="F674" s="28" t="str">
        <f>IF(E674="","",IFERROR(VLOOKUP(E674,REGRAS_CST!$A$2:$B$200,2,FALSE),""))</f>
        <v/>
      </c>
      <c r="H674" s="29">
        <v>8.9999999999999993E-3</v>
      </c>
      <c r="I674" s="29">
        <v>1E-3</v>
      </c>
      <c r="K674" s="21" t="str">
        <f>IF(E674="","",IFERROR(VLOOKUP(E674,REGRAS_CST!$A$2:$C$200,3,FALSE),""))</f>
        <v/>
      </c>
      <c r="L674" s="23" t="str">
        <f>IF($G674="", "", $G674*(1-$V674))</f>
        <v/>
      </c>
      <c r="M674" s="24" t="str">
        <f>IF(OR($L674="",$S674=""),"",$L674*$S674)</f>
        <v/>
      </c>
      <c r="N674" s="24" t="str">
        <f>IF(OR($L674="",$T674=""),"",$L674*$T674)</f>
        <v/>
      </c>
      <c r="O674" s="15" t="str">
        <f>IF(D674="","",
IF(AND(K674&lt;&gt;"SIM",V674&gt;0),"ERRO: % BC &gt; 0, mas NÃO permitida ❌",
IF(AND(K674="SIM",V674=0),"ATENÇÃO: BC permitida, mas % = 0 🔎",
"Base de cálculo aplicada corretamente ✅")))</f>
        <v/>
      </c>
      <c r="P674" s="31" t="str">
        <f>IF(D674="","",
IF(AND(Q674&lt;&gt;"SIM",U674&gt;0),"ERRO: % alíquota &gt; 0, mas NÃO permitida ❌",
IF(AND(Q674="SIM",U674=0),"ATENÇÃO: alíquota permitida, mas % = 0 🔎",
"Alíquota aplicada corretamente ✅")))</f>
        <v/>
      </c>
      <c r="Q674" s="8" t="str">
        <f>IF(E674="","",IFERROR(VLOOKUP(E674,REGRAS_CST!$A$2:$D$200,4,FALSE),""))</f>
        <v/>
      </c>
      <c r="S674" s="9">
        <f>IF($H674="","",$H674*(1-$U674))</f>
        <v>8.9999999999999993E-3</v>
      </c>
      <c r="T674" s="9">
        <f>IF($I674="","",$I674*(1-$U674))</f>
        <v>1E-3</v>
      </c>
      <c r="U674" s="16">
        <f>IFERROR(INDEX(BASE_CCLASSTRIB!$E:$E, MATCH(TEXT($D674,"000000"), BASE_CCLASSTRIB!$A:$A, 0))/100, 0)</f>
        <v>0</v>
      </c>
      <c r="V674" s="16">
        <f>IFERROR(INDEX(BASE_CCLASSTRIB!$F:$F, MATCH(TEXT($D674,"000000"), BASE_CCLASSTRIB!$A:$A, 0))/100, 0)</f>
        <v>0</v>
      </c>
    </row>
    <row r="675" spans="4:22" ht="32.25" customHeight="1">
      <c r="D675" s="39"/>
      <c r="E675" s="27" t="str">
        <f>IF(D675="","",LEFT(D675,3))</f>
        <v/>
      </c>
      <c r="F675" s="28" t="str">
        <f>IF(E675="","",IFERROR(VLOOKUP(E675,REGRAS_CST!$A$2:$B$200,2,FALSE),""))</f>
        <v/>
      </c>
      <c r="H675" s="29">
        <v>8.9999999999999993E-3</v>
      </c>
      <c r="I675" s="29">
        <v>1E-3</v>
      </c>
      <c r="K675" s="21" t="str">
        <f>IF(E675="","",IFERROR(VLOOKUP(E675,REGRAS_CST!$A$2:$C$200,3,FALSE),""))</f>
        <v/>
      </c>
      <c r="L675" s="23" t="str">
        <f>IF($G675="", "", $G675*(1-$V675))</f>
        <v/>
      </c>
      <c r="M675" s="24" t="str">
        <f>IF(OR($L675="",$S675=""),"",$L675*$S675)</f>
        <v/>
      </c>
      <c r="N675" s="24" t="str">
        <f>IF(OR($L675="",$T675=""),"",$L675*$T675)</f>
        <v/>
      </c>
      <c r="O675" s="15" t="str">
        <f>IF(D675="","",
IF(AND(K675&lt;&gt;"SIM",V675&gt;0),"ERRO: % BC &gt; 0, mas NÃO permitida ❌",
IF(AND(K675="SIM",V675=0),"ATENÇÃO: BC permitida, mas % = 0 🔎",
"Base de cálculo aplicada corretamente ✅")))</f>
        <v/>
      </c>
      <c r="P675" s="31" t="str">
        <f>IF(D675="","",
IF(AND(Q675&lt;&gt;"SIM",U675&gt;0),"ERRO: % alíquota &gt; 0, mas NÃO permitida ❌",
IF(AND(Q675="SIM",U675=0),"ATENÇÃO: alíquota permitida, mas % = 0 🔎",
"Alíquota aplicada corretamente ✅")))</f>
        <v/>
      </c>
      <c r="Q675" s="8" t="str">
        <f>IF(E675="","",IFERROR(VLOOKUP(E675,REGRAS_CST!$A$2:$D$200,4,FALSE),""))</f>
        <v/>
      </c>
      <c r="S675" s="9">
        <f>IF($H675="","",$H675*(1-$U675))</f>
        <v>8.9999999999999993E-3</v>
      </c>
      <c r="T675" s="9">
        <f>IF($I675="","",$I675*(1-$U675))</f>
        <v>1E-3</v>
      </c>
      <c r="U675" s="16">
        <f>IFERROR(INDEX(BASE_CCLASSTRIB!$E:$E, MATCH(TEXT($D675,"000000"), BASE_CCLASSTRIB!$A:$A, 0))/100, 0)</f>
        <v>0</v>
      </c>
      <c r="V675" s="16">
        <f>IFERROR(INDEX(BASE_CCLASSTRIB!$F:$F, MATCH(TEXT($D675,"000000"), BASE_CCLASSTRIB!$A:$A, 0))/100, 0)</f>
        <v>0</v>
      </c>
    </row>
    <row r="676" spans="4:22" ht="32.25" customHeight="1">
      <c r="D676" s="39"/>
      <c r="E676" s="27" t="str">
        <f>IF(D676="","",LEFT(D676,3))</f>
        <v/>
      </c>
      <c r="F676" s="28" t="str">
        <f>IF(E676="","",IFERROR(VLOOKUP(E676,REGRAS_CST!$A$2:$B$200,2,FALSE),""))</f>
        <v/>
      </c>
      <c r="H676" s="29">
        <v>8.9999999999999993E-3</v>
      </c>
      <c r="I676" s="29">
        <v>1E-3</v>
      </c>
      <c r="K676" s="21" t="str">
        <f>IF(E676="","",IFERROR(VLOOKUP(E676,REGRAS_CST!$A$2:$C$200,3,FALSE),""))</f>
        <v/>
      </c>
      <c r="L676" s="23" t="str">
        <f>IF($G676="", "", $G676*(1-$V676))</f>
        <v/>
      </c>
      <c r="M676" s="24" t="str">
        <f>IF(OR($L676="",$S676=""),"",$L676*$S676)</f>
        <v/>
      </c>
      <c r="N676" s="24" t="str">
        <f>IF(OR($L676="",$T676=""),"",$L676*$T676)</f>
        <v/>
      </c>
      <c r="O676" s="15" t="str">
        <f>IF(D676="","",
IF(AND(K676&lt;&gt;"SIM",V676&gt;0),"ERRO: % BC &gt; 0, mas NÃO permitida ❌",
IF(AND(K676="SIM",V676=0),"ATENÇÃO: BC permitida, mas % = 0 🔎",
"Base de cálculo aplicada corretamente ✅")))</f>
        <v/>
      </c>
      <c r="P676" s="31" t="str">
        <f>IF(D676="","",
IF(AND(Q676&lt;&gt;"SIM",U676&gt;0),"ERRO: % alíquota &gt; 0, mas NÃO permitida ❌",
IF(AND(Q676="SIM",U676=0),"ATENÇÃO: alíquota permitida, mas % = 0 🔎",
"Alíquota aplicada corretamente ✅")))</f>
        <v/>
      </c>
      <c r="Q676" s="8" t="str">
        <f>IF(E676="","",IFERROR(VLOOKUP(E676,REGRAS_CST!$A$2:$D$200,4,FALSE),""))</f>
        <v/>
      </c>
      <c r="S676" s="9">
        <f>IF($H676="","",$H676*(1-$U676))</f>
        <v>8.9999999999999993E-3</v>
      </c>
      <c r="T676" s="9">
        <f>IF($I676="","",$I676*(1-$U676))</f>
        <v>1E-3</v>
      </c>
      <c r="U676" s="16">
        <f>IFERROR(INDEX(BASE_CCLASSTRIB!$E:$E, MATCH(TEXT($D676,"000000"), BASE_CCLASSTRIB!$A:$A, 0))/100, 0)</f>
        <v>0</v>
      </c>
      <c r="V676" s="16">
        <f>IFERROR(INDEX(BASE_CCLASSTRIB!$F:$F, MATCH(TEXT($D676,"000000"), BASE_CCLASSTRIB!$A:$A, 0))/100, 0)</f>
        <v>0</v>
      </c>
    </row>
    <row r="677" spans="4:22" ht="32.25" customHeight="1">
      <c r="D677" s="39"/>
      <c r="E677" s="27" t="str">
        <f>IF(D677="","",LEFT(D677,3))</f>
        <v/>
      </c>
      <c r="F677" s="28" t="str">
        <f>IF(E677="","",IFERROR(VLOOKUP(E677,REGRAS_CST!$A$2:$B$200,2,FALSE),""))</f>
        <v/>
      </c>
      <c r="H677" s="29">
        <v>8.9999999999999993E-3</v>
      </c>
      <c r="I677" s="29">
        <v>1E-3</v>
      </c>
      <c r="K677" s="21" t="str">
        <f>IF(E677="","",IFERROR(VLOOKUP(E677,REGRAS_CST!$A$2:$C$200,3,FALSE),""))</f>
        <v/>
      </c>
      <c r="L677" s="23" t="str">
        <f>IF($G677="", "", $G677*(1-$V677))</f>
        <v/>
      </c>
      <c r="M677" s="24" t="str">
        <f>IF(OR($L677="",$S677=""),"",$L677*$S677)</f>
        <v/>
      </c>
      <c r="N677" s="24" t="str">
        <f>IF(OR($L677="",$T677=""),"",$L677*$T677)</f>
        <v/>
      </c>
      <c r="O677" s="15" t="str">
        <f>IF(D677="","",
IF(AND(K677&lt;&gt;"SIM",V677&gt;0),"ERRO: % BC &gt; 0, mas NÃO permitida ❌",
IF(AND(K677="SIM",V677=0),"ATENÇÃO: BC permitida, mas % = 0 🔎",
"Base de cálculo aplicada corretamente ✅")))</f>
        <v/>
      </c>
      <c r="P677" s="31" t="str">
        <f>IF(D677="","",
IF(AND(Q677&lt;&gt;"SIM",U677&gt;0),"ERRO: % alíquota &gt; 0, mas NÃO permitida ❌",
IF(AND(Q677="SIM",U677=0),"ATENÇÃO: alíquota permitida, mas % = 0 🔎",
"Alíquota aplicada corretamente ✅")))</f>
        <v/>
      </c>
      <c r="Q677" s="8" t="str">
        <f>IF(E677="","",IFERROR(VLOOKUP(E677,REGRAS_CST!$A$2:$D$200,4,FALSE),""))</f>
        <v/>
      </c>
      <c r="S677" s="9">
        <f>IF($H677="","",$H677*(1-$U677))</f>
        <v>8.9999999999999993E-3</v>
      </c>
      <c r="T677" s="9">
        <f>IF($I677="","",$I677*(1-$U677))</f>
        <v>1E-3</v>
      </c>
      <c r="U677" s="16">
        <f>IFERROR(INDEX(BASE_CCLASSTRIB!$E:$E, MATCH(TEXT($D677,"000000"), BASE_CCLASSTRIB!$A:$A, 0))/100, 0)</f>
        <v>0</v>
      </c>
      <c r="V677" s="16">
        <f>IFERROR(INDEX(BASE_CCLASSTRIB!$F:$F, MATCH(TEXT($D677,"000000"), BASE_CCLASSTRIB!$A:$A, 0))/100, 0)</f>
        <v>0</v>
      </c>
    </row>
    <row r="678" spans="4:22" ht="32.25" customHeight="1">
      <c r="D678" s="39"/>
      <c r="E678" s="27" t="str">
        <f>IF(D678="","",LEFT(D678,3))</f>
        <v/>
      </c>
      <c r="F678" s="28" t="str">
        <f>IF(E678="","",IFERROR(VLOOKUP(E678,REGRAS_CST!$A$2:$B$200,2,FALSE),""))</f>
        <v/>
      </c>
      <c r="H678" s="29">
        <v>8.9999999999999993E-3</v>
      </c>
      <c r="I678" s="29">
        <v>1E-3</v>
      </c>
      <c r="K678" s="21" t="str">
        <f>IF(E678="","",IFERROR(VLOOKUP(E678,REGRAS_CST!$A$2:$C$200,3,FALSE),""))</f>
        <v/>
      </c>
      <c r="L678" s="23" t="str">
        <f>IF($G678="", "", $G678*(1-$V678))</f>
        <v/>
      </c>
      <c r="M678" s="24" t="str">
        <f>IF(OR($L678="",$S678=""),"",$L678*$S678)</f>
        <v/>
      </c>
      <c r="N678" s="24" t="str">
        <f>IF(OR($L678="",$T678=""),"",$L678*$T678)</f>
        <v/>
      </c>
      <c r="O678" s="15" t="str">
        <f>IF(D678="","",
IF(AND(K678&lt;&gt;"SIM",V678&gt;0),"ERRO: % BC &gt; 0, mas NÃO permitida ❌",
IF(AND(K678="SIM",V678=0),"ATENÇÃO: BC permitida, mas % = 0 🔎",
"Base de cálculo aplicada corretamente ✅")))</f>
        <v/>
      </c>
      <c r="P678" s="31" t="str">
        <f>IF(D678="","",
IF(AND(Q678&lt;&gt;"SIM",U678&gt;0),"ERRO: % alíquota &gt; 0, mas NÃO permitida ❌",
IF(AND(Q678="SIM",U678=0),"ATENÇÃO: alíquota permitida, mas % = 0 🔎",
"Alíquota aplicada corretamente ✅")))</f>
        <v/>
      </c>
      <c r="Q678" s="8" t="str">
        <f>IF(E678="","",IFERROR(VLOOKUP(E678,REGRAS_CST!$A$2:$D$200,4,FALSE),""))</f>
        <v/>
      </c>
      <c r="S678" s="9">
        <f>IF($H678="","",$H678*(1-$U678))</f>
        <v>8.9999999999999993E-3</v>
      </c>
      <c r="T678" s="9">
        <f>IF($I678="","",$I678*(1-$U678))</f>
        <v>1E-3</v>
      </c>
      <c r="U678" s="16">
        <f>IFERROR(INDEX(BASE_CCLASSTRIB!$E:$E, MATCH(TEXT($D678,"000000"), BASE_CCLASSTRIB!$A:$A, 0))/100, 0)</f>
        <v>0</v>
      </c>
      <c r="V678" s="16">
        <f>IFERROR(INDEX(BASE_CCLASSTRIB!$F:$F, MATCH(TEXT($D678,"000000"), BASE_CCLASSTRIB!$A:$A, 0))/100, 0)</f>
        <v>0</v>
      </c>
    </row>
    <row r="679" spans="4:22" ht="32.25" customHeight="1">
      <c r="D679" s="39"/>
      <c r="E679" s="27" t="str">
        <f>IF(D679="","",LEFT(D679,3))</f>
        <v/>
      </c>
      <c r="F679" s="28" t="str">
        <f>IF(E679="","",IFERROR(VLOOKUP(E679,REGRAS_CST!$A$2:$B$200,2,FALSE),""))</f>
        <v/>
      </c>
      <c r="H679" s="29">
        <v>8.9999999999999993E-3</v>
      </c>
      <c r="I679" s="29">
        <v>1E-3</v>
      </c>
      <c r="K679" s="21" t="str">
        <f>IF(E679="","",IFERROR(VLOOKUP(E679,REGRAS_CST!$A$2:$C$200,3,FALSE),""))</f>
        <v/>
      </c>
      <c r="L679" s="23" t="str">
        <f>IF($G679="", "", $G679*(1-$V679))</f>
        <v/>
      </c>
      <c r="M679" s="24" t="str">
        <f>IF(OR($L679="",$S679=""),"",$L679*$S679)</f>
        <v/>
      </c>
      <c r="N679" s="24" t="str">
        <f>IF(OR($L679="",$T679=""),"",$L679*$T679)</f>
        <v/>
      </c>
      <c r="O679" s="15" t="str">
        <f>IF(D679="","",
IF(AND(K679&lt;&gt;"SIM",V679&gt;0),"ERRO: % BC &gt; 0, mas NÃO permitida ❌",
IF(AND(K679="SIM",V679=0),"ATENÇÃO: BC permitida, mas % = 0 🔎",
"Base de cálculo aplicada corretamente ✅")))</f>
        <v/>
      </c>
      <c r="P679" s="31" t="str">
        <f>IF(D679="","",
IF(AND(Q679&lt;&gt;"SIM",U679&gt;0),"ERRO: % alíquota &gt; 0, mas NÃO permitida ❌",
IF(AND(Q679="SIM",U679=0),"ATENÇÃO: alíquota permitida, mas % = 0 🔎",
"Alíquota aplicada corretamente ✅")))</f>
        <v/>
      </c>
      <c r="Q679" s="8" t="str">
        <f>IF(E679="","",IFERROR(VLOOKUP(E679,REGRAS_CST!$A$2:$D$200,4,FALSE),""))</f>
        <v/>
      </c>
      <c r="S679" s="9">
        <f>IF($H679="","",$H679*(1-$U679))</f>
        <v>8.9999999999999993E-3</v>
      </c>
      <c r="T679" s="9">
        <f>IF($I679="","",$I679*(1-$U679))</f>
        <v>1E-3</v>
      </c>
      <c r="U679" s="16">
        <f>IFERROR(INDEX(BASE_CCLASSTRIB!$E:$E, MATCH(TEXT($D679,"000000"), BASE_CCLASSTRIB!$A:$A, 0))/100, 0)</f>
        <v>0</v>
      </c>
      <c r="V679" s="16">
        <f>IFERROR(INDEX(BASE_CCLASSTRIB!$F:$F, MATCH(TEXT($D679,"000000"), BASE_CCLASSTRIB!$A:$A, 0))/100, 0)</f>
        <v>0</v>
      </c>
    </row>
    <row r="680" spans="4:22" ht="32.25" customHeight="1">
      <c r="D680" s="39"/>
      <c r="E680" s="27" t="str">
        <f>IF(D680="","",LEFT(D680,3))</f>
        <v/>
      </c>
      <c r="F680" s="28" t="str">
        <f>IF(E680="","",IFERROR(VLOOKUP(E680,REGRAS_CST!$A$2:$B$200,2,FALSE),""))</f>
        <v/>
      </c>
      <c r="H680" s="29">
        <v>8.9999999999999993E-3</v>
      </c>
      <c r="I680" s="29">
        <v>1E-3</v>
      </c>
      <c r="K680" s="21" t="str">
        <f>IF(E680="","",IFERROR(VLOOKUP(E680,REGRAS_CST!$A$2:$C$200,3,FALSE),""))</f>
        <v/>
      </c>
      <c r="L680" s="23" t="str">
        <f>IF($G680="", "", $G680*(1-$V680))</f>
        <v/>
      </c>
      <c r="M680" s="24" t="str">
        <f>IF(OR($L680="",$S680=""),"",$L680*$S680)</f>
        <v/>
      </c>
      <c r="N680" s="24" t="str">
        <f>IF(OR($L680="",$T680=""),"",$L680*$T680)</f>
        <v/>
      </c>
      <c r="O680" s="15" t="str">
        <f>IF(D680="","",
IF(AND(K680&lt;&gt;"SIM",V680&gt;0),"ERRO: % BC &gt; 0, mas NÃO permitida ❌",
IF(AND(K680="SIM",V680=0),"ATENÇÃO: BC permitida, mas % = 0 🔎",
"Base de cálculo aplicada corretamente ✅")))</f>
        <v/>
      </c>
      <c r="P680" s="31" t="str">
        <f>IF(D680="","",
IF(AND(Q680&lt;&gt;"SIM",U680&gt;0),"ERRO: % alíquota &gt; 0, mas NÃO permitida ❌",
IF(AND(Q680="SIM",U680=0),"ATENÇÃO: alíquota permitida, mas % = 0 🔎",
"Alíquota aplicada corretamente ✅")))</f>
        <v/>
      </c>
      <c r="Q680" s="8" t="str">
        <f>IF(E680="","",IFERROR(VLOOKUP(E680,REGRAS_CST!$A$2:$D$200,4,FALSE),""))</f>
        <v/>
      </c>
      <c r="S680" s="9">
        <f>IF($H680="","",$H680*(1-$U680))</f>
        <v>8.9999999999999993E-3</v>
      </c>
      <c r="T680" s="9">
        <f>IF($I680="","",$I680*(1-$U680))</f>
        <v>1E-3</v>
      </c>
      <c r="U680" s="16">
        <f>IFERROR(INDEX(BASE_CCLASSTRIB!$E:$E, MATCH(TEXT($D680,"000000"), BASE_CCLASSTRIB!$A:$A, 0))/100, 0)</f>
        <v>0</v>
      </c>
      <c r="V680" s="16">
        <f>IFERROR(INDEX(BASE_CCLASSTRIB!$F:$F, MATCH(TEXT($D680,"000000"), BASE_CCLASSTRIB!$A:$A, 0))/100, 0)</f>
        <v>0</v>
      </c>
    </row>
    <row r="681" spans="4:22" ht="32.25" customHeight="1">
      <c r="D681" s="39"/>
      <c r="E681" s="27" t="str">
        <f>IF(D681="","",LEFT(D681,3))</f>
        <v/>
      </c>
      <c r="F681" s="28" t="str">
        <f>IF(E681="","",IFERROR(VLOOKUP(E681,REGRAS_CST!$A$2:$B$200,2,FALSE),""))</f>
        <v/>
      </c>
      <c r="H681" s="29">
        <v>8.9999999999999993E-3</v>
      </c>
      <c r="I681" s="29">
        <v>1E-3</v>
      </c>
      <c r="K681" s="21" t="str">
        <f>IF(E681="","",IFERROR(VLOOKUP(E681,REGRAS_CST!$A$2:$C$200,3,FALSE),""))</f>
        <v/>
      </c>
      <c r="L681" s="23" t="str">
        <f>IF($G681="", "", $G681*(1-$V681))</f>
        <v/>
      </c>
      <c r="M681" s="24" t="str">
        <f>IF(OR($L681="",$S681=""),"",$L681*$S681)</f>
        <v/>
      </c>
      <c r="N681" s="24" t="str">
        <f>IF(OR($L681="",$T681=""),"",$L681*$T681)</f>
        <v/>
      </c>
      <c r="O681" s="15" t="str">
        <f>IF(D681="","",
IF(AND(K681&lt;&gt;"SIM",V681&gt;0),"ERRO: % BC &gt; 0, mas NÃO permitida ❌",
IF(AND(K681="SIM",V681=0),"ATENÇÃO: BC permitida, mas % = 0 🔎",
"Base de cálculo aplicada corretamente ✅")))</f>
        <v/>
      </c>
      <c r="P681" s="31" t="str">
        <f>IF(D681="","",
IF(AND(Q681&lt;&gt;"SIM",U681&gt;0),"ERRO: % alíquota &gt; 0, mas NÃO permitida ❌",
IF(AND(Q681="SIM",U681=0),"ATENÇÃO: alíquota permitida, mas % = 0 🔎",
"Alíquota aplicada corretamente ✅")))</f>
        <v/>
      </c>
      <c r="Q681" s="8" t="str">
        <f>IF(E681="","",IFERROR(VLOOKUP(E681,REGRAS_CST!$A$2:$D$200,4,FALSE),""))</f>
        <v/>
      </c>
      <c r="S681" s="9">
        <f>IF($H681="","",$H681*(1-$U681))</f>
        <v>8.9999999999999993E-3</v>
      </c>
      <c r="T681" s="9">
        <f>IF($I681="","",$I681*(1-$U681))</f>
        <v>1E-3</v>
      </c>
      <c r="U681" s="16">
        <f>IFERROR(INDEX(BASE_CCLASSTRIB!$E:$E, MATCH(TEXT($D681,"000000"), BASE_CCLASSTRIB!$A:$A, 0))/100, 0)</f>
        <v>0</v>
      </c>
      <c r="V681" s="16">
        <f>IFERROR(INDEX(BASE_CCLASSTRIB!$F:$F, MATCH(TEXT($D681,"000000"), BASE_CCLASSTRIB!$A:$A, 0))/100, 0)</f>
        <v>0</v>
      </c>
    </row>
    <row r="682" spans="4:22" ht="32.25" customHeight="1">
      <c r="D682" s="40"/>
      <c r="E682" s="27" t="str">
        <f>IF(D682="","",LEFT(D682,3))</f>
        <v/>
      </c>
      <c r="F682" s="28" t="str">
        <f>IF(E682="","",IFERROR(VLOOKUP(E682,REGRAS_CST!$A$2:$B$200,2,FALSE),""))</f>
        <v/>
      </c>
      <c r="H682" s="29">
        <v>8.9999999999999993E-3</v>
      </c>
      <c r="I682" s="29">
        <v>1E-3</v>
      </c>
      <c r="K682" s="21" t="str">
        <f>IF(E682="","",IFERROR(VLOOKUP(E682,REGRAS_CST!$A$2:$C$200,3,FALSE),""))</f>
        <v/>
      </c>
      <c r="L682" s="23" t="str">
        <f>IF($G682="", "", $G682*(1-$V682))</f>
        <v/>
      </c>
      <c r="M682" s="24" t="str">
        <f>IF(OR($L682="",$S682=""),"",$L682*$S682)</f>
        <v/>
      </c>
      <c r="N682" s="24" t="str">
        <f>IF(OR($L682="",$T682=""),"",$L682*$T682)</f>
        <v/>
      </c>
      <c r="O682" s="15" t="str">
        <f>IF(D682="","",
IF(AND(K682&lt;&gt;"SIM",V682&gt;0),"ERRO: % BC &gt; 0, mas NÃO permitida ❌",
IF(AND(K682="SIM",V682=0),"ATENÇÃO: BC permitida, mas % = 0 🔎",
"Base de cálculo aplicada corretamente ✅")))</f>
        <v/>
      </c>
      <c r="P682" s="31" t="str">
        <f>IF(D682="","",
IF(AND(Q682&lt;&gt;"SIM",U682&gt;0),"ERRO: % alíquota &gt; 0, mas NÃO permitida ❌",
IF(AND(Q682="SIM",U682=0),"ATENÇÃO: alíquota permitida, mas % = 0 🔎",
"Alíquota aplicada corretamente ✅")))</f>
        <v/>
      </c>
      <c r="Q682" s="8" t="str">
        <f>IF(E682="","",IFERROR(VLOOKUP(E682,REGRAS_CST!$A$2:$D$200,4,FALSE),""))</f>
        <v/>
      </c>
      <c r="S682" s="9">
        <f>IF($H682="","",$H682*(1-$U682))</f>
        <v>8.9999999999999993E-3</v>
      </c>
      <c r="T682" s="9">
        <f>IF($I682="","",$I682*(1-$U682))</f>
        <v>1E-3</v>
      </c>
      <c r="U682" s="16">
        <f>IFERROR(INDEX(BASE_CCLASSTRIB!$E:$E, MATCH(TEXT($D682,"000000"), BASE_CCLASSTRIB!$A:$A, 0))/100, 0)</f>
        <v>0</v>
      </c>
      <c r="V682" s="16">
        <f>IFERROR(INDEX(BASE_CCLASSTRIB!$F:$F, MATCH(TEXT($D682,"000000"), BASE_CCLASSTRIB!$A:$A, 0))/100, 0)</f>
        <v>0</v>
      </c>
    </row>
    <row r="683" spans="4:22" ht="32.25" customHeight="1">
      <c r="D683" s="39"/>
      <c r="E683" s="27" t="str">
        <f>IF(D683="","",LEFT(D683,3))</f>
        <v/>
      </c>
      <c r="F683" s="28" t="str">
        <f>IF(E683="","",IFERROR(VLOOKUP(E683,REGRAS_CST!$A$2:$B$200,2,FALSE),""))</f>
        <v/>
      </c>
      <c r="H683" s="29">
        <v>8.9999999999999993E-3</v>
      </c>
      <c r="I683" s="29">
        <v>1E-3</v>
      </c>
      <c r="K683" s="21" t="str">
        <f>IF(E683="","",IFERROR(VLOOKUP(E683,REGRAS_CST!$A$2:$C$200,3,FALSE),""))</f>
        <v/>
      </c>
      <c r="L683" s="23" t="str">
        <f>IF($G683="", "", $G683*(1-$V683))</f>
        <v/>
      </c>
      <c r="M683" s="24" t="str">
        <f>IF(OR($L683="",$S683=""),"",$L683*$S683)</f>
        <v/>
      </c>
      <c r="N683" s="24" t="str">
        <f>IF(OR($L683="",$T683=""),"",$L683*$T683)</f>
        <v/>
      </c>
      <c r="O683" s="15" t="str">
        <f>IF(D683="","",
IF(AND(K683&lt;&gt;"SIM",V683&gt;0),"ERRO: % BC &gt; 0, mas NÃO permitida ❌",
IF(AND(K683="SIM",V683=0),"ATENÇÃO: BC permitida, mas % = 0 🔎",
"Base de cálculo aplicada corretamente ✅")))</f>
        <v/>
      </c>
      <c r="P683" s="31" t="str">
        <f>IF(D683="","",
IF(AND(Q683&lt;&gt;"SIM",U683&gt;0),"ERRO: % alíquota &gt; 0, mas NÃO permitida ❌",
IF(AND(Q683="SIM",U683=0),"ATENÇÃO: alíquota permitida, mas % = 0 🔎",
"Alíquota aplicada corretamente ✅")))</f>
        <v/>
      </c>
      <c r="Q683" s="8" t="str">
        <f>IF(E683="","",IFERROR(VLOOKUP(E683,REGRAS_CST!$A$2:$D$200,4,FALSE),""))</f>
        <v/>
      </c>
      <c r="S683" s="9">
        <f>IF($H683="","",$H683*(1-$U683))</f>
        <v>8.9999999999999993E-3</v>
      </c>
      <c r="T683" s="9">
        <f>IF($I683="","",$I683*(1-$U683))</f>
        <v>1E-3</v>
      </c>
      <c r="U683" s="16">
        <f>IFERROR(INDEX(BASE_CCLASSTRIB!$E:$E, MATCH(TEXT($D683,"000000"), BASE_CCLASSTRIB!$A:$A, 0))/100, 0)</f>
        <v>0</v>
      </c>
      <c r="V683" s="16">
        <f>IFERROR(INDEX(BASE_CCLASSTRIB!$F:$F, MATCH(TEXT($D683,"000000"), BASE_CCLASSTRIB!$A:$A, 0))/100, 0)</f>
        <v>0</v>
      </c>
    </row>
    <row r="684" spans="4:22" ht="32.25" customHeight="1">
      <c r="D684" s="40"/>
      <c r="E684" s="27" t="str">
        <f>IF(D684="","",LEFT(D684,3))</f>
        <v/>
      </c>
      <c r="F684" s="28" t="str">
        <f>IF(E684="","",IFERROR(VLOOKUP(E684,REGRAS_CST!$A$2:$B$200,2,FALSE),""))</f>
        <v/>
      </c>
      <c r="H684" s="29">
        <v>8.9999999999999993E-3</v>
      </c>
      <c r="I684" s="29">
        <v>1E-3</v>
      </c>
      <c r="K684" s="21" t="str">
        <f>IF(E684="","",IFERROR(VLOOKUP(E684,REGRAS_CST!$A$2:$C$200,3,FALSE),""))</f>
        <v/>
      </c>
      <c r="L684" s="23" t="str">
        <f>IF($G684="", "", $G684*(1-$V684))</f>
        <v/>
      </c>
      <c r="M684" s="24" t="str">
        <f>IF(OR($L684="",$S684=""),"",$L684*$S684)</f>
        <v/>
      </c>
      <c r="N684" s="24" t="str">
        <f>IF(OR($L684="",$T684=""),"",$L684*$T684)</f>
        <v/>
      </c>
      <c r="O684" s="15" t="str">
        <f>IF(D684="","",
IF(AND(K684&lt;&gt;"SIM",V684&gt;0),"ERRO: % BC &gt; 0, mas NÃO permitida ❌",
IF(AND(K684="SIM",V684=0),"ATENÇÃO: BC permitida, mas % = 0 🔎",
"Base de cálculo aplicada corretamente ✅")))</f>
        <v/>
      </c>
      <c r="P684" s="31" t="str">
        <f>IF(D684="","",
IF(AND(Q684&lt;&gt;"SIM",U684&gt;0),"ERRO: % alíquota &gt; 0, mas NÃO permitida ❌",
IF(AND(Q684="SIM",U684=0),"ATENÇÃO: alíquota permitida, mas % = 0 🔎",
"Alíquota aplicada corretamente ✅")))</f>
        <v/>
      </c>
      <c r="Q684" s="8" t="str">
        <f>IF(E684="","",IFERROR(VLOOKUP(E684,REGRAS_CST!$A$2:$D$200,4,FALSE),""))</f>
        <v/>
      </c>
      <c r="S684" s="9">
        <f>IF($H684="","",$H684*(1-$U684))</f>
        <v>8.9999999999999993E-3</v>
      </c>
      <c r="T684" s="9">
        <f>IF($I684="","",$I684*(1-$U684))</f>
        <v>1E-3</v>
      </c>
      <c r="U684" s="16">
        <f>IFERROR(INDEX(BASE_CCLASSTRIB!$E:$E, MATCH(TEXT($D684,"000000"), BASE_CCLASSTRIB!$A:$A, 0))/100, 0)</f>
        <v>0</v>
      </c>
      <c r="V684" s="16">
        <f>IFERROR(INDEX(BASE_CCLASSTRIB!$F:$F, MATCH(TEXT($D684,"000000"), BASE_CCLASSTRIB!$A:$A, 0))/100, 0)</f>
        <v>0</v>
      </c>
    </row>
    <row r="685" spans="4:22" ht="32.25" customHeight="1">
      <c r="D685" s="39"/>
      <c r="E685" s="27" t="str">
        <f>IF(D685="","",LEFT(D685,3))</f>
        <v/>
      </c>
      <c r="F685" s="28" t="str">
        <f>IF(E685="","",IFERROR(VLOOKUP(E685,REGRAS_CST!$A$2:$B$200,2,FALSE),""))</f>
        <v/>
      </c>
      <c r="H685" s="29">
        <v>8.9999999999999993E-3</v>
      </c>
      <c r="I685" s="29">
        <v>1E-3</v>
      </c>
      <c r="K685" s="21" t="str">
        <f>IF(E685="","",IFERROR(VLOOKUP(E685,REGRAS_CST!$A$2:$C$200,3,FALSE),""))</f>
        <v/>
      </c>
      <c r="L685" s="23" t="str">
        <f>IF($G685="", "", $G685*(1-$V685))</f>
        <v/>
      </c>
      <c r="M685" s="24" t="str">
        <f>IF(OR($L685="",$S685=""),"",$L685*$S685)</f>
        <v/>
      </c>
      <c r="N685" s="24" t="str">
        <f>IF(OR($L685="",$T685=""),"",$L685*$T685)</f>
        <v/>
      </c>
      <c r="O685" s="15" t="str">
        <f>IF(D685="","",
IF(AND(K685&lt;&gt;"SIM",V685&gt;0),"ERRO: % BC &gt; 0, mas NÃO permitida ❌",
IF(AND(K685="SIM",V685=0),"ATENÇÃO: BC permitida, mas % = 0 🔎",
"Base de cálculo aplicada corretamente ✅")))</f>
        <v/>
      </c>
      <c r="P685" s="31" t="str">
        <f>IF(D685="","",
IF(AND(Q685&lt;&gt;"SIM",U685&gt;0),"ERRO: % alíquota &gt; 0, mas NÃO permitida ❌",
IF(AND(Q685="SIM",U685=0),"ATENÇÃO: alíquota permitida, mas % = 0 🔎",
"Alíquota aplicada corretamente ✅")))</f>
        <v/>
      </c>
      <c r="Q685" s="8" t="str">
        <f>IF(E685="","",IFERROR(VLOOKUP(E685,REGRAS_CST!$A$2:$D$200,4,FALSE),""))</f>
        <v/>
      </c>
      <c r="S685" s="9">
        <f>IF($H685="","",$H685*(1-$U685))</f>
        <v>8.9999999999999993E-3</v>
      </c>
      <c r="T685" s="9">
        <f>IF($I685="","",$I685*(1-$U685))</f>
        <v>1E-3</v>
      </c>
      <c r="U685" s="16">
        <f>IFERROR(INDEX(BASE_CCLASSTRIB!$E:$E, MATCH(TEXT($D685,"000000"), BASE_CCLASSTRIB!$A:$A, 0))/100, 0)</f>
        <v>0</v>
      </c>
      <c r="V685" s="16">
        <f>IFERROR(INDEX(BASE_CCLASSTRIB!$F:$F, MATCH(TEXT($D685,"000000"), BASE_CCLASSTRIB!$A:$A, 0))/100, 0)</f>
        <v>0</v>
      </c>
    </row>
    <row r="686" spans="4:22" ht="32.25" customHeight="1">
      <c r="D686" s="39"/>
      <c r="E686" s="27" t="str">
        <f>IF(D686="","",LEFT(D686,3))</f>
        <v/>
      </c>
      <c r="F686" s="28" t="str">
        <f>IF(E686="","",IFERROR(VLOOKUP(E686,REGRAS_CST!$A$2:$B$200,2,FALSE),""))</f>
        <v/>
      </c>
      <c r="H686" s="29">
        <v>8.9999999999999993E-3</v>
      </c>
      <c r="I686" s="29">
        <v>1E-3</v>
      </c>
      <c r="K686" s="21" t="str">
        <f>IF(E686="","",IFERROR(VLOOKUP(E686,REGRAS_CST!$A$2:$C$200,3,FALSE),""))</f>
        <v/>
      </c>
      <c r="L686" s="23" t="str">
        <f>IF($G686="", "", $G686*(1-$V686))</f>
        <v/>
      </c>
      <c r="M686" s="24" t="str">
        <f>IF(OR($L686="",$S686=""),"",$L686*$S686)</f>
        <v/>
      </c>
      <c r="N686" s="24" t="str">
        <f>IF(OR($L686="",$T686=""),"",$L686*$T686)</f>
        <v/>
      </c>
      <c r="O686" s="15" t="str">
        <f>IF(D686="","",
IF(AND(K686&lt;&gt;"SIM",V686&gt;0),"ERRO: % BC &gt; 0, mas NÃO permitida ❌",
IF(AND(K686="SIM",V686=0),"ATENÇÃO: BC permitida, mas % = 0 🔎",
"Base de cálculo aplicada corretamente ✅")))</f>
        <v/>
      </c>
      <c r="P686" s="31" t="str">
        <f>IF(D686="","",
IF(AND(Q686&lt;&gt;"SIM",U686&gt;0),"ERRO: % alíquota &gt; 0, mas NÃO permitida ❌",
IF(AND(Q686="SIM",U686=0),"ATENÇÃO: alíquota permitida, mas % = 0 🔎",
"Alíquota aplicada corretamente ✅")))</f>
        <v/>
      </c>
      <c r="Q686" s="8" t="str">
        <f>IF(E686="","",IFERROR(VLOOKUP(E686,REGRAS_CST!$A$2:$D$200,4,FALSE),""))</f>
        <v/>
      </c>
      <c r="S686" s="9">
        <f>IF($H686="","",$H686*(1-$U686))</f>
        <v>8.9999999999999993E-3</v>
      </c>
      <c r="T686" s="9">
        <f>IF($I686="","",$I686*(1-$U686))</f>
        <v>1E-3</v>
      </c>
      <c r="U686" s="16">
        <f>IFERROR(INDEX(BASE_CCLASSTRIB!$E:$E, MATCH(TEXT($D686,"000000"), BASE_CCLASSTRIB!$A:$A, 0))/100, 0)</f>
        <v>0</v>
      </c>
      <c r="V686" s="16">
        <f>IFERROR(INDEX(BASE_CCLASSTRIB!$F:$F, MATCH(TEXT($D686,"000000"), BASE_CCLASSTRIB!$A:$A, 0))/100, 0)</f>
        <v>0</v>
      </c>
    </row>
    <row r="687" spans="4:22" ht="32.25" customHeight="1">
      <c r="D687" s="39"/>
      <c r="E687" s="27" t="str">
        <f>IF(D687="","",LEFT(D687,3))</f>
        <v/>
      </c>
      <c r="F687" s="28" t="str">
        <f>IF(E687="","",IFERROR(VLOOKUP(E687,REGRAS_CST!$A$2:$B$200,2,FALSE),""))</f>
        <v/>
      </c>
      <c r="H687" s="29">
        <v>8.9999999999999993E-3</v>
      </c>
      <c r="I687" s="29">
        <v>1E-3</v>
      </c>
      <c r="K687" s="21" t="str">
        <f>IF(E687="","",IFERROR(VLOOKUP(E687,REGRAS_CST!$A$2:$C$200,3,FALSE),""))</f>
        <v/>
      </c>
      <c r="L687" s="23" t="str">
        <f>IF($G687="", "", $G687*(1-$V687))</f>
        <v/>
      </c>
      <c r="M687" s="24" t="str">
        <f>IF(OR($L687="",$S687=""),"",$L687*$S687)</f>
        <v/>
      </c>
      <c r="N687" s="24" t="str">
        <f>IF(OR($L687="",$T687=""),"",$L687*$T687)</f>
        <v/>
      </c>
      <c r="O687" s="15" t="str">
        <f>IF(D687="","",
IF(AND(K687&lt;&gt;"SIM",V687&gt;0),"ERRO: % BC &gt; 0, mas NÃO permitida ❌",
IF(AND(K687="SIM",V687=0),"ATENÇÃO: BC permitida, mas % = 0 🔎",
"Base de cálculo aplicada corretamente ✅")))</f>
        <v/>
      </c>
      <c r="P687" s="31" t="str">
        <f>IF(D687="","",
IF(AND(Q687&lt;&gt;"SIM",U687&gt;0),"ERRO: % alíquota &gt; 0, mas NÃO permitida ❌",
IF(AND(Q687="SIM",U687=0),"ATENÇÃO: alíquota permitida, mas % = 0 🔎",
"Alíquota aplicada corretamente ✅")))</f>
        <v/>
      </c>
      <c r="Q687" s="8" t="str">
        <f>IF(E687="","",IFERROR(VLOOKUP(E687,REGRAS_CST!$A$2:$D$200,4,FALSE),""))</f>
        <v/>
      </c>
      <c r="S687" s="9">
        <f>IF($H687="","",$H687*(1-$U687))</f>
        <v>8.9999999999999993E-3</v>
      </c>
      <c r="T687" s="9">
        <f>IF($I687="","",$I687*(1-$U687))</f>
        <v>1E-3</v>
      </c>
      <c r="U687" s="16">
        <f>IFERROR(INDEX(BASE_CCLASSTRIB!$E:$E, MATCH(TEXT($D687,"000000"), BASE_CCLASSTRIB!$A:$A, 0))/100, 0)</f>
        <v>0</v>
      </c>
      <c r="V687" s="16">
        <f>IFERROR(INDEX(BASE_CCLASSTRIB!$F:$F, MATCH(TEXT($D687,"000000"), BASE_CCLASSTRIB!$A:$A, 0))/100, 0)</f>
        <v>0</v>
      </c>
    </row>
    <row r="688" spans="4:22" ht="32.25" customHeight="1">
      <c r="D688" s="40"/>
      <c r="E688" s="27" t="str">
        <f>IF(D688="","",LEFT(D688,3))</f>
        <v/>
      </c>
      <c r="F688" s="28" t="str">
        <f>IF(E688="","",IFERROR(VLOOKUP(E688,REGRAS_CST!$A$2:$B$200,2,FALSE),""))</f>
        <v/>
      </c>
      <c r="H688" s="29">
        <v>8.9999999999999993E-3</v>
      </c>
      <c r="I688" s="29">
        <v>1E-3</v>
      </c>
      <c r="K688" s="21" t="str">
        <f>IF(E688="","",IFERROR(VLOOKUP(E688,REGRAS_CST!$A$2:$C$200,3,FALSE),""))</f>
        <v/>
      </c>
      <c r="L688" s="23" t="str">
        <f>IF($G688="", "", $G688*(1-$V688))</f>
        <v/>
      </c>
      <c r="M688" s="24" t="str">
        <f>IF(OR($L688="",$S688=""),"",$L688*$S688)</f>
        <v/>
      </c>
      <c r="N688" s="24" t="str">
        <f>IF(OR($L688="",$T688=""),"",$L688*$T688)</f>
        <v/>
      </c>
      <c r="O688" s="15" t="str">
        <f>IF(D688="","",
IF(AND(K688&lt;&gt;"SIM",V688&gt;0),"ERRO: % BC &gt; 0, mas NÃO permitida ❌",
IF(AND(K688="SIM",V688=0),"ATENÇÃO: BC permitida, mas % = 0 🔎",
"Base de cálculo aplicada corretamente ✅")))</f>
        <v/>
      </c>
      <c r="P688" s="31" t="str">
        <f>IF(D688="","",
IF(AND(Q688&lt;&gt;"SIM",U688&gt;0),"ERRO: % alíquota &gt; 0, mas NÃO permitida ❌",
IF(AND(Q688="SIM",U688=0),"ATENÇÃO: alíquota permitida, mas % = 0 🔎",
"Alíquota aplicada corretamente ✅")))</f>
        <v/>
      </c>
      <c r="Q688" s="8" t="str">
        <f>IF(E688="","",IFERROR(VLOOKUP(E688,REGRAS_CST!$A$2:$D$200,4,FALSE),""))</f>
        <v/>
      </c>
      <c r="S688" s="9">
        <f>IF($H688="","",$H688*(1-$U688))</f>
        <v>8.9999999999999993E-3</v>
      </c>
      <c r="T688" s="9">
        <f>IF($I688="","",$I688*(1-$U688))</f>
        <v>1E-3</v>
      </c>
      <c r="U688" s="16">
        <f>IFERROR(INDEX(BASE_CCLASSTRIB!$E:$E, MATCH(TEXT($D688,"000000"), BASE_CCLASSTRIB!$A:$A, 0))/100, 0)</f>
        <v>0</v>
      </c>
      <c r="V688" s="16">
        <f>IFERROR(INDEX(BASE_CCLASSTRIB!$F:$F, MATCH(TEXT($D688,"000000"), BASE_CCLASSTRIB!$A:$A, 0))/100, 0)</f>
        <v>0</v>
      </c>
    </row>
    <row r="689" spans="4:22" ht="32.25" customHeight="1">
      <c r="D689" s="39"/>
      <c r="E689" s="27" t="str">
        <f>IF(D689="","",LEFT(D689,3))</f>
        <v/>
      </c>
      <c r="F689" s="28" t="str">
        <f>IF(E689="","",IFERROR(VLOOKUP(E689,REGRAS_CST!$A$2:$B$200,2,FALSE),""))</f>
        <v/>
      </c>
      <c r="H689" s="29">
        <v>8.9999999999999993E-3</v>
      </c>
      <c r="I689" s="29">
        <v>1E-3</v>
      </c>
      <c r="K689" s="21" t="str">
        <f>IF(E689="","",IFERROR(VLOOKUP(E689,REGRAS_CST!$A$2:$C$200,3,FALSE),""))</f>
        <v/>
      </c>
      <c r="L689" s="23" t="str">
        <f>IF($G689="", "", $G689*(1-$V689))</f>
        <v/>
      </c>
      <c r="M689" s="24" t="str">
        <f>IF(OR($L689="",$S689=""),"",$L689*$S689)</f>
        <v/>
      </c>
      <c r="N689" s="24" t="str">
        <f>IF(OR($L689="",$T689=""),"",$L689*$T689)</f>
        <v/>
      </c>
      <c r="O689" s="15" t="str">
        <f>IF(D689="","",
IF(AND(K689&lt;&gt;"SIM",V689&gt;0),"ERRO: % BC &gt; 0, mas NÃO permitida ❌",
IF(AND(K689="SIM",V689=0),"ATENÇÃO: BC permitida, mas % = 0 🔎",
"Base de cálculo aplicada corretamente ✅")))</f>
        <v/>
      </c>
      <c r="P689" s="31" t="str">
        <f>IF(D689="","",
IF(AND(Q689&lt;&gt;"SIM",U689&gt;0),"ERRO: % alíquota &gt; 0, mas NÃO permitida ❌",
IF(AND(Q689="SIM",U689=0),"ATENÇÃO: alíquota permitida, mas % = 0 🔎",
"Alíquota aplicada corretamente ✅")))</f>
        <v/>
      </c>
      <c r="Q689" s="8" t="str">
        <f>IF(E689="","",IFERROR(VLOOKUP(E689,REGRAS_CST!$A$2:$D$200,4,FALSE),""))</f>
        <v/>
      </c>
      <c r="S689" s="9">
        <f>IF($H689="","",$H689*(1-$U689))</f>
        <v>8.9999999999999993E-3</v>
      </c>
      <c r="T689" s="9">
        <f>IF($I689="","",$I689*(1-$U689))</f>
        <v>1E-3</v>
      </c>
      <c r="U689" s="16">
        <f>IFERROR(INDEX(BASE_CCLASSTRIB!$E:$E, MATCH(TEXT($D689,"000000"), BASE_CCLASSTRIB!$A:$A, 0))/100, 0)</f>
        <v>0</v>
      </c>
      <c r="V689" s="16">
        <f>IFERROR(INDEX(BASE_CCLASSTRIB!$F:$F, MATCH(TEXT($D689,"000000"), BASE_CCLASSTRIB!$A:$A, 0))/100, 0)</f>
        <v>0</v>
      </c>
    </row>
    <row r="690" spans="4:22" ht="32.25" customHeight="1">
      <c r="D690" s="39"/>
      <c r="E690" s="27" t="str">
        <f>IF(D690="","",LEFT(D690,3))</f>
        <v/>
      </c>
      <c r="F690" s="28" t="str">
        <f>IF(E690="","",IFERROR(VLOOKUP(E690,REGRAS_CST!$A$2:$B$200,2,FALSE),""))</f>
        <v/>
      </c>
      <c r="H690" s="29">
        <v>8.9999999999999993E-3</v>
      </c>
      <c r="I690" s="29">
        <v>1E-3</v>
      </c>
      <c r="K690" s="21" t="str">
        <f>IF(E690="","",IFERROR(VLOOKUP(E690,REGRAS_CST!$A$2:$C$200,3,FALSE),""))</f>
        <v/>
      </c>
      <c r="L690" s="23" t="str">
        <f>IF($G690="", "", $G690*(1-$V690))</f>
        <v/>
      </c>
      <c r="M690" s="24" t="str">
        <f>IF(OR($L690="",$S690=""),"",$L690*$S690)</f>
        <v/>
      </c>
      <c r="N690" s="24" t="str">
        <f>IF(OR($L690="",$T690=""),"",$L690*$T690)</f>
        <v/>
      </c>
      <c r="O690" s="15" t="str">
        <f>IF(D690="","",
IF(AND(K690&lt;&gt;"SIM",V690&gt;0),"ERRO: % BC &gt; 0, mas NÃO permitida ❌",
IF(AND(K690="SIM",V690=0),"ATENÇÃO: BC permitida, mas % = 0 🔎",
"Base de cálculo aplicada corretamente ✅")))</f>
        <v/>
      </c>
      <c r="P690" s="31" t="str">
        <f>IF(D690="","",
IF(AND(Q690&lt;&gt;"SIM",U690&gt;0),"ERRO: % alíquota &gt; 0, mas NÃO permitida ❌",
IF(AND(Q690="SIM",U690=0),"ATENÇÃO: alíquota permitida, mas % = 0 🔎",
"Alíquota aplicada corretamente ✅")))</f>
        <v/>
      </c>
      <c r="Q690" s="8" t="str">
        <f>IF(E690="","",IFERROR(VLOOKUP(E690,REGRAS_CST!$A$2:$D$200,4,FALSE),""))</f>
        <v/>
      </c>
      <c r="S690" s="9">
        <f>IF($H690="","",$H690*(1-$U690))</f>
        <v>8.9999999999999993E-3</v>
      </c>
      <c r="T690" s="9">
        <f>IF($I690="","",$I690*(1-$U690))</f>
        <v>1E-3</v>
      </c>
      <c r="U690" s="16">
        <f>IFERROR(INDEX(BASE_CCLASSTRIB!$E:$E, MATCH(TEXT($D690,"000000"), BASE_CCLASSTRIB!$A:$A, 0))/100, 0)</f>
        <v>0</v>
      </c>
      <c r="V690" s="16">
        <f>IFERROR(INDEX(BASE_CCLASSTRIB!$F:$F, MATCH(TEXT($D690,"000000"), BASE_CCLASSTRIB!$A:$A, 0))/100, 0)</f>
        <v>0</v>
      </c>
    </row>
    <row r="691" spans="4:22" ht="32.25" customHeight="1">
      <c r="D691" s="40"/>
      <c r="E691" s="27" t="str">
        <f>IF(D691="","",LEFT(D691,3))</f>
        <v/>
      </c>
      <c r="F691" s="28" t="str">
        <f>IF(E691="","",IFERROR(VLOOKUP(E691,REGRAS_CST!$A$2:$B$200,2,FALSE),""))</f>
        <v/>
      </c>
      <c r="H691" s="29">
        <v>8.9999999999999993E-3</v>
      </c>
      <c r="I691" s="29">
        <v>1E-3</v>
      </c>
      <c r="K691" s="21" t="str">
        <f>IF(E691="","",IFERROR(VLOOKUP(E691,REGRAS_CST!$A$2:$C$200,3,FALSE),""))</f>
        <v/>
      </c>
      <c r="L691" s="23" t="str">
        <f>IF($G691="", "", $G691*(1-$V691))</f>
        <v/>
      </c>
      <c r="M691" s="24" t="str">
        <f>IF(OR($L691="",$S691=""),"",$L691*$S691)</f>
        <v/>
      </c>
      <c r="N691" s="24" t="str">
        <f>IF(OR($L691="",$T691=""),"",$L691*$T691)</f>
        <v/>
      </c>
      <c r="O691" s="15" t="str">
        <f>IF(D691="","",
IF(AND(K691&lt;&gt;"SIM",V691&gt;0),"ERRO: % BC &gt; 0, mas NÃO permitida ❌",
IF(AND(K691="SIM",V691=0),"ATENÇÃO: BC permitida, mas % = 0 🔎",
"Base de cálculo aplicada corretamente ✅")))</f>
        <v/>
      </c>
      <c r="P691" s="31" t="str">
        <f>IF(D691="","",
IF(AND(Q691&lt;&gt;"SIM",U691&gt;0),"ERRO: % alíquota &gt; 0, mas NÃO permitida ❌",
IF(AND(Q691="SIM",U691=0),"ATENÇÃO: alíquota permitida, mas % = 0 🔎",
"Alíquota aplicada corretamente ✅")))</f>
        <v/>
      </c>
      <c r="Q691" s="8" t="str">
        <f>IF(E691="","",IFERROR(VLOOKUP(E691,REGRAS_CST!$A$2:$D$200,4,FALSE),""))</f>
        <v/>
      </c>
      <c r="S691" s="9">
        <f>IF($H691="","",$H691*(1-$U691))</f>
        <v>8.9999999999999993E-3</v>
      </c>
      <c r="T691" s="9">
        <f>IF($I691="","",$I691*(1-$U691))</f>
        <v>1E-3</v>
      </c>
      <c r="U691" s="16">
        <f>IFERROR(INDEX(BASE_CCLASSTRIB!$E:$E, MATCH(TEXT($D691,"000000"), BASE_CCLASSTRIB!$A:$A, 0))/100, 0)</f>
        <v>0</v>
      </c>
      <c r="V691" s="16">
        <f>IFERROR(INDEX(BASE_CCLASSTRIB!$F:$F, MATCH(TEXT($D691,"000000"), BASE_CCLASSTRIB!$A:$A, 0))/100, 0)</f>
        <v>0</v>
      </c>
    </row>
    <row r="692" spans="4:22" ht="32.25" customHeight="1">
      <c r="D692" s="39"/>
      <c r="E692" s="27" t="str">
        <f>IF(D692="","",LEFT(D692,3))</f>
        <v/>
      </c>
      <c r="F692" s="28" t="str">
        <f>IF(E692="","",IFERROR(VLOOKUP(E692,REGRAS_CST!$A$2:$B$200,2,FALSE),""))</f>
        <v/>
      </c>
      <c r="H692" s="29">
        <v>8.9999999999999993E-3</v>
      </c>
      <c r="I692" s="29">
        <v>1E-3</v>
      </c>
      <c r="K692" s="21" t="str">
        <f>IF(E692="","",IFERROR(VLOOKUP(E692,REGRAS_CST!$A$2:$C$200,3,FALSE),""))</f>
        <v/>
      </c>
      <c r="L692" s="23" t="str">
        <f>IF($G692="", "", $G692*(1-$V692))</f>
        <v/>
      </c>
      <c r="M692" s="24" t="str">
        <f>IF(OR($L692="",$S692=""),"",$L692*$S692)</f>
        <v/>
      </c>
      <c r="N692" s="24" t="str">
        <f>IF(OR($L692="",$T692=""),"",$L692*$T692)</f>
        <v/>
      </c>
      <c r="O692" s="15" t="str">
        <f>IF(D692="","",
IF(AND(K692&lt;&gt;"SIM",V692&gt;0),"ERRO: % BC &gt; 0, mas NÃO permitida ❌",
IF(AND(K692="SIM",V692=0),"ATENÇÃO: BC permitida, mas % = 0 🔎",
"Base de cálculo aplicada corretamente ✅")))</f>
        <v/>
      </c>
      <c r="P692" s="31" t="str">
        <f>IF(D692="","",
IF(AND(Q692&lt;&gt;"SIM",U692&gt;0),"ERRO: % alíquota &gt; 0, mas NÃO permitida ❌",
IF(AND(Q692="SIM",U692=0),"ATENÇÃO: alíquota permitida, mas % = 0 🔎",
"Alíquota aplicada corretamente ✅")))</f>
        <v/>
      </c>
      <c r="Q692" s="8" t="str">
        <f>IF(E692="","",IFERROR(VLOOKUP(E692,REGRAS_CST!$A$2:$D$200,4,FALSE),""))</f>
        <v/>
      </c>
      <c r="S692" s="9">
        <f>IF($H692="","",$H692*(1-$U692))</f>
        <v>8.9999999999999993E-3</v>
      </c>
      <c r="T692" s="9">
        <f>IF($I692="","",$I692*(1-$U692))</f>
        <v>1E-3</v>
      </c>
      <c r="U692" s="16">
        <f>IFERROR(INDEX(BASE_CCLASSTRIB!$E:$E, MATCH(TEXT($D692,"000000"), BASE_CCLASSTRIB!$A:$A, 0))/100, 0)</f>
        <v>0</v>
      </c>
      <c r="V692" s="16">
        <f>IFERROR(INDEX(BASE_CCLASSTRIB!$F:$F, MATCH(TEXT($D692,"000000"), BASE_CCLASSTRIB!$A:$A, 0))/100, 0)</f>
        <v>0</v>
      </c>
    </row>
    <row r="693" spans="4:22" ht="32.25" customHeight="1">
      <c r="D693" s="39"/>
      <c r="E693" s="27" t="str">
        <f>IF(D693="","",LEFT(D693,3))</f>
        <v/>
      </c>
      <c r="F693" s="28" t="str">
        <f>IF(E693="","",IFERROR(VLOOKUP(E693,REGRAS_CST!$A$2:$B$200,2,FALSE),""))</f>
        <v/>
      </c>
      <c r="H693" s="29">
        <v>8.9999999999999993E-3</v>
      </c>
      <c r="I693" s="29">
        <v>1E-3</v>
      </c>
      <c r="K693" s="21" t="str">
        <f>IF(E693="","",IFERROR(VLOOKUP(E693,REGRAS_CST!$A$2:$C$200,3,FALSE),""))</f>
        <v/>
      </c>
      <c r="L693" s="23" t="str">
        <f>IF($G693="", "", $G693*(1-$V693))</f>
        <v/>
      </c>
      <c r="M693" s="24" t="str">
        <f>IF(OR($L693="",$S693=""),"",$L693*$S693)</f>
        <v/>
      </c>
      <c r="N693" s="24" t="str">
        <f>IF(OR($L693="",$T693=""),"",$L693*$T693)</f>
        <v/>
      </c>
      <c r="O693" s="15" t="str">
        <f>IF(D693="","",
IF(AND(K693&lt;&gt;"SIM",V693&gt;0),"ERRO: % BC &gt; 0, mas NÃO permitida ❌",
IF(AND(K693="SIM",V693=0),"ATENÇÃO: BC permitida, mas % = 0 🔎",
"Base de cálculo aplicada corretamente ✅")))</f>
        <v/>
      </c>
      <c r="P693" s="31" t="str">
        <f>IF(D693="","",
IF(AND(Q693&lt;&gt;"SIM",U693&gt;0),"ERRO: % alíquota &gt; 0, mas NÃO permitida ❌",
IF(AND(Q693="SIM",U693=0),"ATENÇÃO: alíquota permitida, mas % = 0 🔎",
"Alíquota aplicada corretamente ✅")))</f>
        <v/>
      </c>
      <c r="Q693" s="8" t="str">
        <f>IF(E693="","",IFERROR(VLOOKUP(E693,REGRAS_CST!$A$2:$D$200,4,FALSE),""))</f>
        <v/>
      </c>
      <c r="S693" s="9">
        <f>IF($H693="","",$H693*(1-$U693))</f>
        <v>8.9999999999999993E-3</v>
      </c>
      <c r="T693" s="9">
        <f>IF($I693="","",$I693*(1-$U693))</f>
        <v>1E-3</v>
      </c>
      <c r="U693" s="16">
        <f>IFERROR(INDEX(BASE_CCLASSTRIB!$E:$E, MATCH(TEXT($D693,"000000"), BASE_CCLASSTRIB!$A:$A, 0))/100, 0)</f>
        <v>0</v>
      </c>
      <c r="V693" s="16">
        <f>IFERROR(INDEX(BASE_CCLASSTRIB!$F:$F, MATCH(TEXT($D693,"000000"), BASE_CCLASSTRIB!$A:$A, 0))/100, 0)</f>
        <v>0</v>
      </c>
    </row>
    <row r="694" spans="4:22" ht="32.25" customHeight="1">
      <c r="D694" s="39"/>
      <c r="E694" s="27" t="str">
        <f>IF(D694="","",LEFT(D694,3))</f>
        <v/>
      </c>
      <c r="F694" s="28" t="str">
        <f>IF(E694="","",IFERROR(VLOOKUP(E694,REGRAS_CST!$A$2:$B$200,2,FALSE),""))</f>
        <v/>
      </c>
      <c r="H694" s="29">
        <v>8.9999999999999993E-3</v>
      </c>
      <c r="I694" s="29">
        <v>1E-3</v>
      </c>
      <c r="K694" s="21" t="str">
        <f>IF(E694="","",IFERROR(VLOOKUP(E694,REGRAS_CST!$A$2:$C$200,3,FALSE),""))</f>
        <v/>
      </c>
      <c r="L694" s="23" t="str">
        <f>IF($G694="", "", $G694*(1-$V694))</f>
        <v/>
      </c>
      <c r="M694" s="24" t="str">
        <f>IF(OR($L694="",$S694=""),"",$L694*$S694)</f>
        <v/>
      </c>
      <c r="N694" s="24" t="str">
        <f>IF(OR($L694="",$T694=""),"",$L694*$T694)</f>
        <v/>
      </c>
      <c r="O694" s="15" t="str">
        <f>IF(D694="","",
IF(AND(K694&lt;&gt;"SIM",V694&gt;0),"ERRO: % BC &gt; 0, mas NÃO permitida ❌",
IF(AND(K694="SIM",V694=0),"ATENÇÃO: BC permitida, mas % = 0 🔎",
"Base de cálculo aplicada corretamente ✅")))</f>
        <v/>
      </c>
      <c r="P694" s="31" t="str">
        <f>IF(D694="","",
IF(AND(Q694&lt;&gt;"SIM",U694&gt;0),"ERRO: % alíquota &gt; 0, mas NÃO permitida ❌",
IF(AND(Q694="SIM",U694=0),"ATENÇÃO: alíquota permitida, mas % = 0 🔎",
"Alíquota aplicada corretamente ✅")))</f>
        <v/>
      </c>
      <c r="Q694" s="8" t="str">
        <f>IF(E694="","",IFERROR(VLOOKUP(E694,REGRAS_CST!$A$2:$D$200,4,FALSE),""))</f>
        <v/>
      </c>
      <c r="S694" s="9">
        <f>IF($H694="","",$H694*(1-$U694))</f>
        <v>8.9999999999999993E-3</v>
      </c>
      <c r="T694" s="9">
        <f>IF($I694="","",$I694*(1-$U694))</f>
        <v>1E-3</v>
      </c>
      <c r="U694" s="16">
        <f>IFERROR(INDEX(BASE_CCLASSTRIB!$E:$E, MATCH(TEXT($D694,"000000"), BASE_CCLASSTRIB!$A:$A, 0))/100, 0)</f>
        <v>0</v>
      </c>
      <c r="V694" s="16">
        <f>IFERROR(INDEX(BASE_CCLASSTRIB!$F:$F, MATCH(TEXT($D694,"000000"), BASE_CCLASSTRIB!$A:$A, 0))/100, 0)</f>
        <v>0</v>
      </c>
    </row>
    <row r="695" spans="4:22" ht="32.25" customHeight="1">
      <c r="D695" s="40"/>
      <c r="E695" s="27" t="str">
        <f>IF(D695="","",LEFT(D695,3))</f>
        <v/>
      </c>
      <c r="F695" s="28" t="str">
        <f>IF(E695="","",IFERROR(VLOOKUP(E695,REGRAS_CST!$A$2:$B$200,2,FALSE),""))</f>
        <v/>
      </c>
      <c r="H695" s="29">
        <v>8.9999999999999993E-3</v>
      </c>
      <c r="I695" s="29">
        <v>1E-3</v>
      </c>
      <c r="K695" s="21" t="str">
        <f>IF(E695="","",IFERROR(VLOOKUP(E695,REGRAS_CST!$A$2:$C$200,3,FALSE),""))</f>
        <v/>
      </c>
      <c r="L695" s="23" t="str">
        <f>IF($G695="", "", $G695*(1-$V695))</f>
        <v/>
      </c>
      <c r="M695" s="24" t="str">
        <f>IF(OR($L695="",$S695=""),"",$L695*$S695)</f>
        <v/>
      </c>
      <c r="N695" s="24" t="str">
        <f>IF(OR($L695="",$T695=""),"",$L695*$T695)</f>
        <v/>
      </c>
      <c r="O695" s="15" t="str">
        <f>IF(D695="","",
IF(AND(K695&lt;&gt;"SIM",V695&gt;0),"ERRO: % BC &gt; 0, mas NÃO permitida ❌",
IF(AND(K695="SIM",V695=0),"ATENÇÃO: BC permitida, mas % = 0 🔎",
"Base de cálculo aplicada corretamente ✅")))</f>
        <v/>
      </c>
      <c r="P695" s="31" t="str">
        <f>IF(D695="","",
IF(AND(Q695&lt;&gt;"SIM",U695&gt;0),"ERRO: % alíquota &gt; 0, mas NÃO permitida ❌",
IF(AND(Q695="SIM",U695=0),"ATENÇÃO: alíquota permitida, mas % = 0 🔎",
"Alíquota aplicada corretamente ✅")))</f>
        <v/>
      </c>
      <c r="Q695" s="8" t="str">
        <f>IF(E695="","",IFERROR(VLOOKUP(E695,REGRAS_CST!$A$2:$D$200,4,FALSE),""))</f>
        <v/>
      </c>
      <c r="S695" s="9">
        <f>IF($H695="","",$H695*(1-$U695))</f>
        <v>8.9999999999999993E-3</v>
      </c>
      <c r="T695" s="9">
        <f>IF($I695="","",$I695*(1-$U695))</f>
        <v>1E-3</v>
      </c>
      <c r="U695" s="16">
        <f>IFERROR(INDEX(BASE_CCLASSTRIB!$E:$E, MATCH(TEXT($D695,"000000"), BASE_CCLASSTRIB!$A:$A, 0))/100, 0)</f>
        <v>0</v>
      </c>
      <c r="V695" s="16">
        <f>IFERROR(INDEX(BASE_CCLASSTRIB!$F:$F, MATCH(TEXT($D695,"000000"), BASE_CCLASSTRIB!$A:$A, 0))/100, 0)</f>
        <v>0</v>
      </c>
    </row>
    <row r="696" spans="4:22" ht="32.25" customHeight="1">
      <c r="D696" s="39"/>
      <c r="E696" s="27" t="str">
        <f>IF(D696="","",LEFT(D696,3))</f>
        <v/>
      </c>
      <c r="F696" s="28" t="str">
        <f>IF(E696="","",IFERROR(VLOOKUP(E696,REGRAS_CST!$A$2:$B$200,2,FALSE),""))</f>
        <v/>
      </c>
      <c r="H696" s="29">
        <v>8.9999999999999993E-3</v>
      </c>
      <c r="I696" s="29">
        <v>1E-3</v>
      </c>
      <c r="K696" s="21" t="str">
        <f>IF(E696="","",IFERROR(VLOOKUP(E696,REGRAS_CST!$A$2:$C$200,3,FALSE),""))</f>
        <v/>
      </c>
      <c r="L696" s="23" t="str">
        <f>IF($G696="", "", $G696*(1-$V696))</f>
        <v/>
      </c>
      <c r="M696" s="24" t="str">
        <f>IF(OR($L696="",$S696=""),"",$L696*$S696)</f>
        <v/>
      </c>
      <c r="N696" s="24" t="str">
        <f>IF(OR($L696="",$T696=""),"",$L696*$T696)</f>
        <v/>
      </c>
      <c r="O696" s="15" t="str">
        <f>IF(D696="","",
IF(AND(K696&lt;&gt;"SIM",V696&gt;0),"ERRO: % BC &gt; 0, mas NÃO permitida ❌",
IF(AND(K696="SIM",V696=0),"ATENÇÃO: BC permitida, mas % = 0 🔎",
"Base de cálculo aplicada corretamente ✅")))</f>
        <v/>
      </c>
      <c r="P696" s="31" t="str">
        <f>IF(D696="","",
IF(AND(Q696&lt;&gt;"SIM",U696&gt;0),"ERRO: % alíquota &gt; 0, mas NÃO permitida ❌",
IF(AND(Q696="SIM",U696=0),"ATENÇÃO: alíquota permitida, mas % = 0 🔎",
"Alíquota aplicada corretamente ✅")))</f>
        <v/>
      </c>
      <c r="Q696" s="8" t="str">
        <f>IF(E696="","",IFERROR(VLOOKUP(E696,REGRAS_CST!$A$2:$D$200,4,FALSE),""))</f>
        <v/>
      </c>
      <c r="S696" s="9">
        <f>IF($H696="","",$H696*(1-$U696))</f>
        <v>8.9999999999999993E-3</v>
      </c>
      <c r="T696" s="9">
        <f>IF($I696="","",$I696*(1-$U696))</f>
        <v>1E-3</v>
      </c>
      <c r="U696" s="16">
        <f>IFERROR(INDEX(BASE_CCLASSTRIB!$E:$E, MATCH(TEXT($D696,"000000"), BASE_CCLASSTRIB!$A:$A, 0))/100, 0)</f>
        <v>0</v>
      </c>
      <c r="V696" s="16">
        <f>IFERROR(INDEX(BASE_CCLASSTRIB!$F:$F, MATCH(TEXT($D696,"000000"), BASE_CCLASSTRIB!$A:$A, 0))/100, 0)</f>
        <v>0</v>
      </c>
    </row>
    <row r="697" spans="4:22" ht="32.25" customHeight="1">
      <c r="D697" s="39"/>
      <c r="E697" s="27" t="str">
        <f>IF(D697="","",LEFT(D697,3))</f>
        <v/>
      </c>
      <c r="F697" s="28" t="str">
        <f>IF(E697="","",IFERROR(VLOOKUP(E697,REGRAS_CST!$A$2:$B$200,2,FALSE),""))</f>
        <v/>
      </c>
      <c r="H697" s="29">
        <v>8.9999999999999993E-3</v>
      </c>
      <c r="I697" s="29">
        <v>1E-3</v>
      </c>
      <c r="K697" s="21" t="str">
        <f>IF(E697="","",IFERROR(VLOOKUP(E697,REGRAS_CST!$A$2:$C$200,3,FALSE),""))</f>
        <v/>
      </c>
      <c r="L697" s="23" t="str">
        <f>IF($G697="", "", $G697*(1-$V697))</f>
        <v/>
      </c>
      <c r="M697" s="24" t="str">
        <f>IF(OR($L697="",$S697=""),"",$L697*$S697)</f>
        <v/>
      </c>
      <c r="N697" s="24" t="str">
        <f>IF(OR($L697="",$T697=""),"",$L697*$T697)</f>
        <v/>
      </c>
      <c r="O697" s="15" t="str">
        <f>IF(D697="","",
IF(AND(K697&lt;&gt;"SIM",V697&gt;0),"ERRO: % BC &gt; 0, mas NÃO permitida ❌",
IF(AND(K697="SIM",V697=0),"ATENÇÃO: BC permitida, mas % = 0 🔎",
"Base de cálculo aplicada corretamente ✅")))</f>
        <v/>
      </c>
      <c r="P697" s="31" t="str">
        <f>IF(D697="","",
IF(AND(Q697&lt;&gt;"SIM",U697&gt;0),"ERRO: % alíquota &gt; 0, mas NÃO permitida ❌",
IF(AND(Q697="SIM",U697=0),"ATENÇÃO: alíquota permitida, mas % = 0 🔎",
"Alíquota aplicada corretamente ✅")))</f>
        <v/>
      </c>
      <c r="Q697" s="8" t="str">
        <f>IF(E697="","",IFERROR(VLOOKUP(E697,REGRAS_CST!$A$2:$D$200,4,FALSE),""))</f>
        <v/>
      </c>
      <c r="S697" s="9">
        <f>IF($H697="","",$H697*(1-$U697))</f>
        <v>8.9999999999999993E-3</v>
      </c>
      <c r="T697" s="9">
        <f>IF($I697="","",$I697*(1-$U697))</f>
        <v>1E-3</v>
      </c>
      <c r="U697" s="16">
        <f>IFERROR(INDEX(BASE_CCLASSTRIB!$E:$E, MATCH(TEXT($D697,"000000"), BASE_CCLASSTRIB!$A:$A, 0))/100, 0)</f>
        <v>0</v>
      </c>
      <c r="V697" s="16">
        <f>IFERROR(INDEX(BASE_CCLASSTRIB!$F:$F, MATCH(TEXT($D697,"000000"), BASE_CCLASSTRIB!$A:$A, 0))/100, 0)</f>
        <v>0</v>
      </c>
    </row>
    <row r="698" spans="4:22" ht="32.25" customHeight="1">
      <c r="D698" s="39"/>
      <c r="E698" s="27" t="str">
        <f>IF(D698="","",LEFT(D698,3))</f>
        <v/>
      </c>
      <c r="F698" s="28" t="str">
        <f>IF(E698="","",IFERROR(VLOOKUP(E698,REGRAS_CST!$A$2:$B$200,2,FALSE),""))</f>
        <v/>
      </c>
      <c r="H698" s="29">
        <v>8.9999999999999993E-3</v>
      </c>
      <c r="I698" s="29">
        <v>1E-3</v>
      </c>
      <c r="K698" s="21" t="str">
        <f>IF(E698="","",IFERROR(VLOOKUP(E698,REGRAS_CST!$A$2:$C$200,3,FALSE),""))</f>
        <v/>
      </c>
      <c r="L698" s="23" t="str">
        <f>IF($G698="", "", $G698*(1-$V698))</f>
        <v/>
      </c>
      <c r="M698" s="24" t="str">
        <f>IF(OR($L698="",$S698=""),"",$L698*$S698)</f>
        <v/>
      </c>
      <c r="N698" s="24" t="str">
        <f>IF(OR($L698="",$T698=""),"",$L698*$T698)</f>
        <v/>
      </c>
      <c r="O698" s="15" t="str">
        <f>IF(D698="","",
IF(AND(K698&lt;&gt;"SIM",V698&gt;0),"ERRO: % BC &gt; 0, mas NÃO permitida ❌",
IF(AND(K698="SIM",V698=0),"ATENÇÃO: BC permitida, mas % = 0 🔎",
"Base de cálculo aplicada corretamente ✅")))</f>
        <v/>
      </c>
      <c r="P698" s="31" t="str">
        <f>IF(D698="","",
IF(AND(Q698&lt;&gt;"SIM",U698&gt;0),"ERRO: % alíquota &gt; 0, mas NÃO permitida ❌",
IF(AND(Q698="SIM",U698=0),"ATENÇÃO: alíquota permitida, mas % = 0 🔎",
"Alíquota aplicada corretamente ✅")))</f>
        <v/>
      </c>
      <c r="Q698" s="8" t="str">
        <f>IF(E698="","",IFERROR(VLOOKUP(E698,REGRAS_CST!$A$2:$D$200,4,FALSE),""))</f>
        <v/>
      </c>
      <c r="S698" s="9">
        <f>IF($H698="","",$H698*(1-$U698))</f>
        <v>8.9999999999999993E-3</v>
      </c>
      <c r="T698" s="9">
        <f>IF($I698="","",$I698*(1-$U698))</f>
        <v>1E-3</v>
      </c>
      <c r="U698" s="16">
        <f>IFERROR(INDEX(BASE_CCLASSTRIB!$E:$E, MATCH(TEXT($D698,"000000"), BASE_CCLASSTRIB!$A:$A, 0))/100, 0)</f>
        <v>0</v>
      </c>
      <c r="V698" s="16">
        <f>IFERROR(INDEX(BASE_CCLASSTRIB!$F:$F, MATCH(TEXT($D698,"000000"), BASE_CCLASSTRIB!$A:$A, 0))/100, 0)</f>
        <v>0</v>
      </c>
    </row>
    <row r="699" spans="4:22" ht="32.25" customHeight="1">
      <c r="D699" s="39"/>
      <c r="E699" s="27" t="str">
        <f>IF(D699="","",LEFT(D699,3))</f>
        <v/>
      </c>
      <c r="F699" s="28" t="str">
        <f>IF(E699="","",IFERROR(VLOOKUP(E699,REGRAS_CST!$A$2:$B$200,2,FALSE),""))</f>
        <v/>
      </c>
      <c r="H699" s="29">
        <v>8.9999999999999993E-3</v>
      </c>
      <c r="I699" s="29">
        <v>1E-3</v>
      </c>
      <c r="K699" s="21" t="str">
        <f>IF(E699="","",IFERROR(VLOOKUP(E699,REGRAS_CST!$A$2:$C$200,3,FALSE),""))</f>
        <v/>
      </c>
      <c r="L699" s="23" t="str">
        <f>IF($G699="", "", $G699*(1-$V699))</f>
        <v/>
      </c>
      <c r="M699" s="24" t="str">
        <f>IF(OR($L699="",$S699=""),"",$L699*$S699)</f>
        <v/>
      </c>
      <c r="N699" s="24" t="str">
        <f>IF(OR($L699="",$T699=""),"",$L699*$T699)</f>
        <v/>
      </c>
      <c r="O699" s="15" t="str">
        <f>IF(D699="","",
IF(AND(K699&lt;&gt;"SIM",V699&gt;0),"ERRO: % BC &gt; 0, mas NÃO permitida ❌",
IF(AND(K699="SIM",V699=0),"ATENÇÃO: BC permitida, mas % = 0 🔎",
"Base de cálculo aplicada corretamente ✅")))</f>
        <v/>
      </c>
      <c r="P699" s="31" t="str">
        <f>IF(D699="","",
IF(AND(Q699&lt;&gt;"SIM",U699&gt;0),"ERRO: % alíquota &gt; 0, mas NÃO permitida ❌",
IF(AND(Q699="SIM",U699=0),"ATENÇÃO: alíquota permitida, mas % = 0 🔎",
"Alíquota aplicada corretamente ✅")))</f>
        <v/>
      </c>
      <c r="Q699" s="8" t="str">
        <f>IF(E699="","",IFERROR(VLOOKUP(E699,REGRAS_CST!$A$2:$D$200,4,FALSE),""))</f>
        <v/>
      </c>
      <c r="S699" s="9">
        <f>IF($H699="","",$H699*(1-$U699))</f>
        <v>8.9999999999999993E-3</v>
      </c>
      <c r="T699" s="9">
        <f>IF($I699="","",$I699*(1-$U699))</f>
        <v>1E-3</v>
      </c>
      <c r="U699" s="16">
        <f>IFERROR(INDEX(BASE_CCLASSTRIB!$E:$E, MATCH(TEXT($D699,"000000"), BASE_CCLASSTRIB!$A:$A, 0))/100, 0)</f>
        <v>0</v>
      </c>
      <c r="V699" s="16">
        <f>IFERROR(INDEX(BASE_CCLASSTRIB!$F:$F, MATCH(TEXT($D699,"000000"), BASE_CCLASSTRIB!$A:$A, 0))/100, 0)</f>
        <v>0</v>
      </c>
    </row>
    <row r="700" spans="4:22" ht="32.25" customHeight="1">
      <c r="D700" s="39"/>
      <c r="E700" s="27" t="str">
        <f>IF(D700="","",LEFT(D700,3))</f>
        <v/>
      </c>
      <c r="F700" s="28" t="str">
        <f>IF(E700="","",IFERROR(VLOOKUP(E700,REGRAS_CST!$A$2:$B$200,2,FALSE),""))</f>
        <v/>
      </c>
      <c r="H700" s="29">
        <v>8.9999999999999993E-3</v>
      </c>
      <c r="I700" s="29">
        <v>1E-3</v>
      </c>
      <c r="K700" s="21" t="str">
        <f>IF(E700="","",IFERROR(VLOOKUP(E700,REGRAS_CST!$A$2:$C$200,3,FALSE),""))</f>
        <v/>
      </c>
      <c r="L700" s="23" t="str">
        <f>IF($G700="", "", $G700*(1-$V700))</f>
        <v/>
      </c>
      <c r="M700" s="24" t="str">
        <f>IF(OR($L700="",$S700=""),"",$L700*$S700)</f>
        <v/>
      </c>
      <c r="N700" s="24" t="str">
        <f>IF(OR($L700="",$T700=""),"",$L700*$T700)</f>
        <v/>
      </c>
      <c r="O700" s="15" t="str">
        <f>IF(D700="","",
IF(AND(K700&lt;&gt;"SIM",V700&gt;0),"ERRO: % BC &gt; 0, mas NÃO permitida ❌",
IF(AND(K700="SIM",V700=0),"ATENÇÃO: BC permitida, mas % = 0 🔎",
"Base de cálculo aplicada corretamente ✅")))</f>
        <v/>
      </c>
      <c r="P700" s="31" t="str">
        <f>IF(D700="","",
IF(AND(Q700&lt;&gt;"SIM",U700&gt;0),"ERRO: % alíquota &gt; 0, mas NÃO permitida ❌",
IF(AND(Q700="SIM",U700=0),"ATENÇÃO: alíquota permitida, mas % = 0 🔎",
"Alíquota aplicada corretamente ✅")))</f>
        <v/>
      </c>
      <c r="Q700" s="8" t="str">
        <f>IF(E700="","",IFERROR(VLOOKUP(E700,REGRAS_CST!$A$2:$D$200,4,FALSE),""))</f>
        <v/>
      </c>
      <c r="S700" s="9">
        <f>IF($H700="","",$H700*(1-$U700))</f>
        <v>8.9999999999999993E-3</v>
      </c>
      <c r="T700" s="9">
        <f>IF($I700="","",$I700*(1-$U700))</f>
        <v>1E-3</v>
      </c>
      <c r="U700" s="16">
        <f>IFERROR(INDEX(BASE_CCLASSTRIB!$E:$E, MATCH(TEXT($D700,"000000"), BASE_CCLASSTRIB!$A:$A, 0))/100, 0)</f>
        <v>0</v>
      </c>
      <c r="V700" s="16">
        <f>IFERROR(INDEX(BASE_CCLASSTRIB!$F:$F, MATCH(TEXT($D700,"000000"), BASE_CCLASSTRIB!$A:$A, 0))/100, 0)</f>
        <v>0</v>
      </c>
    </row>
    <row r="701" spans="4:22" ht="32.25" customHeight="1">
      <c r="D701" s="40"/>
      <c r="E701" s="27" t="str">
        <f>IF(D701="","",LEFT(D701,3))</f>
        <v/>
      </c>
      <c r="F701" s="28" t="str">
        <f>IF(E701="","",IFERROR(VLOOKUP(E701,REGRAS_CST!$A$2:$B$200,2,FALSE),""))</f>
        <v/>
      </c>
      <c r="H701" s="29">
        <v>8.9999999999999993E-3</v>
      </c>
      <c r="I701" s="29">
        <v>1E-3</v>
      </c>
      <c r="K701" s="21" t="str">
        <f>IF(E701="","",IFERROR(VLOOKUP(E701,REGRAS_CST!$A$2:$C$200,3,FALSE),""))</f>
        <v/>
      </c>
      <c r="L701" s="23" t="str">
        <f>IF($G701="", "", $G701*(1-$V701))</f>
        <v/>
      </c>
      <c r="M701" s="24" t="str">
        <f>IF(OR($L701="",$S701=""),"",$L701*$S701)</f>
        <v/>
      </c>
      <c r="N701" s="24" t="str">
        <f>IF(OR($L701="",$T701=""),"",$L701*$T701)</f>
        <v/>
      </c>
      <c r="O701" s="15" t="str">
        <f>IF(D701="","",
IF(AND(K701&lt;&gt;"SIM",V701&gt;0),"ERRO: % BC &gt; 0, mas NÃO permitida ❌",
IF(AND(K701="SIM",V701=0),"ATENÇÃO: BC permitida, mas % = 0 🔎",
"Base de cálculo aplicada corretamente ✅")))</f>
        <v/>
      </c>
      <c r="P701" s="31" t="str">
        <f>IF(D701="","",
IF(AND(Q701&lt;&gt;"SIM",U701&gt;0),"ERRO: % alíquota &gt; 0, mas NÃO permitida ❌",
IF(AND(Q701="SIM",U701=0),"ATENÇÃO: alíquota permitida, mas % = 0 🔎",
"Alíquota aplicada corretamente ✅")))</f>
        <v/>
      </c>
      <c r="Q701" s="8" t="str">
        <f>IF(E701="","",IFERROR(VLOOKUP(E701,REGRAS_CST!$A$2:$D$200,4,FALSE),""))</f>
        <v/>
      </c>
      <c r="S701" s="9">
        <f>IF($H701="","",$H701*(1-$U701))</f>
        <v>8.9999999999999993E-3</v>
      </c>
      <c r="T701" s="9">
        <f>IF($I701="","",$I701*(1-$U701))</f>
        <v>1E-3</v>
      </c>
      <c r="U701" s="16">
        <f>IFERROR(INDEX(BASE_CCLASSTRIB!$E:$E, MATCH(TEXT($D701,"000000"), BASE_CCLASSTRIB!$A:$A, 0))/100, 0)</f>
        <v>0</v>
      </c>
      <c r="V701" s="16">
        <f>IFERROR(INDEX(BASE_CCLASSTRIB!$F:$F, MATCH(TEXT($D701,"000000"), BASE_CCLASSTRIB!$A:$A, 0))/100, 0)</f>
        <v>0</v>
      </c>
    </row>
    <row r="702" spans="4:22" ht="32.25" customHeight="1">
      <c r="D702" s="39"/>
      <c r="E702" s="27" t="str">
        <f>IF(D702="","",LEFT(D702,3))</f>
        <v/>
      </c>
      <c r="F702" s="28" t="str">
        <f>IF(E702="","",IFERROR(VLOOKUP(E702,REGRAS_CST!$A$2:$B$200,2,FALSE),""))</f>
        <v/>
      </c>
      <c r="H702" s="29">
        <v>8.9999999999999993E-3</v>
      </c>
      <c r="I702" s="29">
        <v>1E-3</v>
      </c>
      <c r="K702" s="21" t="str">
        <f>IF(E702="","",IFERROR(VLOOKUP(E702,REGRAS_CST!$A$2:$C$200,3,FALSE),""))</f>
        <v/>
      </c>
      <c r="L702" s="23" t="str">
        <f>IF($G702="", "", $G702*(1-$V702))</f>
        <v/>
      </c>
      <c r="M702" s="24" t="str">
        <f>IF(OR($L702="",$S702=""),"",$L702*$S702)</f>
        <v/>
      </c>
      <c r="N702" s="24" t="str">
        <f>IF(OR($L702="",$T702=""),"",$L702*$T702)</f>
        <v/>
      </c>
      <c r="O702" s="15" t="str">
        <f>IF(D702="","",
IF(AND(K702&lt;&gt;"SIM",V702&gt;0),"ERRO: % BC &gt; 0, mas NÃO permitida ❌",
IF(AND(K702="SIM",V702=0),"ATENÇÃO: BC permitida, mas % = 0 🔎",
"Base de cálculo aplicada corretamente ✅")))</f>
        <v/>
      </c>
      <c r="P702" s="31" t="str">
        <f>IF(D702="","",
IF(AND(Q702&lt;&gt;"SIM",U702&gt;0),"ERRO: % alíquota &gt; 0, mas NÃO permitida ❌",
IF(AND(Q702="SIM",U702=0),"ATENÇÃO: alíquota permitida, mas % = 0 🔎",
"Alíquota aplicada corretamente ✅")))</f>
        <v/>
      </c>
      <c r="Q702" s="8" t="str">
        <f>IF(E702="","",IFERROR(VLOOKUP(E702,REGRAS_CST!$A$2:$D$200,4,FALSE),""))</f>
        <v/>
      </c>
      <c r="S702" s="9">
        <f>IF($H702="","",$H702*(1-$U702))</f>
        <v>8.9999999999999993E-3</v>
      </c>
      <c r="T702" s="9">
        <f>IF($I702="","",$I702*(1-$U702))</f>
        <v>1E-3</v>
      </c>
      <c r="U702" s="16">
        <f>IFERROR(INDEX(BASE_CCLASSTRIB!$E:$E, MATCH(TEXT($D702,"000000"), BASE_CCLASSTRIB!$A:$A, 0))/100, 0)</f>
        <v>0</v>
      </c>
      <c r="V702" s="16">
        <f>IFERROR(INDEX(BASE_CCLASSTRIB!$F:$F, MATCH(TEXT($D702,"000000"), BASE_CCLASSTRIB!$A:$A, 0))/100, 0)</f>
        <v>0</v>
      </c>
    </row>
    <row r="703" spans="4:22" ht="32.25" customHeight="1">
      <c r="D703" s="39"/>
      <c r="E703" s="27" t="str">
        <f>IF(D703="","",LEFT(D703,3))</f>
        <v/>
      </c>
      <c r="F703" s="28" t="str">
        <f>IF(E703="","",IFERROR(VLOOKUP(E703,REGRAS_CST!$A$2:$B$200,2,FALSE),""))</f>
        <v/>
      </c>
      <c r="H703" s="29">
        <v>8.9999999999999993E-3</v>
      </c>
      <c r="I703" s="29">
        <v>1E-3</v>
      </c>
      <c r="K703" s="21" t="str">
        <f>IF(E703="","",IFERROR(VLOOKUP(E703,REGRAS_CST!$A$2:$C$200,3,FALSE),""))</f>
        <v/>
      </c>
      <c r="L703" s="23" t="str">
        <f>IF($G703="", "", $G703*(1-$V703))</f>
        <v/>
      </c>
      <c r="M703" s="24" t="str">
        <f>IF(OR($L703="",$S703=""),"",$L703*$S703)</f>
        <v/>
      </c>
      <c r="N703" s="24" t="str">
        <f>IF(OR($L703="",$T703=""),"",$L703*$T703)</f>
        <v/>
      </c>
      <c r="O703" s="15" t="str">
        <f>IF(D703="","",
IF(AND(K703&lt;&gt;"SIM",V703&gt;0),"ERRO: % BC &gt; 0, mas NÃO permitida ❌",
IF(AND(K703="SIM",V703=0),"ATENÇÃO: BC permitida, mas % = 0 🔎",
"Base de cálculo aplicada corretamente ✅")))</f>
        <v/>
      </c>
      <c r="P703" s="31" t="str">
        <f>IF(D703="","",
IF(AND(Q703&lt;&gt;"SIM",U703&gt;0),"ERRO: % alíquota &gt; 0, mas NÃO permitida ❌",
IF(AND(Q703="SIM",U703=0),"ATENÇÃO: alíquota permitida, mas % = 0 🔎",
"Alíquota aplicada corretamente ✅")))</f>
        <v/>
      </c>
      <c r="Q703" s="8" t="str">
        <f>IF(E703="","",IFERROR(VLOOKUP(E703,REGRAS_CST!$A$2:$D$200,4,FALSE),""))</f>
        <v/>
      </c>
      <c r="S703" s="9">
        <f>IF($H703="","",$H703*(1-$U703))</f>
        <v>8.9999999999999993E-3</v>
      </c>
      <c r="T703" s="9">
        <f>IF($I703="","",$I703*(1-$U703))</f>
        <v>1E-3</v>
      </c>
      <c r="U703" s="16">
        <f>IFERROR(INDEX(BASE_CCLASSTRIB!$E:$E, MATCH(TEXT($D703,"000000"), BASE_CCLASSTRIB!$A:$A, 0))/100, 0)</f>
        <v>0</v>
      </c>
      <c r="V703" s="16">
        <f>IFERROR(INDEX(BASE_CCLASSTRIB!$F:$F, MATCH(TEXT($D703,"000000"), BASE_CCLASSTRIB!$A:$A, 0))/100, 0)</f>
        <v>0</v>
      </c>
    </row>
    <row r="704" spans="4:22" ht="32.25" customHeight="1">
      <c r="D704" s="39"/>
      <c r="E704" s="27" t="str">
        <f>IF(D704="","",LEFT(D704,3))</f>
        <v/>
      </c>
      <c r="F704" s="28" t="str">
        <f>IF(E704="","",IFERROR(VLOOKUP(E704,REGRAS_CST!$A$2:$B$200,2,FALSE),""))</f>
        <v/>
      </c>
      <c r="H704" s="29">
        <v>8.9999999999999993E-3</v>
      </c>
      <c r="I704" s="29">
        <v>1E-3</v>
      </c>
      <c r="K704" s="21" t="str">
        <f>IF(E704="","",IFERROR(VLOOKUP(E704,REGRAS_CST!$A$2:$C$200,3,FALSE),""))</f>
        <v/>
      </c>
      <c r="L704" s="23" t="str">
        <f>IF($G704="", "", $G704*(1-$V704))</f>
        <v/>
      </c>
      <c r="M704" s="24" t="str">
        <f>IF(OR($L704="",$S704=""),"",$L704*$S704)</f>
        <v/>
      </c>
      <c r="N704" s="24" t="str">
        <f>IF(OR($L704="",$T704=""),"",$L704*$T704)</f>
        <v/>
      </c>
      <c r="O704" s="15" t="str">
        <f>IF(D704="","",
IF(AND(K704&lt;&gt;"SIM",V704&gt;0),"ERRO: % BC &gt; 0, mas NÃO permitida ❌",
IF(AND(K704="SIM",V704=0),"ATENÇÃO: BC permitida, mas % = 0 🔎",
"Base de cálculo aplicada corretamente ✅")))</f>
        <v/>
      </c>
      <c r="P704" s="31" t="str">
        <f>IF(D704="","",
IF(AND(Q704&lt;&gt;"SIM",U704&gt;0),"ERRO: % alíquota &gt; 0, mas NÃO permitida ❌",
IF(AND(Q704="SIM",U704=0),"ATENÇÃO: alíquota permitida, mas % = 0 🔎",
"Alíquota aplicada corretamente ✅")))</f>
        <v/>
      </c>
      <c r="Q704" s="8" t="str">
        <f>IF(E704="","",IFERROR(VLOOKUP(E704,REGRAS_CST!$A$2:$D$200,4,FALSE),""))</f>
        <v/>
      </c>
      <c r="S704" s="9">
        <f>IF($H704="","",$H704*(1-$U704))</f>
        <v>8.9999999999999993E-3</v>
      </c>
      <c r="T704" s="9">
        <f>IF($I704="","",$I704*(1-$U704))</f>
        <v>1E-3</v>
      </c>
      <c r="U704" s="16">
        <f>IFERROR(INDEX(BASE_CCLASSTRIB!$E:$E, MATCH(TEXT($D704,"000000"), BASE_CCLASSTRIB!$A:$A, 0))/100, 0)</f>
        <v>0</v>
      </c>
      <c r="V704" s="16">
        <f>IFERROR(INDEX(BASE_CCLASSTRIB!$F:$F, MATCH(TEXT($D704,"000000"), BASE_CCLASSTRIB!$A:$A, 0))/100, 0)</f>
        <v>0</v>
      </c>
    </row>
    <row r="705" spans="4:22" ht="32.25" customHeight="1">
      <c r="D705" s="39"/>
      <c r="E705" s="27" t="str">
        <f>IF(D705="","",LEFT(D705,3))</f>
        <v/>
      </c>
      <c r="F705" s="28" t="str">
        <f>IF(E705="","",IFERROR(VLOOKUP(E705,REGRAS_CST!$A$2:$B$200,2,FALSE),""))</f>
        <v/>
      </c>
      <c r="H705" s="29">
        <v>8.9999999999999993E-3</v>
      </c>
      <c r="I705" s="29">
        <v>1E-3</v>
      </c>
      <c r="K705" s="21" t="str">
        <f>IF(E705="","",IFERROR(VLOOKUP(E705,REGRAS_CST!$A$2:$C$200,3,FALSE),""))</f>
        <v/>
      </c>
      <c r="L705" s="23" t="str">
        <f>IF($G705="", "", $G705*(1-$V705))</f>
        <v/>
      </c>
      <c r="M705" s="24" t="str">
        <f>IF(OR($L705="",$S705=""),"",$L705*$S705)</f>
        <v/>
      </c>
      <c r="N705" s="24" t="str">
        <f>IF(OR($L705="",$T705=""),"",$L705*$T705)</f>
        <v/>
      </c>
      <c r="O705" s="15" t="str">
        <f>IF(D705="","",
IF(AND(K705&lt;&gt;"SIM",V705&gt;0),"ERRO: % BC &gt; 0, mas NÃO permitida ❌",
IF(AND(K705="SIM",V705=0),"ATENÇÃO: BC permitida, mas % = 0 🔎",
"Base de cálculo aplicada corretamente ✅")))</f>
        <v/>
      </c>
      <c r="P705" s="31" t="str">
        <f>IF(D705="","",
IF(AND(Q705&lt;&gt;"SIM",U705&gt;0),"ERRO: % alíquota &gt; 0, mas NÃO permitida ❌",
IF(AND(Q705="SIM",U705=0),"ATENÇÃO: alíquota permitida, mas % = 0 🔎",
"Alíquota aplicada corretamente ✅")))</f>
        <v/>
      </c>
      <c r="Q705" s="8" t="str">
        <f>IF(E705="","",IFERROR(VLOOKUP(E705,REGRAS_CST!$A$2:$D$200,4,FALSE),""))</f>
        <v/>
      </c>
      <c r="S705" s="9">
        <f>IF($H705="","",$H705*(1-$U705))</f>
        <v>8.9999999999999993E-3</v>
      </c>
      <c r="T705" s="9">
        <f>IF($I705="","",$I705*(1-$U705))</f>
        <v>1E-3</v>
      </c>
      <c r="U705" s="16">
        <f>IFERROR(INDEX(BASE_CCLASSTRIB!$E:$E, MATCH(TEXT($D705,"000000"), BASE_CCLASSTRIB!$A:$A, 0))/100, 0)</f>
        <v>0</v>
      </c>
      <c r="V705" s="16">
        <f>IFERROR(INDEX(BASE_CCLASSTRIB!$F:$F, MATCH(TEXT($D705,"000000"), BASE_CCLASSTRIB!$A:$A, 0))/100, 0)</f>
        <v>0</v>
      </c>
    </row>
    <row r="706" spans="4:22" ht="32.25" customHeight="1">
      <c r="D706" s="39"/>
      <c r="E706" s="27" t="str">
        <f>IF(D706="","",LEFT(D706,3))</f>
        <v/>
      </c>
      <c r="F706" s="28" t="str">
        <f>IF(E706="","",IFERROR(VLOOKUP(E706,REGRAS_CST!$A$2:$B$200,2,FALSE),""))</f>
        <v/>
      </c>
      <c r="H706" s="29">
        <v>8.9999999999999993E-3</v>
      </c>
      <c r="I706" s="29">
        <v>1E-3</v>
      </c>
      <c r="K706" s="21" t="str">
        <f>IF(E706="","",IFERROR(VLOOKUP(E706,REGRAS_CST!$A$2:$C$200,3,FALSE),""))</f>
        <v/>
      </c>
      <c r="L706" s="23" t="str">
        <f>IF($G706="", "", $G706*(1-$V706))</f>
        <v/>
      </c>
      <c r="M706" s="24" t="str">
        <f>IF(OR($L706="",$S706=""),"",$L706*$S706)</f>
        <v/>
      </c>
      <c r="N706" s="24" t="str">
        <f>IF(OR($L706="",$T706=""),"",$L706*$T706)</f>
        <v/>
      </c>
      <c r="O706" s="15" t="str">
        <f>IF(D706="","",
IF(AND(K706&lt;&gt;"SIM",V706&gt;0),"ERRO: % BC &gt; 0, mas NÃO permitida ❌",
IF(AND(K706="SIM",V706=0),"ATENÇÃO: BC permitida, mas % = 0 🔎",
"Base de cálculo aplicada corretamente ✅")))</f>
        <v/>
      </c>
      <c r="P706" s="31" t="str">
        <f>IF(D706="","",
IF(AND(Q706&lt;&gt;"SIM",U706&gt;0),"ERRO: % alíquota &gt; 0, mas NÃO permitida ❌",
IF(AND(Q706="SIM",U706=0),"ATENÇÃO: alíquota permitida, mas % = 0 🔎",
"Alíquota aplicada corretamente ✅")))</f>
        <v/>
      </c>
      <c r="Q706" s="8" t="str">
        <f>IF(E706="","",IFERROR(VLOOKUP(E706,REGRAS_CST!$A$2:$D$200,4,FALSE),""))</f>
        <v/>
      </c>
      <c r="S706" s="9">
        <f>IF($H706="","",$H706*(1-$U706))</f>
        <v>8.9999999999999993E-3</v>
      </c>
      <c r="T706" s="9">
        <f>IF($I706="","",$I706*(1-$U706))</f>
        <v>1E-3</v>
      </c>
      <c r="U706" s="16">
        <f>IFERROR(INDEX(BASE_CCLASSTRIB!$E:$E, MATCH(TEXT($D706,"000000"), BASE_CCLASSTRIB!$A:$A, 0))/100, 0)</f>
        <v>0</v>
      </c>
      <c r="V706" s="16">
        <f>IFERROR(INDEX(BASE_CCLASSTRIB!$F:$F, MATCH(TEXT($D706,"000000"), BASE_CCLASSTRIB!$A:$A, 0))/100, 0)</f>
        <v>0</v>
      </c>
    </row>
    <row r="707" spans="4:22" ht="32.25" customHeight="1">
      <c r="D707" s="39"/>
      <c r="E707" s="27" t="str">
        <f>IF(D707="","",LEFT(D707,3))</f>
        <v/>
      </c>
      <c r="F707" s="28" t="str">
        <f>IF(E707="","",IFERROR(VLOOKUP(E707,REGRAS_CST!$A$2:$B$200,2,FALSE),""))</f>
        <v/>
      </c>
      <c r="H707" s="29">
        <v>8.9999999999999993E-3</v>
      </c>
      <c r="I707" s="29">
        <v>1E-3</v>
      </c>
      <c r="K707" s="21" t="str">
        <f>IF(E707="","",IFERROR(VLOOKUP(E707,REGRAS_CST!$A$2:$C$200,3,FALSE),""))</f>
        <v/>
      </c>
      <c r="L707" s="23" t="str">
        <f>IF($G707="", "", $G707*(1-$V707))</f>
        <v/>
      </c>
      <c r="M707" s="24" t="str">
        <f>IF(OR($L707="",$S707=""),"",$L707*$S707)</f>
        <v/>
      </c>
      <c r="N707" s="24" t="str">
        <f>IF(OR($L707="",$T707=""),"",$L707*$T707)</f>
        <v/>
      </c>
      <c r="O707" s="15" t="str">
        <f>IF(D707="","",
IF(AND(K707&lt;&gt;"SIM",V707&gt;0),"ERRO: % BC &gt; 0, mas NÃO permitida ❌",
IF(AND(K707="SIM",V707=0),"ATENÇÃO: BC permitida, mas % = 0 🔎",
"Base de cálculo aplicada corretamente ✅")))</f>
        <v/>
      </c>
      <c r="P707" s="31" t="str">
        <f>IF(D707="","",
IF(AND(Q707&lt;&gt;"SIM",U707&gt;0),"ERRO: % alíquota &gt; 0, mas NÃO permitida ❌",
IF(AND(Q707="SIM",U707=0),"ATENÇÃO: alíquota permitida, mas % = 0 🔎",
"Alíquota aplicada corretamente ✅")))</f>
        <v/>
      </c>
      <c r="Q707" s="8" t="str">
        <f>IF(E707="","",IFERROR(VLOOKUP(E707,REGRAS_CST!$A$2:$D$200,4,FALSE),""))</f>
        <v/>
      </c>
      <c r="S707" s="9">
        <f>IF($H707="","",$H707*(1-$U707))</f>
        <v>8.9999999999999993E-3</v>
      </c>
      <c r="T707" s="9">
        <f>IF($I707="","",$I707*(1-$U707))</f>
        <v>1E-3</v>
      </c>
      <c r="U707" s="16">
        <f>IFERROR(INDEX(BASE_CCLASSTRIB!$E:$E, MATCH(TEXT($D707,"000000"), BASE_CCLASSTRIB!$A:$A, 0))/100, 0)</f>
        <v>0</v>
      </c>
      <c r="V707" s="16">
        <f>IFERROR(INDEX(BASE_CCLASSTRIB!$F:$F, MATCH(TEXT($D707,"000000"), BASE_CCLASSTRIB!$A:$A, 0))/100, 0)</f>
        <v>0</v>
      </c>
    </row>
    <row r="708" spans="4:22" ht="32.25" customHeight="1">
      <c r="D708" s="39"/>
      <c r="E708" s="27" t="str">
        <f>IF(D708="","",LEFT(D708,3))</f>
        <v/>
      </c>
      <c r="F708" s="28" t="str">
        <f>IF(E708="","",IFERROR(VLOOKUP(E708,REGRAS_CST!$A$2:$B$200,2,FALSE),""))</f>
        <v/>
      </c>
      <c r="H708" s="29">
        <v>8.9999999999999993E-3</v>
      </c>
      <c r="I708" s="29">
        <v>1E-3</v>
      </c>
      <c r="K708" s="21" t="str">
        <f>IF(E708="","",IFERROR(VLOOKUP(E708,REGRAS_CST!$A$2:$C$200,3,FALSE),""))</f>
        <v/>
      </c>
      <c r="L708" s="23" t="str">
        <f>IF($G708="", "", $G708*(1-$V708))</f>
        <v/>
      </c>
      <c r="M708" s="24" t="str">
        <f>IF(OR($L708="",$S708=""),"",$L708*$S708)</f>
        <v/>
      </c>
      <c r="N708" s="24" t="str">
        <f>IF(OR($L708="",$T708=""),"",$L708*$T708)</f>
        <v/>
      </c>
      <c r="O708" s="15" t="str">
        <f>IF(D708="","",
IF(AND(K708&lt;&gt;"SIM",V708&gt;0),"ERRO: % BC &gt; 0, mas NÃO permitida ❌",
IF(AND(K708="SIM",V708=0),"ATENÇÃO: BC permitida, mas % = 0 🔎",
"Base de cálculo aplicada corretamente ✅")))</f>
        <v/>
      </c>
      <c r="P708" s="31" t="str">
        <f>IF(D708="","",
IF(AND(Q708&lt;&gt;"SIM",U708&gt;0),"ERRO: % alíquota &gt; 0, mas NÃO permitida ❌",
IF(AND(Q708="SIM",U708=0),"ATENÇÃO: alíquota permitida, mas % = 0 🔎",
"Alíquota aplicada corretamente ✅")))</f>
        <v/>
      </c>
      <c r="Q708" s="8" t="str">
        <f>IF(E708="","",IFERROR(VLOOKUP(E708,REGRAS_CST!$A$2:$D$200,4,FALSE),""))</f>
        <v/>
      </c>
      <c r="S708" s="9">
        <f>IF($H708="","",$H708*(1-$U708))</f>
        <v>8.9999999999999993E-3</v>
      </c>
      <c r="T708" s="9">
        <f>IF($I708="","",$I708*(1-$U708))</f>
        <v>1E-3</v>
      </c>
      <c r="U708" s="16">
        <f>IFERROR(INDEX(BASE_CCLASSTRIB!$E:$E, MATCH(TEXT($D708,"000000"), BASE_CCLASSTRIB!$A:$A, 0))/100, 0)</f>
        <v>0</v>
      </c>
      <c r="V708" s="16">
        <f>IFERROR(INDEX(BASE_CCLASSTRIB!$F:$F, MATCH(TEXT($D708,"000000"), BASE_CCLASSTRIB!$A:$A, 0))/100, 0)</f>
        <v>0</v>
      </c>
    </row>
    <row r="709" spans="4:22" ht="32.25" customHeight="1">
      <c r="D709" s="40"/>
      <c r="E709" s="27" t="str">
        <f>IF(D709="","",LEFT(D709,3))</f>
        <v/>
      </c>
      <c r="F709" s="28" t="str">
        <f>IF(E709="","",IFERROR(VLOOKUP(E709,REGRAS_CST!$A$2:$B$200,2,FALSE),""))</f>
        <v/>
      </c>
      <c r="H709" s="29">
        <v>8.9999999999999993E-3</v>
      </c>
      <c r="I709" s="29">
        <v>1E-3</v>
      </c>
      <c r="K709" s="21" t="str">
        <f>IF(E709="","",IFERROR(VLOOKUP(E709,REGRAS_CST!$A$2:$C$200,3,FALSE),""))</f>
        <v/>
      </c>
      <c r="L709" s="23" t="str">
        <f>IF($G709="", "", $G709*(1-$V709))</f>
        <v/>
      </c>
      <c r="M709" s="24" t="str">
        <f>IF(OR($L709="",$S709=""),"",$L709*$S709)</f>
        <v/>
      </c>
      <c r="N709" s="24" t="str">
        <f>IF(OR($L709="",$T709=""),"",$L709*$T709)</f>
        <v/>
      </c>
      <c r="O709" s="15" t="str">
        <f>IF(D709="","",
IF(AND(K709&lt;&gt;"SIM",V709&gt;0),"ERRO: % BC &gt; 0, mas NÃO permitida ❌",
IF(AND(K709="SIM",V709=0),"ATENÇÃO: BC permitida, mas % = 0 🔎",
"Base de cálculo aplicada corretamente ✅")))</f>
        <v/>
      </c>
      <c r="P709" s="31" t="str">
        <f>IF(D709="","",
IF(AND(Q709&lt;&gt;"SIM",U709&gt;0),"ERRO: % alíquota &gt; 0, mas NÃO permitida ❌",
IF(AND(Q709="SIM",U709=0),"ATENÇÃO: alíquota permitida, mas % = 0 🔎",
"Alíquota aplicada corretamente ✅")))</f>
        <v/>
      </c>
      <c r="Q709" s="8" t="str">
        <f>IF(E709="","",IFERROR(VLOOKUP(E709,REGRAS_CST!$A$2:$D$200,4,FALSE),""))</f>
        <v/>
      </c>
      <c r="S709" s="9">
        <f>IF($H709="","",$H709*(1-$U709))</f>
        <v>8.9999999999999993E-3</v>
      </c>
      <c r="T709" s="9">
        <f>IF($I709="","",$I709*(1-$U709))</f>
        <v>1E-3</v>
      </c>
      <c r="U709" s="16">
        <f>IFERROR(INDEX(BASE_CCLASSTRIB!$E:$E, MATCH(TEXT($D709,"000000"), BASE_CCLASSTRIB!$A:$A, 0))/100, 0)</f>
        <v>0</v>
      </c>
      <c r="V709" s="16">
        <f>IFERROR(INDEX(BASE_CCLASSTRIB!$F:$F, MATCH(TEXT($D709,"000000"), BASE_CCLASSTRIB!$A:$A, 0))/100, 0)</f>
        <v>0</v>
      </c>
    </row>
    <row r="710" spans="4:22" ht="32.25" customHeight="1">
      <c r="D710" s="39"/>
      <c r="E710" s="27" t="str">
        <f>IF(D710="","",LEFT(D710,3))</f>
        <v/>
      </c>
      <c r="F710" s="28" t="str">
        <f>IF(E710="","",IFERROR(VLOOKUP(E710,REGRAS_CST!$A$2:$B$200,2,FALSE),""))</f>
        <v/>
      </c>
      <c r="H710" s="29">
        <v>8.9999999999999993E-3</v>
      </c>
      <c r="I710" s="29">
        <v>1E-3</v>
      </c>
      <c r="K710" s="21" t="str">
        <f>IF(E710="","",IFERROR(VLOOKUP(E710,REGRAS_CST!$A$2:$C$200,3,FALSE),""))</f>
        <v/>
      </c>
      <c r="L710" s="23" t="str">
        <f>IF($G710="", "", $G710*(1-$V710))</f>
        <v/>
      </c>
      <c r="M710" s="24" t="str">
        <f>IF(OR($L710="",$S710=""),"",$L710*$S710)</f>
        <v/>
      </c>
      <c r="N710" s="24" t="str">
        <f>IF(OR($L710="",$T710=""),"",$L710*$T710)</f>
        <v/>
      </c>
      <c r="O710" s="15" t="str">
        <f>IF(D710="","",
IF(AND(K710&lt;&gt;"SIM",V710&gt;0),"ERRO: % BC &gt; 0, mas NÃO permitida ❌",
IF(AND(K710="SIM",V710=0),"ATENÇÃO: BC permitida, mas % = 0 🔎",
"Base de cálculo aplicada corretamente ✅")))</f>
        <v/>
      </c>
      <c r="P710" s="31" t="str">
        <f>IF(D710="","",
IF(AND(Q710&lt;&gt;"SIM",U710&gt;0),"ERRO: % alíquota &gt; 0, mas NÃO permitida ❌",
IF(AND(Q710="SIM",U710=0),"ATENÇÃO: alíquota permitida, mas % = 0 🔎",
"Alíquota aplicada corretamente ✅")))</f>
        <v/>
      </c>
      <c r="Q710" s="8" t="str">
        <f>IF(E710="","",IFERROR(VLOOKUP(E710,REGRAS_CST!$A$2:$D$200,4,FALSE),""))</f>
        <v/>
      </c>
      <c r="S710" s="9">
        <f>IF($H710="","",$H710*(1-$U710))</f>
        <v>8.9999999999999993E-3</v>
      </c>
      <c r="T710" s="9">
        <f>IF($I710="","",$I710*(1-$U710))</f>
        <v>1E-3</v>
      </c>
      <c r="U710" s="16">
        <f>IFERROR(INDEX(BASE_CCLASSTRIB!$E:$E, MATCH(TEXT($D710,"000000"), BASE_CCLASSTRIB!$A:$A, 0))/100, 0)</f>
        <v>0</v>
      </c>
      <c r="V710" s="16">
        <f>IFERROR(INDEX(BASE_CCLASSTRIB!$F:$F, MATCH(TEXT($D710,"000000"), BASE_CCLASSTRIB!$A:$A, 0))/100, 0)</f>
        <v>0</v>
      </c>
    </row>
    <row r="711" spans="4:22" ht="32.25" customHeight="1">
      <c r="D711" s="39"/>
      <c r="E711" s="27" t="str">
        <f>IF(D711="","",LEFT(D711,3))</f>
        <v/>
      </c>
      <c r="F711" s="28" t="str">
        <f>IF(E711="","",IFERROR(VLOOKUP(E711,REGRAS_CST!$A$2:$B$200,2,FALSE),""))</f>
        <v/>
      </c>
      <c r="H711" s="29">
        <v>8.9999999999999993E-3</v>
      </c>
      <c r="I711" s="29">
        <v>1E-3</v>
      </c>
      <c r="K711" s="21" t="str">
        <f>IF(E711="","",IFERROR(VLOOKUP(E711,REGRAS_CST!$A$2:$C$200,3,FALSE),""))</f>
        <v/>
      </c>
      <c r="L711" s="23" t="str">
        <f>IF($G711="", "", $G711*(1-$V711))</f>
        <v/>
      </c>
      <c r="M711" s="24" t="str">
        <f>IF(OR($L711="",$S711=""),"",$L711*$S711)</f>
        <v/>
      </c>
      <c r="N711" s="24" t="str">
        <f>IF(OR($L711="",$T711=""),"",$L711*$T711)</f>
        <v/>
      </c>
      <c r="O711" s="15" t="str">
        <f>IF(D711="","",
IF(AND(K711&lt;&gt;"SIM",V711&gt;0),"ERRO: % BC &gt; 0, mas NÃO permitida ❌",
IF(AND(K711="SIM",V711=0),"ATENÇÃO: BC permitida, mas % = 0 🔎",
"Base de cálculo aplicada corretamente ✅")))</f>
        <v/>
      </c>
      <c r="P711" s="31" t="str">
        <f>IF(D711="","",
IF(AND(Q711&lt;&gt;"SIM",U711&gt;0),"ERRO: % alíquota &gt; 0, mas NÃO permitida ❌",
IF(AND(Q711="SIM",U711=0),"ATENÇÃO: alíquota permitida, mas % = 0 🔎",
"Alíquota aplicada corretamente ✅")))</f>
        <v/>
      </c>
      <c r="Q711" s="8" t="str">
        <f>IF(E711="","",IFERROR(VLOOKUP(E711,REGRAS_CST!$A$2:$D$200,4,FALSE),""))</f>
        <v/>
      </c>
      <c r="S711" s="9">
        <f>IF($H711="","",$H711*(1-$U711))</f>
        <v>8.9999999999999993E-3</v>
      </c>
      <c r="T711" s="9">
        <f>IF($I711="","",$I711*(1-$U711))</f>
        <v>1E-3</v>
      </c>
      <c r="U711" s="16">
        <f>IFERROR(INDEX(BASE_CCLASSTRIB!$E:$E, MATCH(TEXT($D711,"000000"), BASE_CCLASSTRIB!$A:$A, 0))/100, 0)</f>
        <v>0</v>
      </c>
      <c r="V711" s="16">
        <f>IFERROR(INDEX(BASE_CCLASSTRIB!$F:$F, MATCH(TEXT($D711,"000000"), BASE_CCLASSTRIB!$A:$A, 0))/100, 0)</f>
        <v>0</v>
      </c>
    </row>
    <row r="712" spans="4:22" ht="32.25" customHeight="1">
      <c r="D712" s="39"/>
      <c r="E712" s="27" t="str">
        <f>IF(D712="","",LEFT(D712,3))</f>
        <v/>
      </c>
      <c r="F712" s="28" t="str">
        <f>IF(E712="","",IFERROR(VLOOKUP(E712,REGRAS_CST!$A$2:$B$200,2,FALSE),""))</f>
        <v/>
      </c>
      <c r="H712" s="29">
        <v>8.9999999999999993E-3</v>
      </c>
      <c r="I712" s="29">
        <v>1E-3</v>
      </c>
      <c r="K712" s="21" t="str">
        <f>IF(E712="","",IFERROR(VLOOKUP(E712,REGRAS_CST!$A$2:$C$200,3,FALSE),""))</f>
        <v/>
      </c>
      <c r="L712" s="23" t="str">
        <f>IF($G712="", "", $G712*(1-$V712))</f>
        <v/>
      </c>
      <c r="M712" s="24" t="str">
        <f>IF(OR($L712="",$S712=""),"",$L712*$S712)</f>
        <v/>
      </c>
      <c r="N712" s="24" t="str">
        <f>IF(OR($L712="",$T712=""),"",$L712*$T712)</f>
        <v/>
      </c>
      <c r="O712" s="15" t="str">
        <f>IF(D712="","",
IF(AND(K712&lt;&gt;"SIM",V712&gt;0),"ERRO: % BC &gt; 0, mas NÃO permitida ❌",
IF(AND(K712="SIM",V712=0),"ATENÇÃO: BC permitida, mas % = 0 🔎",
"Base de cálculo aplicada corretamente ✅")))</f>
        <v/>
      </c>
      <c r="P712" s="31" t="str">
        <f>IF(D712="","",
IF(AND(Q712&lt;&gt;"SIM",U712&gt;0),"ERRO: % alíquota &gt; 0, mas NÃO permitida ❌",
IF(AND(Q712="SIM",U712=0),"ATENÇÃO: alíquota permitida, mas % = 0 🔎",
"Alíquota aplicada corretamente ✅")))</f>
        <v/>
      </c>
      <c r="Q712" s="8" t="str">
        <f>IF(E712="","",IFERROR(VLOOKUP(E712,REGRAS_CST!$A$2:$D$200,4,FALSE),""))</f>
        <v/>
      </c>
      <c r="S712" s="9">
        <f>IF($H712="","",$H712*(1-$U712))</f>
        <v>8.9999999999999993E-3</v>
      </c>
      <c r="T712" s="9">
        <f>IF($I712="","",$I712*(1-$U712))</f>
        <v>1E-3</v>
      </c>
      <c r="U712" s="16">
        <f>IFERROR(INDEX(BASE_CCLASSTRIB!$E:$E, MATCH(TEXT($D712,"000000"), BASE_CCLASSTRIB!$A:$A, 0))/100, 0)</f>
        <v>0</v>
      </c>
      <c r="V712" s="16">
        <f>IFERROR(INDEX(BASE_CCLASSTRIB!$F:$F, MATCH(TEXT($D712,"000000"), BASE_CCLASSTRIB!$A:$A, 0))/100, 0)</f>
        <v>0</v>
      </c>
    </row>
    <row r="713" spans="4:22" ht="32.25" customHeight="1">
      <c r="D713" s="40"/>
      <c r="E713" s="27" t="str">
        <f>IF(D713="","",LEFT(D713,3))</f>
        <v/>
      </c>
      <c r="F713" s="28" t="str">
        <f>IF(E713="","",IFERROR(VLOOKUP(E713,REGRAS_CST!$A$2:$B$200,2,FALSE),""))</f>
        <v/>
      </c>
      <c r="H713" s="29">
        <v>8.9999999999999993E-3</v>
      </c>
      <c r="I713" s="29">
        <v>1E-3</v>
      </c>
      <c r="K713" s="21" t="str">
        <f>IF(E713="","",IFERROR(VLOOKUP(E713,REGRAS_CST!$A$2:$C$200,3,FALSE),""))</f>
        <v/>
      </c>
      <c r="L713" s="23" t="str">
        <f>IF($G713="", "", $G713*(1-$V713))</f>
        <v/>
      </c>
      <c r="M713" s="24" t="str">
        <f>IF(OR($L713="",$S713=""),"",$L713*$S713)</f>
        <v/>
      </c>
      <c r="N713" s="24" t="str">
        <f>IF(OR($L713="",$T713=""),"",$L713*$T713)</f>
        <v/>
      </c>
      <c r="O713" s="15" t="str">
        <f>IF(D713="","",
IF(AND(K713&lt;&gt;"SIM",V713&gt;0),"ERRO: % BC &gt; 0, mas NÃO permitida ❌",
IF(AND(K713="SIM",V713=0),"ATENÇÃO: BC permitida, mas % = 0 🔎",
"Base de cálculo aplicada corretamente ✅")))</f>
        <v/>
      </c>
      <c r="P713" s="31" t="str">
        <f>IF(D713="","",
IF(AND(Q713&lt;&gt;"SIM",U713&gt;0),"ERRO: % alíquota &gt; 0, mas NÃO permitida ❌",
IF(AND(Q713="SIM",U713=0),"ATENÇÃO: alíquota permitida, mas % = 0 🔎",
"Alíquota aplicada corretamente ✅")))</f>
        <v/>
      </c>
      <c r="Q713" s="8" t="str">
        <f>IF(E713="","",IFERROR(VLOOKUP(E713,REGRAS_CST!$A$2:$D$200,4,FALSE),""))</f>
        <v/>
      </c>
      <c r="S713" s="9">
        <f>IF($H713="","",$H713*(1-$U713))</f>
        <v>8.9999999999999993E-3</v>
      </c>
      <c r="T713" s="9">
        <f>IF($I713="","",$I713*(1-$U713))</f>
        <v>1E-3</v>
      </c>
      <c r="U713" s="16">
        <f>IFERROR(INDEX(BASE_CCLASSTRIB!$E:$E, MATCH(TEXT($D713,"000000"), BASE_CCLASSTRIB!$A:$A, 0))/100, 0)</f>
        <v>0</v>
      </c>
      <c r="V713" s="16">
        <f>IFERROR(INDEX(BASE_CCLASSTRIB!$F:$F, MATCH(TEXT($D713,"000000"), BASE_CCLASSTRIB!$A:$A, 0))/100, 0)</f>
        <v>0</v>
      </c>
    </row>
    <row r="714" spans="4:22" ht="32.25" customHeight="1">
      <c r="D714" s="39"/>
      <c r="E714" s="27" t="str">
        <f>IF(D714="","",LEFT(D714,3))</f>
        <v/>
      </c>
      <c r="F714" s="28" t="str">
        <f>IF(E714="","",IFERROR(VLOOKUP(E714,REGRAS_CST!$A$2:$B$200,2,FALSE),""))</f>
        <v/>
      </c>
      <c r="H714" s="29">
        <v>8.9999999999999993E-3</v>
      </c>
      <c r="I714" s="29">
        <v>1E-3</v>
      </c>
      <c r="K714" s="21" t="str">
        <f>IF(E714="","",IFERROR(VLOOKUP(E714,REGRAS_CST!$A$2:$C$200,3,FALSE),""))</f>
        <v/>
      </c>
      <c r="L714" s="23" t="str">
        <f>IF($G714="", "", $G714*(1-$V714))</f>
        <v/>
      </c>
      <c r="M714" s="24" t="str">
        <f>IF(OR($L714="",$S714=""),"",$L714*$S714)</f>
        <v/>
      </c>
      <c r="N714" s="24" t="str">
        <f>IF(OR($L714="",$T714=""),"",$L714*$T714)</f>
        <v/>
      </c>
      <c r="O714" s="15" t="str">
        <f>IF(D714="","",
IF(AND(K714&lt;&gt;"SIM",V714&gt;0),"ERRO: % BC &gt; 0, mas NÃO permitida ❌",
IF(AND(K714="SIM",V714=0),"ATENÇÃO: BC permitida, mas % = 0 🔎",
"Base de cálculo aplicada corretamente ✅")))</f>
        <v/>
      </c>
      <c r="P714" s="31" t="str">
        <f>IF(D714="","",
IF(AND(Q714&lt;&gt;"SIM",U714&gt;0),"ERRO: % alíquota &gt; 0, mas NÃO permitida ❌",
IF(AND(Q714="SIM",U714=0),"ATENÇÃO: alíquota permitida, mas % = 0 🔎",
"Alíquota aplicada corretamente ✅")))</f>
        <v/>
      </c>
      <c r="Q714" s="8" t="str">
        <f>IF(E714="","",IFERROR(VLOOKUP(E714,REGRAS_CST!$A$2:$D$200,4,FALSE),""))</f>
        <v/>
      </c>
      <c r="S714" s="9">
        <f>IF($H714="","",$H714*(1-$U714))</f>
        <v>8.9999999999999993E-3</v>
      </c>
      <c r="T714" s="9">
        <f>IF($I714="","",$I714*(1-$U714))</f>
        <v>1E-3</v>
      </c>
      <c r="U714" s="16">
        <f>IFERROR(INDEX(BASE_CCLASSTRIB!$E:$E, MATCH(TEXT($D714,"000000"), BASE_CCLASSTRIB!$A:$A, 0))/100, 0)</f>
        <v>0</v>
      </c>
      <c r="V714" s="16">
        <f>IFERROR(INDEX(BASE_CCLASSTRIB!$F:$F, MATCH(TEXT($D714,"000000"), BASE_CCLASSTRIB!$A:$A, 0))/100, 0)</f>
        <v>0</v>
      </c>
    </row>
    <row r="715" spans="4:22" ht="32.25" customHeight="1">
      <c r="D715" s="39"/>
      <c r="E715" s="27" t="str">
        <f>IF(D715="","",LEFT(D715,3))</f>
        <v/>
      </c>
      <c r="F715" s="28" t="str">
        <f>IF(E715="","",IFERROR(VLOOKUP(E715,REGRAS_CST!$A$2:$B$200,2,FALSE),""))</f>
        <v/>
      </c>
      <c r="H715" s="29">
        <v>8.9999999999999993E-3</v>
      </c>
      <c r="I715" s="29">
        <v>1E-3</v>
      </c>
      <c r="K715" s="21" t="str">
        <f>IF(E715="","",IFERROR(VLOOKUP(E715,REGRAS_CST!$A$2:$C$200,3,FALSE),""))</f>
        <v/>
      </c>
      <c r="L715" s="23" t="str">
        <f>IF($G715="", "", $G715*(1-$V715))</f>
        <v/>
      </c>
      <c r="M715" s="24" t="str">
        <f>IF(OR($L715="",$S715=""),"",$L715*$S715)</f>
        <v/>
      </c>
      <c r="N715" s="24" t="str">
        <f>IF(OR($L715="",$T715=""),"",$L715*$T715)</f>
        <v/>
      </c>
      <c r="O715" s="15" t="str">
        <f>IF(D715="","",
IF(AND(K715&lt;&gt;"SIM",V715&gt;0),"ERRO: % BC &gt; 0, mas NÃO permitida ❌",
IF(AND(K715="SIM",V715=0),"ATENÇÃO: BC permitida, mas % = 0 🔎",
"Base de cálculo aplicada corretamente ✅")))</f>
        <v/>
      </c>
      <c r="P715" s="31" t="str">
        <f>IF(D715="","",
IF(AND(Q715&lt;&gt;"SIM",U715&gt;0),"ERRO: % alíquota &gt; 0, mas NÃO permitida ❌",
IF(AND(Q715="SIM",U715=0),"ATENÇÃO: alíquota permitida, mas % = 0 🔎",
"Alíquota aplicada corretamente ✅")))</f>
        <v/>
      </c>
      <c r="Q715" s="8" t="str">
        <f>IF(E715="","",IFERROR(VLOOKUP(E715,REGRAS_CST!$A$2:$D$200,4,FALSE),""))</f>
        <v/>
      </c>
      <c r="S715" s="9">
        <f>IF($H715="","",$H715*(1-$U715))</f>
        <v>8.9999999999999993E-3</v>
      </c>
      <c r="T715" s="9">
        <f>IF($I715="","",$I715*(1-$U715))</f>
        <v>1E-3</v>
      </c>
      <c r="U715" s="16">
        <f>IFERROR(INDEX(BASE_CCLASSTRIB!$E:$E, MATCH(TEXT($D715,"000000"), BASE_CCLASSTRIB!$A:$A, 0))/100, 0)</f>
        <v>0</v>
      </c>
      <c r="V715" s="16">
        <f>IFERROR(INDEX(BASE_CCLASSTRIB!$F:$F, MATCH(TEXT($D715,"000000"), BASE_CCLASSTRIB!$A:$A, 0))/100, 0)</f>
        <v>0</v>
      </c>
    </row>
    <row r="716" spans="4:22" ht="32.25" customHeight="1">
      <c r="D716" s="40"/>
      <c r="E716" s="27" t="str">
        <f>IF(D716="","",LEFT(D716,3))</f>
        <v/>
      </c>
      <c r="F716" s="28" t="str">
        <f>IF(E716="","",IFERROR(VLOOKUP(E716,REGRAS_CST!$A$2:$B$200,2,FALSE),""))</f>
        <v/>
      </c>
      <c r="H716" s="29">
        <v>8.9999999999999993E-3</v>
      </c>
      <c r="I716" s="29">
        <v>1E-3</v>
      </c>
      <c r="K716" s="21" t="str">
        <f>IF(E716="","",IFERROR(VLOOKUP(E716,REGRAS_CST!$A$2:$C$200,3,FALSE),""))</f>
        <v/>
      </c>
      <c r="L716" s="23" t="str">
        <f>IF($G716="", "", $G716*(1-$V716))</f>
        <v/>
      </c>
      <c r="M716" s="24" t="str">
        <f>IF(OR($L716="",$S716=""),"",$L716*$S716)</f>
        <v/>
      </c>
      <c r="N716" s="24" t="str">
        <f>IF(OR($L716="",$T716=""),"",$L716*$T716)</f>
        <v/>
      </c>
      <c r="O716" s="15" t="str">
        <f>IF(D716="","",
IF(AND(K716&lt;&gt;"SIM",V716&gt;0),"ERRO: % BC &gt; 0, mas NÃO permitida ❌",
IF(AND(K716="SIM",V716=0),"ATENÇÃO: BC permitida, mas % = 0 🔎",
"Base de cálculo aplicada corretamente ✅")))</f>
        <v/>
      </c>
      <c r="P716" s="31" t="str">
        <f>IF(D716="","",
IF(AND(Q716&lt;&gt;"SIM",U716&gt;0),"ERRO: % alíquota &gt; 0, mas NÃO permitida ❌",
IF(AND(Q716="SIM",U716=0),"ATENÇÃO: alíquota permitida, mas % = 0 🔎",
"Alíquota aplicada corretamente ✅")))</f>
        <v/>
      </c>
      <c r="Q716" s="8" t="str">
        <f>IF(E716="","",IFERROR(VLOOKUP(E716,REGRAS_CST!$A$2:$D$200,4,FALSE),""))</f>
        <v/>
      </c>
      <c r="S716" s="9">
        <f>IF($H716="","",$H716*(1-$U716))</f>
        <v>8.9999999999999993E-3</v>
      </c>
      <c r="T716" s="9">
        <f>IF($I716="","",$I716*(1-$U716))</f>
        <v>1E-3</v>
      </c>
      <c r="U716" s="16">
        <f>IFERROR(INDEX(BASE_CCLASSTRIB!$E:$E, MATCH(TEXT($D716,"000000"), BASE_CCLASSTRIB!$A:$A, 0))/100, 0)</f>
        <v>0</v>
      </c>
      <c r="V716" s="16">
        <f>IFERROR(INDEX(BASE_CCLASSTRIB!$F:$F, MATCH(TEXT($D716,"000000"), BASE_CCLASSTRIB!$A:$A, 0))/100, 0)</f>
        <v>0</v>
      </c>
    </row>
    <row r="717" spans="4:22" ht="32.25" customHeight="1">
      <c r="D717" s="40"/>
      <c r="E717" s="27" t="str">
        <f>IF(D717="","",LEFT(D717,3))</f>
        <v/>
      </c>
      <c r="F717" s="28" t="str">
        <f>IF(E717="","",IFERROR(VLOOKUP(E717,REGRAS_CST!$A$2:$B$200,2,FALSE),""))</f>
        <v/>
      </c>
      <c r="H717" s="29">
        <v>8.9999999999999993E-3</v>
      </c>
      <c r="I717" s="29">
        <v>1E-3</v>
      </c>
      <c r="K717" s="21" t="str">
        <f>IF(E717="","",IFERROR(VLOOKUP(E717,REGRAS_CST!$A$2:$C$200,3,FALSE),""))</f>
        <v/>
      </c>
      <c r="L717" s="23" t="str">
        <f>IF($G717="", "", $G717*(1-$V717))</f>
        <v/>
      </c>
      <c r="M717" s="24" t="str">
        <f>IF(OR($L717="",$S717=""),"",$L717*$S717)</f>
        <v/>
      </c>
      <c r="N717" s="24" t="str">
        <f>IF(OR($L717="",$T717=""),"",$L717*$T717)</f>
        <v/>
      </c>
      <c r="O717" s="15" t="str">
        <f>IF(D717="","",
IF(AND(K717&lt;&gt;"SIM",V717&gt;0),"ERRO: % BC &gt; 0, mas NÃO permitida ❌",
IF(AND(K717="SIM",V717=0),"ATENÇÃO: BC permitida, mas % = 0 🔎",
"Base de cálculo aplicada corretamente ✅")))</f>
        <v/>
      </c>
      <c r="P717" s="31" t="str">
        <f>IF(D717="","",
IF(AND(Q717&lt;&gt;"SIM",U717&gt;0),"ERRO: % alíquota &gt; 0, mas NÃO permitida ❌",
IF(AND(Q717="SIM",U717=0),"ATENÇÃO: alíquota permitida, mas % = 0 🔎",
"Alíquota aplicada corretamente ✅")))</f>
        <v/>
      </c>
      <c r="Q717" s="8" t="str">
        <f>IF(E717="","",IFERROR(VLOOKUP(E717,REGRAS_CST!$A$2:$D$200,4,FALSE),""))</f>
        <v/>
      </c>
      <c r="S717" s="9">
        <f>IF($H717="","",$H717*(1-$U717))</f>
        <v>8.9999999999999993E-3</v>
      </c>
      <c r="T717" s="9">
        <f>IF($I717="","",$I717*(1-$U717))</f>
        <v>1E-3</v>
      </c>
      <c r="U717" s="16">
        <f>IFERROR(INDEX(BASE_CCLASSTRIB!$E:$E, MATCH(TEXT($D717,"000000"), BASE_CCLASSTRIB!$A:$A, 0))/100, 0)</f>
        <v>0</v>
      </c>
      <c r="V717" s="16">
        <f>IFERROR(INDEX(BASE_CCLASSTRIB!$F:$F, MATCH(TEXT($D717,"000000"), BASE_CCLASSTRIB!$A:$A, 0))/100, 0)</f>
        <v>0</v>
      </c>
    </row>
    <row r="718" spans="4:22" ht="32.25" customHeight="1">
      <c r="D718" s="40"/>
      <c r="E718" s="27" t="str">
        <f>IF(D718="","",LEFT(D718,3))</f>
        <v/>
      </c>
      <c r="F718" s="28" t="str">
        <f>IF(E718="","",IFERROR(VLOOKUP(E718,REGRAS_CST!$A$2:$B$200,2,FALSE),""))</f>
        <v/>
      </c>
      <c r="H718" s="29">
        <v>8.9999999999999993E-3</v>
      </c>
      <c r="I718" s="29">
        <v>1E-3</v>
      </c>
      <c r="K718" s="21" t="str">
        <f>IF(E718="","",IFERROR(VLOOKUP(E718,REGRAS_CST!$A$2:$C$200,3,FALSE),""))</f>
        <v/>
      </c>
      <c r="L718" s="23" t="str">
        <f>IF($G718="", "", $G718*(1-$V718))</f>
        <v/>
      </c>
      <c r="M718" s="24" t="str">
        <f>IF(OR($L718="",$S718=""),"",$L718*$S718)</f>
        <v/>
      </c>
      <c r="N718" s="24" t="str">
        <f>IF(OR($L718="",$T718=""),"",$L718*$T718)</f>
        <v/>
      </c>
      <c r="O718" s="15" t="str">
        <f>IF(D718="","",
IF(AND(K718&lt;&gt;"SIM",V718&gt;0),"ERRO: % BC &gt; 0, mas NÃO permitida ❌",
IF(AND(K718="SIM",V718=0),"ATENÇÃO: BC permitida, mas % = 0 🔎",
"Base de cálculo aplicada corretamente ✅")))</f>
        <v/>
      </c>
      <c r="P718" s="31" t="str">
        <f>IF(D718="","",
IF(AND(Q718&lt;&gt;"SIM",U718&gt;0),"ERRO: % alíquota &gt; 0, mas NÃO permitida ❌",
IF(AND(Q718="SIM",U718=0),"ATENÇÃO: alíquota permitida, mas % = 0 🔎",
"Alíquota aplicada corretamente ✅")))</f>
        <v/>
      </c>
      <c r="Q718" s="8" t="str">
        <f>IF(E718="","",IFERROR(VLOOKUP(E718,REGRAS_CST!$A$2:$D$200,4,FALSE),""))</f>
        <v/>
      </c>
      <c r="S718" s="9">
        <f>IF($H718="","",$H718*(1-$U718))</f>
        <v>8.9999999999999993E-3</v>
      </c>
      <c r="T718" s="9">
        <f>IF($I718="","",$I718*(1-$U718))</f>
        <v>1E-3</v>
      </c>
      <c r="U718" s="16">
        <f>IFERROR(INDEX(BASE_CCLASSTRIB!$E:$E, MATCH(TEXT($D718,"000000"), BASE_CCLASSTRIB!$A:$A, 0))/100, 0)</f>
        <v>0</v>
      </c>
      <c r="V718" s="16">
        <f>IFERROR(INDEX(BASE_CCLASSTRIB!$F:$F, MATCH(TEXT($D718,"000000"), BASE_CCLASSTRIB!$A:$A, 0))/100, 0)</f>
        <v>0</v>
      </c>
    </row>
    <row r="719" spans="4:22" ht="32.25" customHeight="1">
      <c r="D719" s="39"/>
      <c r="E719" s="27" t="str">
        <f>IF(D719="","",LEFT(D719,3))</f>
        <v/>
      </c>
      <c r="F719" s="28" t="str">
        <f>IF(E719="","",IFERROR(VLOOKUP(E719,REGRAS_CST!$A$2:$B$200,2,FALSE),""))</f>
        <v/>
      </c>
      <c r="H719" s="29">
        <v>8.9999999999999993E-3</v>
      </c>
      <c r="I719" s="29">
        <v>1E-3</v>
      </c>
      <c r="K719" s="21" t="str">
        <f>IF(E719="","",IFERROR(VLOOKUP(E719,REGRAS_CST!$A$2:$C$200,3,FALSE),""))</f>
        <v/>
      </c>
      <c r="L719" s="23" t="str">
        <f>IF($G719="", "", $G719*(1-$V719))</f>
        <v/>
      </c>
      <c r="M719" s="24" t="str">
        <f>IF(OR($L719="",$S719=""),"",$L719*$S719)</f>
        <v/>
      </c>
      <c r="N719" s="24" t="str">
        <f>IF(OR($L719="",$T719=""),"",$L719*$T719)</f>
        <v/>
      </c>
      <c r="O719" s="15" t="str">
        <f>IF(D719="","",
IF(AND(K719&lt;&gt;"SIM",V719&gt;0),"ERRO: % BC &gt; 0, mas NÃO permitida ❌",
IF(AND(K719="SIM",V719=0),"ATENÇÃO: BC permitida, mas % = 0 🔎",
"Base de cálculo aplicada corretamente ✅")))</f>
        <v/>
      </c>
      <c r="P719" s="31" t="str">
        <f>IF(D719="","",
IF(AND(Q719&lt;&gt;"SIM",U719&gt;0),"ERRO: % alíquota &gt; 0, mas NÃO permitida ❌",
IF(AND(Q719="SIM",U719=0),"ATENÇÃO: alíquota permitida, mas % = 0 🔎",
"Alíquota aplicada corretamente ✅")))</f>
        <v/>
      </c>
      <c r="Q719" s="8" t="str">
        <f>IF(E719="","",IFERROR(VLOOKUP(E719,REGRAS_CST!$A$2:$D$200,4,FALSE),""))</f>
        <v/>
      </c>
      <c r="S719" s="9">
        <f>IF($H719="","",$H719*(1-$U719))</f>
        <v>8.9999999999999993E-3</v>
      </c>
      <c r="T719" s="9">
        <f>IF($I719="","",$I719*(1-$U719))</f>
        <v>1E-3</v>
      </c>
      <c r="U719" s="16">
        <f>IFERROR(INDEX(BASE_CCLASSTRIB!$E:$E, MATCH(TEXT($D719,"000000"), BASE_CCLASSTRIB!$A:$A, 0))/100, 0)</f>
        <v>0</v>
      </c>
      <c r="V719" s="16">
        <f>IFERROR(INDEX(BASE_CCLASSTRIB!$F:$F, MATCH(TEXT($D719,"000000"), BASE_CCLASSTRIB!$A:$A, 0))/100, 0)</f>
        <v>0</v>
      </c>
    </row>
    <row r="720" spans="4:22" ht="32.25" customHeight="1">
      <c r="D720" s="39"/>
      <c r="E720" s="27" t="str">
        <f>IF(D720="","",LEFT(D720,3))</f>
        <v/>
      </c>
      <c r="F720" s="28" t="str">
        <f>IF(E720="","",IFERROR(VLOOKUP(E720,REGRAS_CST!$A$2:$B$200,2,FALSE),""))</f>
        <v/>
      </c>
      <c r="H720" s="29">
        <v>8.9999999999999993E-3</v>
      </c>
      <c r="I720" s="29">
        <v>1E-3</v>
      </c>
      <c r="K720" s="21" t="str">
        <f>IF(E720="","",IFERROR(VLOOKUP(E720,REGRAS_CST!$A$2:$C$200,3,FALSE),""))</f>
        <v/>
      </c>
      <c r="L720" s="23" t="str">
        <f>IF($G720="", "", $G720*(1-$V720))</f>
        <v/>
      </c>
      <c r="M720" s="24" t="str">
        <f>IF(OR($L720="",$S720=""),"",$L720*$S720)</f>
        <v/>
      </c>
      <c r="N720" s="24" t="str">
        <f>IF(OR($L720="",$T720=""),"",$L720*$T720)</f>
        <v/>
      </c>
      <c r="O720" s="15" t="str">
        <f>IF(D720="","",
IF(AND(K720&lt;&gt;"SIM",V720&gt;0),"ERRO: % BC &gt; 0, mas NÃO permitida ❌",
IF(AND(K720="SIM",V720=0),"ATENÇÃO: BC permitida, mas % = 0 🔎",
"Base de cálculo aplicada corretamente ✅")))</f>
        <v/>
      </c>
      <c r="P720" s="31" t="str">
        <f>IF(D720="","",
IF(AND(Q720&lt;&gt;"SIM",U720&gt;0),"ERRO: % alíquota &gt; 0, mas NÃO permitida ❌",
IF(AND(Q720="SIM",U720=0),"ATENÇÃO: alíquota permitida, mas % = 0 🔎",
"Alíquota aplicada corretamente ✅")))</f>
        <v/>
      </c>
      <c r="Q720" s="8" t="str">
        <f>IF(E720="","",IFERROR(VLOOKUP(E720,REGRAS_CST!$A$2:$D$200,4,FALSE),""))</f>
        <v/>
      </c>
      <c r="S720" s="9">
        <f>IF($H720="","",$H720*(1-$U720))</f>
        <v>8.9999999999999993E-3</v>
      </c>
      <c r="T720" s="9">
        <f>IF($I720="","",$I720*(1-$U720))</f>
        <v>1E-3</v>
      </c>
      <c r="U720" s="16">
        <f>IFERROR(INDEX(BASE_CCLASSTRIB!$E:$E, MATCH(TEXT($D720,"000000"), BASE_CCLASSTRIB!$A:$A, 0))/100, 0)</f>
        <v>0</v>
      </c>
      <c r="V720" s="16">
        <f>IFERROR(INDEX(BASE_CCLASSTRIB!$F:$F, MATCH(TEXT($D720,"000000"), BASE_CCLASSTRIB!$A:$A, 0))/100, 0)</f>
        <v>0</v>
      </c>
    </row>
    <row r="721" spans="4:22" ht="32.25" customHeight="1">
      <c r="D721" s="39"/>
      <c r="E721" s="27" t="str">
        <f>IF(D721="","",LEFT(D721,3))</f>
        <v/>
      </c>
      <c r="F721" s="28" t="str">
        <f>IF(E721="","",IFERROR(VLOOKUP(E721,REGRAS_CST!$A$2:$B$200,2,FALSE),""))</f>
        <v/>
      </c>
      <c r="H721" s="29">
        <v>8.9999999999999993E-3</v>
      </c>
      <c r="I721" s="29">
        <v>1E-3</v>
      </c>
      <c r="K721" s="21" t="str">
        <f>IF(E721="","",IFERROR(VLOOKUP(E721,REGRAS_CST!$A$2:$C$200,3,FALSE),""))</f>
        <v/>
      </c>
      <c r="L721" s="23" t="str">
        <f>IF($G721="", "", $G721*(1-$V721))</f>
        <v/>
      </c>
      <c r="M721" s="24" t="str">
        <f>IF(OR($L721="",$S721=""),"",$L721*$S721)</f>
        <v/>
      </c>
      <c r="N721" s="24" t="str">
        <f>IF(OR($L721="",$T721=""),"",$L721*$T721)</f>
        <v/>
      </c>
      <c r="O721" s="15" t="str">
        <f>IF(D721="","",
IF(AND(K721&lt;&gt;"SIM",V721&gt;0),"ERRO: % BC &gt; 0, mas NÃO permitida ❌",
IF(AND(K721="SIM",V721=0),"ATENÇÃO: BC permitida, mas % = 0 🔎",
"Base de cálculo aplicada corretamente ✅")))</f>
        <v/>
      </c>
      <c r="P721" s="31" t="str">
        <f>IF(D721="","",
IF(AND(Q721&lt;&gt;"SIM",U721&gt;0),"ERRO: % alíquota &gt; 0, mas NÃO permitida ❌",
IF(AND(Q721="SIM",U721=0),"ATENÇÃO: alíquota permitida, mas % = 0 🔎",
"Alíquota aplicada corretamente ✅")))</f>
        <v/>
      </c>
      <c r="Q721" s="8" t="str">
        <f>IF(E721="","",IFERROR(VLOOKUP(E721,REGRAS_CST!$A$2:$D$200,4,FALSE),""))</f>
        <v/>
      </c>
      <c r="S721" s="9">
        <f>IF($H721="","",$H721*(1-$U721))</f>
        <v>8.9999999999999993E-3</v>
      </c>
      <c r="T721" s="9">
        <f>IF($I721="","",$I721*(1-$U721))</f>
        <v>1E-3</v>
      </c>
      <c r="U721" s="16">
        <f>IFERROR(INDEX(BASE_CCLASSTRIB!$E:$E, MATCH(TEXT($D721,"000000"), BASE_CCLASSTRIB!$A:$A, 0))/100, 0)</f>
        <v>0</v>
      </c>
      <c r="V721" s="16">
        <f>IFERROR(INDEX(BASE_CCLASSTRIB!$F:$F, MATCH(TEXT($D721,"000000"), BASE_CCLASSTRIB!$A:$A, 0))/100, 0)</f>
        <v>0</v>
      </c>
    </row>
    <row r="722" spans="4:22" ht="32.25" customHeight="1">
      <c r="D722" s="40"/>
      <c r="E722" s="27" t="str">
        <f>IF(D722="","",LEFT(D722,3))</f>
        <v/>
      </c>
      <c r="F722" s="28" t="str">
        <f>IF(E722="","",IFERROR(VLOOKUP(E722,REGRAS_CST!$A$2:$B$200,2,FALSE),""))</f>
        <v/>
      </c>
      <c r="H722" s="29">
        <v>8.9999999999999993E-3</v>
      </c>
      <c r="I722" s="29">
        <v>1E-3</v>
      </c>
      <c r="K722" s="21" t="str">
        <f>IF(E722="","",IFERROR(VLOOKUP(E722,REGRAS_CST!$A$2:$C$200,3,FALSE),""))</f>
        <v/>
      </c>
      <c r="L722" s="23" t="str">
        <f>IF($G722="", "", $G722*(1-$V722))</f>
        <v/>
      </c>
      <c r="M722" s="24" t="str">
        <f>IF(OR($L722="",$S722=""),"",$L722*$S722)</f>
        <v/>
      </c>
      <c r="N722" s="24" t="str">
        <f>IF(OR($L722="",$T722=""),"",$L722*$T722)</f>
        <v/>
      </c>
      <c r="O722" s="15" t="str">
        <f>IF(D722="","",
IF(AND(K722&lt;&gt;"SIM",V722&gt;0),"ERRO: % BC &gt; 0, mas NÃO permitida ❌",
IF(AND(K722="SIM",V722=0),"ATENÇÃO: BC permitida, mas % = 0 🔎",
"Base de cálculo aplicada corretamente ✅")))</f>
        <v/>
      </c>
      <c r="P722" s="31" t="str">
        <f>IF(D722="","",
IF(AND(Q722&lt;&gt;"SIM",U722&gt;0),"ERRO: % alíquota &gt; 0, mas NÃO permitida ❌",
IF(AND(Q722="SIM",U722=0),"ATENÇÃO: alíquota permitida, mas % = 0 🔎",
"Alíquota aplicada corretamente ✅")))</f>
        <v/>
      </c>
      <c r="Q722" s="8" t="str">
        <f>IF(E722="","",IFERROR(VLOOKUP(E722,REGRAS_CST!$A$2:$D$200,4,FALSE),""))</f>
        <v/>
      </c>
      <c r="S722" s="9">
        <f>IF($H722="","",$H722*(1-$U722))</f>
        <v>8.9999999999999993E-3</v>
      </c>
      <c r="T722" s="9">
        <f>IF($I722="","",$I722*(1-$U722))</f>
        <v>1E-3</v>
      </c>
      <c r="U722" s="16">
        <f>IFERROR(INDEX(BASE_CCLASSTRIB!$E:$E, MATCH(TEXT($D722,"000000"), BASE_CCLASSTRIB!$A:$A, 0))/100, 0)</f>
        <v>0</v>
      </c>
      <c r="V722" s="16">
        <f>IFERROR(INDEX(BASE_CCLASSTRIB!$F:$F, MATCH(TEXT($D722,"000000"), BASE_CCLASSTRIB!$A:$A, 0))/100, 0)</f>
        <v>0</v>
      </c>
    </row>
    <row r="723" spans="4:22" ht="32.25" customHeight="1">
      <c r="D723" s="39"/>
      <c r="E723" s="27" t="str">
        <f>IF(D723="","",LEFT(D723,3))</f>
        <v/>
      </c>
      <c r="F723" s="28" t="str">
        <f>IF(E723="","",IFERROR(VLOOKUP(E723,REGRAS_CST!$A$2:$B$200,2,FALSE),""))</f>
        <v/>
      </c>
      <c r="H723" s="29">
        <v>8.9999999999999993E-3</v>
      </c>
      <c r="I723" s="29">
        <v>1E-3</v>
      </c>
      <c r="K723" s="21" t="str">
        <f>IF(E723="","",IFERROR(VLOOKUP(E723,REGRAS_CST!$A$2:$C$200,3,FALSE),""))</f>
        <v/>
      </c>
      <c r="L723" s="23" t="str">
        <f>IF($G723="", "", $G723*(1-$V723))</f>
        <v/>
      </c>
      <c r="M723" s="24" t="str">
        <f>IF(OR($L723="",$S723=""),"",$L723*$S723)</f>
        <v/>
      </c>
      <c r="N723" s="24" t="str">
        <f>IF(OR($L723="",$T723=""),"",$L723*$T723)</f>
        <v/>
      </c>
      <c r="O723" s="15" t="str">
        <f>IF(D723="","",
IF(AND(K723&lt;&gt;"SIM",V723&gt;0),"ERRO: % BC &gt; 0, mas NÃO permitida ❌",
IF(AND(K723="SIM",V723=0),"ATENÇÃO: BC permitida, mas % = 0 🔎",
"Base de cálculo aplicada corretamente ✅")))</f>
        <v/>
      </c>
      <c r="P723" s="31" t="str">
        <f>IF(D723="","",
IF(AND(Q723&lt;&gt;"SIM",U723&gt;0),"ERRO: % alíquota &gt; 0, mas NÃO permitida ❌",
IF(AND(Q723="SIM",U723=0),"ATENÇÃO: alíquota permitida, mas % = 0 🔎",
"Alíquota aplicada corretamente ✅")))</f>
        <v/>
      </c>
      <c r="Q723" s="8" t="str">
        <f>IF(E723="","",IFERROR(VLOOKUP(E723,REGRAS_CST!$A$2:$D$200,4,FALSE),""))</f>
        <v/>
      </c>
      <c r="S723" s="9">
        <f>IF($H723="","",$H723*(1-$U723))</f>
        <v>8.9999999999999993E-3</v>
      </c>
      <c r="T723" s="9">
        <f>IF($I723="","",$I723*(1-$U723))</f>
        <v>1E-3</v>
      </c>
      <c r="U723" s="16">
        <f>IFERROR(INDEX(BASE_CCLASSTRIB!$E:$E, MATCH(TEXT($D723,"000000"), BASE_CCLASSTRIB!$A:$A, 0))/100, 0)</f>
        <v>0</v>
      </c>
      <c r="V723" s="16">
        <f>IFERROR(INDEX(BASE_CCLASSTRIB!$F:$F, MATCH(TEXT($D723,"000000"), BASE_CCLASSTRIB!$A:$A, 0))/100, 0)</f>
        <v>0</v>
      </c>
    </row>
    <row r="724" spans="4:22" ht="32.25" customHeight="1">
      <c r="D724" s="39"/>
      <c r="E724" s="27" t="str">
        <f>IF(D724="","",LEFT(D724,3))</f>
        <v/>
      </c>
      <c r="F724" s="28" t="str">
        <f>IF(E724="","",IFERROR(VLOOKUP(E724,REGRAS_CST!$A$2:$B$200,2,FALSE),""))</f>
        <v/>
      </c>
      <c r="H724" s="29">
        <v>8.9999999999999993E-3</v>
      </c>
      <c r="I724" s="29">
        <v>1E-3</v>
      </c>
      <c r="K724" s="21" t="str">
        <f>IF(E724="","",IFERROR(VLOOKUP(E724,REGRAS_CST!$A$2:$C$200,3,FALSE),""))</f>
        <v/>
      </c>
      <c r="L724" s="23" t="str">
        <f>IF($G724="", "", $G724*(1-$V724))</f>
        <v/>
      </c>
      <c r="M724" s="24" t="str">
        <f>IF(OR($L724="",$S724=""),"",$L724*$S724)</f>
        <v/>
      </c>
      <c r="N724" s="24" t="str">
        <f>IF(OR($L724="",$T724=""),"",$L724*$T724)</f>
        <v/>
      </c>
      <c r="O724" s="15" t="str">
        <f>IF(D724="","",
IF(AND(K724&lt;&gt;"SIM",V724&gt;0),"ERRO: % BC &gt; 0, mas NÃO permitida ❌",
IF(AND(K724="SIM",V724=0),"ATENÇÃO: BC permitida, mas % = 0 🔎",
"Base de cálculo aplicada corretamente ✅")))</f>
        <v/>
      </c>
      <c r="P724" s="31" t="str">
        <f>IF(D724="","",
IF(AND(Q724&lt;&gt;"SIM",U724&gt;0),"ERRO: % alíquota &gt; 0, mas NÃO permitida ❌",
IF(AND(Q724="SIM",U724=0),"ATENÇÃO: alíquota permitida, mas % = 0 🔎",
"Alíquota aplicada corretamente ✅")))</f>
        <v/>
      </c>
      <c r="Q724" s="8" t="str">
        <f>IF(E724="","",IFERROR(VLOOKUP(E724,REGRAS_CST!$A$2:$D$200,4,FALSE),""))</f>
        <v/>
      </c>
      <c r="S724" s="9">
        <f>IF($H724="","",$H724*(1-$U724))</f>
        <v>8.9999999999999993E-3</v>
      </c>
      <c r="T724" s="9">
        <f>IF($I724="","",$I724*(1-$U724))</f>
        <v>1E-3</v>
      </c>
      <c r="U724" s="16">
        <f>IFERROR(INDEX(BASE_CCLASSTRIB!$E:$E, MATCH(TEXT($D724,"000000"), BASE_CCLASSTRIB!$A:$A, 0))/100, 0)</f>
        <v>0</v>
      </c>
      <c r="V724" s="16">
        <f>IFERROR(INDEX(BASE_CCLASSTRIB!$F:$F, MATCH(TEXT($D724,"000000"), BASE_CCLASSTRIB!$A:$A, 0))/100, 0)</f>
        <v>0</v>
      </c>
    </row>
    <row r="725" spans="4:22" ht="32.25" customHeight="1">
      <c r="D725" s="39"/>
      <c r="E725" s="27" t="str">
        <f>IF(D725="","",LEFT(D725,3))</f>
        <v/>
      </c>
      <c r="F725" s="28" t="str">
        <f>IF(E725="","",IFERROR(VLOOKUP(E725,REGRAS_CST!$A$2:$B$200,2,FALSE),""))</f>
        <v/>
      </c>
      <c r="H725" s="29">
        <v>8.9999999999999993E-3</v>
      </c>
      <c r="I725" s="29">
        <v>1E-3</v>
      </c>
      <c r="K725" s="21" t="str">
        <f>IF(E725="","",IFERROR(VLOOKUP(E725,REGRAS_CST!$A$2:$C$200,3,FALSE),""))</f>
        <v/>
      </c>
      <c r="L725" s="23" t="str">
        <f>IF($G725="", "", $G725*(1-$V725))</f>
        <v/>
      </c>
      <c r="M725" s="24" t="str">
        <f>IF(OR($L725="",$S725=""),"",$L725*$S725)</f>
        <v/>
      </c>
      <c r="N725" s="24" t="str">
        <f>IF(OR($L725="",$T725=""),"",$L725*$T725)</f>
        <v/>
      </c>
      <c r="O725" s="15" t="str">
        <f>IF(D725="","",
IF(AND(K725&lt;&gt;"SIM",V725&gt;0),"ERRO: % BC &gt; 0, mas NÃO permitida ❌",
IF(AND(K725="SIM",V725=0),"ATENÇÃO: BC permitida, mas % = 0 🔎",
"Base de cálculo aplicada corretamente ✅")))</f>
        <v/>
      </c>
      <c r="P725" s="31" t="str">
        <f>IF(D725="","",
IF(AND(Q725&lt;&gt;"SIM",U725&gt;0),"ERRO: % alíquota &gt; 0, mas NÃO permitida ❌",
IF(AND(Q725="SIM",U725=0),"ATENÇÃO: alíquota permitida, mas % = 0 🔎",
"Alíquota aplicada corretamente ✅")))</f>
        <v/>
      </c>
      <c r="Q725" s="8" t="str">
        <f>IF(E725="","",IFERROR(VLOOKUP(E725,REGRAS_CST!$A$2:$D$200,4,FALSE),""))</f>
        <v/>
      </c>
      <c r="S725" s="9">
        <f>IF($H725="","",$H725*(1-$U725))</f>
        <v>8.9999999999999993E-3</v>
      </c>
      <c r="T725" s="9">
        <f>IF($I725="","",$I725*(1-$U725))</f>
        <v>1E-3</v>
      </c>
      <c r="U725" s="16">
        <f>IFERROR(INDEX(BASE_CCLASSTRIB!$E:$E, MATCH(TEXT($D725,"000000"), BASE_CCLASSTRIB!$A:$A, 0))/100, 0)</f>
        <v>0</v>
      </c>
      <c r="V725" s="16">
        <f>IFERROR(INDEX(BASE_CCLASSTRIB!$F:$F, MATCH(TEXT($D725,"000000"), BASE_CCLASSTRIB!$A:$A, 0))/100, 0)</f>
        <v>0</v>
      </c>
    </row>
    <row r="726" spans="4:22" ht="32.25" customHeight="1">
      <c r="D726" s="40"/>
      <c r="E726" s="27" t="str">
        <f>IF(D726="","",LEFT(D726,3))</f>
        <v/>
      </c>
      <c r="F726" s="28" t="str">
        <f>IF(E726="","",IFERROR(VLOOKUP(E726,REGRAS_CST!$A$2:$B$200,2,FALSE),""))</f>
        <v/>
      </c>
      <c r="H726" s="29">
        <v>8.9999999999999993E-3</v>
      </c>
      <c r="I726" s="29">
        <v>1E-3</v>
      </c>
      <c r="K726" s="21" t="str">
        <f>IF(E726="","",IFERROR(VLOOKUP(E726,REGRAS_CST!$A$2:$C$200,3,FALSE),""))</f>
        <v/>
      </c>
      <c r="L726" s="23" t="str">
        <f>IF($G726="", "", $G726*(1-$V726))</f>
        <v/>
      </c>
      <c r="M726" s="24" t="str">
        <f>IF(OR($L726="",$S726=""),"",$L726*$S726)</f>
        <v/>
      </c>
      <c r="N726" s="24" t="str">
        <f>IF(OR($L726="",$T726=""),"",$L726*$T726)</f>
        <v/>
      </c>
      <c r="O726" s="15" t="str">
        <f>IF(D726="","",
IF(AND(K726&lt;&gt;"SIM",V726&gt;0),"ERRO: % BC &gt; 0, mas NÃO permitida ❌",
IF(AND(K726="SIM",V726=0),"ATENÇÃO: BC permitida, mas % = 0 🔎",
"Base de cálculo aplicada corretamente ✅")))</f>
        <v/>
      </c>
      <c r="P726" s="31" t="str">
        <f>IF(D726="","",
IF(AND(Q726&lt;&gt;"SIM",U726&gt;0),"ERRO: % alíquota &gt; 0, mas NÃO permitida ❌",
IF(AND(Q726="SIM",U726=0),"ATENÇÃO: alíquota permitida, mas % = 0 🔎",
"Alíquota aplicada corretamente ✅")))</f>
        <v/>
      </c>
      <c r="Q726" s="8" t="str">
        <f>IF(E726="","",IFERROR(VLOOKUP(E726,REGRAS_CST!$A$2:$D$200,4,FALSE),""))</f>
        <v/>
      </c>
      <c r="S726" s="9">
        <f>IF($H726="","",$H726*(1-$U726))</f>
        <v>8.9999999999999993E-3</v>
      </c>
      <c r="T726" s="9">
        <f>IF($I726="","",$I726*(1-$U726))</f>
        <v>1E-3</v>
      </c>
      <c r="U726" s="16">
        <f>IFERROR(INDEX(BASE_CCLASSTRIB!$E:$E, MATCH(TEXT($D726,"000000"), BASE_CCLASSTRIB!$A:$A, 0))/100, 0)</f>
        <v>0</v>
      </c>
      <c r="V726" s="16">
        <f>IFERROR(INDEX(BASE_CCLASSTRIB!$F:$F, MATCH(TEXT($D726,"000000"), BASE_CCLASSTRIB!$A:$A, 0))/100, 0)</f>
        <v>0</v>
      </c>
    </row>
    <row r="727" spans="4:22" ht="32.25" customHeight="1">
      <c r="D727" s="39"/>
      <c r="E727" s="27" t="str">
        <f>IF(D727="","",LEFT(D727,3))</f>
        <v/>
      </c>
      <c r="F727" s="28" t="str">
        <f>IF(E727="","",IFERROR(VLOOKUP(E727,REGRAS_CST!$A$2:$B$200,2,FALSE),""))</f>
        <v/>
      </c>
      <c r="H727" s="29">
        <v>8.9999999999999993E-3</v>
      </c>
      <c r="I727" s="29">
        <v>1E-3</v>
      </c>
      <c r="K727" s="21" t="str">
        <f>IF(E727="","",IFERROR(VLOOKUP(E727,REGRAS_CST!$A$2:$C$200,3,FALSE),""))</f>
        <v/>
      </c>
      <c r="L727" s="23" t="str">
        <f>IF($G727="", "", $G727*(1-$V727))</f>
        <v/>
      </c>
      <c r="M727" s="24" t="str">
        <f>IF(OR($L727="",$S727=""),"",$L727*$S727)</f>
        <v/>
      </c>
      <c r="N727" s="24" t="str">
        <f>IF(OR($L727="",$T727=""),"",$L727*$T727)</f>
        <v/>
      </c>
      <c r="O727" s="15" t="str">
        <f>IF(D727="","",
IF(AND(K727&lt;&gt;"SIM",V727&gt;0),"ERRO: % BC &gt; 0, mas NÃO permitida ❌",
IF(AND(K727="SIM",V727=0),"ATENÇÃO: BC permitida, mas % = 0 🔎",
"Base de cálculo aplicada corretamente ✅")))</f>
        <v/>
      </c>
      <c r="P727" s="31" t="str">
        <f>IF(D727="","",
IF(AND(Q727&lt;&gt;"SIM",U727&gt;0),"ERRO: % alíquota &gt; 0, mas NÃO permitida ❌",
IF(AND(Q727="SIM",U727=0),"ATENÇÃO: alíquota permitida, mas % = 0 🔎",
"Alíquota aplicada corretamente ✅")))</f>
        <v/>
      </c>
      <c r="Q727" s="8" t="str">
        <f>IF(E727="","",IFERROR(VLOOKUP(E727,REGRAS_CST!$A$2:$D$200,4,FALSE),""))</f>
        <v/>
      </c>
      <c r="S727" s="9">
        <f>IF($H727="","",$H727*(1-$U727))</f>
        <v>8.9999999999999993E-3</v>
      </c>
      <c r="T727" s="9">
        <f>IF($I727="","",$I727*(1-$U727))</f>
        <v>1E-3</v>
      </c>
      <c r="U727" s="16">
        <f>IFERROR(INDEX(BASE_CCLASSTRIB!$E:$E, MATCH(TEXT($D727,"000000"), BASE_CCLASSTRIB!$A:$A, 0))/100, 0)</f>
        <v>0</v>
      </c>
      <c r="V727" s="16">
        <f>IFERROR(INDEX(BASE_CCLASSTRIB!$F:$F, MATCH(TEXT($D727,"000000"), BASE_CCLASSTRIB!$A:$A, 0))/100, 0)</f>
        <v>0</v>
      </c>
    </row>
    <row r="728" spans="4:22" ht="32.25" customHeight="1">
      <c r="D728" s="39"/>
      <c r="E728" s="27" t="str">
        <f>IF(D728="","",LEFT(D728,3))</f>
        <v/>
      </c>
      <c r="F728" s="28" t="str">
        <f>IF(E728="","",IFERROR(VLOOKUP(E728,REGRAS_CST!$A$2:$B$200,2,FALSE),""))</f>
        <v/>
      </c>
      <c r="H728" s="29">
        <v>8.9999999999999993E-3</v>
      </c>
      <c r="I728" s="29">
        <v>1E-3</v>
      </c>
      <c r="K728" s="21" t="str">
        <f>IF(E728="","",IFERROR(VLOOKUP(E728,REGRAS_CST!$A$2:$C$200,3,FALSE),""))</f>
        <v/>
      </c>
      <c r="L728" s="23" t="str">
        <f>IF($G728="", "", $G728*(1-$V728))</f>
        <v/>
      </c>
      <c r="M728" s="24" t="str">
        <f>IF(OR($L728="",$S728=""),"",$L728*$S728)</f>
        <v/>
      </c>
      <c r="N728" s="24" t="str">
        <f>IF(OR($L728="",$T728=""),"",$L728*$T728)</f>
        <v/>
      </c>
      <c r="O728" s="15" t="str">
        <f>IF(D728="","",
IF(AND(K728&lt;&gt;"SIM",V728&gt;0),"ERRO: % BC &gt; 0, mas NÃO permitida ❌",
IF(AND(K728="SIM",V728=0),"ATENÇÃO: BC permitida, mas % = 0 🔎",
"Base de cálculo aplicada corretamente ✅")))</f>
        <v/>
      </c>
      <c r="P728" s="31" t="str">
        <f>IF(D728="","",
IF(AND(Q728&lt;&gt;"SIM",U728&gt;0),"ERRO: % alíquota &gt; 0, mas NÃO permitida ❌",
IF(AND(Q728="SIM",U728=0),"ATENÇÃO: alíquota permitida, mas % = 0 🔎",
"Alíquota aplicada corretamente ✅")))</f>
        <v/>
      </c>
      <c r="Q728" s="8" t="str">
        <f>IF(E728="","",IFERROR(VLOOKUP(E728,REGRAS_CST!$A$2:$D$200,4,FALSE),""))</f>
        <v/>
      </c>
      <c r="S728" s="9">
        <f>IF($H728="","",$H728*(1-$U728))</f>
        <v>8.9999999999999993E-3</v>
      </c>
      <c r="T728" s="9">
        <f>IF($I728="","",$I728*(1-$U728))</f>
        <v>1E-3</v>
      </c>
      <c r="U728" s="16">
        <f>IFERROR(INDEX(BASE_CCLASSTRIB!$E:$E, MATCH(TEXT($D728,"000000"), BASE_CCLASSTRIB!$A:$A, 0))/100, 0)</f>
        <v>0</v>
      </c>
      <c r="V728" s="16">
        <f>IFERROR(INDEX(BASE_CCLASSTRIB!$F:$F, MATCH(TEXT($D728,"000000"), BASE_CCLASSTRIB!$A:$A, 0))/100, 0)</f>
        <v>0</v>
      </c>
    </row>
    <row r="729" spans="4:22" ht="32.25" customHeight="1">
      <c r="D729" s="39"/>
      <c r="E729" s="27" t="str">
        <f>IF(D729="","",LEFT(D729,3))</f>
        <v/>
      </c>
      <c r="F729" s="28" t="str">
        <f>IF(E729="","",IFERROR(VLOOKUP(E729,REGRAS_CST!$A$2:$B$200,2,FALSE),""))</f>
        <v/>
      </c>
      <c r="H729" s="29">
        <v>8.9999999999999993E-3</v>
      </c>
      <c r="I729" s="29">
        <v>1E-3</v>
      </c>
      <c r="K729" s="21" t="str">
        <f>IF(E729="","",IFERROR(VLOOKUP(E729,REGRAS_CST!$A$2:$C$200,3,FALSE),""))</f>
        <v/>
      </c>
      <c r="L729" s="23" t="str">
        <f>IF($G729="", "", $G729*(1-$V729))</f>
        <v/>
      </c>
      <c r="M729" s="24" t="str">
        <f>IF(OR($L729="",$S729=""),"",$L729*$S729)</f>
        <v/>
      </c>
      <c r="N729" s="24" t="str">
        <f>IF(OR($L729="",$T729=""),"",$L729*$T729)</f>
        <v/>
      </c>
      <c r="O729" s="15" t="str">
        <f>IF(D729="","",
IF(AND(K729&lt;&gt;"SIM",V729&gt;0),"ERRO: % BC &gt; 0, mas NÃO permitida ❌",
IF(AND(K729="SIM",V729=0),"ATENÇÃO: BC permitida, mas % = 0 🔎",
"Base de cálculo aplicada corretamente ✅")))</f>
        <v/>
      </c>
      <c r="P729" s="31" t="str">
        <f>IF(D729="","",
IF(AND(Q729&lt;&gt;"SIM",U729&gt;0),"ERRO: % alíquota &gt; 0, mas NÃO permitida ❌",
IF(AND(Q729="SIM",U729=0),"ATENÇÃO: alíquota permitida, mas % = 0 🔎",
"Alíquota aplicada corretamente ✅")))</f>
        <v/>
      </c>
      <c r="Q729" s="8" t="str">
        <f>IF(E729="","",IFERROR(VLOOKUP(E729,REGRAS_CST!$A$2:$D$200,4,FALSE),""))</f>
        <v/>
      </c>
      <c r="S729" s="9">
        <f>IF($H729="","",$H729*(1-$U729))</f>
        <v>8.9999999999999993E-3</v>
      </c>
      <c r="T729" s="9">
        <f>IF($I729="","",$I729*(1-$U729))</f>
        <v>1E-3</v>
      </c>
      <c r="U729" s="16">
        <f>IFERROR(INDEX(BASE_CCLASSTRIB!$E:$E, MATCH(TEXT($D729,"000000"), BASE_CCLASSTRIB!$A:$A, 0))/100, 0)</f>
        <v>0</v>
      </c>
      <c r="V729" s="16">
        <f>IFERROR(INDEX(BASE_CCLASSTRIB!$F:$F, MATCH(TEXT($D729,"000000"), BASE_CCLASSTRIB!$A:$A, 0))/100, 0)</f>
        <v>0</v>
      </c>
    </row>
    <row r="730" spans="4:22" ht="32.25" customHeight="1">
      <c r="D730" s="40"/>
      <c r="E730" s="27" t="str">
        <f>IF(D730="","",LEFT(D730,3))</f>
        <v/>
      </c>
      <c r="F730" s="28" t="str">
        <f>IF(E730="","",IFERROR(VLOOKUP(E730,REGRAS_CST!$A$2:$B$200,2,FALSE),""))</f>
        <v/>
      </c>
      <c r="H730" s="29">
        <v>8.9999999999999993E-3</v>
      </c>
      <c r="I730" s="29">
        <v>1E-3</v>
      </c>
      <c r="K730" s="21" t="str">
        <f>IF(E730="","",IFERROR(VLOOKUP(E730,REGRAS_CST!$A$2:$C$200,3,FALSE),""))</f>
        <v/>
      </c>
      <c r="L730" s="23" t="str">
        <f>IF($G730="", "", $G730*(1-$V730))</f>
        <v/>
      </c>
      <c r="M730" s="24" t="str">
        <f>IF(OR($L730="",$S730=""),"",$L730*$S730)</f>
        <v/>
      </c>
      <c r="N730" s="24" t="str">
        <f>IF(OR($L730="",$T730=""),"",$L730*$T730)</f>
        <v/>
      </c>
      <c r="O730" s="15" t="str">
        <f>IF(D730="","",
IF(AND(K730&lt;&gt;"SIM",V730&gt;0),"ERRO: % BC &gt; 0, mas NÃO permitida ❌",
IF(AND(K730="SIM",V730=0),"ATENÇÃO: BC permitida, mas % = 0 🔎",
"Base de cálculo aplicada corretamente ✅")))</f>
        <v/>
      </c>
      <c r="P730" s="31" t="str">
        <f>IF(D730="","",
IF(AND(Q730&lt;&gt;"SIM",U730&gt;0),"ERRO: % alíquota &gt; 0, mas NÃO permitida ❌",
IF(AND(Q730="SIM",U730=0),"ATENÇÃO: alíquota permitida, mas % = 0 🔎",
"Alíquota aplicada corretamente ✅")))</f>
        <v/>
      </c>
      <c r="Q730" s="8" t="str">
        <f>IF(E730="","",IFERROR(VLOOKUP(E730,REGRAS_CST!$A$2:$D$200,4,FALSE),""))</f>
        <v/>
      </c>
      <c r="S730" s="9">
        <f>IF($H730="","",$H730*(1-$U730))</f>
        <v>8.9999999999999993E-3</v>
      </c>
      <c r="T730" s="9">
        <f>IF($I730="","",$I730*(1-$U730))</f>
        <v>1E-3</v>
      </c>
      <c r="U730" s="16">
        <f>IFERROR(INDEX(BASE_CCLASSTRIB!$E:$E, MATCH(TEXT($D730,"000000"), BASE_CCLASSTRIB!$A:$A, 0))/100, 0)</f>
        <v>0</v>
      </c>
      <c r="V730" s="16">
        <f>IFERROR(INDEX(BASE_CCLASSTRIB!$F:$F, MATCH(TEXT($D730,"000000"), BASE_CCLASSTRIB!$A:$A, 0))/100, 0)</f>
        <v>0</v>
      </c>
    </row>
    <row r="731" spans="4:22" ht="32.25" customHeight="1">
      <c r="D731" s="39"/>
      <c r="E731" s="27" t="str">
        <f>IF(D731="","",LEFT(D731,3))</f>
        <v/>
      </c>
      <c r="F731" s="28" t="str">
        <f>IF(E731="","",IFERROR(VLOOKUP(E731,REGRAS_CST!$A$2:$B$200,2,FALSE),""))</f>
        <v/>
      </c>
      <c r="H731" s="29">
        <v>8.9999999999999993E-3</v>
      </c>
      <c r="I731" s="29">
        <v>1E-3</v>
      </c>
      <c r="K731" s="21" t="str">
        <f>IF(E731="","",IFERROR(VLOOKUP(E731,REGRAS_CST!$A$2:$C$200,3,FALSE),""))</f>
        <v/>
      </c>
      <c r="L731" s="23" t="str">
        <f>IF($G731="", "", $G731*(1-$V731))</f>
        <v/>
      </c>
      <c r="M731" s="24" t="str">
        <f>IF(OR($L731="",$S731=""),"",$L731*$S731)</f>
        <v/>
      </c>
      <c r="N731" s="24" t="str">
        <f>IF(OR($L731="",$T731=""),"",$L731*$T731)</f>
        <v/>
      </c>
      <c r="O731" s="15" t="str">
        <f>IF(D731="","",
IF(AND(K731&lt;&gt;"SIM",V731&gt;0),"ERRO: % BC &gt; 0, mas NÃO permitida ❌",
IF(AND(K731="SIM",V731=0),"ATENÇÃO: BC permitida, mas % = 0 🔎",
"Base de cálculo aplicada corretamente ✅")))</f>
        <v/>
      </c>
      <c r="P731" s="31" t="str">
        <f>IF(D731="","",
IF(AND(Q731&lt;&gt;"SIM",U731&gt;0),"ERRO: % alíquota &gt; 0, mas NÃO permitida ❌",
IF(AND(Q731="SIM",U731=0),"ATENÇÃO: alíquota permitida, mas % = 0 🔎",
"Alíquota aplicada corretamente ✅")))</f>
        <v/>
      </c>
      <c r="Q731" s="8" t="str">
        <f>IF(E731="","",IFERROR(VLOOKUP(E731,REGRAS_CST!$A$2:$D$200,4,FALSE),""))</f>
        <v/>
      </c>
      <c r="S731" s="9">
        <f>IF($H731="","",$H731*(1-$U731))</f>
        <v>8.9999999999999993E-3</v>
      </c>
      <c r="T731" s="9">
        <f>IF($I731="","",$I731*(1-$U731))</f>
        <v>1E-3</v>
      </c>
      <c r="U731" s="16">
        <f>IFERROR(INDEX(BASE_CCLASSTRIB!$E:$E, MATCH(TEXT($D731,"000000"), BASE_CCLASSTRIB!$A:$A, 0))/100, 0)</f>
        <v>0</v>
      </c>
      <c r="V731" s="16">
        <f>IFERROR(INDEX(BASE_CCLASSTRIB!$F:$F, MATCH(TEXT($D731,"000000"), BASE_CCLASSTRIB!$A:$A, 0))/100, 0)</f>
        <v>0</v>
      </c>
    </row>
    <row r="732" spans="4:22" ht="32.25" customHeight="1">
      <c r="D732" s="39"/>
      <c r="E732" s="27" t="str">
        <f>IF(D732="","",LEFT(D732,3))</f>
        <v/>
      </c>
      <c r="F732" s="28" t="str">
        <f>IF(E732="","",IFERROR(VLOOKUP(E732,REGRAS_CST!$A$2:$B$200,2,FALSE),""))</f>
        <v/>
      </c>
      <c r="H732" s="29">
        <v>8.9999999999999993E-3</v>
      </c>
      <c r="I732" s="29">
        <v>1E-3</v>
      </c>
      <c r="K732" s="21" t="str">
        <f>IF(E732="","",IFERROR(VLOOKUP(E732,REGRAS_CST!$A$2:$C$200,3,FALSE),""))</f>
        <v/>
      </c>
      <c r="L732" s="23" t="str">
        <f>IF($G732="", "", $G732*(1-$V732))</f>
        <v/>
      </c>
      <c r="M732" s="24" t="str">
        <f>IF(OR($L732="",$S732=""),"",$L732*$S732)</f>
        <v/>
      </c>
      <c r="N732" s="24" t="str">
        <f>IF(OR($L732="",$T732=""),"",$L732*$T732)</f>
        <v/>
      </c>
      <c r="O732" s="15" t="str">
        <f>IF(D732="","",
IF(AND(K732&lt;&gt;"SIM",V732&gt;0),"ERRO: % BC &gt; 0, mas NÃO permitida ❌",
IF(AND(K732="SIM",V732=0),"ATENÇÃO: BC permitida, mas % = 0 🔎",
"Base de cálculo aplicada corretamente ✅")))</f>
        <v/>
      </c>
      <c r="P732" s="31" t="str">
        <f>IF(D732="","",
IF(AND(Q732&lt;&gt;"SIM",U732&gt;0),"ERRO: % alíquota &gt; 0, mas NÃO permitida ❌",
IF(AND(Q732="SIM",U732=0),"ATENÇÃO: alíquota permitida, mas % = 0 🔎",
"Alíquota aplicada corretamente ✅")))</f>
        <v/>
      </c>
      <c r="Q732" s="8" t="str">
        <f>IF(E732="","",IFERROR(VLOOKUP(E732,REGRAS_CST!$A$2:$D$200,4,FALSE),""))</f>
        <v/>
      </c>
      <c r="S732" s="9">
        <f>IF($H732="","",$H732*(1-$U732))</f>
        <v>8.9999999999999993E-3</v>
      </c>
      <c r="T732" s="9">
        <f>IF($I732="","",$I732*(1-$U732))</f>
        <v>1E-3</v>
      </c>
      <c r="U732" s="16">
        <f>IFERROR(INDEX(BASE_CCLASSTRIB!$E:$E, MATCH(TEXT($D732,"000000"), BASE_CCLASSTRIB!$A:$A, 0))/100, 0)</f>
        <v>0</v>
      </c>
      <c r="V732" s="16">
        <f>IFERROR(INDEX(BASE_CCLASSTRIB!$F:$F, MATCH(TEXT($D732,"000000"), BASE_CCLASSTRIB!$A:$A, 0))/100, 0)</f>
        <v>0</v>
      </c>
    </row>
    <row r="733" spans="4:22" ht="32.25" customHeight="1">
      <c r="D733" s="39"/>
      <c r="E733" s="27" t="str">
        <f>IF(D733="","",LEFT(D733,3))</f>
        <v/>
      </c>
      <c r="F733" s="28" t="str">
        <f>IF(E733="","",IFERROR(VLOOKUP(E733,REGRAS_CST!$A$2:$B$200,2,FALSE),""))</f>
        <v/>
      </c>
      <c r="H733" s="29">
        <v>8.9999999999999993E-3</v>
      </c>
      <c r="I733" s="29">
        <v>1E-3</v>
      </c>
      <c r="K733" s="21" t="str">
        <f>IF(E733="","",IFERROR(VLOOKUP(E733,REGRAS_CST!$A$2:$C$200,3,FALSE),""))</f>
        <v/>
      </c>
      <c r="L733" s="23" t="str">
        <f>IF($G733="", "", $G733*(1-$V733))</f>
        <v/>
      </c>
      <c r="M733" s="24" t="str">
        <f>IF(OR($L733="",$S733=""),"",$L733*$S733)</f>
        <v/>
      </c>
      <c r="N733" s="24" t="str">
        <f>IF(OR($L733="",$T733=""),"",$L733*$T733)</f>
        <v/>
      </c>
      <c r="O733" s="15" t="str">
        <f>IF(D733="","",
IF(AND(K733&lt;&gt;"SIM",V733&gt;0),"ERRO: % BC &gt; 0, mas NÃO permitida ❌",
IF(AND(K733="SIM",V733=0),"ATENÇÃO: BC permitida, mas % = 0 🔎",
"Base de cálculo aplicada corretamente ✅")))</f>
        <v/>
      </c>
      <c r="P733" s="31" t="str">
        <f>IF(D733="","",
IF(AND(Q733&lt;&gt;"SIM",U733&gt;0),"ERRO: % alíquota &gt; 0, mas NÃO permitida ❌",
IF(AND(Q733="SIM",U733=0),"ATENÇÃO: alíquota permitida, mas % = 0 🔎",
"Alíquota aplicada corretamente ✅")))</f>
        <v/>
      </c>
      <c r="Q733" s="8" t="str">
        <f>IF(E733="","",IFERROR(VLOOKUP(E733,REGRAS_CST!$A$2:$D$200,4,FALSE),""))</f>
        <v/>
      </c>
      <c r="S733" s="9">
        <f>IF($H733="","",$H733*(1-$U733))</f>
        <v>8.9999999999999993E-3</v>
      </c>
      <c r="T733" s="9">
        <f>IF($I733="","",$I733*(1-$U733))</f>
        <v>1E-3</v>
      </c>
      <c r="U733" s="16">
        <f>IFERROR(INDEX(BASE_CCLASSTRIB!$E:$E, MATCH(TEXT($D733,"000000"), BASE_CCLASSTRIB!$A:$A, 0))/100, 0)</f>
        <v>0</v>
      </c>
      <c r="V733" s="16">
        <f>IFERROR(INDEX(BASE_CCLASSTRIB!$F:$F, MATCH(TEXT($D733,"000000"), BASE_CCLASSTRIB!$A:$A, 0))/100, 0)</f>
        <v>0</v>
      </c>
    </row>
    <row r="734" spans="4:22" ht="32.25" customHeight="1">
      <c r="D734" s="39"/>
      <c r="E734" s="27" t="str">
        <f>IF(D734="","",LEFT(D734,3))</f>
        <v/>
      </c>
      <c r="F734" s="28" t="str">
        <f>IF(E734="","",IFERROR(VLOOKUP(E734,REGRAS_CST!$A$2:$B$200,2,FALSE),""))</f>
        <v/>
      </c>
      <c r="H734" s="29">
        <v>8.9999999999999993E-3</v>
      </c>
      <c r="I734" s="29">
        <v>1E-3</v>
      </c>
      <c r="K734" s="21" t="str">
        <f>IF(E734="","",IFERROR(VLOOKUP(E734,REGRAS_CST!$A$2:$C$200,3,FALSE),""))</f>
        <v/>
      </c>
      <c r="L734" s="23" t="str">
        <f>IF($G734="", "", $G734*(1-$V734))</f>
        <v/>
      </c>
      <c r="M734" s="24" t="str">
        <f>IF(OR($L734="",$S734=""),"",$L734*$S734)</f>
        <v/>
      </c>
      <c r="N734" s="24" t="str">
        <f>IF(OR($L734="",$T734=""),"",$L734*$T734)</f>
        <v/>
      </c>
      <c r="O734" s="15" t="str">
        <f>IF(D734="","",
IF(AND(K734&lt;&gt;"SIM",V734&gt;0),"ERRO: % BC &gt; 0, mas NÃO permitida ❌",
IF(AND(K734="SIM",V734=0),"ATENÇÃO: BC permitida, mas % = 0 🔎",
"Base de cálculo aplicada corretamente ✅")))</f>
        <v/>
      </c>
      <c r="P734" s="31" t="str">
        <f>IF(D734="","",
IF(AND(Q734&lt;&gt;"SIM",U734&gt;0),"ERRO: % alíquota &gt; 0, mas NÃO permitida ❌",
IF(AND(Q734="SIM",U734=0),"ATENÇÃO: alíquota permitida, mas % = 0 🔎",
"Alíquota aplicada corretamente ✅")))</f>
        <v/>
      </c>
      <c r="Q734" s="8" t="str">
        <f>IF(E734="","",IFERROR(VLOOKUP(E734,REGRAS_CST!$A$2:$D$200,4,FALSE),""))</f>
        <v/>
      </c>
      <c r="S734" s="9">
        <f>IF($H734="","",$H734*(1-$U734))</f>
        <v>8.9999999999999993E-3</v>
      </c>
      <c r="T734" s="9">
        <f>IF($I734="","",$I734*(1-$U734))</f>
        <v>1E-3</v>
      </c>
      <c r="U734" s="16">
        <f>IFERROR(INDEX(BASE_CCLASSTRIB!$E:$E, MATCH(TEXT($D734,"000000"), BASE_CCLASSTRIB!$A:$A, 0))/100, 0)</f>
        <v>0</v>
      </c>
      <c r="V734" s="16">
        <f>IFERROR(INDEX(BASE_CCLASSTRIB!$F:$F, MATCH(TEXT($D734,"000000"), BASE_CCLASSTRIB!$A:$A, 0))/100, 0)</f>
        <v>0</v>
      </c>
    </row>
    <row r="735" spans="4:22" ht="32.25" customHeight="1">
      <c r="D735" s="39"/>
      <c r="E735" s="27" t="str">
        <f>IF(D735="","",LEFT(D735,3))</f>
        <v/>
      </c>
      <c r="F735" s="28" t="str">
        <f>IF(E735="","",IFERROR(VLOOKUP(E735,REGRAS_CST!$A$2:$B$200,2,FALSE),""))</f>
        <v/>
      </c>
      <c r="H735" s="29">
        <v>8.9999999999999993E-3</v>
      </c>
      <c r="I735" s="29">
        <v>1E-3</v>
      </c>
      <c r="K735" s="21" t="str">
        <f>IF(E735="","",IFERROR(VLOOKUP(E735,REGRAS_CST!$A$2:$C$200,3,FALSE),""))</f>
        <v/>
      </c>
      <c r="L735" s="23" t="str">
        <f>IF($G735="", "", $G735*(1-$V735))</f>
        <v/>
      </c>
      <c r="M735" s="24" t="str">
        <f>IF(OR($L735="",$S735=""),"",$L735*$S735)</f>
        <v/>
      </c>
      <c r="N735" s="24" t="str">
        <f>IF(OR($L735="",$T735=""),"",$L735*$T735)</f>
        <v/>
      </c>
      <c r="O735" s="15" t="str">
        <f>IF(D735="","",
IF(AND(K735&lt;&gt;"SIM",V735&gt;0),"ERRO: % BC &gt; 0, mas NÃO permitida ❌",
IF(AND(K735="SIM",V735=0),"ATENÇÃO: BC permitida, mas % = 0 🔎",
"Base de cálculo aplicada corretamente ✅")))</f>
        <v/>
      </c>
      <c r="P735" s="31" t="str">
        <f>IF(D735="","",
IF(AND(Q735&lt;&gt;"SIM",U735&gt;0),"ERRO: % alíquota &gt; 0, mas NÃO permitida ❌",
IF(AND(Q735="SIM",U735=0),"ATENÇÃO: alíquota permitida, mas % = 0 🔎",
"Alíquota aplicada corretamente ✅")))</f>
        <v/>
      </c>
      <c r="Q735" s="8" t="str">
        <f>IF(E735="","",IFERROR(VLOOKUP(E735,REGRAS_CST!$A$2:$D$200,4,FALSE),""))</f>
        <v/>
      </c>
      <c r="S735" s="9">
        <f>IF($H735="","",$H735*(1-$U735))</f>
        <v>8.9999999999999993E-3</v>
      </c>
      <c r="T735" s="9">
        <f>IF($I735="","",$I735*(1-$U735))</f>
        <v>1E-3</v>
      </c>
      <c r="U735" s="16">
        <f>IFERROR(INDEX(BASE_CCLASSTRIB!$E:$E, MATCH(TEXT($D735,"000000"), BASE_CCLASSTRIB!$A:$A, 0))/100, 0)</f>
        <v>0</v>
      </c>
      <c r="V735" s="16">
        <f>IFERROR(INDEX(BASE_CCLASSTRIB!$F:$F, MATCH(TEXT($D735,"000000"), BASE_CCLASSTRIB!$A:$A, 0))/100, 0)</f>
        <v>0</v>
      </c>
    </row>
    <row r="736" spans="4:22" ht="32.25" customHeight="1">
      <c r="D736" s="40"/>
      <c r="E736" s="27" t="str">
        <f>IF(D736="","",LEFT(D736,3))</f>
        <v/>
      </c>
      <c r="F736" s="28" t="str">
        <f>IF(E736="","",IFERROR(VLOOKUP(E736,REGRAS_CST!$A$2:$B$200,2,FALSE),""))</f>
        <v/>
      </c>
      <c r="H736" s="29">
        <v>8.9999999999999993E-3</v>
      </c>
      <c r="I736" s="29">
        <v>1E-3</v>
      </c>
      <c r="K736" s="21" t="str">
        <f>IF(E736="","",IFERROR(VLOOKUP(E736,REGRAS_CST!$A$2:$C$200,3,FALSE),""))</f>
        <v/>
      </c>
      <c r="L736" s="23" t="str">
        <f>IF($G736="", "", $G736*(1-$V736))</f>
        <v/>
      </c>
      <c r="M736" s="24" t="str">
        <f>IF(OR($L736="",$S736=""),"",$L736*$S736)</f>
        <v/>
      </c>
      <c r="N736" s="24" t="str">
        <f>IF(OR($L736="",$T736=""),"",$L736*$T736)</f>
        <v/>
      </c>
      <c r="O736" s="15" t="str">
        <f>IF(D736="","",
IF(AND(K736&lt;&gt;"SIM",V736&gt;0),"ERRO: % BC &gt; 0, mas NÃO permitida ❌",
IF(AND(K736="SIM",V736=0),"ATENÇÃO: BC permitida, mas % = 0 🔎",
"Base de cálculo aplicada corretamente ✅")))</f>
        <v/>
      </c>
      <c r="P736" s="31" t="str">
        <f>IF(D736="","",
IF(AND(Q736&lt;&gt;"SIM",U736&gt;0),"ERRO: % alíquota &gt; 0, mas NÃO permitida ❌",
IF(AND(Q736="SIM",U736=0),"ATENÇÃO: alíquota permitida, mas % = 0 🔎",
"Alíquota aplicada corretamente ✅")))</f>
        <v/>
      </c>
      <c r="Q736" s="8" t="str">
        <f>IF(E736="","",IFERROR(VLOOKUP(E736,REGRAS_CST!$A$2:$D$200,4,FALSE),""))</f>
        <v/>
      </c>
      <c r="S736" s="9">
        <f>IF($H736="","",$H736*(1-$U736))</f>
        <v>8.9999999999999993E-3</v>
      </c>
      <c r="T736" s="9">
        <f>IF($I736="","",$I736*(1-$U736))</f>
        <v>1E-3</v>
      </c>
      <c r="U736" s="16">
        <f>IFERROR(INDEX(BASE_CCLASSTRIB!$E:$E, MATCH(TEXT($D736,"000000"), BASE_CCLASSTRIB!$A:$A, 0))/100, 0)</f>
        <v>0</v>
      </c>
      <c r="V736" s="16">
        <f>IFERROR(INDEX(BASE_CCLASSTRIB!$F:$F, MATCH(TEXT($D736,"000000"), BASE_CCLASSTRIB!$A:$A, 0))/100, 0)</f>
        <v>0</v>
      </c>
    </row>
    <row r="737" spans="4:22" ht="32.25" customHeight="1">
      <c r="D737" s="39"/>
      <c r="E737" s="27" t="str">
        <f>IF(D737="","",LEFT(D737,3))</f>
        <v/>
      </c>
      <c r="F737" s="28" t="str">
        <f>IF(E737="","",IFERROR(VLOOKUP(E737,REGRAS_CST!$A$2:$B$200,2,FALSE),""))</f>
        <v/>
      </c>
      <c r="H737" s="29">
        <v>8.9999999999999993E-3</v>
      </c>
      <c r="I737" s="29">
        <v>1E-3</v>
      </c>
      <c r="K737" s="21" t="str">
        <f>IF(E737="","",IFERROR(VLOOKUP(E737,REGRAS_CST!$A$2:$C$200,3,FALSE),""))</f>
        <v/>
      </c>
      <c r="L737" s="23" t="str">
        <f>IF($G737="", "", $G737*(1-$V737))</f>
        <v/>
      </c>
      <c r="M737" s="24" t="str">
        <f>IF(OR($L737="",$S737=""),"",$L737*$S737)</f>
        <v/>
      </c>
      <c r="N737" s="24" t="str">
        <f>IF(OR($L737="",$T737=""),"",$L737*$T737)</f>
        <v/>
      </c>
      <c r="O737" s="15" t="str">
        <f>IF(D737="","",
IF(AND(K737&lt;&gt;"SIM",V737&gt;0),"ERRO: % BC &gt; 0, mas NÃO permitida ❌",
IF(AND(K737="SIM",V737=0),"ATENÇÃO: BC permitida, mas % = 0 🔎",
"Base de cálculo aplicada corretamente ✅")))</f>
        <v/>
      </c>
      <c r="P737" s="31" t="str">
        <f>IF(D737="","",
IF(AND(Q737&lt;&gt;"SIM",U737&gt;0),"ERRO: % alíquota &gt; 0, mas NÃO permitida ❌",
IF(AND(Q737="SIM",U737=0),"ATENÇÃO: alíquota permitida, mas % = 0 🔎",
"Alíquota aplicada corretamente ✅")))</f>
        <v/>
      </c>
      <c r="Q737" s="8" t="str">
        <f>IF(E737="","",IFERROR(VLOOKUP(E737,REGRAS_CST!$A$2:$D$200,4,FALSE),""))</f>
        <v/>
      </c>
      <c r="S737" s="9">
        <f>IF($H737="","",$H737*(1-$U737))</f>
        <v>8.9999999999999993E-3</v>
      </c>
      <c r="T737" s="9">
        <f>IF($I737="","",$I737*(1-$U737))</f>
        <v>1E-3</v>
      </c>
      <c r="U737" s="16">
        <f>IFERROR(INDEX(BASE_CCLASSTRIB!$E:$E, MATCH(TEXT($D737,"000000"), BASE_CCLASSTRIB!$A:$A, 0))/100, 0)</f>
        <v>0</v>
      </c>
      <c r="V737" s="16">
        <f>IFERROR(INDEX(BASE_CCLASSTRIB!$F:$F, MATCH(TEXT($D737,"000000"), BASE_CCLASSTRIB!$A:$A, 0))/100, 0)</f>
        <v>0</v>
      </c>
    </row>
    <row r="738" spans="4:22" ht="32.25" customHeight="1">
      <c r="D738" s="39"/>
      <c r="E738" s="27" t="str">
        <f>IF(D738="","",LEFT(D738,3))</f>
        <v/>
      </c>
      <c r="F738" s="28" t="str">
        <f>IF(E738="","",IFERROR(VLOOKUP(E738,REGRAS_CST!$A$2:$B$200,2,FALSE),""))</f>
        <v/>
      </c>
      <c r="H738" s="29">
        <v>8.9999999999999993E-3</v>
      </c>
      <c r="I738" s="29">
        <v>1E-3</v>
      </c>
      <c r="K738" s="21" t="str">
        <f>IF(E738="","",IFERROR(VLOOKUP(E738,REGRAS_CST!$A$2:$C$200,3,FALSE),""))</f>
        <v/>
      </c>
      <c r="L738" s="23" t="str">
        <f>IF($G738="", "", $G738*(1-$V738))</f>
        <v/>
      </c>
      <c r="M738" s="24" t="str">
        <f>IF(OR($L738="",$S738=""),"",$L738*$S738)</f>
        <v/>
      </c>
      <c r="N738" s="24" t="str">
        <f>IF(OR($L738="",$T738=""),"",$L738*$T738)</f>
        <v/>
      </c>
      <c r="O738" s="15" t="str">
        <f>IF(D738="","",
IF(AND(K738&lt;&gt;"SIM",V738&gt;0),"ERRO: % BC &gt; 0, mas NÃO permitida ❌",
IF(AND(K738="SIM",V738=0),"ATENÇÃO: BC permitida, mas % = 0 🔎",
"Base de cálculo aplicada corretamente ✅")))</f>
        <v/>
      </c>
      <c r="P738" s="31" t="str">
        <f>IF(D738="","",
IF(AND(Q738&lt;&gt;"SIM",U738&gt;0),"ERRO: % alíquota &gt; 0, mas NÃO permitida ❌",
IF(AND(Q738="SIM",U738=0),"ATENÇÃO: alíquota permitida, mas % = 0 🔎",
"Alíquota aplicada corretamente ✅")))</f>
        <v/>
      </c>
      <c r="Q738" s="8" t="str">
        <f>IF(E738="","",IFERROR(VLOOKUP(E738,REGRAS_CST!$A$2:$D$200,4,FALSE),""))</f>
        <v/>
      </c>
      <c r="S738" s="9">
        <f>IF($H738="","",$H738*(1-$U738))</f>
        <v>8.9999999999999993E-3</v>
      </c>
      <c r="T738" s="9">
        <f>IF($I738="","",$I738*(1-$U738))</f>
        <v>1E-3</v>
      </c>
      <c r="U738" s="16">
        <f>IFERROR(INDEX(BASE_CCLASSTRIB!$E:$E, MATCH(TEXT($D738,"000000"), BASE_CCLASSTRIB!$A:$A, 0))/100, 0)</f>
        <v>0</v>
      </c>
      <c r="V738" s="16">
        <f>IFERROR(INDEX(BASE_CCLASSTRIB!$F:$F, MATCH(TEXT($D738,"000000"), BASE_CCLASSTRIB!$A:$A, 0))/100, 0)</f>
        <v>0</v>
      </c>
    </row>
    <row r="739" spans="4:22" ht="32.25" customHeight="1">
      <c r="D739" s="39"/>
      <c r="E739" s="27" t="str">
        <f>IF(D739="","",LEFT(D739,3))</f>
        <v/>
      </c>
      <c r="F739" s="28" t="str">
        <f>IF(E739="","",IFERROR(VLOOKUP(E739,REGRAS_CST!$A$2:$B$200,2,FALSE),""))</f>
        <v/>
      </c>
      <c r="H739" s="29">
        <v>8.9999999999999993E-3</v>
      </c>
      <c r="I739" s="29">
        <v>1E-3</v>
      </c>
      <c r="K739" s="21" t="str">
        <f>IF(E739="","",IFERROR(VLOOKUP(E739,REGRAS_CST!$A$2:$C$200,3,FALSE),""))</f>
        <v/>
      </c>
      <c r="L739" s="23" t="str">
        <f>IF($G739="", "", $G739*(1-$V739))</f>
        <v/>
      </c>
      <c r="M739" s="24" t="str">
        <f>IF(OR($L739="",$S739=""),"",$L739*$S739)</f>
        <v/>
      </c>
      <c r="N739" s="24" t="str">
        <f>IF(OR($L739="",$T739=""),"",$L739*$T739)</f>
        <v/>
      </c>
      <c r="O739" s="15" t="str">
        <f>IF(D739="","",
IF(AND(K739&lt;&gt;"SIM",V739&gt;0),"ERRO: % BC &gt; 0, mas NÃO permitida ❌",
IF(AND(K739="SIM",V739=0),"ATENÇÃO: BC permitida, mas % = 0 🔎",
"Base de cálculo aplicada corretamente ✅")))</f>
        <v/>
      </c>
      <c r="P739" s="31" t="str">
        <f>IF(D739="","",
IF(AND(Q739&lt;&gt;"SIM",U739&gt;0),"ERRO: % alíquota &gt; 0, mas NÃO permitida ❌",
IF(AND(Q739="SIM",U739=0),"ATENÇÃO: alíquota permitida, mas % = 0 🔎",
"Alíquota aplicada corretamente ✅")))</f>
        <v/>
      </c>
      <c r="Q739" s="8" t="str">
        <f>IF(E739="","",IFERROR(VLOOKUP(E739,REGRAS_CST!$A$2:$D$200,4,FALSE),""))</f>
        <v/>
      </c>
      <c r="S739" s="9">
        <f>IF($H739="","",$H739*(1-$U739))</f>
        <v>8.9999999999999993E-3</v>
      </c>
      <c r="T739" s="9">
        <f>IF($I739="","",$I739*(1-$U739))</f>
        <v>1E-3</v>
      </c>
      <c r="U739" s="16">
        <f>IFERROR(INDEX(BASE_CCLASSTRIB!$E:$E, MATCH(TEXT($D739,"000000"), BASE_CCLASSTRIB!$A:$A, 0))/100, 0)</f>
        <v>0</v>
      </c>
      <c r="V739" s="16">
        <f>IFERROR(INDEX(BASE_CCLASSTRIB!$F:$F, MATCH(TEXT($D739,"000000"), BASE_CCLASSTRIB!$A:$A, 0))/100, 0)</f>
        <v>0</v>
      </c>
    </row>
    <row r="740" spans="4:22" ht="32.25" customHeight="1">
      <c r="D740" s="39"/>
      <c r="E740" s="27" t="str">
        <f>IF(D740="","",LEFT(D740,3))</f>
        <v/>
      </c>
      <c r="F740" s="28" t="str">
        <f>IF(E740="","",IFERROR(VLOOKUP(E740,REGRAS_CST!$A$2:$B$200,2,FALSE),""))</f>
        <v/>
      </c>
      <c r="H740" s="29">
        <v>8.9999999999999993E-3</v>
      </c>
      <c r="I740" s="29">
        <v>1E-3</v>
      </c>
      <c r="K740" s="21" t="str">
        <f>IF(E740="","",IFERROR(VLOOKUP(E740,REGRAS_CST!$A$2:$C$200,3,FALSE),""))</f>
        <v/>
      </c>
      <c r="L740" s="23" t="str">
        <f>IF($G740="", "", $G740*(1-$V740))</f>
        <v/>
      </c>
      <c r="M740" s="24" t="str">
        <f>IF(OR($L740="",$S740=""),"",$L740*$S740)</f>
        <v/>
      </c>
      <c r="N740" s="24" t="str">
        <f>IF(OR($L740="",$T740=""),"",$L740*$T740)</f>
        <v/>
      </c>
      <c r="O740" s="15" t="str">
        <f>IF(D740="","",
IF(AND(K740&lt;&gt;"SIM",V740&gt;0),"ERRO: % BC &gt; 0, mas NÃO permitida ❌",
IF(AND(K740="SIM",V740=0),"ATENÇÃO: BC permitida, mas % = 0 🔎",
"Base de cálculo aplicada corretamente ✅")))</f>
        <v/>
      </c>
      <c r="P740" s="31" t="str">
        <f>IF(D740="","",
IF(AND(Q740&lt;&gt;"SIM",U740&gt;0),"ERRO: % alíquota &gt; 0, mas NÃO permitida ❌",
IF(AND(Q740="SIM",U740=0),"ATENÇÃO: alíquota permitida, mas % = 0 🔎",
"Alíquota aplicada corretamente ✅")))</f>
        <v/>
      </c>
      <c r="Q740" s="8" t="str">
        <f>IF(E740="","",IFERROR(VLOOKUP(E740,REGRAS_CST!$A$2:$D$200,4,FALSE),""))</f>
        <v/>
      </c>
      <c r="S740" s="9">
        <f>IF($H740="","",$H740*(1-$U740))</f>
        <v>8.9999999999999993E-3</v>
      </c>
      <c r="T740" s="9">
        <f>IF($I740="","",$I740*(1-$U740))</f>
        <v>1E-3</v>
      </c>
      <c r="U740" s="16">
        <f>IFERROR(INDEX(BASE_CCLASSTRIB!$E:$E, MATCH(TEXT($D740,"000000"), BASE_CCLASSTRIB!$A:$A, 0))/100, 0)</f>
        <v>0</v>
      </c>
      <c r="V740" s="16">
        <f>IFERROR(INDEX(BASE_CCLASSTRIB!$F:$F, MATCH(TEXT($D740,"000000"), BASE_CCLASSTRIB!$A:$A, 0))/100, 0)</f>
        <v>0</v>
      </c>
    </row>
    <row r="741" spans="4:22" ht="32.25" customHeight="1">
      <c r="D741" s="39"/>
      <c r="E741" s="27" t="str">
        <f>IF(D741="","",LEFT(D741,3))</f>
        <v/>
      </c>
      <c r="F741" s="28" t="str">
        <f>IF(E741="","",IFERROR(VLOOKUP(E741,REGRAS_CST!$A$2:$B$200,2,FALSE),""))</f>
        <v/>
      </c>
      <c r="H741" s="29">
        <v>8.9999999999999993E-3</v>
      </c>
      <c r="I741" s="29">
        <v>1E-3</v>
      </c>
      <c r="K741" s="21" t="str">
        <f>IF(E741="","",IFERROR(VLOOKUP(E741,REGRAS_CST!$A$2:$C$200,3,FALSE),""))</f>
        <v/>
      </c>
      <c r="L741" s="23" t="str">
        <f>IF($G741="", "", $G741*(1-$V741))</f>
        <v/>
      </c>
      <c r="M741" s="24" t="str">
        <f>IF(OR($L741="",$S741=""),"",$L741*$S741)</f>
        <v/>
      </c>
      <c r="N741" s="24" t="str">
        <f>IF(OR($L741="",$T741=""),"",$L741*$T741)</f>
        <v/>
      </c>
      <c r="O741" s="15" t="str">
        <f>IF(D741="","",
IF(AND(K741&lt;&gt;"SIM",V741&gt;0),"ERRO: % BC &gt; 0, mas NÃO permitida ❌",
IF(AND(K741="SIM",V741=0),"ATENÇÃO: BC permitida, mas % = 0 🔎",
"Base de cálculo aplicada corretamente ✅")))</f>
        <v/>
      </c>
      <c r="P741" s="31" t="str">
        <f>IF(D741="","",
IF(AND(Q741&lt;&gt;"SIM",U741&gt;0),"ERRO: % alíquota &gt; 0, mas NÃO permitida ❌",
IF(AND(Q741="SIM",U741=0),"ATENÇÃO: alíquota permitida, mas % = 0 🔎",
"Alíquota aplicada corretamente ✅")))</f>
        <v/>
      </c>
      <c r="Q741" s="8" t="str">
        <f>IF(E741="","",IFERROR(VLOOKUP(E741,REGRAS_CST!$A$2:$D$200,4,FALSE),""))</f>
        <v/>
      </c>
      <c r="S741" s="9">
        <f>IF($H741="","",$H741*(1-$U741))</f>
        <v>8.9999999999999993E-3</v>
      </c>
      <c r="T741" s="9">
        <f>IF($I741="","",$I741*(1-$U741))</f>
        <v>1E-3</v>
      </c>
      <c r="U741" s="16">
        <f>IFERROR(INDEX(BASE_CCLASSTRIB!$E:$E, MATCH(TEXT($D741,"000000"), BASE_CCLASSTRIB!$A:$A, 0))/100, 0)</f>
        <v>0</v>
      </c>
      <c r="V741" s="16">
        <f>IFERROR(INDEX(BASE_CCLASSTRIB!$F:$F, MATCH(TEXT($D741,"000000"), BASE_CCLASSTRIB!$A:$A, 0))/100, 0)</f>
        <v>0</v>
      </c>
    </row>
    <row r="742" spans="4:22" ht="32.25" customHeight="1">
      <c r="D742" s="40"/>
      <c r="E742" s="27" t="str">
        <f>IF(D742="","",LEFT(D742,3))</f>
        <v/>
      </c>
      <c r="F742" s="28" t="str">
        <f>IF(E742="","",IFERROR(VLOOKUP(E742,REGRAS_CST!$A$2:$B$200,2,FALSE),""))</f>
        <v/>
      </c>
      <c r="H742" s="29">
        <v>8.9999999999999993E-3</v>
      </c>
      <c r="I742" s="29">
        <v>1E-3</v>
      </c>
      <c r="K742" s="21" t="str">
        <f>IF(E742="","",IFERROR(VLOOKUP(E742,REGRAS_CST!$A$2:$C$200,3,FALSE),""))</f>
        <v/>
      </c>
      <c r="L742" s="23" t="str">
        <f>IF($G742="", "", $G742*(1-$V742))</f>
        <v/>
      </c>
      <c r="M742" s="24" t="str">
        <f>IF(OR($L742="",$S742=""),"",$L742*$S742)</f>
        <v/>
      </c>
      <c r="N742" s="24" t="str">
        <f>IF(OR($L742="",$T742=""),"",$L742*$T742)</f>
        <v/>
      </c>
      <c r="O742" s="15" t="str">
        <f>IF(D742="","",
IF(AND(K742&lt;&gt;"SIM",V742&gt;0),"ERRO: % BC &gt; 0, mas NÃO permitida ❌",
IF(AND(K742="SIM",V742=0),"ATENÇÃO: BC permitida, mas % = 0 🔎",
"Base de cálculo aplicada corretamente ✅")))</f>
        <v/>
      </c>
      <c r="P742" s="31" t="str">
        <f>IF(D742="","",
IF(AND(Q742&lt;&gt;"SIM",U742&gt;0),"ERRO: % alíquota &gt; 0, mas NÃO permitida ❌",
IF(AND(Q742="SIM",U742=0),"ATENÇÃO: alíquota permitida, mas % = 0 🔎",
"Alíquota aplicada corretamente ✅")))</f>
        <v/>
      </c>
      <c r="Q742" s="8" t="str">
        <f>IF(E742="","",IFERROR(VLOOKUP(E742,REGRAS_CST!$A$2:$D$200,4,FALSE),""))</f>
        <v/>
      </c>
      <c r="S742" s="9">
        <f>IF($H742="","",$H742*(1-$U742))</f>
        <v>8.9999999999999993E-3</v>
      </c>
      <c r="T742" s="9">
        <f>IF($I742="","",$I742*(1-$U742))</f>
        <v>1E-3</v>
      </c>
      <c r="U742" s="16">
        <f>IFERROR(INDEX(BASE_CCLASSTRIB!$E:$E, MATCH(TEXT($D742,"000000"), BASE_CCLASSTRIB!$A:$A, 0))/100, 0)</f>
        <v>0</v>
      </c>
      <c r="V742" s="16">
        <f>IFERROR(INDEX(BASE_CCLASSTRIB!$F:$F, MATCH(TEXT($D742,"000000"), BASE_CCLASSTRIB!$A:$A, 0))/100, 0)</f>
        <v>0</v>
      </c>
    </row>
    <row r="743" spans="4:22" ht="32.25" customHeight="1">
      <c r="D743" s="39"/>
      <c r="E743" s="27" t="str">
        <f>IF(D743="","",LEFT(D743,3))</f>
        <v/>
      </c>
      <c r="F743" s="28" t="str">
        <f>IF(E743="","",IFERROR(VLOOKUP(E743,REGRAS_CST!$A$2:$B$200,2,FALSE),""))</f>
        <v/>
      </c>
      <c r="H743" s="29">
        <v>8.9999999999999993E-3</v>
      </c>
      <c r="I743" s="29">
        <v>1E-3</v>
      </c>
      <c r="K743" s="21" t="str">
        <f>IF(E743="","",IFERROR(VLOOKUP(E743,REGRAS_CST!$A$2:$C$200,3,FALSE),""))</f>
        <v/>
      </c>
      <c r="L743" s="23" t="str">
        <f>IF($G743="", "", $G743*(1-$V743))</f>
        <v/>
      </c>
      <c r="M743" s="24" t="str">
        <f>IF(OR($L743="",$S743=""),"",$L743*$S743)</f>
        <v/>
      </c>
      <c r="N743" s="24" t="str">
        <f>IF(OR($L743="",$T743=""),"",$L743*$T743)</f>
        <v/>
      </c>
      <c r="O743" s="15" t="str">
        <f>IF(D743="","",
IF(AND(K743&lt;&gt;"SIM",V743&gt;0),"ERRO: % BC &gt; 0, mas NÃO permitida ❌",
IF(AND(K743="SIM",V743=0),"ATENÇÃO: BC permitida, mas % = 0 🔎",
"Base de cálculo aplicada corretamente ✅")))</f>
        <v/>
      </c>
      <c r="P743" s="31" t="str">
        <f>IF(D743="","",
IF(AND(Q743&lt;&gt;"SIM",U743&gt;0),"ERRO: % alíquota &gt; 0, mas NÃO permitida ❌",
IF(AND(Q743="SIM",U743=0),"ATENÇÃO: alíquota permitida, mas % = 0 🔎",
"Alíquota aplicada corretamente ✅")))</f>
        <v/>
      </c>
      <c r="Q743" s="8" t="str">
        <f>IF(E743="","",IFERROR(VLOOKUP(E743,REGRAS_CST!$A$2:$D$200,4,FALSE),""))</f>
        <v/>
      </c>
      <c r="S743" s="9">
        <f>IF($H743="","",$H743*(1-$U743))</f>
        <v>8.9999999999999993E-3</v>
      </c>
      <c r="T743" s="9">
        <f>IF($I743="","",$I743*(1-$U743))</f>
        <v>1E-3</v>
      </c>
      <c r="U743" s="16">
        <f>IFERROR(INDEX(BASE_CCLASSTRIB!$E:$E, MATCH(TEXT($D743,"000000"), BASE_CCLASSTRIB!$A:$A, 0))/100, 0)</f>
        <v>0</v>
      </c>
      <c r="V743" s="16">
        <f>IFERROR(INDEX(BASE_CCLASSTRIB!$F:$F, MATCH(TEXT($D743,"000000"), BASE_CCLASSTRIB!$A:$A, 0))/100, 0)</f>
        <v>0</v>
      </c>
    </row>
    <row r="744" spans="4:22" ht="32.25" customHeight="1">
      <c r="D744" s="39"/>
      <c r="E744" s="27" t="str">
        <f>IF(D744="","",LEFT(D744,3))</f>
        <v/>
      </c>
      <c r="F744" s="28" t="str">
        <f>IF(E744="","",IFERROR(VLOOKUP(E744,REGRAS_CST!$A$2:$B$200,2,FALSE),""))</f>
        <v/>
      </c>
      <c r="H744" s="29">
        <v>8.9999999999999993E-3</v>
      </c>
      <c r="I744" s="29">
        <v>1E-3</v>
      </c>
      <c r="K744" s="21" t="str">
        <f>IF(E744="","",IFERROR(VLOOKUP(E744,REGRAS_CST!$A$2:$C$200,3,FALSE),""))</f>
        <v/>
      </c>
      <c r="L744" s="23" t="str">
        <f>IF($G744="", "", $G744*(1-$V744))</f>
        <v/>
      </c>
      <c r="M744" s="24" t="str">
        <f>IF(OR($L744="",$S744=""),"",$L744*$S744)</f>
        <v/>
      </c>
      <c r="N744" s="24" t="str">
        <f>IF(OR($L744="",$T744=""),"",$L744*$T744)</f>
        <v/>
      </c>
      <c r="O744" s="15" t="str">
        <f>IF(D744="","",
IF(AND(K744&lt;&gt;"SIM",V744&gt;0),"ERRO: % BC &gt; 0, mas NÃO permitida ❌",
IF(AND(K744="SIM",V744=0),"ATENÇÃO: BC permitida, mas % = 0 🔎",
"Base de cálculo aplicada corretamente ✅")))</f>
        <v/>
      </c>
      <c r="P744" s="31" t="str">
        <f>IF(D744="","",
IF(AND(Q744&lt;&gt;"SIM",U744&gt;0),"ERRO: % alíquota &gt; 0, mas NÃO permitida ❌",
IF(AND(Q744="SIM",U744=0),"ATENÇÃO: alíquota permitida, mas % = 0 🔎",
"Alíquota aplicada corretamente ✅")))</f>
        <v/>
      </c>
      <c r="Q744" s="8" t="str">
        <f>IF(E744="","",IFERROR(VLOOKUP(E744,REGRAS_CST!$A$2:$D$200,4,FALSE),""))</f>
        <v/>
      </c>
      <c r="S744" s="9">
        <f>IF($H744="","",$H744*(1-$U744))</f>
        <v>8.9999999999999993E-3</v>
      </c>
      <c r="T744" s="9">
        <f>IF($I744="","",$I744*(1-$U744))</f>
        <v>1E-3</v>
      </c>
      <c r="U744" s="16">
        <f>IFERROR(INDEX(BASE_CCLASSTRIB!$E:$E, MATCH(TEXT($D744,"000000"), BASE_CCLASSTRIB!$A:$A, 0))/100, 0)</f>
        <v>0</v>
      </c>
      <c r="V744" s="16">
        <f>IFERROR(INDEX(BASE_CCLASSTRIB!$F:$F, MATCH(TEXT($D744,"000000"), BASE_CCLASSTRIB!$A:$A, 0))/100, 0)</f>
        <v>0</v>
      </c>
    </row>
    <row r="745" spans="4:22" ht="32.25" customHeight="1">
      <c r="D745" s="40"/>
      <c r="E745" s="27" t="str">
        <f>IF(D745="","",LEFT(D745,3))</f>
        <v/>
      </c>
      <c r="F745" s="28" t="str">
        <f>IF(E745="","",IFERROR(VLOOKUP(E745,REGRAS_CST!$A$2:$B$200,2,FALSE),""))</f>
        <v/>
      </c>
      <c r="H745" s="29">
        <v>8.9999999999999993E-3</v>
      </c>
      <c r="I745" s="29">
        <v>1E-3</v>
      </c>
      <c r="K745" s="21" t="str">
        <f>IF(E745="","",IFERROR(VLOOKUP(E745,REGRAS_CST!$A$2:$C$200,3,FALSE),""))</f>
        <v/>
      </c>
      <c r="L745" s="23" t="str">
        <f>IF($G745="", "", $G745*(1-$V745))</f>
        <v/>
      </c>
      <c r="M745" s="24" t="str">
        <f>IF(OR($L745="",$S745=""),"",$L745*$S745)</f>
        <v/>
      </c>
      <c r="N745" s="24" t="str">
        <f>IF(OR($L745="",$T745=""),"",$L745*$T745)</f>
        <v/>
      </c>
      <c r="O745" s="15" t="str">
        <f>IF(D745="","",
IF(AND(K745&lt;&gt;"SIM",V745&gt;0),"ERRO: % BC &gt; 0, mas NÃO permitida ❌",
IF(AND(K745="SIM",V745=0),"ATENÇÃO: BC permitida, mas % = 0 🔎",
"Base de cálculo aplicada corretamente ✅")))</f>
        <v/>
      </c>
      <c r="P745" s="31" t="str">
        <f>IF(D745="","",
IF(AND(Q745&lt;&gt;"SIM",U745&gt;0),"ERRO: % alíquota &gt; 0, mas NÃO permitida ❌",
IF(AND(Q745="SIM",U745=0),"ATENÇÃO: alíquota permitida, mas % = 0 🔎",
"Alíquota aplicada corretamente ✅")))</f>
        <v/>
      </c>
      <c r="Q745" s="8" t="str">
        <f>IF(E745="","",IFERROR(VLOOKUP(E745,REGRAS_CST!$A$2:$D$200,4,FALSE),""))</f>
        <v/>
      </c>
      <c r="S745" s="9">
        <f>IF($H745="","",$H745*(1-$U745))</f>
        <v>8.9999999999999993E-3</v>
      </c>
      <c r="T745" s="9">
        <f>IF($I745="","",$I745*(1-$U745))</f>
        <v>1E-3</v>
      </c>
      <c r="U745" s="16">
        <f>IFERROR(INDEX(BASE_CCLASSTRIB!$E:$E, MATCH(TEXT($D745,"000000"), BASE_CCLASSTRIB!$A:$A, 0))/100, 0)</f>
        <v>0</v>
      </c>
      <c r="V745" s="16">
        <f>IFERROR(INDEX(BASE_CCLASSTRIB!$F:$F, MATCH(TEXT($D745,"000000"), BASE_CCLASSTRIB!$A:$A, 0))/100, 0)</f>
        <v>0</v>
      </c>
    </row>
    <row r="746" spans="4:22" ht="32.25" customHeight="1">
      <c r="D746" s="40"/>
      <c r="E746" s="27" t="str">
        <f>IF(D746="","",LEFT(D746,3))</f>
        <v/>
      </c>
      <c r="F746" s="28" t="str">
        <f>IF(E746="","",IFERROR(VLOOKUP(E746,REGRAS_CST!$A$2:$B$200,2,FALSE),""))</f>
        <v/>
      </c>
      <c r="H746" s="29">
        <v>8.9999999999999993E-3</v>
      </c>
      <c r="I746" s="29">
        <v>1E-3</v>
      </c>
      <c r="K746" s="21" t="str">
        <f>IF(E746="","",IFERROR(VLOOKUP(E746,REGRAS_CST!$A$2:$C$200,3,FALSE),""))</f>
        <v/>
      </c>
      <c r="L746" s="23" t="str">
        <f>IF($G746="", "", $G746*(1-$V746))</f>
        <v/>
      </c>
      <c r="M746" s="24" t="str">
        <f>IF(OR($L746="",$S746=""),"",$L746*$S746)</f>
        <v/>
      </c>
      <c r="N746" s="24" t="str">
        <f>IF(OR($L746="",$T746=""),"",$L746*$T746)</f>
        <v/>
      </c>
      <c r="O746" s="15" t="str">
        <f>IF(D746="","",
IF(AND(K746&lt;&gt;"SIM",V746&gt;0),"ERRO: % BC &gt; 0, mas NÃO permitida ❌",
IF(AND(K746="SIM",V746=0),"ATENÇÃO: BC permitida, mas % = 0 🔎",
"Base de cálculo aplicada corretamente ✅")))</f>
        <v/>
      </c>
      <c r="P746" s="31" t="str">
        <f>IF(D746="","",
IF(AND(Q746&lt;&gt;"SIM",U746&gt;0),"ERRO: % alíquota &gt; 0, mas NÃO permitida ❌",
IF(AND(Q746="SIM",U746=0),"ATENÇÃO: alíquota permitida, mas % = 0 🔎",
"Alíquota aplicada corretamente ✅")))</f>
        <v/>
      </c>
      <c r="Q746" s="8" t="str">
        <f>IF(E746="","",IFERROR(VLOOKUP(E746,REGRAS_CST!$A$2:$D$200,4,FALSE),""))</f>
        <v/>
      </c>
      <c r="S746" s="9">
        <f>IF($H746="","",$H746*(1-$U746))</f>
        <v>8.9999999999999993E-3</v>
      </c>
      <c r="T746" s="9">
        <f>IF($I746="","",$I746*(1-$U746))</f>
        <v>1E-3</v>
      </c>
      <c r="U746" s="16">
        <f>IFERROR(INDEX(BASE_CCLASSTRIB!$E:$E, MATCH(TEXT($D746,"000000"), BASE_CCLASSTRIB!$A:$A, 0))/100, 0)</f>
        <v>0</v>
      </c>
      <c r="V746" s="16">
        <f>IFERROR(INDEX(BASE_CCLASSTRIB!$F:$F, MATCH(TEXT($D746,"000000"), BASE_CCLASSTRIB!$A:$A, 0))/100, 0)</f>
        <v>0</v>
      </c>
    </row>
    <row r="747" spans="4:22" ht="32.25" customHeight="1">
      <c r="D747" s="40"/>
      <c r="E747" s="27" t="str">
        <f>IF(D747="","",LEFT(D747,3))</f>
        <v/>
      </c>
      <c r="F747" s="28" t="str">
        <f>IF(E747="","",IFERROR(VLOOKUP(E747,REGRAS_CST!$A$2:$B$200,2,FALSE),""))</f>
        <v/>
      </c>
      <c r="H747" s="29">
        <v>8.9999999999999993E-3</v>
      </c>
      <c r="I747" s="29">
        <v>1E-3</v>
      </c>
      <c r="K747" s="21" t="str">
        <f>IF(E747="","",IFERROR(VLOOKUP(E747,REGRAS_CST!$A$2:$C$200,3,FALSE),""))</f>
        <v/>
      </c>
      <c r="L747" s="23" t="str">
        <f>IF($G747="", "", $G747*(1-$V747))</f>
        <v/>
      </c>
      <c r="M747" s="24" t="str">
        <f>IF(OR($L747="",$S747=""),"",$L747*$S747)</f>
        <v/>
      </c>
      <c r="N747" s="24" t="str">
        <f>IF(OR($L747="",$T747=""),"",$L747*$T747)</f>
        <v/>
      </c>
      <c r="O747" s="15" t="str">
        <f>IF(D747="","",
IF(AND(K747&lt;&gt;"SIM",V747&gt;0),"ERRO: % BC &gt; 0, mas NÃO permitida ❌",
IF(AND(K747="SIM",V747=0),"ATENÇÃO: BC permitida, mas % = 0 🔎",
"Base de cálculo aplicada corretamente ✅")))</f>
        <v/>
      </c>
      <c r="P747" s="31" t="str">
        <f>IF(D747="","",
IF(AND(Q747&lt;&gt;"SIM",U747&gt;0),"ERRO: % alíquota &gt; 0, mas NÃO permitida ❌",
IF(AND(Q747="SIM",U747=0),"ATENÇÃO: alíquota permitida, mas % = 0 🔎",
"Alíquota aplicada corretamente ✅")))</f>
        <v/>
      </c>
      <c r="Q747" s="8" t="str">
        <f>IF(E747="","",IFERROR(VLOOKUP(E747,REGRAS_CST!$A$2:$D$200,4,FALSE),""))</f>
        <v/>
      </c>
      <c r="S747" s="9">
        <f>IF($H747="","",$H747*(1-$U747))</f>
        <v>8.9999999999999993E-3</v>
      </c>
      <c r="T747" s="9">
        <f>IF($I747="","",$I747*(1-$U747))</f>
        <v>1E-3</v>
      </c>
      <c r="U747" s="16">
        <f>IFERROR(INDEX(BASE_CCLASSTRIB!$E:$E, MATCH(TEXT($D747,"000000"), BASE_CCLASSTRIB!$A:$A, 0))/100, 0)</f>
        <v>0</v>
      </c>
      <c r="V747" s="16">
        <f>IFERROR(INDEX(BASE_CCLASSTRIB!$F:$F, MATCH(TEXT($D747,"000000"), BASE_CCLASSTRIB!$A:$A, 0))/100, 0)</f>
        <v>0</v>
      </c>
    </row>
    <row r="748" spans="4:22" ht="32.25" customHeight="1">
      <c r="D748" s="40"/>
      <c r="E748" s="27" t="str">
        <f>IF(D748="","",LEFT(D748,3))</f>
        <v/>
      </c>
      <c r="F748" s="28" t="str">
        <f>IF(E748="","",IFERROR(VLOOKUP(E748,REGRAS_CST!$A$2:$B$200,2,FALSE),""))</f>
        <v/>
      </c>
      <c r="H748" s="29">
        <v>8.9999999999999993E-3</v>
      </c>
      <c r="I748" s="29">
        <v>1E-3</v>
      </c>
      <c r="K748" s="21" t="str">
        <f>IF(E748="","",IFERROR(VLOOKUP(E748,REGRAS_CST!$A$2:$C$200,3,FALSE),""))</f>
        <v/>
      </c>
      <c r="L748" s="23" t="str">
        <f>IF($G748="", "", $G748*(1-$V748))</f>
        <v/>
      </c>
      <c r="M748" s="24" t="str">
        <f>IF(OR($L748="",$S748=""),"",$L748*$S748)</f>
        <v/>
      </c>
      <c r="N748" s="24" t="str">
        <f>IF(OR($L748="",$T748=""),"",$L748*$T748)</f>
        <v/>
      </c>
      <c r="O748" s="15" t="str">
        <f>IF(D748="","",
IF(AND(K748&lt;&gt;"SIM",V748&gt;0),"ERRO: % BC &gt; 0, mas NÃO permitida ❌",
IF(AND(K748="SIM",V748=0),"ATENÇÃO: BC permitida, mas % = 0 🔎",
"Base de cálculo aplicada corretamente ✅")))</f>
        <v/>
      </c>
      <c r="P748" s="31" t="str">
        <f>IF(D748="","",
IF(AND(Q748&lt;&gt;"SIM",U748&gt;0),"ERRO: % alíquota &gt; 0, mas NÃO permitida ❌",
IF(AND(Q748="SIM",U748=0),"ATENÇÃO: alíquota permitida, mas % = 0 🔎",
"Alíquota aplicada corretamente ✅")))</f>
        <v/>
      </c>
      <c r="Q748" s="8" t="str">
        <f>IF(E748="","",IFERROR(VLOOKUP(E748,REGRAS_CST!$A$2:$D$200,4,FALSE),""))</f>
        <v/>
      </c>
      <c r="S748" s="9">
        <f>IF($H748="","",$H748*(1-$U748))</f>
        <v>8.9999999999999993E-3</v>
      </c>
      <c r="T748" s="9">
        <f>IF($I748="","",$I748*(1-$U748))</f>
        <v>1E-3</v>
      </c>
      <c r="U748" s="16">
        <f>IFERROR(INDEX(BASE_CCLASSTRIB!$E:$E, MATCH(TEXT($D748,"000000"), BASE_CCLASSTRIB!$A:$A, 0))/100, 0)</f>
        <v>0</v>
      </c>
      <c r="V748" s="16">
        <f>IFERROR(INDEX(BASE_CCLASSTRIB!$F:$F, MATCH(TEXT($D748,"000000"), BASE_CCLASSTRIB!$A:$A, 0))/100, 0)</f>
        <v>0</v>
      </c>
    </row>
    <row r="749" spans="4:22" ht="32.25" customHeight="1">
      <c r="D749" s="39"/>
      <c r="E749" s="27" t="str">
        <f>IF(D749="","",LEFT(D749,3))</f>
        <v/>
      </c>
      <c r="F749" s="28" t="str">
        <f>IF(E749="","",IFERROR(VLOOKUP(E749,REGRAS_CST!$A$2:$B$200,2,FALSE),""))</f>
        <v/>
      </c>
      <c r="H749" s="29">
        <v>8.9999999999999993E-3</v>
      </c>
      <c r="I749" s="29">
        <v>1E-3</v>
      </c>
      <c r="K749" s="21" t="str">
        <f>IF(E749="","",IFERROR(VLOOKUP(E749,REGRAS_CST!$A$2:$C$200,3,FALSE),""))</f>
        <v/>
      </c>
      <c r="L749" s="23" t="str">
        <f>IF($G749="", "", $G749*(1-$V749))</f>
        <v/>
      </c>
      <c r="M749" s="24" t="str">
        <f>IF(OR($L749="",$S749=""),"",$L749*$S749)</f>
        <v/>
      </c>
      <c r="N749" s="24" t="str">
        <f>IF(OR($L749="",$T749=""),"",$L749*$T749)</f>
        <v/>
      </c>
      <c r="O749" s="15" t="str">
        <f>IF(D749="","",
IF(AND(K749&lt;&gt;"SIM",V749&gt;0),"ERRO: % BC &gt; 0, mas NÃO permitida ❌",
IF(AND(K749="SIM",V749=0),"ATENÇÃO: BC permitida, mas % = 0 🔎",
"Base de cálculo aplicada corretamente ✅")))</f>
        <v/>
      </c>
      <c r="P749" s="31" t="str">
        <f>IF(D749="","",
IF(AND(Q749&lt;&gt;"SIM",U749&gt;0),"ERRO: % alíquota &gt; 0, mas NÃO permitida ❌",
IF(AND(Q749="SIM",U749=0),"ATENÇÃO: alíquota permitida, mas % = 0 🔎",
"Alíquota aplicada corretamente ✅")))</f>
        <v/>
      </c>
      <c r="Q749" s="8" t="str">
        <f>IF(E749="","",IFERROR(VLOOKUP(E749,REGRAS_CST!$A$2:$D$200,4,FALSE),""))</f>
        <v/>
      </c>
      <c r="S749" s="9">
        <f>IF($H749="","",$H749*(1-$U749))</f>
        <v>8.9999999999999993E-3</v>
      </c>
      <c r="T749" s="9">
        <f>IF($I749="","",$I749*(1-$U749))</f>
        <v>1E-3</v>
      </c>
      <c r="U749" s="16">
        <f>IFERROR(INDEX(BASE_CCLASSTRIB!$E:$E, MATCH(TEXT($D749,"000000"), BASE_CCLASSTRIB!$A:$A, 0))/100, 0)</f>
        <v>0</v>
      </c>
      <c r="V749" s="16">
        <f>IFERROR(INDEX(BASE_CCLASSTRIB!$F:$F, MATCH(TEXT($D749,"000000"), BASE_CCLASSTRIB!$A:$A, 0))/100, 0)</f>
        <v>0</v>
      </c>
    </row>
    <row r="750" spans="4:22" ht="32.25" customHeight="1">
      <c r="D750" s="39"/>
      <c r="E750" s="27" t="str">
        <f>IF(D750="","",LEFT(D750,3))</f>
        <v/>
      </c>
      <c r="F750" s="28" t="str">
        <f>IF(E750="","",IFERROR(VLOOKUP(E750,REGRAS_CST!$A$2:$B$200,2,FALSE),""))</f>
        <v/>
      </c>
      <c r="H750" s="29">
        <v>8.9999999999999993E-3</v>
      </c>
      <c r="I750" s="29">
        <v>1E-3</v>
      </c>
      <c r="K750" s="21" t="str">
        <f>IF(E750="","",IFERROR(VLOOKUP(E750,REGRAS_CST!$A$2:$C$200,3,FALSE),""))</f>
        <v/>
      </c>
      <c r="L750" s="23" t="str">
        <f>IF($G750="", "", $G750*(1-$V750))</f>
        <v/>
      </c>
      <c r="M750" s="24" t="str">
        <f>IF(OR($L750="",$S750=""),"",$L750*$S750)</f>
        <v/>
      </c>
      <c r="N750" s="24" t="str">
        <f>IF(OR($L750="",$T750=""),"",$L750*$T750)</f>
        <v/>
      </c>
      <c r="O750" s="15" t="str">
        <f>IF(D750="","",
IF(AND(K750&lt;&gt;"SIM",V750&gt;0),"ERRO: % BC &gt; 0, mas NÃO permitida ❌",
IF(AND(K750="SIM",V750=0),"ATENÇÃO: BC permitida, mas % = 0 🔎",
"Base de cálculo aplicada corretamente ✅")))</f>
        <v/>
      </c>
      <c r="P750" s="31" t="str">
        <f>IF(D750="","",
IF(AND(Q750&lt;&gt;"SIM",U750&gt;0),"ERRO: % alíquota &gt; 0, mas NÃO permitida ❌",
IF(AND(Q750="SIM",U750=0),"ATENÇÃO: alíquota permitida, mas % = 0 🔎",
"Alíquota aplicada corretamente ✅")))</f>
        <v/>
      </c>
      <c r="Q750" s="8" t="str">
        <f>IF(E750="","",IFERROR(VLOOKUP(E750,REGRAS_CST!$A$2:$D$200,4,FALSE),""))</f>
        <v/>
      </c>
      <c r="S750" s="9">
        <f>IF($H750="","",$H750*(1-$U750))</f>
        <v>8.9999999999999993E-3</v>
      </c>
      <c r="T750" s="9">
        <f>IF($I750="","",$I750*(1-$U750))</f>
        <v>1E-3</v>
      </c>
      <c r="U750" s="16">
        <f>IFERROR(INDEX(BASE_CCLASSTRIB!$E:$E, MATCH(TEXT($D750,"000000"), BASE_CCLASSTRIB!$A:$A, 0))/100, 0)</f>
        <v>0</v>
      </c>
      <c r="V750" s="16">
        <f>IFERROR(INDEX(BASE_CCLASSTRIB!$F:$F, MATCH(TEXT($D750,"000000"), BASE_CCLASSTRIB!$A:$A, 0))/100, 0)</f>
        <v>0</v>
      </c>
    </row>
    <row r="751" spans="4:22" ht="32.25" customHeight="1">
      <c r="D751" s="39"/>
      <c r="E751" s="27" t="str">
        <f>IF(D751="","",LEFT(D751,3))</f>
        <v/>
      </c>
      <c r="F751" s="28" t="str">
        <f>IF(E751="","",IFERROR(VLOOKUP(E751,REGRAS_CST!$A$2:$B$200,2,FALSE),""))</f>
        <v/>
      </c>
      <c r="H751" s="29">
        <v>8.9999999999999993E-3</v>
      </c>
      <c r="I751" s="29">
        <v>1E-3</v>
      </c>
      <c r="K751" s="21" t="str">
        <f>IF(E751="","",IFERROR(VLOOKUP(E751,REGRAS_CST!$A$2:$C$200,3,FALSE),""))</f>
        <v/>
      </c>
      <c r="L751" s="23" t="str">
        <f>IF($G751="", "", $G751*(1-$V751))</f>
        <v/>
      </c>
      <c r="M751" s="24" t="str">
        <f>IF(OR($L751="",$S751=""),"",$L751*$S751)</f>
        <v/>
      </c>
      <c r="N751" s="24" t="str">
        <f>IF(OR($L751="",$T751=""),"",$L751*$T751)</f>
        <v/>
      </c>
      <c r="O751" s="15" t="str">
        <f>IF(D751="","",
IF(AND(K751&lt;&gt;"SIM",V751&gt;0),"ERRO: % BC &gt; 0, mas NÃO permitida ❌",
IF(AND(K751="SIM",V751=0),"ATENÇÃO: BC permitida, mas % = 0 🔎",
"Base de cálculo aplicada corretamente ✅")))</f>
        <v/>
      </c>
      <c r="P751" s="31" t="str">
        <f>IF(D751="","",
IF(AND(Q751&lt;&gt;"SIM",U751&gt;0),"ERRO: % alíquota &gt; 0, mas NÃO permitida ❌",
IF(AND(Q751="SIM",U751=0),"ATENÇÃO: alíquota permitida, mas % = 0 🔎",
"Alíquota aplicada corretamente ✅")))</f>
        <v/>
      </c>
      <c r="Q751" s="8" t="str">
        <f>IF(E751="","",IFERROR(VLOOKUP(E751,REGRAS_CST!$A$2:$D$200,4,FALSE),""))</f>
        <v/>
      </c>
      <c r="S751" s="9">
        <f>IF($H751="","",$H751*(1-$U751))</f>
        <v>8.9999999999999993E-3</v>
      </c>
      <c r="T751" s="9">
        <f>IF($I751="","",$I751*(1-$U751))</f>
        <v>1E-3</v>
      </c>
      <c r="U751" s="16">
        <f>IFERROR(INDEX(BASE_CCLASSTRIB!$E:$E, MATCH(TEXT($D751,"000000"), BASE_CCLASSTRIB!$A:$A, 0))/100, 0)</f>
        <v>0</v>
      </c>
      <c r="V751" s="16">
        <f>IFERROR(INDEX(BASE_CCLASSTRIB!$F:$F, MATCH(TEXT($D751,"000000"), BASE_CCLASSTRIB!$A:$A, 0))/100, 0)</f>
        <v>0</v>
      </c>
    </row>
    <row r="752" spans="4:22" ht="32.25" customHeight="1">
      <c r="D752" s="39"/>
      <c r="E752" s="27" t="str">
        <f>IF(D752="","",LEFT(D752,3))</f>
        <v/>
      </c>
      <c r="F752" s="28" t="str">
        <f>IF(E752="","",IFERROR(VLOOKUP(E752,REGRAS_CST!$A$2:$B$200,2,FALSE),""))</f>
        <v/>
      </c>
      <c r="H752" s="29">
        <v>8.9999999999999993E-3</v>
      </c>
      <c r="I752" s="29">
        <v>1E-3</v>
      </c>
      <c r="K752" s="21" t="str">
        <f>IF(E752="","",IFERROR(VLOOKUP(E752,REGRAS_CST!$A$2:$C$200,3,FALSE),""))</f>
        <v/>
      </c>
      <c r="L752" s="23" t="str">
        <f>IF($G752="", "", $G752*(1-$V752))</f>
        <v/>
      </c>
      <c r="M752" s="24" t="str">
        <f>IF(OR($L752="",$S752=""),"",$L752*$S752)</f>
        <v/>
      </c>
      <c r="N752" s="24" t="str">
        <f>IF(OR($L752="",$T752=""),"",$L752*$T752)</f>
        <v/>
      </c>
      <c r="O752" s="15" t="str">
        <f>IF(D752="","",
IF(AND(K752&lt;&gt;"SIM",V752&gt;0),"ERRO: % BC &gt; 0, mas NÃO permitida ❌",
IF(AND(K752="SIM",V752=0),"ATENÇÃO: BC permitida, mas % = 0 🔎",
"Base de cálculo aplicada corretamente ✅")))</f>
        <v/>
      </c>
      <c r="P752" s="31" t="str">
        <f>IF(D752="","",
IF(AND(Q752&lt;&gt;"SIM",U752&gt;0),"ERRO: % alíquota &gt; 0, mas NÃO permitida ❌",
IF(AND(Q752="SIM",U752=0),"ATENÇÃO: alíquota permitida, mas % = 0 🔎",
"Alíquota aplicada corretamente ✅")))</f>
        <v/>
      </c>
      <c r="Q752" s="8" t="str">
        <f>IF(E752="","",IFERROR(VLOOKUP(E752,REGRAS_CST!$A$2:$D$200,4,FALSE),""))</f>
        <v/>
      </c>
      <c r="S752" s="9">
        <f>IF($H752="","",$H752*(1-$U752))</f>
        <v>8.9999999999999993E-3</v>
      </c>
      <c r="T752" s="9">
        <f>IF($I752="","",$I752*(1-$U752))</f>
        <v>1E-3</v>
      </c>
      <c r="U752" s="16">
        <f>IFERROR(INDEX(BASE_CCLASSTRIB!$E:$E, MATCH(TEXT($D752,"000000"), BASE_CCLASSTRIB!$A:$A, 0))/100, 0)</f>
        <v>0</v>
      </c>
      <c r="V752" s="16">
        <f>IFERROR(INDEX(BASE_CCLASSTRIB!$F:$F, MATCH(TEXT($D752,"000000"), BASE_CCLASSTRIB!$A:$A, 0))/100, 0)</f>
        <v>0</v>
      </c>
    </row>
    <row r="753" spans="4:22" ht="32.25" customHeight="1">
      <c r="D753" s="40"/>
      <c r="E753" s="27" t="str">
        <f>IF(D753="","",LEFT(D753,3))</f>
        <v/>
      </c>
      <c r="F753" s="28" t="str">
        <f>IF(E753="","",IFERROR(VLOOKUP(E753,REGRAS_CST!$A$2:$B$200,2,FALSE),""))</f>
        <v/>
      </c>
      <c r="H753" s="29">
        <v>8.9999999999999993E-3</v>
      </c>
      <c r="I753" s="29">
        <v>1E-3</v>
      </c>
      <c r="K753" s="21" t="str">
        <f>IF(E753="","",IFERROR(VLOOKUP(E753,REGRAS_CST!$A$2:$C$200,3,FALSE),""))</f>
        <v/>
      </c>
      <c r="L753" s="23" t="str">
        <f>IF($G753="", "", $G753*(1-$V753))</f>
        <v/>
      </c>
      <c r="M753" s="24" t="str">
        <f>IF(OR($L753="",$S753=""),"",$L753*$S753)</f>
        <v/>
      </c>
      <c r="N753" s="24" t="str">
        <f>IF(OR($L753="",$T753=""),"",$L753*$T753)</f>
        <v/>
      </c>
      <c r="O753" s="15" t="str">
        <f>IF(D753="","",
IF(AND(K753&lt;&gt;"SIM",V753&gt;0),"ERRO: % BC &gt; 0, mas NÃO permitida ❌",
IF(AND(K753="SIM",V753=0),"ATENÇÃO: BC permitida, mas % = 0 🔎",
"Base de cálculo aplicada corretamente ✅")))</f>
        <v/>
      </c>
      <c r="P753" s="31" t="str">
        <f>IF(D753="","",
IF(AND(Q753&lt;&gt;"SIM",U753&gt;0),"ERRO: % alíquota &gt; 0, mas NÃO permitida ❌",
IF(AND(Q753="SIM",U753=0),"ATENÇÃO: alíquota permitida, mas % = 0 🔎",
"Alíquota aplicada corretamente ✅")))</f>
        <v/>
      </c>
      <c r="Q753" s="8" t="str">
        <f>IF(E753="","",IFERROR(VLOOKUP(E753,REGRAS_CST!$A$2:$D$200,4,FALSE),""))</f>
        <v/>
      </c>
      <c r="S753" s="9">
        <f>IF($H753="","",$H753*(1-$U753))</f>
        <v>8.9999999999999993E-3</v>
      </c>
      <c r="T753" s="9">
        <f>IF($I753="","",$I753*(1-$U753))</f>
        <v>1E-3</v>
      </c>
      <c r="U753" s="16">
        <f>IFERROR(INDEX(BASE_CCLASSTRIB!$E:$E, MATCH(TEXT($D753,"000000"), BASE_CCLASSTRIB!$A:$A, 0))/100, 0)</f>
        <v>0</v>
      </c>
      <c r="V753" s="16">
        <f>IFERROR(INDEX(BASE_CCLASSTRIB!$F:$F, MATCH(TEXT($D753,"000000"), BASE_CCLASSTRIB!$A:$A, 0))/100, 0)</f>
        <v>0</v>
      </c>
    </row>
    <row r="754" spans="4:22" ht="32.25" customHeight="1">
      <c r="D754" s="39"/>
      <c r="E754" s="27" t="str">
        <f>IF(D754="","",LEFT(D754,3))</f>
        <v/>
      </c>
      <c r="F754" s="28" t="str">
        <f>IF(E754="","",IFERROR(VLOOKUP(E754,REGRAS_CST!$A$2:$B$200,2,FALSE),""))</f>
        <v/>
      </c>
      <c r="H754" s="29">
        <v>8.9999999999999993E-3</v>
      </c>
      <c r="I754" s="29">
        <v>1E-3</v>
      </c>
      <c r="K754" s="21" t="str">
        <f>IF(E754="","",IFERROR(VLOOKUP(E754,REGRAS_CST!$A$2:$C$200,3,FALSE),""))</f>
        <v/>
      </c>
      <c r="L754" s="23" t="str">
        <f>IF($G754="", "", $G754*(1-$V754))</f>
        <v/>
      </c>
      <c r="M754" s="24" t="str">
        <f>IF(OR($L754="",$S754=""),"",$L754*$S754)</f>
        <v/>
      </c>
      <c r="N754" s="24" t="str">
        <f>IF(OR($L754="",$T754=""),"",$L754*$T754)</f>
        <v/>
      </c>
      <c r="O754" s="15" t="str">
        <f>IF(D754="","",
IF(AND(K754&lt;&gt;"SIM",V754&gt;0),"ERRO: % BC &gt; 0, mas NÃO permitida ❌",
IF(AND(K754="SIM",V754=0),"ATENÇÃO: BC permitida, mas % = 0 🔎",
"Base de cálculo aplicada corretamente ✅")))</f>
        <v/>
      </c>
      <c r="P754" s="31" t="str">
        <f>IF(D754="","",
IF(AND(Q754&lt;&gt;"SIM",U754&gt;0),"ERRO: % alíquota &gt; 0, mas NÃO permitida ❌",
IF(AND(Q754="SIM",U754=0),"ATENÇÃO: alíquota permitida, mas % = 0 🔎",
"Alíquota aplicada corretamente ✅")))</f>
        <v/>
      </c>
      <c r="Q754" s="8" t="str">
        <f>IF(E754="","",IFERROR(VLOOKUP(E754,REGRAS_CST!$A$2:$D$200,4,FALSE),""))</f>
        <v/>
      </c>
      <c r="S754" s="9">
        <f>IF($H754="","",$H754*(1-$U754))</f>
        <v>8.9999999999999993E-3</v>
      </c>
      <c r="T754" s="9">
        <f>IF($I754="","",$I754*(1-$U754))</f>
        <v>1E-3</v>
      </c>
      <c r="U754" s="16">
        <f>IFERROR(INDEX(BASE_CCLASSTRIB!$E:$E, MATCH(TEXT($D754,"000000"), BASE_CCLASSTRIB!$A:$A, 0))/100, 0)</f>
        <v>0</v>
      </c>
      <c r="V754" s="16">
        <f>IFERROR(INDEX(BASE_CCLASSTRIB!$F:$F, MATCH(TEXT($D754,"000000"), BASE_CCLASSTRIB!$A:$A, 0))/100, 0)</f>
        <v>0</v>
      </c>
    </row>
    <row r="755" spans="4:22" ht="32.25" customHeight="1">
      <c r="D755" s="40"/>
      <c r="E755" s="27" t="str">
        <f>IF(D755="","",LEFT(D755,3))</f>
        <v/>
      </c>
      <c r="F755" s="28" t="str">
        <f>IF(E755="","",IFERROR(VLOOKUP(E755,REGRAS_CST!$A$2:$B$200,2,FALSE),""))</f>
        <v/>
      </c>
      <c r="H755" s="29">
        <v>8.9999999999999993E-3</v>
      </c>
      <c r="I755" s="29">
        <v>1E-3</v>
      </c>
      <c r="K755" s="21" t="str">
        <f>IF(E755="","",IFERROR(VLOOKUP(E755,REGRAS_CST!$A$2:$C$200,3,FALSE),""))</f>
        <v/>
      </c>
      <c r="L755" s="23" t="str">
        <f>IF($G755="", "", $G755*(1-$V755))</f>
        <v/>
      </c>
      <c r="M755" s="24" t="str">
        <f>IF(OR($L755="",$S755=""),"",$L755*$S755)</f>
        <v/>
      </c>
      <c r="N755" s="24" t="str">
        <f>IF(OR($L755="",$T755=""),"",$L755*$T755)</f>
        <v/>
      </c>
      <c r="O755" s="15" t="str">
        <f>IF(D755="","",
IF(AND(K755&lt;&gt;"SIM",V755&gt;0),"ERRO: % BC &gt; 0, mas NÃO permitida ❌",
IF(AND(K755="SIM",V755=0),"ATENÇÃO: BC permitida, mas % = 0 🔎",
"Base de cálculo aplicada corretamente ✅")))</f>
        <v/>
      </c>
      <c r="P755" s="31" t="str">
        <f>IF(D755="","",
IF(AND(Q755&lt;&gt;"SIM",U755&gt;0),"ERRO: % alíquota &gt; 0, mas NÃO permitida ❌",
IF(AND(Q755="SIM",U755=0),"ATENÇÃO: alíquota permitida, mas % = 0 🔎",
"Alíquota aplicada corretamente ✅")))</f>
        <v/>
      </c>
      <c r="Q755" s="8" t="str">
        <f>IF(E755="","",IFERROR(VLOOKUP(E755,REGRAS_CST!$A$2:$D$200,4,FALSE),""))</f>
        <v/>
      </c>
      <c r="S755" s="9">
        <f>IF($H755="","",$H755*(1-$U755))</f>
        <v>8.9999999999999993E-3</v>
      </c>
      <c r="T755" s="9">
        <f>IF($I755="","",$I755*(1-$U755))</f>
        <v>1E-3</v>
      </c>
      <c r="U755" s="16">
        <f>IFERROR(INDEX(BASE_CCLASSTRIB!$E:$E, MATCH(TEXT($D755,"000000"), BASE_CCLASSTRIB!$A:$A, 0))/100, 0)</f>
        <v>0</v>
      </c>
      <c r="V755" s="16">
        <f>IFERROR(INDEX(BASE_CCLASSTRIB!$F:$F, MATCH(TEXT($D755,"000000"), BASE_CCLASSTRIB!$A:$A, 0))/100, 0)</f>
        <v>0</v>
      </c>
    </row>
    <row r="756" spans="4:22" ht="32.25" customHeight="1">
      <c r="D756" s="40"/>
      <c r="E756" s="27" t="str">
        <f>IF(D756="","",LEFT(D756,3))</f>
        <v/>
      </c>
      <c r="F756" s="28" t="str">
        <f>IF(E756="","",IFERROR(VLOOKUP(E756,REGRAS_CST!$A$2:$B$200,2,FALSE),""))</f>
        <v/>
      </c>
      <c r="H756" s="29">
        <v>8.9999999999999993E-3</v>
      </c>
      <c r="I756" s="29">
        <v>1E-3</v>
      </c>
      <c r="K756" s="21" t="str">
        <f>IF(E756="","",IFERROR(VLOOKUP(E756,REGRAS_CST!$A$2:$C$200,3,FALSE),""))</f>
        <v/>
      </c>
      <c r="L756" s="23" t="str">
        <f>IF($G756="", "", $G756*(1-$V756))</f>
        <v/>
      </c>
      <c r="M756" s="24" t="str">
        <f>IF(OR($L756="",$S756=""),"",$L756*$S756)</f>
        <v/>
      </c>
      <c r="N756" s="24" t="str">
        <f>IF(OR($L756="",$T756=""),"",$L756*$T756)</f>
        <v/>
      </c>
      <c r="O756" s="15" t="str">
        <f>IF(D756="","",
IF(AND(K756&lt;&gt;"SIM",V756&gt;0),"ERRO: % BC &gt; 0, mas NÃO permitida ❌",
IF(AND(K756="SIM",V756=0),"ATENÇÃO: BC permitida, mas % = 0 🔎",
"Base de cálculo aplicada corretamente ✅")))</f>
        <v/>
      </c>
      <c r="P756" s="31" t="str">
        <f>IF(D756="","",
IF(AND(Q756&lt;&gt;"SIM",U756&gt;0),"ERRO: % alíquota &gt; 0, mas NÃO permitida ❌",
IF(AND(Q756="SIM",U756=0),"ATENÇÃO: alíquota permitida, mas % = 0 🔎",
"Alíquota aplicada corretamente ✅")))</f>
        <v/>
      </c>
      <c r="Q756" s="8" t="str">
        <f>IF(E756="","",IFERROR(VLOOKUP(E756,REGRAS_CST!$A$2:$D$200,4,FALSE),""))</f>
        <v/>
      </c>
      <c r="S756" s="9">
        <f>IF($H756="","",$H756*(1-$U756))</f>
        <v>8.9999999999999993E-3</v>
      </c>
      <c r="T756" s="9">
        <f>IF($I756="","",$I756*(1-$U756))</f>
        <v>1E-3</v>
      </c>
      <c r="U756" s="16">
        <f>IFERROR(INDEX(BASE_CCLASSTRIB!$E:$E, MATCH(TEXT($D756,"000000"), BASE_CCLASSTRIB!$A:$A, 0))/100, 0)</f>
        <v>0</v>
      </c>
      <c r="V756" s="16">
        <f>IFERROR(INDEX(BASE_CCLASSTRIB!$F:$F, MATCH(TEXT($D756,"000000"), BASE_CCLASSTRIB!$A:$A, 0))/100, 0)</f>
        <v>0</v>
      </c>
    </row>
    <row r="757" spans="4:22" ht="32.25" customHeight="1">
      <c r="D757" s="39"/>
      <c r="E757" s="27" t="str">
        <f>IF(D757="","",LEFT(D757,3))</f>
        <v/>
      </c>
      <c r="F757" s="28" t="str">
        <f>IF(E757="","",IFERROR(VLOOKUP(E757,REGRAS_CST!$A$2:$B$200,2,FALSE),""))</f>
        <v/>
      </c>
      <c r="H757" s="29">
        <v>8.9999999999999993E-3</v>
      </c>
      <c r="I757" s="29">
        <v>1E-3</v>
      </c>
      <c r="K757" s="21" t="str">
        <f>IF(E757="","",IFERROR(VLOOKUP(E757,REGRAS_CST!$A$2:$C$200,3,FALSE),""))</f>
        <v/>
      </c>
      <c r="L757" s="23" t="str">
        <f>IF($G757="", "", $G757*(1-$V757))</f>
        <v/>
      </c>
      <c r="M757" s="24" t="str">
        <f>IF(OR($L757="",$S757=""),"",$L757*$S757)</f>
        <v/>
      </c>
      <c r="N757" s="24" t="str">
        <f>IF(OR($L757="",$T757=""),"",$L757*$T757)</f>
        <v/>
      </c>
      <c r="O757" s="15" t="str">
        <f>IF(D757="","",
IF(AND(K757&lt;&gt;"SIM",V757&gt;0),"ERRO: % BC &gt; 0, mas NÃO permitida ❌",
IF(AND(K757="SIM",V757=0),"ATENÇÃO: BC permitida, mas % = 0 🔎",
"Base de cálculo aplicada corretamente ✅")))</f>
        <v/>
      </c>
      <c r="P757" s="31" t="str">
        <f>IF(D757="","",
IF(AND(Q757&lt;&gt;"SIM",U757&gt;0),"ERRO: % alíquota &gt; 0, mas NÃO permitida ❌",
IF(AND(Q757="SIM",U757=0),"ATENÇÃO: alíquota permitida, mas % = 0 🔎",
"Alíquota aplicada corretamente ✅")))</f>
        <v/>
      </c>
      <c r="Q757" s="8" t="str">
        <f>IF(E757="","",IFERROR(VLOOKUP(E757,REGRAS_CST!$A$2:$D$200,4,FALSE),""))</f>
        <v/>
      </c>
      <c r="S757" s="9">
        <f>IF($H757="","",$H757*(1-$U757))</f>
        <v>8.9999999999999993E-3</v>
      </c>
      <c r="T757" s="9">
        <f>IF($I757="","",$I757*(1-$U757))</f>
        <v>1E-3</v>
      </c>
      <c r="U757" s="16">
        <f>IFERROR(INDEX(BASE_CCLASSTRIB!$E:$E, MATCH(TEXT($D757,"000000"), BASE_CCLASSTRIB!$A:$A, 0))/100, 0)</f>
        <v>0</v>
      </c>
      <c r="V757" s="16">
        <f>IFERROR(INDEX(BASE_CCLASSTRIB!$F:$F, MATCH(TEXT($D757,"000000"), BASE_CCLASSTRIB!$A:$A, 0))/100, 0)</f>
        <v>0</v>
      </c>
    </row>
    <row r="758" spans="4:22" ht="32.25" customHeight="1">
      <c r="D758" s="39"/>
      <c r="E758" s="27" t="str">
        <f>IF(D758="","",LEFT(D758,3))</f>
        <v/>
      </c>
      <c r="F758" s="28" t="str">
        <f>IF(E758="","",IFERROR(VLOOKUP(E758,REGRAS_CST!$A$2:$B$200,2,FALSE),""))</f>
        <v/>
      </c>
      <c r="H758" s="29">
        <v>8.9999999999999993E-3</v>
      </c>
      <c r="I758" s="29">
        <v>1E-3</v>
      </c>
      <c r="K758" s="21" t="str">
        <f>IF(E758="","",IFERROR(VLOOKUP(E758,REGRAS_CST!$A$2:$C$200,3,FALSE),""))</f>
        <v/>
      </c>
      <c r="L758" s="23" t="str">
        <f>IF($G758="", "", $G758*(1-$V758))</f>
        <v/>
      </c>
      <c r="M758" s="24" t="str">
        <f>IF(OR($L758="",$S758=""),"",$L758*$S758)</f>
        <v/>
      </c>
      <c r="N758" s="24" t="str">
        <f>IF(OR($L758="",$T758=""),"",$L758*$T758)</f>
        <v/>
      </c>
      <c r="O758" s="15" t="str">
        <f>IF(D758="","",
IF(AND(K758&lt;&gt;"SIM",V758&gt;0),"ERRO: % BC &gt; 0, mas NÃO permitida ❌",
IF(AND(K758="SIM",V758=0),"ATENÇÃO: BC permitida, mas % = 0 🔎",
"Base de cálculo aplicada corretamente ✅")))</f>
        <v/>
      </c>
      <c r="P758" s="31" t="str">
        <f>IF(D758="","",
IF(AND(Q758&lt;&gt;"SIM",U758&gt;0),"ERRO: % alíquota &gt; 0, mas NÃO permitida ❌",
IF(AND(Q758="SIM",U758=0),"ATENÇÃO: alíquota permitida, mas % = 0 🔎",
"Alíquota aplicada corretamente ✅")))</f>
        <v/>
      </c>
      <c r="Q758" s="8" t="str">
        <f>IF(E758="","",IFERROR(VLOOKUP(E758,REGRAS_CST!$A$2:$D$200,4,FALSE),""))</f>
        <v/>
      </c>
      <c r="S758" s="9">
        <f>IF($H758="","",$H758*(1-$U758))</f>
        <v>8.9999999999999993E-3</v>
      </c>
      <c r="T758" s="9">
        <f>IF($I758="","",$I758*(1-$U758))</f>
        <v>1E-3</v>
      </c>
      <c r="U758" s="16">
        <f>IFERROR(INDEX(BASE_CCLASSTRIB!$E:$E, MATCH(TEXT($D758,"000000"), BASE_CCLASSTRIB!$A:$A, 0))/100, 0)</f>
        <v>0</v>
      </c>
      <c r="V758" s="16">
        <f>IFERROR(INDEX(BASE_CCLASSTRIB!$F:$F, MATCH(TEXT($D758,"000000"), BASE_CCLASSTRIB!$A:$A, 0))/100, 0)</f>
        <v>0</v>
      </c>
    </row>
    <row r="759" spans="4:22" ht="32.25" customHeight="1">
      <c r="D759" s="39"/>
      <c r="E759" s="27" t="str">
        <f>IF(D759="","",LEFT(D759,3))</f>
        <v/>
      </c>
      <c r="F759" s="28" t="str">
        <f>IF(E759="","",IFERROR(VLOOKUP(E759,REGRAS_CST!$A$2:$B$200,2,FALSE),""))</f>
        <v/>
      </c>
      <c r="H759" s="29">
        <v>8.9999999999999993E-3</v>
      </c>
      <c r="I759" s="29">
        <v>1E-3</v>
      </c>
      <c r="K759" s="21" t="str">
        <f>IF(E759="","",IFERROR(VLOOKUP(E759,REGRAS_CST!$A$2:$C$200,3,FALSE),""))</f>
        <v/>
      </c>
      <c r="L759" s="23" t="str">
        <f>IF($G759="", "", $G759*(1-$V759))</f>
        <v/>
      </c>
      <c r="M759" s="24" t="str">
        <f>IF(OR($L759="",$S759=""),"",$L759*$S759)</f>
        <v/>
      </c>
      <c r="N759" s="24" t="str">
        <f>IF(OR($L759="",$T759=""),"",$L759*$T759)</f>
        <v/>
      </c>
      <c r="O759" s="15" t="str">
        <f>IF(D759="","",
IF(AND(K759&lt;&gt;"SIM",V759&gt;0),"ERRO: % BC &gt; 0, mas NÃO permitida ❌",
IF(AND(K759="SIM",V759=0),"ATENÇÃO: BC permitida, mas % = 0 🔎",
"Base de cálculo aplicada corretamente ✅")))</f>
        <v/>
      </c>
      <c r="P759" s="31" t="str">
        <f>IF(D759="","",
IF(AND(Q759&lt;&gt;"SIM",U759&gt;0),"ERRO: % alíquota &gt; 0, mas NÃO permitida ❌",
IF(AND(Q759="SIM",U759=0),"ATENÇÃO: alíquota permitida, mas % = 0 🔎",
"Alíquota aplicada corretamente ✅")))</f>
        <v/>
      </c>
      <c r="Q759" s="8" t="str">
        <f>IF(E759="","",IFERROR(VLOOKUP(E759,REGRAS_CST!$A$2:$D$200,4,FALSE),""))</f>
        <v/>
      </c>
      <c r="S759" s="9">
        <f>IF($H759="","",$H759*(1-$U759))</f>
        <v>8.9999999999999993E-3</v>
      </c>
      <c r="T759" s="9">
        <f>IF($I759="","",$I759*(1-$U759))</f>
        <v>1E-3</v>
      </c>
      <c r="U759" s="16">
        <f>IFERROR(INDEX(BASE_CCLASSTRIB!$E:$E, MATCH(TEXT($D759,"000000"), BASE_CCLASSTRIB!$A:$A, 0))/100, 0)</f>
        <v>0</v>
      </c>
      <c r="V759" s="16">
        <f>IFERROR(INDEX(BASE_CCLASSTRIB!$F:$F, MATCH(TEXT($D759,"000000"), BASE_CCLASSTRIB!$A:$A, 0))/100, 0)</f>
        <v>0</v>
      </c>
    </row>
    <row r="760" spans="4:22" ht="32.25" customHeight="1">
      <c r="D760" s="39"/>
      <c r="E760" s="27" t="str">
        <f>IF(D760="","",LEFT(D760,3))</f>
        <v/>
      </c>
      <c r="F760" s="28" t="str">
        <f>IF(E760="","",IFERROR(VLOOKUP(E760,REGRAS_CST!$A$2:$B$200,2,FALSE),""))</f>
        <v/>
      </c>
      <c r="H760" s="29">
        <v>8.9999999999999993E-3</v>
      </c>
      <c r="I760" s="29">
        <v>1E-3</v>
      </c>
      <c r="K760" s="21" t="str">
        <f>IF(E760="","",IFERROR(VLOOKUP(E760,REGRAS_CST!$A$2:$C$200,3,FALSE),""))</f>
        <v/>
      </c>
      <c r="L760" s="23" t="str">
        <f>IF($G760="", "", $G760*(1-$V760))</f>
        <v/>
      </c>
      <c r="M760" s="24" t="str">
        <f>IF(OR($L760="",$S760=""),"",$L760*$S760)</f>
        <v/>
      </c>
      <c r="N760" s="24" t="str">
        <f>IF(OR($L760="",$T760=""),"",$L760*$T760)</f>
        <v/>
      </c>
      <c r="O760" s="15" t="str">
        <f>IF(D760="","",
IF(AND(K760&lt;&gt;"SIM",V760&gt;0),"ERRO: % BC &gt; 0, mas NÃO permitida ❌",
IF(AND(K760="SIM",V760=0),"ATENÇÃO: BC permitida, mas % = 0 🔎",
"Base de cálculo aplicada corretamente ✅")))</f>
        <v/>
      </c>
      <c r="P760" s="31" t="str">
        <f>IF(D760="","",
IF(AND(Q760&lt;&gt;"SIM",U760&gt;0),"ERRO: % alíquota &gt; 0, mas NÃO permitida ❌",
IF(AND(Q760="SIM",U760=0),"ATENÇÃO: alíquota permitida, mas % = 0 🔎",
"Alíquota aplicada corretamente ✅")))</f>
        <v/>
      </c>
      <c r="Q760" s="8" t="str">
        <f>IF(E760="","",IFERROR(VLOOKUP(E760,REGRAS_CST!$A$2:$D$200,4,FALSE),""))</f>
        <v/>
      </c>
      <c r="S760" s="9">
        <f>IF($H760="","",$H760*(1-$U760))</f>
        <v>8.9999999999999993E-3</v>
      </c>
      <c r="T760" s="9">
        <f>IF($I760="","",$I760*(1-$U760))</f>
        <v>1E-3</v>
      </c>
      <c r="U760" s="16">
        <f>IFERROR(INDEX(BASE_CCLASSTRIB!$E:$E, MATCH(TEXT($D760,"000000"), BASE_CCLASSTRIB!$A:$A, 0))/100, 0)</f>
        <v>0</v>
      </c>
      <c r="V760" s="16">
        <f>IFERROR(INDEX(BASE_CCLASSTRIB!$F:$F, MATCH(TEXT($D760,"000000"), BASE_CCLASSTRIB!$A:$A, 0))/100, 0)</f>
        <v>0</v>
      </c>
    </row>
    <row r="761" spans="4:22" ht="32.25" customHeight="1">
      <c r="D761" s="39"/>
      <c r="E761" s="27" t="str">
        <f>IF(D761="","",LEFT(D761,3))</f>
        <v/>
      </c>
      <c r="F761" s="28" t="str">
        <f>IF(E761="","",IFERROR(VLOOKUP(E761,REGRAS_CST!$A$2:$B$200,2,FALSE),""))</f>
        <v/>
      </c>
      <c r="H761" s="29">
        <v>8.9999999999999993E-3</v>
      </c>
      <c r="I761" s="29">
        <v>1E-3</v>
      </c>
      <c r="K761" s="21" t="str">
        <f>IF(E761="","",IFERROR(VLOOKUP(E761,REGRAS_CST!$A$2:$C$200,3,FALSE),""))</f>
        <v/>
      </c>
      <c r="L761" s="23" t="str">
        <f>IF($G761="", "", $G761*(1-$V761))</f>
        <v/>
      </c>
      <c r="M761" s="24" t="str">
        <f>IF(OR($L761="",$S761=""),"",$L761*$S761)</f>
        <v/>
      </c>
      <c r="N761" s="24" t="str">
        <f>IF(OR($L761="",$T761=""),"",$L761*$T761)</f>
        <v/>
      </c>
      <c r="O761" s="15" t="str">
        <f>IF(D761="","",
IF(AND(K761&lt;&gt;"SIM",V761&gt;0),"ERRO: % BC &gt; 0, mas NÃO permitida ❌",
IF(AND(K761="SIM",V761=0),"ATENÇÃO: BC permitida, mas % = 0 🔎",
"Base de cálculo aplicada corretamente ✅")))</f>
        <v/>
      </c>
      <c r="P761" s="31" t="str">
        <f>IF(D761="","",
IF(AND(Q761&lt;&gt;"SIM",U761&gt;0),"ERRO: % alíquota &gt; 0, mas NÃO permitida ❌",
IF(AND(Q761="SIM",U761=0),"ATENÇÃO: alíquota permitida, mas % = 0 🔎",
"Alíquota aplicada corretamente ✅")))</f>
        <v/>
      </c>
      <c r="Q761" s="8" t="str">
        <f>IF(E761="","",IFERROR(VLOOKUP(E761,REGRAS_CST!$A$2:$D$200,4,FALSE),""))</f>
        <v/>
      </c>
      <c r="S761" s="9">
        <f>IF($H761="","",$H761*(1-$U761))</f>
        <v>8.9999999999999993E-3</v>
      </c>
      <c r="T761" s="9">
        <f>IF($I761="","",$I761*(1-$U761))</f>
        <v>1E-3</v>
      </c>
      <c r="U761" s="16">
        <f>IFERROR(INDEX(BASE_CCLASSTRIB!$E:$E, MATCH(TEXT($D761,"000000"), BASE_CCLASSTRIB!$A:$A, 0))/100, 0)</f>
        <v>0</v>
      </c>
      <c r="V761" s="16">
        <f>IFERROR(INDEX(BASE_CCLASSTRIB!$F:$F, MATCH(TEXT($D761,"000000"), BASE_CCLASSTRIB!$A:$A, 0))/100, 0)</f>
        <v>0</v>
      </c>
    </row>
    <row r="762" spans="4:22" ht="32.25" customHeight="1">
      <c r="D762" s="40"/>
      <c r="E762" s="27" t="str">
        <f>IF(D762="","",LEFT(D762,3))</f>
        <v/>
      </c>
      <c r="F762" s="28" t="str">
        <f>IF(E762="","",IFERROR(VLOOKUP(E762,REGRAS_CST!$A$2:$B$200,2,FALSE),""))</f>
        <v/>
      </c>
      <c r="H762" s="29">
        <v>8.9999999999999993E-3</v>
      </c>
      <c r="I762" s="29">
        <v>1E-3</v>
      </c>
      <c r="K762" s="21" t="str">
        <f>IF(E762="","",IFERROR(VLOOKUP(E762,REGRAS_CST!$A$2:$C$200,3,FALSE),""))</f>
        <v/>
      </c>
      <c r="L762" s="23" t="str">
        <f>IF($G762="", "", $G762*(1-$V762))</f>
        <v/>
      </c>
      <c r="M762" s="24" t="str">
        <f>IF(OR($L762="",$S762=""),"",$L762*$S762)</f>
        <v/>
      </c>
      <c r="N762" s="24" t="str">
        <f>IF(OR($L762="",$T762=""),"",$L762*$T762)</f>
        <v/>
      </c>
      <c r="O762" s="15" t="str">
        <f>IF(D762="","",
IF(AND(K762&lt;&gt;"SIM",V762&gt;0),"ERRO: % BC &gt; 0, mas NÃO permitida ❌",
IF(AND(K762="SIM",V762=0),"ATENÇÃO: BC permitida, mas % = 0 🔎",
"Base de cálculo aplicada corretamente ✅")))</f>
        <v/>
      </c>
      <c r="P762" s="31" t="str">
        <f>IF(D762="","",
IF(AND(Q762&lt;&gt;"SIM",U762&gt;0),"ERRO: % alíquota &gt; 0, mas NÃO permitida ❌",
IF(AND(Q762="SIM",U762=0),"ATENÇÃO: alíquota permitida, mas % = 0 🔎",
"Alíquota aplicada corretamente ✅")))</f>
        <v/>
      </c>
      <c r="Q762" s="8" t="str">
        <f>IF(E762="","",IFERROR(VLOOKUP(E762,REGRAS_CST!$A$2:$D$200,4,FALSE),""))</f>
        <v/>
      </c>
      <c r="S762" s="9">
        <f>IF($H762="","",$H762*(1-$U762))</f>
        <v>8.9999999999999993E-3</v>
      </c>
      <c r="T762" s="9">
        <f>IF($I762="","",$I762*(1-$U762))</f>
        <v>1E-3</v>
      </c>
      <c r="U762" s="16">
        <f>IFERROR(INDEX(BASE_CCLASSTRIB!$E:$E, MATCH(TEXT($D762,"000000"), BASE_CCLASSTRIB!$A:$A, 0))/100, 0)</f>
        <v>0</v>
      </c>
      <c r="V762" s="16">
        <f>IFERROR(INDEX(BASE_CCLASSTRIB!$F:$F, MATCH(TEXT($D762,"000000"), BASE_CCLASSTRIB!$A:$A, 0))/100, 0)</f>
        <v>0</v>
      </c>
    </row>
    <row r="763" spans="4:22" ht="32.25" customHeight="1">
      <c r="D763" s="39"/>
      <c r="E763" s="27" t="str">
        <f>IF(D763="","",LEFT(D763,3))</f>
        <v/>
      </c>
      <c r="F763" s="28" t="str">
        <f>IF(E763="","",IFERROR(VLOOKUP(E763,REGRAS_CST!$A$2:$B$200,2,FALSE),""))</f>
        <v/>
      </c>
      <c r="H763" s="29">
        <v>8.9999999999999993E-3</v>
      </c>
      <c r="I763" s="29">
        <v>1E-3</v>
      </c>
      <c r="K763" s="21" t="str">
        <f>IF(E763="","",IFERROR(VLOOKUP(E763,REGRAS_CST!$A$2:$C$200,3,FALSE),""))</f>
        <v/>
      </c>
      <c r="L763" s="23" t="str">
        <f>IF($G763="", "", $G763*(1-$V763))</f>
        <v/>
      </c>
      <c r="M763" s="24" t="str">
        <f>IF(OR($L763="",$S763=""),"",$L763*$S763)</f>
        <v/>
      </c>
      <c r="N763" s="24" t="str">
        <f>IF(OR($L763="",$T763=""),"",$L763*$T763)</f>
        <v/>
      </c>
      <c r="O763" s="15" t="str">
        <f>IF(D763="","",
IF(AND(K763&lt;&gt;"SIM",V763&gt;0),"ERRO: % BC &gt; 0, mas NÃO permitida ❌",
IF(AND(K763="SIM",V763=0),"ATENÇÃO: BC permitida, mas % = 0 🔎",
"Base de cálculo aplicada corretamente ✅")))</f>
        <v/>
      </c>
      <c r="P763" s="31" t="str">
        <f>IF(D763="","",
IF(AND(Q763&lt;&gt;"SIM",U763&gt;0),"ERRO: % alíquota &gt; 0, mas NÃO permitida ❌",
IF(AND(Q763="SIM",U763=0),"ATENÇÃO: alíquota permitida, mas % = 0 🔎",
"Alíquota aplicada corretamente ✅")))</f>
        <v/>
      </c>
      <c r="Q763" s="8" t="str">
        <f>IF(E763="","",IFERROR(VLOOKUP(E763,REGRAS_CST!$A$2:$D$200,4,FALSE),""))</f>
        <v/>
      </c>
      <c r="S763" s="9">
        <f>IF($H763="","",$H763*(1-$U763))</f>
        <v>8.9999999999999993E-3</v>
      </c>
      <c r="T763" s="9">
        <f>IF($I763="","",$I763*(1-$U763))</f>
        <v>1E-3</v>
      </c>
      <c r="U763" s="16">
        <f>IFERROR(INDEX(BASE_CCLASSTRIB!$E:$E, MATCH(TEXT($D763,"000000"), BASE_CCLASSTRIB!$A:$A, 0))/100, 0)</f>
        <v>0</v>
      </c>
      <c r="V763" s="16">
        <f>IFERROR(INDEX(BASE_CCLASSTRIB!$F:$F, MATCH(TEXT($D763,"000000"), BASE_CCLASSTRIB!$A:$A, 0))/100, 0)</f>
        <v>0</v>
      </c>
    </row>
    <row r="764" spans="4:22" ht="32.25" customHeight="1">
      <c r="D764" s="39"/>
      <c r="E764" s="27" t="str">
        <f>IF(D764="","",LEFT(D764,3))</f>
        <v/>
      </c>
      <c r="F764" s="28" t="str">
        <f>IF(E764="","",IFERROR(VLOOKUP(E764,REGRAS_CST!$A$2:$B$200,2,FALSE),""))</f>
        <v/>
      </c>
      <c r="H764" s="29">
        <v>8.9999999999999993E-3</v>
      </c>
      <c r="I764" s="29">
        <v>1E-3</v>
      </c>
      <c r="K764" s="21" t="str">
        <f>IF(E764="","",IFERROR(VLOOKUP(E764,REGRAS_CST!$A$2:$C$200,3,FALSE),""))</f>
        <v/>
      </c>
      <c r="L764" s="23" t="str">
        <f>IF($G764="", "", $G764*(1-$V764))</f>
        <v/>
      </c>
      <c r="M764" s="24" t="str">
        <f>IF(OR($L764="",$S764=""),"",$L764*$S764)</f>
        <v/>
      </c>
      <c r="N764" s="24" t="str">
        <f>IF(OR($L764="",$T764=""),"",$L764*$T764)</f>
        <v/>
      </c>
      <c r="O764" s="15" t="str">
        <f>IF(D764="","",
IF(AND(K764&lt;&gt;"SIM",V764&gt;0),"ERRO: % BC &gt; 0, mas NÃO permitida ❌",
IF(AND(K764="SIM",V764=0),"ATENÇÃO: BC permitida, mas % = 0 🔎",
"Base de cálculo aplicada corretamente ✅")))</f>
        <v/>
      </c>
      <c r="P764" s="31" t="str">
        <f>IF(D764="","",
IF(AND(Q764&lt;&gt;"SIM",U764&gt;0),"ERRO: % alíquota &gt; 0, mas NÃO permitida ❌",
IF(AND(Q764="SIM",U764=0),"ATENÇÃO: alíquota permitida, mas % = 0 🔎",
"Alíquota aplicada corretamente ✅")))</f>
        <v/>
      </c>
      <c r="Q764" s="8" t="str">
        <f>IF(E764="","",IFERROR(VLOOKUP(E764,REGRAS_CST!$A$2:$D$200,4,FALSE),""))</f>
        <v/>
      </c>
      <c r="S764" s="9">
        <f>IF($H764="","",$H764*(1-$U764))</f>
        <v>8.9999999999999993E-3</v>
      </c>
      <c r="T764" s="9">
        <f>IF($I764="","",$I764*(1-$U764))</f>
        <v>1E-3</v>
      </c>
      <c r="U764" s="16">
        <f>IFERROR(INDEX(BASE_CCLASSTRIB!$E:$E, MATCH(TEXT($D764,"000000"), BASE_CCLASSTRIB!$A:$A, 0))/100, 0)</f>
        <v>0</v>
      </c>
      <c r="V764" s="16">
        <f>IFERROR(INDEX(BASE_CCLASSTRIB!$F:$F, MATCH(TEXT($D764,"000000"), BASE_CCLASSTRIB!$A:$A, 0))/100, 0)</f>
        <v>0</v>
      </c>
    </row>
    <row r="765" spans="4:22" ht="32.25" customHeight="1">
      <c r="D765" s="39"/>
      <c r="E765" s="27" t="str">
        <f>IF(D765="","",LEFT(D765,3))</f>
        <v/>
      </c>
      <c r="F765" s="28" t="str">
        <f>IF(E765="","",IFERROR(VLOOKUP(E765,REGRAS_CST!$A$2:$B$200,2,FALSE),""))</f>
        <v/>
      </c>
      <c r="H765" s="29">
        <v>8.9999999999999993E-3</v>
      </c>
      <c r="I765" s="29">
        <v>1E-3</v>
      </c>
      <c r="K765" s="21" t="str">
        <f>IF(E765="","",IFERROR(VLOOKUP(E765,REGRAS_CST!$A$2:$C$200,3,FALSE),""))</f>
        <v/>
      </c>
      <c r="L765" s="23" t="str">
        <f>IF($G765="", "", $G765*(1-$V765))</f>
        <v/>
      </c>
      <c r="M765" s="24" t="str">
        <f>IF(OR($L765="",$S765=""),"",$L765*$S765)</f>
        <v/>
      </c>
      <c r="N765" s="24" t="str">
        <f>IF(OR($L765="",$T765=""),"",$L765*$T765)</f>
        <v/>
      </c>
      <c r="O765" s="15" t="str">
        <f>IF(D765="","",
IF(AND(K765&lt;&gt;"SIM",V765&gt;0),"ERRO: % BC &gt; 0, mas NÃO permitida ❌",
IF(AND(K765="SIM",V765=0),"ATENÇÃO: BC permitida, mas % = 0 🔎",
"Base de cálculo aplicada corretamente ✅")))</f>
        <v/>
      </c>
      <c r="P765" s="31" t="str">
        <f>IF(D765="","",
IF(AND(Q765&lt;&gt;"SIM",U765&gt;0),"ERRO: % alíquota &gt; 0, mas NÃO permitida ❌",
IF(AND(Q765="SIM",U765=0),"ATENÇÃO: alíquota permitida, mas % = 0 🔎",
"Alíquota aplicada corretamente ✅")))</f>
        <v/>
      </c>
      <c r="Q765" s="8" t="str">
        <f>IF(E765="","",IFERROR(VLOOKUP(E765,REGRAS_CST!$A$2:$D$200,4,FALSE),""))</f>
        <v/>
      </c>
      <c r="S765" s="9">
        <f>IF($H765="","",$H765*(1-$U765))</f>
        <v>8.9999999999999993E-3</v>
      </c>
      <c r="T765" s="9">
        <f>IF($I765="","",$I765*(1-$U765))</f>
        <v>1E-3</v>
      </c>
      <c r="U765" s="16">
        <f>IFERROR(INDEX(BASE_CCLASSTRIB!$E:$E, MATCH(TEXT($D765,"000000"), BASE_CCLASSTRIB!$A:$A, 0))/100, 0)</f>
        <v>0</v>
      </c>
      <c r="V765" s="16">
        <f>IFERROR(INDEX(BASE_CCLASSTRIB!$F:$F, MATCH(TEXT($D765,"000000"), BASE_CCLASSTRIB!$A:$A, 0))/100, 0)</f>
        <v>0</v>
      </c>
    </row>
    <row r="766" spans="4:22" ht="32.25" customHeight="1">
      <c r="D766" s="40"/>
      <c r="E766" s="27" t="str">
        <f>IF(D766="","",LEFT(D766,3))</f>
        <v/>
      </c>
      <c r="F766" s="28" t="str">
        <f>IF(E766="","",IFERROR(VLOOKUP(E766,REGRAS_CST!$A$2:$B$200,2,FALSE),""))</f>
        <v/>
      </c>
      <c r="H766" s="29">
        <v>8.9999999999999993E-3</v>
      </c>
      <c r="I766" s="29">
        <v>1E-3</v>
      </c>
      <c r="K766" s="21" t="str">
        <f>IF(E766="","",IFERROR(VLOOKUP(E766,REGRAS_CST!$A$2:$C$200,3,FALSE),""))</f>
        <v/>
      </c>
      <c r="L766" s="23" t="str">
        <f>IF($G766="", "", $G766*(1-$V766))</f>
        <v/>
      </c>
      <c r="M766" s="24" t="str">
        <f>IF(OR($L766="",$S766=""),"",$L766*$S766)</f>
        <v/>
      </c>
      <c r="N766" s="24" t="str">
        <f>IF(OR($L766="",$T766=""),"",$L766*$T766)</f>
        <v/>
      </c>
      <c r="O766" s="15" t="str">
        <f>IF(D766="","",
IF(AND(K766&lt;&gt;"SIM",V766&gt;0),"ERRO: % BC &gt; 0, mas NÃO permitida ❌",
IF(AND(K766="SIM",V766=0),"ATENÇÃO: BC permitida, mas % = 0 🔎",
"Base de cálculo aplicada corretamente ✅")))</f>
        <v/>
      </c>
      <c r="P766" s="31" t="str">
        <f>IF(D766="","",
IF(AND(Q766&lt;&gt;"SIM",U766&gt;0),"ERRO: % alíquota &gt; 0, mas NÃO permitida ❌",
IF(AND(Q766="SIM",U766=0),"ATENÇÃO: alíquota permitida, mas % = 0 🔎",
"Alíquota aplicada corretamente ✅")))</f>
        <v/>
      </c>
      <c r="Q766" s="8" t="str">
        <f>IF(E766="","",IFERROR(VLOOKUP(E766,REGRAS_CST!$A$2:$D$200,4,FALSE),""))</f>
        <v/>
      </c>
      <c r="S766" s="9">
        <f>IF($H766="","",$H766*(1-$U766))</f>
        <v>8.9999999999999993E-3</v>
      </c>
      <c r="T766" s="9">
        <f>IF($I766="","",$I766*(1-$U766))</f>
        <v>1E-3</v>
      </c>
      <c r="U766" s="16">
        <f>IFERROR(INDEX(BASE_CCLASSTRIB!$E:$E, MATCH(TEXT($D766,"000000"), BASE_CCLASSTRIB!$A:$A, 0))/100, 0)</f>
        <v>0</v>
      </c>
      <c r="V766" s="16">
        <f>IFERROR(INDEX(BASE_CCLASSTRIB!$F:$F, MATCH(TEXT($D766,"000000"), BASE_CCLASSTRIB!$A:$A, 0))/100, 0)</f>
        <v>0</v>
      </c>
    </row>
    <row r="767" spans="4:22" ht="32.25" customHeight="1">
      <c r="D767" s="40"/>
      <c r="E767" s="27" t="str">
        <f>IF(D767="","",LEFT(D767,3))</f>
        <v/>
      </c>
      <c r="F767" s="28" t="str">
        <f>IF(E767="","",IFERROR(VLOOKUP(E767,REGRAS_CST!$A$2:$B$200,2,FALSE),""))</f>
        <v/>
      </c>
      <c r="H767" s="29">
        <v>8.9999999999999993E-3</v>
      </c>
      <c r="I767" s="29">
        <v>1E-3</v>
      </c>
      <c r="K767" s="21" t="str">
        <f>IF(E767="","",IFERROR(VLOOKUP(E767,REGRAS_CST!$A$2:$C$200,3,FALSE),""))</f>
        <v/>
      </c>
      <c r="L767" s="23" t="str">
        <f>IF($G767="", "", $G767*(1-$V767))</f>
        <v/>
      </c>
      <c r="M767" s="24" t="str">
        <f>IF(OR($L767="",$S767=""),"",$L767*$S767)</f>
        <v/>
      </c>
      <c r="N767" s="24" t="str">
        <f>IF(OR($L767="",$T767=""),"",$L767*$T767)</f>
        <v/>
      </c>
      <c r="O767" s="15" t="str">
        <f>IF(D767="","",
IF(AND(K767&lt;&gt;"SIM",V767&gt;0),"ERRO: % BC &gt; 0, mas NÃO permitida ❌",
IF(AND(K767="SIM",V767=0),"ATENÇÃO: BC permitida, mas % = 0 🔎",
"Base de cálculo aplicada corretamente ✅")))</f>
        <v/>
      </c>
      <c r="P767" s="31" t="str">
        <f>IF(D767="","",
IF(AND(Q767&lt;&gt;"SIM",U767&gt;0),"ERRO: % alíquota &gt; 0, mas NÃO permitida ❌",
IF(AND(Q767="SIM",U767=0),"ATENÇÃO: alíquota permitida, mas % = 0 🔎",
"Alíquota aplicada corretamente ✅")))</f>
        <v/>
      </c>
      <c r="Q767" s="8" t="str">
        <f>IF(E767="","",IFERROR(VLOOKUP(E767,REGRAS_CST!$A$2:$D$200,4,FALSE),""))</f>
        <v/>
      </c>
      <c r="S767" s="9">
        <f>IF($H767="","",$H767*(1-$U767))</f>
        <v>8.9999999999999993E-3</v>
      </c>
      <c r="T767" s="9">
        <f>IF($I767="","",$I767*(1-$U767))</f>
        <v>1E-3</v>
      </c>
      <c r="U767" s="16">
        <f>IFERROR(INDEX(BASE_CCLASSTRIB!$E:$E, MATCH(TEXT($D767,"000000"), BASE_CCLASSTRIB!$A:$A, 0))/100, 0)</f>
        <v>0</v>
      </c>
      <c r="V767" s="16">
        <f>IFERROR(INDEX(BASE_CCLASSTRIB!$F:$F, MATCH(TEXT($D767,"000000"), BASE_CCLASSTRIB!$A:$A, 0))/100, 0)</f>
        <v>0</v>
      </c>
    </row>
    <row r="768" spans="4:22" ht="32.25" customHeight="1">
      <c r="D768" s="39"/>
      <c r="E768" s="27" t="str">
        <f>IF(D768="","",LEFT(D768,3))</f>
        <v/>
      </c>
      <c r="F768" s="28" t="str">
        <f>IF(E768="","",IFERROR(VLOOKUP(E768,REGRAS_CST!$A$2:$B$200,2,FALSE),""))</f>
        <v/>
      </c>
      <c r="H768" s="29">
        <v>8.9999999999999993E-3</v>
      </c>
      <c r="I768" s="29">
        <v>1E-3</v>
      </c>
      <c r="K768" s="21" t="str">
        <f>IF(E768="","",IFERROR(VLOOKUP(E768,REGRAS_CST!$A$2:$C$200,3,FALSE),""))</f>
        <v/>
      </c>
      <c r="L768" s="23" t="str">
        <f>IF($G768="", "", $G768*(1-$V768))</f>
        <v/>
      </c>
      <c r="M768" s="24" t="str">
        <f>IF(OR($L768="",$S768=""),"",$L768*$S768)</f>
        <v/>
      </c>
      <c r="N768" s="24" t="str">
        <f>IF(OR($L768="",$T768=""),"",$L768*$T768)</f>
        <v/>
      </c>
      <c r="O768" s="15" t="str">
        <f>IF(D768="","",
IF(AND(K768&lt;&gt;"SIM",V768&gt;0),"ERRO: % BC &gt; 0, mas NÃO permitida ❌",
IF(AND(K768="SIM",V768=0),"ATENÇÃO: BC permitida, mas % = 0 🔎",
"Base de cálculo aplicada corretamente ✅")))</f>
        <v/>
      </c>
      <c r="P768" s="31" t="str">
        <f>IF(D768="","",
IF(AND(Q768&lt;&gt;"SIM",U768&gt;0),"ERRO: % alíquota &gt; 0, mas NÃO permitida ❌",
IF(AND(Q768="SIM",U768=0),"ATENÇÃO: alíquota permitida, mas % = 0 🔎",
"Alíquota aplicada corretamente ✅")))</f>
        <v/>
      </c>
      <c r="Q768" s="8" t="str">
        <f>IF(E768="","",IFERROR(VLOOKUP(E768,REGRAS_CST!$A$2:$D$200,4,FALSE),""))</f>
        <v/>
      </c>
      <c r="S768" s="9">
        <f>IF($H768="","",$H768*(1-$U768))</f>
        <v>8.9999999999999993E-3</v>
      </c>
      <c r="T768" s="9">
        <f>IF($I768="","",$I768*(1-$U768))</f>
        <v>1E-3</v>
      </c>
      <c r="U768" s="16">
        <f>IFERROR(INDEX(BASE_CCLASSTRIB!$E:$E, MATCH(TEXT($D768,"000000"), BASE_CCLASSTRIB!$A:$A, 0))/100, 0)</f>
        <v>0</v>
      </c>
      <c r="V768" s="16">
        <f>IFERROR(INDEX(BASE_CCLASSTRIB!$F:$F, MATCH(TEXT($D768,"000000"), BASE_CCLASSTRIB!$A:$A, 0))/100, 0)</f>
        <v>0</v>
      </c>
    </row>
    <row r="769" spans="4:22" ht="32.25" customHeight="1">
      <c r="D769" s="39"/>
      <c r="E769" s="27" t="str">
        <f>IF(D769="","",LEFT(D769,3))</f>
        <v/>
      </c>
      <c r="F769" s="28" t="str">
        <f>IF(E769="","",IFERROR(VLOOKUP(E769,REGRAS_CST!$A$2:$B$200,2,FALSE),""))</f>
        <v/>
      </c>
      <c r="H769" s="29">
        <v>8.9999999999999993E-3</v>
      </c>
      <c r="I769" s="29">
        <v>1E-3</v>
      </c>
      <c r="K769" s="21" t="str">
        <f>IF(E769="","",IFERROR(VLOOKUP(E769,REGRAS_CST!$A$2:$C$200,3,FALSE),""))</f>
        <v/>
      </c>
      <c r="L769" s="23" t="str">
        <f>IF($G769="", "", $G769*(1-$V769))</f>
        <v/>
      </c>
      <c r="M769" s="24" t="str">
        <f>IF(OR($L769="",$S769=""),"",$L769*$S769)</f>
        <v/>
      </c>
      <c r="N769" s="24" t="str">
        <f>IF(OR($L769="",$T769=""),"",$L769*$T769)</f>
        <v/>
      </c>
      <c r="O769" s="15" t="str">
        <f>IF(D769="","",
IF(AND(K769&lt;&gt;"SIM",V769&gt;0),"ERRO: % BC &gt; 0, mas NÃO permitida ❌",
IF(AND(K769="SIM",V769=0),"ATENÇÃO: BC permitida, mas % = 0 🔎",
"Base de cálculo aplicada corretamente ✅")))</f>
        <v/>
      </c>
      <c r="P769" s="31" t="str">
        <f>IF(D769="","",
IF(AND(Q769&lt;&gt;"SIM",U769&gt;0),"ERRO: % alíquota &gt; 0, mas NÃO permitida ❌",
IF(AND(Q769="SIM",U769=0),"ATENÇÃO: alíquota permitida, mas % = 0 🔎",
"Alíquota aplicada corretamente ✅")))</f>
        <v/>
      </c>
      <c r="Q769" s="8" t="str">
        <f>IF(E769="","",IFERROR(VLOOKUP(E769,REGRAS_CST!$A$2:$D$200,4,FALSE),""))</f>
        <v/>
      </c>
      <c r="S769" s="9">
        <f>IF($H769="","",$H769*(1-$U769))</f>
        <v>8.9999999999999993E-3</v>
      </c>
      <c r="T769" s="9">
        <f>IF($I769="","",$I769*(1-$U769))</f>
        <v>1E-3</v>
      </c>
      <c r="U769" s="16">
        <f>IFERROR(INDEX(BASE_CCLASSTRIB!$E:$E, MATCH(TEXT($D769,"000000"), BASE_CCLASSTRIB!$A:$A, 0))/100, 0)</f>
        <v>0</v>
      </c>
      <c r="V769" s="16">
        <f>IFERROR(INDEX(BASE_CCLASSTRIB!$F:$F, MATCH(TEXT($D769,"000000"), BASE_CCLASSTRIB!$A:$A, 0))/100, 0)</f>
        <v>0</v>
      </c>
    </row>
    <row r="770" spans="4:22" ht="32.25" customHeight="1">
      <c r="D770" s="39"/>
      <c r="E770" s="27" t="str">
        <f>IF(D770="","",LEFT(D770,3))</f>
        <v/>
      </c>
      <c r="F770" s="28" t="str">
        <f>IF(E770="","",IFERROR(VLOOKUP(E770,REGRAS_CST!$A$2:$B$200,2,FALSE),""))</f>
        <v/>
      </c>
      <c r="H770" s="29">
        <v>8.9999999999999993E-3</v>
      </c>
      <c r="I770" s="29">
        <v>1E-3</v>
      </c>
      <c r="K770" s="21" t="str">
        <f>IF(E770="","",IFERROR(VLOOKUP(E770,REGRAS_CST!$A$2:$C$200,3,FALSE),""))</f>
        <v/>
      </c>
      <c r="L770" s="23" t="str">
        <f>IF($G770="", "", $G770*(1-$V770))</f>
        <v/>
      </c>
      <c r="M770" s="24" t="str">
        <f>IF(OR($L770="",$S770=""),"",$L770*$S770)</f>
        <v/>
      </c>
      <c r="N770" s="24" t="str">
        <f>IF(OR($L770="",$T770=""),"",$L770*$T770)</f>
        <v/>
      </c>
      <c r="O770" s="15" t="str">
        <f>IF(D770="","",
IF(AND(K770&lt;&gt;"SIM",V770&gt;0),"ERRO: % BC &gt; 0, mas NÃO permitida ❌",
IF(AND(K770="SIM",V770=0),"ATENÇÃO: BC permitida, mas % = 0 🔎",
"Base de cálculo aplicada corretamente ✅")))</f>
        <v/>
      </c>
      <c r="P770" s="31" t="str">
        <f>IF(D770="","",
IF(AND(Q770&lt;&gt;"SIM",U770&gt;0),"ERRO: % alíquota &gt; 0, mas NÃO permitida ❌",
IF(AND(Q770="SIM",U770=0),"ATENÇÃO: alíquota permitida, mas % = 0 🔎",
"Alíquota aplicada corretamente ✅")))</f>
        <v/>
      </c>
      <c r="Q770" s="8" t="str">
        <f>IF(E770="","",IFERROR(VLOOKUP(E770,REGRAS_CST!$A$2:$D$200,4,FALSE),""))</f>
        <v/>
      </c>
      <c r="S770" s="9">
        <f>IF($H770="","",$H770*(1-$U770))</f>
        <v>8.9999999999999993E-3</v>
      </c>
      <c r="T770" s="9">
        <f>IF($I770="","",$I770*(1-$U770))</f>
        <v>1E-3</v>
      </c>
      <c r="U770" s="16">
        <f>IFERROR(INDEX(BASE_CCLASSTRIB!$E:$E, MATCH(TEXT($D770,"000000"), BASE_CCLASSTRIB!$A:$A, 0))/100, 0)</f>
        <v>0</v>
      </c>
      <c r="V770" s="16">
        <f>IFERROR(INDEX(BASE_CCLASSTRIB!$F:$F, MATCH(TEXT($D770,"000000"), BASE_CCLASSTRIB!$A:$A, 0))/100, 0)</f>
        <v>0</v>
      </c>
    </row>
    <row r="771" spans="4:22" ht="32.25" customHeight="1">
      <c r="D771" s="39"/>
      <c r="E771" s="27" t="str">
        <f>IF(D771="","",LEFT(D771,3))</f>
        <v/>
      </c>
      <c r="F771" s="28" t="str">
        <f>IF(E771="","",IFERROR(VLOOKUP(E771,REGRAS_CST!$A$2:$B$200,2,FALSE),""))</f>
        <v/>
      </c>
      <c r="H771" s="29">
        <v>8.9999999999999993E-3</v>
      </c>
      <c r="I771" s="29">
        <v>1E-3</v>
      </c>
      <c r="K771" s="21" t="str">
        <f>IF(E771="","",IFERROR(VLOOKUP(E771,REGRAS_CST!$A$2:$C$200,3,FALSE),""))</f>
        <v/>
      </c>
      <c r="L771" s="23" t="str">
        <f>IF($G771="", "", $G771*(1-$V771))</f>
        <v/>
      </c>
      <c r="M771" s="24" t="str">
        <f>IF(OR($L771="",$S771=""),"",$L771*$S771)</f>
        <v/>
      </c>
      <c r="N771" s="24" t="str">
        <f>IF(OR($L771="",$T771=""),"",$L771*$T771)</f>
        <v/>
      </c>
      <c r="O771" s="15" t="str">
        <f>IF(D771="","",
IF(AND(K771&lt;&gt;"SIM",V771&gt;0),"ERRO: % BC &gt; 0, mas NÃO permitida ❌",
IF(AND(K771="SIM",V771=0),"ATENÇÃO: BC permitida, mas % = 0 🔎",
"Base de cálculo aplicada corretamente ✅")))</f>
        <v/>
      </c>
      <c r="P771" s="31" t="str">
        <f>IF(D771="","",
IF(AND(Q771&lt;&gt;"SIM",U771&gt;0),"ERRO: % alíquota &gt; 0, mas NÃO permitida ❌",
IF(AND(Q771="SIM",U771=0),"ATENÇÃO: alíquota permitida, mas % = 0 🔎",
"Alíquota aplicada corretamente ✅")))</f>
        <v/>
      </c>
      <c r="Q771" s="8" t="str">
        <f>IF(E771="","",IFERROR(VLOOKUP(E771,REGRAS_CST!$A$2:$D$200,4,FALSE),""))</f>
        <v/>
      </c>
      <c r="S771" s="9">
        <f>IF($H771="","",$H771*(1-$U771))</f>
        <v>8.9999999999999993E-3</v>
      </c>
      <c r="T771" s="9">
        <f>IF($I771="","",$I771*(1-$U771))</f>
        <v>1E-3</v>
      </c>
      <c r="U771" s="16">
        <f>IFERROR(INDEX(BASE_CCLASSTRIB!$E:$E, MATCH(TEXT($D771,"000000"), BASE_CCLASSTRIB!$A:$A, 0))/100, 0)</f>
        <v>0</v>
      </c>
      <c r="V771" s="16">
        <f>IFERROR(INDEX(BASE_CCLASSTRIB!$F:$F, MATCH(TEXT($D771,"000000"), BASE_CCLASSTRIB!$A:$A, 0))/100, 0)</f>
        <v>0</v>
      </c>
    </row>
    <row r="772" spans="4:22" ht="32.25" customHeight="1">
      <c r="D772" s="40"/>
      <c r="E772" s="27" t="str">
        <f>IF(D772="","",LEFT(D772,3))</f>
        <v/>
      </c>
      <c r="F772" s="28" t="str">
        <f>IF(E772="","",IFERROR(VLOOKUP(E772,REGRAS_CST!$A$2:$B$200,2,FALSE),""))</f>
        <v/>
      </c>
      <c r="H772" s="29">
        <v>8.9999999999999993E-3</v>
      </c>
      <c r="I772" s="29">
        <v>1E-3</v>
      </c>
      <c r="K772" s="21" t="str">
        <f>IF(E772="","",IFERROR(VLOOKUP(E772,REGRAS_CST!$A$2:$C$200,3,FALSE),""))</f>
        <v/>
      </c>
      <c r="L772" s="23" t="str">
        <f>IF($G772="", "", $G772*(1-$V772))</f>
        <v/>
      </c>
      <c r="M772" s="24" t="str">
        <f>IF(OR($L772="",$S772=""),"",$L772*$S772)</f>
        <v/>
      </c>
      <c r="N772" s="24" t="str">
        <f>IF(OR($L772="",$T772=""),"",$L772*$T772)</f>
        <v/>
      </c>
      <c r="O772" s="15" t="str">
        <f>IF(D772="","",
IF(AND(K772&lt;&gt;"SIM",V772&gt;0),"ERRO: % BC &gt; 0, mas NÃO permitida ❌",
IF(AND(K772="SIM",V772=0),"ATENÇÃO: BC permitida, mas % = 0 🔎",
"Base de cálculo aplicada corretamente ✅")))</f>
        <v/>
      </c>
      <c r="P772" s="31" t="str">
        <f>IF(D772="","",
IF(AND(Q772&lt;&gt;"SIM",U772&gt;0),"ERRO: % alíquota &gt; 0, mas NÃO permitida ❌",
IF(AND(Q772="SIM",U772=0),"ATENÇÃO: alíquota permitida, mas % = 0 🔎",
"Alíquota aplicada corretamente ✅")))</f>
        <v/>
      </c>
      <c r="Q772" s="8" t="str">
        <f>IF(E772="","",IFERROR(VLOOKUP(E772,REGRAS_CST!$A$2:$D$200,4,FALSE),""))</f>
        <v/>
      </c>
      <c r="S772" s="9">
        <f>IF($H772="","",$H772*(1-$U772))</f>
        <v>8.9999999999999993E-3</v>
      </c>
      <c r="T772" s="9">
        <f>IF($I772="","",$I772*(1-$U772))</f>
        <v>1E-3</v>
      </c>
      <c r="U772" s="16">
        <f>IFERROR(INDEX(BASE_CCLASSTRIB!$E:$E, MATCH(TEXT($D772,"000000"), BASE_CCLASSTRIB!$A:$A, 0))/100, 0)</f>
        <v>0</v>
      </c>
      <c r="V772" s="16">
        <f>IFERROR(INDEX(BASE_CCLASSTRIB!$F:$F, MATCH(TEXT($D772,"000000"), BASE_CCLASSTRIB!$A:$A, 0))/100, 0)</f>
        <v>0</v>
      </c>
    </row>
    <row r="773" spans="4:22" ht="32.25" customHeight="1">
      <c r="D773" s="39"/>
      <c r="E773" s="27" t="str">
        <f>IF(D773="","",LEFT(D773,3))</f>
        <v/>
      </c>
      <c r="F773" s="28" t="str">
        <f>IF(E773="","",IFERROR(VLOOKUP(E773,REGRAS_CST!$A$2:$B$200,2,FALSE),""))</f>
        <v/>
      </c>
      <c r="H773" s="29">
        <v>8.9999999999999993E-3</v>
      </c>
      <c r="I773" s="29">
        <v>1E-3</v>
      </c>
      <c r="K773" s="21" t="str">
        <f>IF(E773="","",IFERROR(VLOOKUP(E773,REGRAS_CST!$A$2:$C$200,3,FALSE),""))</f>
        <v/>
      </c>
      <c r="L773" s="23" t="str">
        <f>IF($G773="", "", $G773*(1-$V773))</f>
        <v/>
      </c>
      <c r="M773" s="24" t="str">
        <f>IF(OR($L773="",$S773=""),"",$L773*$S773)</f>
        <v/>
      </c>
      <c r="N773" s="24" t="str">
        <f>IF(OR($L773="",$T773=""),"",$L773*$T773)</f>
        <v/>
      </c>
      <c r="O773" s="15" t="str">
        <f>IF(D773="","",
IF(AND(K773&lt;&gt;"SIM",V773&gt;0),"ERRO: % BC &gt; 0, mas NÃO permitida ❌",
IF(AND(K773="SIM",V773=0),"ATENÇÃO: BC permitida, mas % = 0 🔎",
"Base de cálculo aplicada corretamente ✅")))</f>
        <v/>
      </c>
      <c r="P773" s="31" t="str">
        <f>IF(D773="","",
IF(AND(Q773&lt;&gt;"SIM",U773&gt;0),"ERRO: % alíquota &gt; 0, mas NÃO permitida ❌",
IF(AND(Q773="SIM",U773=0),"ATENÇÃO: alíquota permitida, mas % = 0 🔎",
"Alíquota aplicada corretamente ✅")))</f>
        <v/>
      </c>
      <c r="Q773" s="8" t="str">
        <f>IF(E773="","",IFERROR(VLOOKUP(E773,REGRAS_CST!$A$2:$D$200,4,FALSE),""))</f>
        <v/>
      </c>
      <c r="S773" s="9">
        <f>IF($H773="","",$H773*(1-$U773))</f>
        <v>8.9999999999999993E-3</v>
      </c>
      <c r="T773" s="9">
        <f>IF($I773="","",$I773*(1-$U773))</f>
        <v>1E-3</v>
      </c>
      <c r="U773" s="16">
        <f>IFERROR(INDEX(BASE_CCLASSTRIB!$E:$E, MATCH(TEXT($D773,"000000"), BASE_CCLASSTRIB!$A:$A, 0))/100, 0)</f>
        <v>0</v>
      </c>
      <c r="V773" s="16">
        <f>IFERROR(INDEX(BASE_CCLASSTRIB!$F:$F, MATCH(TEXT($D773,"000000"), BASE_CCLASSTRIB!$A:$A, 0))/100, 0)</f>
        <v>0</v>
      </c>
    </row>
    <row r="774" spans="4:22" ht="32.25" customHeight="1">
      <c r="D774" s="39"/>
      <c r="E774" s="27" t="str">
        <f>IF(D774="","",LEFT(D774,3))</f>
        <v/>
      </c>
      <c r="F774" s="28" t="str">
        <f>IF(E774="","",IFERROR(VLOOKUP(E774,REGRAS_CST!$A$2:$B$200,2,FALSE),""))</f>
        <v/>
      </c>
      <c r="H774" s="29">
        <v>8.9999999999999993E-3</v>
      </c>
      <c r="I774" s="29">
        <v>1E-3</v>
      </c>
      <c r="K774" s="21" t="str">
        <f>IF(E774="","",IFERROR(VLOOKUP(E774,REGRAS_CST!$A$2:$C$200,3,FALSE),""))</f>
        <v/>
      </c>
      <c r="L774" s="23" t="str">
        <f>IF($G774="", "", $G774*(1-$V774))</f>
        <v/>
      </c>
      <c r="M774" s="24" t="str">
        <f>IF(OR($L774="",$S774=""),"",$L774*$S774)</f>
        <v/>
      </c>
      <c r="N774" s="24" t="str">
        <f>IF(OR($L774="",$T774=""),"",$L774*$T774)</f>
        <v/>
      </c>
      <c r="O774" s="15" t="str">
        <f>IF(D774="","",
IF(AND(K774&lt;&gt;"SIM",V774&gt;0),"ERRO: % BC &gt; 0, mas NÃO permitida ❌",
IF(AND(K774="SIM",V774=0),"ATENÇÃO: BC permitida, mas % = 0 🔎",
"Base de cálculo aplicada corretamente ✅")))</f>
        <v/>
      </c>
      <c r="P774" s="31" t="str">
        <f>IF(D774="","",
IF(AND(Q774&lt;&gt;"SIM",U774&gt;0),"ERRO: % alíquota &gt; 0, mas NÃO permitida ❌",
IF(AND(Q774="SIM",U774=0),"ATENÇÃO: alíquota permitida, mas % = 0 🔎",
"Alíquota aplicada corretamente ✅")))</f>
        <v/>
      </c>
      <c r="Q774" s="8" t="str">
        <f>IF(E774="","",IFERROR(VLOOKUP(E774,REGRAS_CST!$A$2:$D$200,4,FALSE),""))</f>
        <v/>
      </c>
      <c r="S774" s="9">
        <f>IF($H774="","",$H774*(1-$U774))</f>
        <v>8.9999999999999993E-3</v>
      </c>
      <c r="T774" s="9">
        <f>IF($I774="","",$I774*(1-$U774))</f>
        <v>1E-3</v>
      </c>
      <c r="U774" s="16">
        <f>IFERROR(INDEX(BASE_CCLASSTRIB!$E:$E, MATCH(TEXT($D774,"000000"), BASE_CCLASSTRIB!$A:$A, 0))/100, 0)</f>
        <v>0</v>
      </c>
      <c r="V774" s="16">
        <f>IFERROR(INDEX(BASE_CCLASSTRIB!$F:$F, MATCH(TEXT($D774,"000000"), BASE_CCLASSTRIB!$A:$A, 0))/100, 0)</f>
        <v>0</v>
      </c>
    </row>
    <row r="775" spans="4:22" ht="32.25" customHeight="1">
      <c r="D775" s="39"/>
      <c r="E775" s="27" t="str">
        <f>IF(D775="","",LEFT(D775,3))</f>
        <v/>
      </c>
      <c r="F775" s="28" t="str">
        <f>IF(E775="","",IFERROR(VLOOKUP(E775,REGRAS_CST!$A$2:$B$200,2,FALSE),""))</f>
        <v/>
      </c>
      <c r="H775" s="29">
        <v>8.9999999999999993E-3</v>
      </c>
      <c r="I775" s="29">
        <v>1E-3</v>
      </c>
      <c r="K775" s="21" t="str">
        <f>IF(E775="","",IFERROR(VLOOKUP(E775,REGRAS_CST!$A$2:$C$200,3,FALSE),""))</f>
        <v/>
      </c>
      <c r="L775" s="23" t="str">
        <f>IF($G775="", "", $G775*(1-$V775))</f>
        <v/>
      </c>
      <c r="M775" s="24" t="str">
        <f>IF(OR($L775="",$S775=""),"",$L775*$S775)</f>
        <v/>
      </c>
      <c r="N775" s="24" t="str">
        <f>IF(OR($L775="",$T775=""),"",$L775*$T775)</f>
        <v/>
      </c>
      <c r="O775" s="15" t="str">
        <f>IF(D775="","",
IF(AND(K775&lt;&gt;"SIM",V775&gt;0),"ERRO: % BC &gt; 0, mas NÃO permitida ❌",
IF(AND(K775="SIM",V775=0),"ATENÇÃO: BC permitida, mas % = 0 🔎",
"Base de cálculo aplicada corretamente ✅")))</f>
        <v/>
      </c>
      <c r="P775" s="31" t="str">
        <f>IF(D775="","",
IF(AND(Q775&lt;&gt;"SIM",U775&gt;0),"ERRO: % alíquota &gt; 0, mas NÃO permitida ❌",
IF(AND(Q775="SIM",U775=0),"ATENÇÃO: alíquota permitida, mas % = 0 🔎",
"Alíquota aplicada corretamente ✅")))</f>
        <v/>
      </c>
      <c r="Q775" s="8" t="str">
        <f>IF(E775="","",IFERROR(VLOOKUP(E775,REGRAS_CST!$A$2:$D$200,4,FALSE),""))</f>
        <v/>
      </c>
      <c r="S775" s="9">
        <f>IF($H775="","",$H775*(1-$U775))</f>
        <v>8.9999999999999993E-3</v>
      </c>
      <c r="T775" s="9">
        <f>IF($I775="","",$I775*(1-$U775))</f>
        <v>1E-3</v>
      </c>
      <c r="U775" s="16">
        <f>IFERROR(INDEX(BASE_CCLASSTRIB!$E:$E, MATCH(TEXT($D775,"000000"), BASE_CCLASSTRIB!$A:$A, 0))/100, 0)</f>
        <v>0</v>
      </c>
      <c r="V775" s="16">
        <f>IFERROR(INDEX(BASE_CCLASSTRIB!$F:$F, MATCH(TEXT($D775,"000000"), BASE_CCLASSTRIB!$A:$A, 0))/100, 0)</f>
        <v>0</v>
      </c>
    </row>
    <row r="776" spans="4:22" ht="32.25" customHeight="1">
      <c r="D776" s="39"/>
      <c r="E776" s="27" t="str">
        <f>IF(D776="","",LEFT(D776,3))</f>
        <v/>
      </c>
      <c r="F776" s="28" t="str">
        <f>IF(E776="","",IFERROR(VLOOKUP(E776,REGRAS_CST!$A$2:$B$200,2,FALSE),""))</f>
        <v/>
      </c>
      <c r="H776" s="29">
        <v>8.9999999999999993E-3</v>
      </c>
      <c r="I776" s="29">
        <v>1E-3</v>
      </c>
      <c r="K776" s="21" t="str">
        <f>IF(E776="","",IFERROR(VLOOKUP(E776,REGRAS_CST!$A$2:$C$200,3,FALSE),""))</f>
        <v/>
      </c>
      <c r="L776" s="23" t="str">
        <f>IF($G776="", "", $G776*(1-$V776))</f>
        <v/>
      </c>
      <c r="M776" s="24" t="str">
        <f>IF(OR($L776="",$S776=""),"",$L776*$S776)</f>
        <v/>
      </c>
      <c r="N776" s="24" t="str">
        <f>IF(OR($L776="",$T776=""),"",$L776*$T776)</f>
        <v/>
      </c>
      <c r="O776" s="15" t="str">
        <f>IF(D776="","",
IF(AND(K776&lt;&gt;"SIM",V776&gt;0),"ERRO: % BC &gt; 0, mas NÃO permitida ❌",
IF(AND(K776="SIM",V776=0),"ATENÇÃO: BC permitida, mas % = 0 🔎",
"Base de cálculo aplicada corretamente ✅")))</f>
        <v/>
      </c>
      <c r="P776" s="31" t="str">
        <f>IF(D776="","",
IF(AND(Q776&lt;&gt;"SIM",U776&gt;0),"ERRO: % alíquota &gt; 0, mas NÃO permitida ❌",
IF(AND(Q776="SIM",U776=0),"ATENÇÃO: alíquota permitida, mas % = 0 🔎",
"Alíquota aplicada corretamente ✅")))</f>
        <v/>
      </c>
      <c r="Q776" s="8" t="str">
        <f>IF(E776="","",IFERROR(VLOOKUP(E776,REGRAS_CST!$A$2:$D$200,4,FALSE),""))</f>
        <v/>
      </c>
      <c r="S776" s="9">
        <f>IF($H776="","",$H776*(1-$U776))</f>
        <v>8.9999999999999993E-3</v>
      </c>
      <c r="T776" s="9">
        <f>IF($I776="","",$I776*(1-$U776))</f>
        <v>1E-3</v>
      </c>
      <c r="U776" s="16">
        <f>IFERROR(INDEX(BASE_CCLASSTRIB!$E:$E, MATCH(TEXT($D776,"000000"), BASE_CCLASSTRIB!$A:$A, 0))/100, 0)</f>
        <v>0</v>
      </c>
      <c r="V776" s="16">
        <f>IFERROR(INDEX(BASE_CCLASSTRIB!$F:$F, MATCH(TEXT($D776,"000000"), BASE_CCLASSTRIB!$A:$A, 0))/100, 0)</f>
        <v>0</v>
      </c>
    </row>
    <row r="777" spans="4:22" ht="32.25" customHeight="1">
      <c r="D777" s="40"/>
      <c r="E777" s="27" t="str">
        <f>IF(D777="","",LEFT(D777,3))</f>
        <v/>
      </c>
      <c r="F777" s="28" t="str">
        <f>IF(E777="","",IFERROR(VLOOKUP(E777,REGRAS_CST!$A$2:$B$200,2,FALSE),""))</f>
        <v/>
      </c>
      <c r="H777" s="29">
        <v>8.9999999999999993E-3</v>
      </c>
      <c r="I777" s="29">
        <v>1E-3</v>
      </c>
      <c r="K777" s="21" t="str">
        <f>IF(E777="","",IFERROR(VLOOKUP(E777,REGRAS_CST!$A$2:$C$200,3,FALSE),""))</f>
        <v/>
      </c>
      <c r="L777" s="23" t="str">
        <f>IF($G777="", "", $G777*(1-$V777))</f>
        <v/>
      </c>
      <c r="M777" s="24" t="str">
        <f>IF(OR($L777="",$S777=""),"",$L777*$S777)</f>
        <v/>
      </c>
      <c r="N777" s="24" t="str">
        <f>IF(OR($L777="",$T777=""),"",$L777*$T777)</f>
        <v/>
      </c>
      <c r="O777" s="15" t="str">
        <f>IF(D777="","",
IF(AND(K777&lt;&gt;"SIM",V777&gt;0),"ERRO: % BC &gt; 0, mas NÃO permitida ❌",
IF(AND(K777="SIM",V777=0),"ATENÇÃO: BC permitida, mas % = 0 🔎",
"Base de cálculo aplicada corretamente ✅")))</f>
        <v/>
      </c>
      <c r="P777" s="31" t="str">
        <f>IF(D777="","",
IF(AND(Q777&lt;&gt;"SIM",U777&gt;0),"ERRO: % alíquota &gt; 0, mas NÃO permitida ❌",
IF(AND(Q777="SIM",U777=0),"ATENÇÃO: alíquota permitida, mas % = 0 🔎",
"Alíquota aplicada corretamente ✅")))</f>
        <v/>
      </c>
      <c r="Q777" s="8" t="str">
        <f>IF(E777="","",IFERROR(VLOOKUP(E777,REGRAS_CST!$A$2:$D$200,4,FALSE),""))</f>
        <v/>
      </c>
      <c r="S777" s="9">
        <f>IF($H777="","",$H777*(1-$U777))</f>
        <v>8.9999999999999993E-3</v>
      </c>
      <c r="T777" s="9">
        <f>IF($I777="","",$I777*(1-$U777))</f>
        <v>1E-3</v>
      </c>
      <c r="U777" s="16">
        <f>IFERROR(INDEX(BASE_CCLASSTRIB!$E:$E, MATCH(TEXT($D777,"000000"), BASE_CCLASSTRIB!$A:$A, 0))/100, 0)</f>
        <v>0</v>
      </c>
      <c r="V777" s="16">
        <f>IFERROR(INDEX(BASE_CCLASSTRIB!$F:$F, MATCH(TEXT($D777,"000000"), BASE_CCLASSTRIB!$A:$A, 0))/100, 0)</f>
        <v>0</v>
      </c>
    </row>
    <row r="778" spans="4:22" ht="32.25" customHeight="1">
      <c r="D778" s="40"/>
      <c r="E778" s="27" t="str">
        <f>IF(D778="","",LEFT(D778,3))</f>
        <v/>
      </c>
      <c r="F778" s="28" t="str">
        <f>IF(E778="","",IFERROR(VLOOKUP(E778,REGRAS_CST!$A$2:$B$200,2,FALSE),""))</f>
        <v/>
      </c>
      <c r="H778" s="29">
        <v>8.9999999999999993E-3</v>
      </c>
      <c r="I778" s="29">
        <v>1E-3</v>
      </c>
      <c r="K778" s="21" t="str">
        <f>IF(E778="","",IFERROR(VLOOKUP(E778,REGRAS_CST!$A$2:$C$200,3,FALSE),""))</f>
        <v/>
      </c>
      <c r="L778" s="23" t="str">
        <f>IF($G778="", "", $G778*(1-$V778))</f>
        <v/>
      </c>
      <c r="M778" s="24" t="str">
        <f>IF(OR($L778="",$S778=""),"",$L778*$S778)</f>
        <v/>
      </c>
      <c r="N778" s="24" t="str">
        <f>IF(OR($L778="",$T778=""),"",$L778*$T778)</f>
        <v/>
      </c>
      <c r="O778" s="15" t="str">
        <f>IF(D778="","",
IF(AND(K778&lt;&gt;"SIM",V778&gt;0),"ERRO: % BC &gt; 0, mas NÃO permitida ❌",
IF(AND(K778="SIM",V778=0),"ATENÇÃO: BC permitida, mas % = 0 🔎",
"Base de cálculo aplicada corretamente ✅")))</f>
        <v/>
      </c>
      <c r="P778" s="31" t="str">
        <f>IF(D778="","",
IF(AND(Q778&lt;&gt;"SIM",U778&gt;0),"ERRO: % alíquota &gt; 0, mas NÃO permitida ❌",
IF(AND(Q778="SIM",U778=0),"ATENÇÃO: alíquota permitida, mas % = 0 🔎",
"Alíquota aplicada corretamente ✅")))</f>
        <v/>
      </c>
      <c r="Q778" s="8" t="str">
        <f>IF(E778="","",IFERROR(VLOOKUP(E778,REGRAS_CST!$A$2:$D$200,4,FALSE),""))</f>
        <v/>
      </c>
      <c r="S778" s="9">
        <f>IF($H778="","",$H778*(1-$U778))</f>
        <v>8.9999999999999993E-3</v>
      </c>
      <c r="T778" s="9">
        <f>IF($I778="","",$I778*(1-$U778))</f>
        <v>1E-3</v>
      </c>
      <c r="U778" s="16">
        <f>IFERROR(INDEX(BASE_CCLASSTRIB!$E:$E, MATCH(TEXT($D778,"000000"), BASE_CCLASSTRIB!$A:$A, 0))/100, 0)</f>
        <v>0</v>
      </c>
      <c r="V778" s="16">
        <f>IFERROR(INDEX(BASE_CCLASSTRIB!$F:$F, MATCH(TEXT($D778,"000000"), BASE_CCLASSTRIB!$A:$A, 0))/100, 0)</f>
        <v>0</v>
      </c>
    </row>
    <row r="779" spans="4:22" ht="32.25" customHeight="1">
      <c r="D779" s="39"/>
      <c r="E779" s="27" t="str">
        <f>IF(D779="","",LEFT(D779,3))</f>
        <v/>
      </c>
      <c r="F779" s="28" t="str">
        <f>IF(E779="","",IFERROR(VLOOKUP(E779,REGRAS_CST!$A$2:$B$200,2,FALSE),""))</f>
        <v/>
      </c>
      <c r="H779" s="29">
        <v>8.9999999999999993E-3</v>
      </c>
      <c r="I779" s="29">
        <v>1E-3</v>
      </c>
      <c r="K779" s="21" t="str">
        <f>IF(E779="","",IFERROR(VLOOKUP(E779,REGRAS_CST!$A$2:$C$200,3,FALSE),""))</f>
        <v/>
      </c>
      <c r="L779" s="23" t="str">
        <f>IF($G779="", "", $G779*(1-$V779))</f>
        <v/>
      </c>
      <c r="M779" s="24" t="str">
        <f>IF(OR($L779="",$S779=""),"",$L779*$S779)</f>
        <v/>
      </c>
      <c r="N779" s="24" t="str">
        <f>IF(OR($L779="",$T779=""),"",$L779*$T779)</f>
        <v/>
      </c>
      <c r="O779" s="15" t="str">
        <f>IF(D779="","",
IF(AND(K779&lt;&gt;"SIM",V779&gt;0),"ERRO: % BC &gt; 0, mas NÃO permitida ❌",
IF(AND(K779="SIM",V779=0),"ATENÇÃO: BC permitida, mas % = 0 🔎",
"Base de cálculo aplicada corretamente ✅")))</f>
        <v/>
      </c>
      <c r="P779" s="31" t="str">
        <f>IF(D779="","",
IF(AND(Q779&lt;&gt;"SIM",U779&gt;0),"ERRO: % alíquota &gt; 0, mas NÃO permitida ❌",
IF(AND(Q779="SIM",U779=0),"ATENÇÃO: alíquota permitida, mas % = 0 🔎",
"Alíquota aplicada corretamente ✅")))</f>
        <v/>
      </c>
      <c r="Q779" s="8" t="str">
        <f>IF(E779="","",IFERROR(VLOOKUP(E779,REGRAS_CST!$A$2:$D$200,4,FALSE),""))</f>
        <v/>
      </c>
      <c r="S779" s="9">
        <f>IF($H779="","",$H779*(1-$U779))</f>
        <v>8.9999999999999993E-3</v>
      </c>
      <c r="T779" s="9">
        <f>IF($I779="","",$I779*(1-$U779))</f>
        <v>1E-3</v>
      </c>
      <c r="U779" s="16">
        <f>IFERROR(INDEX(BASE_CCLASSTRIB!$E:$E, MATCH(TEXT($D779,"000000"), BASE_CCLASSTRIB!$A:$A, 0))/100, 0)</f>
        <v>0</v>
      </c>
      <c r="V779" s="16">
        <f>IFERROR(INDEX(BASE_CCLASSTRIB!$F:$F, MATCH(TEXT($D779,"000000"), BASE_CCLASSTRIB!$A:$A, 0))/100, 0)</f>
        <v>0</v>
      </c>
    </row>
    <row r="780" spans="4:22" ht="32.25" customHeight="1">
      <c r="D780" s="39"/>
      <c r="E780" s="27" t="str">
        <f>IF(D780="","",LEFT(D780,3))</f>
        <v/>
      </c>
      <c r="F780" s="28" t="str">
        <f>IF(E780="","",IFERROR(VLOOKUP(E780,REGRAS_CST!$A$2:$B$200,2,FALSE),""))</f>
        <v/>
      </c>
      <c r="H780" s="29">
        <v>8.9999999999999993E-3</v>
      </c>
      <c r="I780" s="29">
        <v>1E-3</v>
      </c>
      <c r="K780" s="21" t="str">
        <f>IF(E780="","",IFERROR(VLOOKUP(E780,REGRAS_CST!$A$2:$C$200,3,FALSE),""))</f>
        <v/>
      </c>
      <c r="L780" s="23" t="str">
        <f>IF($G780="", "", $G780*(1-$V780))</f>
        <v/>
      </c>
      <c r="M780" s="24" t="str">
        <f>IF(OR($L780="",$S780=""),"",$L780*$S780)</f>
        <v/>
      </c>
      <c r="N780" s="24" t="str">
        <f>IF(OR($L780="",$T780=""),"",$L780*$T780)</f>
        <v/>
      </c>
      <c r="O780" s="15" t="str">
        <f>IF(D780="","",
IF(AND(K780&lt;&gt;"SIM",V780&gt;0),"ERRO: % BC &gt; 0, mas NÃO permitida ❌",
IF(AND(K780="SIM",V780=0),"ATENÇÃO: BC permitida, mas % = 0 🔎",
"Base de cálculo aplicada corretamente ✅")))</f>
        <v/>
      </c>
      <c r="P780" s="31" t="str">
        <f>IF(D780="","",
IF(AND(Q780&lt;&gt;"SIM",U780&gt;0),"ERRO: % alíquota &gt; 0, mas NÃO permitida ❌",
IF(AND(Q780="SIM",U780=0),"ATENÇÃO: alíquota permitida, mas % = 0 🔎",
"Alíquota aplicada corretamente ✅")))</f>
        <v/>
      </c>
      <c r="Q780" s="8" t="str">
        <f>IF(E780="","",IFERROR(VLOOKUP(E780,REGRAS_CST!$A$2:$D$200,4,FALSE),""))</f>
        <v/>
      </c>
      <c r="S780" s="9">
        <f>IF($H780="","",$H780*(1-$U780))</f>
        <v>8.9999999999999993E-3</v>
      </c>
      <c r="T780" s="9">
        <f>IF($I780="","",$I780*(1-$U780))</f>
        <v>1E-3</v>
      </c>
      <c r="U780" s="16">
        <f>IFERROR(INDEX(BASE_CCLASSTRIB!$E:$E, MATCH(TEXT($D780,"000000"), BASE_CCLASSTRIB!$A:$A, 0))/100, 0)</f>
        <v>0</v>
      </c>
      <c r="V780" s="16">
        <f>IFERROR(INDEX(BASE_CCLASSTRIB!$F:$F, MATCH(TEXT($D780,"000000"), BASE_CCLASSTRIB!$A:$A, 0))/100, 0)</f>
        <v>0</v>
      </c>
    </row>
    <row r="781" spans="4:22" ht="32.25" customHeight="1">
      <c r="D781" s="39"/>
      <c r="E781" s="27" t="str">
        <f>IF(D781="","",LEFT(D781,3))</f>
        <v/>
      </c>
      <c r="F781" s="28" t="str">
        <f>IF(E781="","",IFERROR(VLOOKUP(E781,REGRAS_CST!$A$2:$B$200,2,FALSE),""))</f>
        <v/>
      </c>
      <c r="H781" s="29">
        <v>8.9999999999999993E-3</v>
      </c>
      <c r="I781" s="29">
        <v>1E-3</v>
      </c>
      <c r="K781" s="21" t="str">
        <f>IF(E781="","",IFERROR(VLOOKUP(E781,REGRAS_CST!$A$2:$C$200,3,FALSE),""))</f>
        <v/>
      </c>
      <c r="L781" s="23" t="str">
        <f>IF($G781="", "", $G781*(1-$V781))</f>
        <v/>
      </c>
      <c r="M781" s="24" t="str">
        <f>IF(OR($L781="",$S781=""),"",$L781*$S781)</f>
        <v/>
      </c>
      <c r="N781" s="24" t="str">
        <f>IF(OR($L781="",$T781=""),"",$L781*$T781)</f>
        <v/>
      </c>
      <c r="O781" s="15" t="str">
        <f>IF(D781="","",
IF(AND(K781&lt;&gt;"SIM",V781&gt;0),"ERRO: % BC &gt; 0, mas NÃO permitida ❌",
IF(AND(K781="SIM",V781=0),"ATENÇÃO: BC permitida, mas % = 0 🔎",
"Base de cálculo aplicada corretamente ✅")))</f>
        <v/>
      </c>
      <c r="P781" s="31" t="str">
        <f>IF(D781="","",
IF(AND(Q781&lt;&gt;"SIM",U781&gt;0),"ERRO: % alíquota &gt; 0, mas NÃO permitida ❌",
IF(AND(Q781="SIM",U781=0),"ATENÇÃO: alíquota permitida, mas % = 0 🔎",
"Alíquota aplicada corretamente ✅")))</f>
        <v/>
      </c>
      <c r="Q781" s="8" t="str">
        <f>IF(E781="","",IFERROR(VLOOKUP(E781,REGRAS_CST!$A$2:$D$200,4,FALSE),""))</f>
        <v/>
      </c>
      <c r="S781" s="9">
        <f>IF($H781="","",$H781*(1-$U781))</f>
        <v>8.9999999999999993E-3</v>
      </c>
      <c r="T781" s="9">
        <f>IF($I781="","",$I781*(1-$U781))</f>
        <v>1E-3</v>
      </c>
      <c r="U781" s="16">
        <f>IFERROR(INDEX(BASE_CCLASSTRIB!$E:$E, MATCH(TEXT($D781,"000000"), BASE_CCLASSTRIB!$A:$A, 0))/100, 0)</f>
        <v>0</v>
      </c>
      <c r="V781" s="16">
        <f>IFERROR(INDEX(BASE_CCLASSTRIB!$F:$F, MATCH(TEXT($D781,"000000"), BASE_CCLASSTRIB!$A:$A, 0))/100, 0)</f>
        <v>0</v>
      </c>
    </row>
    <row r="782" spans="4:22" ht="32.25" customHeight="1">
      <c r="D782" s="39"/>
      <c r="E782" s="27" t="str">
        <f>IF(D782="","",LEFT(D782,3))</f>
        <v/>
      </c>
      <c r="F782" s="28" t="str">
        <f>IF(E782="","",IFERROR(VLOOKUP(E782,REGRAS_CST!$A$2:$B$200,2,FALSE),""))</f>
        <v/>
      </c>
      <c r="H782" s="29">
        <v>8.9999999999999993E-3</v>
      </c>
      <c r="I782" s="29">
        <v>1E-3</v>
      </c>
      <c r="K782" s="21" t="str">
        <f>IF(E782="","",IFERROR(VLOOKUP(E782,REGRAS_CST!$A$2:$C$200,3,FALSE),""))</f>
        <v/>
      </c>
      <c r="L782" s="23" t="str">
        <f>IF($G782="", "", $G782*(1-$V782))</f>
        <v/>
      </c>
      <c r="M782" s="24" t="str">
        <f>IF(OR($L782="",$S782=""),"",$L782*$S782)</f>
        <v/>
      </c>
      <c r="N782" s="24" t="str">
        <f>IF(OR($L782="",$T782=""),"",$L782*$T782)</f>
        <v/>
      </c>
      <c r="O782" s="15" t="str">
        <f>IF(D782="","",
IF(AND(K782&lt;&gt;"SIM",V782&gt;0),"ERRO: % BC &gt; 0, mas NÃO permitida ❌",
IF(AND(K782="SIM",V782=0),"ATENÇÃO: BC permitida, mas % = 0 🔎",
"Base de cálculo aplicada corretamente ✅")))</f>
        <v/>
      </c>
      <c r="P782" s="31" t="str">
        <f>IF(D782="","",
IF(AND(Q782&lt;&gt;"SIM",U782&gt;0),"ERRO: % alíquota &gt; 0, mas NÃO permitida ❌",
IF(AND(Q782="SIM",U782=0),"ATENÇÃO: alíquota permitida, mas % = 0 🔎",
"Alíquota aplicada corretamente ✅")))</f>
        <v/>
      </c>
      <c r="Q782" s="8" t="str">
        <f>IF(E782="","",IFERROR(VLOOKUP(E782,REGRAS_CST!$A$2:$D$200,4,FALSE),""))</f>
        <v/>
      </c>
      <c r="S782" s="9">
        <f>IF($H782="","",$H782*(1-$U782))</f>
        <v>8.9999999999999993E-3</v>
      </c>
      <c r="T782" s="9">
        <f>IF($I782="","",$I782*(1-$U782))</f>
        <v>1E-3</v>
      </c>
      <c r="U782" s="16">
        <f>IFERROR(INDEX(BASE_CCLASSTRIB!$E:$E, MATCH(TEXT($D782,"000000"), BASE_CCLASSTRIB!$A:$A, 0))/100, 0)</f>
        <v>0</v>
      </c>
      <c r="V782" s="16">
        <f>IFERROR(INDEX(BASE_CCLASSTRIB!$F:$F, MATCH(TEXT($D782,"000000"), BASE_CCLASSTRIB!$A:$A, 0))/100, 0)</f>
        <v>0</v>
      </c>
    </row>
    <row r="783" spans="4:22" ht="32.25" customHeight="1">
      <c r="D783" s="39"/>
      <c r="E783" s="27" t="str">
        <f>IF(D783="","",LEFT(D783,3))</f>
        <v/>
      </c>
      <c r="F783" s="28" t="str">
        <f>IF(E783="","",IFERROR(VLOOKUP(E783,REGRAS_CST!$A$2:$B$200,2,FALSE),""))</f>
        <v/>
      </c>
      <c r="H783" s="29">
        <v>8.9999999999999993E-3</v>
      </c>
      <c r="I783" s="29">
        <v>1E-3</v>
      </c>
      <c r="K783" s="21" t="str">
        <f>IF(E783="","",IFERROR(VLOOKUP(E783,REGRAS_CST!$A$2:$C$200,3,FALSE),""))</f>
        <v/>
      </c>
      <c r="L783" s="23" t="str">
        <f>IF($G783="", "", $G783*(1-$V783))</f>
        <v/>
      </c>
      <c r="M783" s="24" t="str">
        <f>IF(OR($L783="",$S783=""),"",$L783*$S783)</f>
        <v/>
      </c>
      <c r="N783" s="24" t="str">
        <f>IF(OR($L783="",$T783=""),"",$L783*$T783)</f>
        <v/>
      </c>
      <c r="O783" s="15" t="str">
        <f>IF(D783="","",
IF(AND(K783&lt;&gt;"SIM",V783&gt;0),"ERRO: % BC &gt; 0, mas NÃO permitida ❌",
IF(AND(K783="SIM",V783=0),"ATENÇÃO: BC permitida, mas % = 0 🔎",
"Base de cálculo aplicada corretamente ✅")))</f>
        <v/>
      </c>
      <c r="P783" s="31" t="str">
        <f>IF(D783="","",
IF(AND(Q783&lt;&gt;"SIM",U783&gt;0),"ERRO: % alíquota &gt; 0, mas NÃO permitida ❌",
IF(AND(Q783="SIM",U783=0),"ATENÇÃO: alíquota permitida, mas % = 0 🔎",
"Alíquota aplicada corretamente ✅")))</f>
        <v/>
      </c>
      <c r="Q783" s="8" t="str">
        <f>IF(E783="","",IFERROR(VLOOKUP(E783,REGRAS_CST!$A$2:$D$200,4,FALSE),""))</f>
        <v/>
      </c>
      <c r="S783" s="9">
        <f>IF($H783="","",$H783*(1-$U783))</f>
        <v>8.9999999999999993E-3</v>
      </c>
      <c r="T783" s="9">
        <f>IF($I783="","",$I783*(1-$U783))</f>
        <v>1E-3</v>
      </c>
      <c r="U783" s="16">
        <f>IFERROR(INDEX(BASE_CCLASSTRIB!$E:$E, MATCH(TEXT($D783,"000000"), BASE_CCLASSTRIB!$A:$A, 0))/100, 0)</f>
        <v>0</v>
      </c>
      <c r="V783" s="16">
        <f>IFERROR(INDEX(BASE_CCLASSTRIB!$F:$F, MATCH(TEXT($D783,"000000"), BASE_CCLASSTRIB!$A:$A, 0))/100, 0)</f>
        <v>0</v>
      </c>
    </row>
    <row r="784" spans="4:22" ht="32.25" customHeight="1">
      <c r="D784" s="39"/>
      <c r="E784" s="27" t="str">
        <f>IF(D784="","",LEFT(D784,3))</f>
        <v/>
      </c>
      <c r="F784" s="28" t="str">
        <f>IF(E784="","",IFERROR(VLOOKUP(E784,REGRAS_CST!$A$2:$B$200,2,FALSE),""))</f>
        <v/>
      </c>
      <c r="H784" s="29">
        <v>8.9999999999999993E-3</v>
      </c>
      <c r="I784" s="29">
        <v>1E-3</v>
      </c>
      <c r="K784" s="21" t="str">
        <f>IF(E784="","",IFERROR(VLOOKUP(E784,REGRAS_CST!$A$2:$C$200,3,FALSE),""))</f>
        <v/>
      </c>
      <c r="L784" s="23" t="str">
        <f>IF($G784="", "", $G784*(1-$V784))</f>
        <v/>
      </c>
      <c r="M784" s="24" t="str">
        <f>IF(OR($L784="",$S784=""),"",$L784*$S784)</f>
        <v/>
      </c>
      <c r="N784" s="24" t="str">
        <f>IF(OR($L784="",$T784=""),"",$L784*$T784)</f>
        <v/>
      </c>
      <c r="O784" s="15" t="str">
        <f>IF(D784="","",
IF(AND(K784&lt;&gt;"SIM",V784&gt;0),"ERRO: % BC &gt; 0, mas NÃO permitida ❌",
IF(AND(K784="SIM",V784=0),"ATENÇÃO: BC permitida, mas % = 0 🔎",
"Base de cálculo aplicada corretamente ✅")))</f>
        <v/>
      </c>
      <c r="P784" s="31" t="str">
        <f>IF(D784="","",
IF(AND(Q784&lt;&gt;"SIM",U784&gt;0),"ERRO: % alíquota &gt; 0, mas NÃO permitida ❌",
IF(AND(Q784="SIM",U784=0),"ATENÇÃO: alíquota permitida, mas % = 0 🔎",
"Alíquota aplicada corretamente ✅")))</f>
        <v/>
      </c>
      <c r="Q784" s="8" t="str">
        <f>IF(E784="","",IFERROR(VLOOKUP(E784,REGRAS_CST!$A$2:$D$200,4,FALSE),""))</f>
        <v/>
      </c>
      <c r="S784" s="9">
        <f>IF($H784="","",$H784*(1-$U784))</f>
        <v>8.9999999999999993E-3</v>
      </c>
      <c r="T784" s="9">
        <f>IF($I784="","",$I784*(1-$U784))</f>
        <v>1E-3</v>
      </c>
      <c r="U784" s="16">
        <f>IFERROR(INDEX(BASE_CCLASSTRIB!$E:$E, MATCH(TEXT($D784,"000000"), BASE_CCLASSTRIB!$A:$A, 0))/100, 0)</f>
        <v>0</v>
      </c>
      <c r="V784" s="16">
        <f>IFERROR(INDEX(BASE_CCLASSTRIB!$F:$F, MATCH(TEXT($D784,"000000"), BASE_CCLASSTRIB!$A:$A, 0))/100, 0)</f>
        <v>0</v>
      </c>
    </row>
    <row r="785" spans="4:22" ht="32.25" customHeight="1">
      <c r="D785" s="39"/>
      <c r="E785" s="27" t="str">
        <f>IF(D785="","",LEFT(D785,3))</f>
        <v/>
      </c>
      <c r="F785" s="28" t="str">
        <f>IF(E785="","",IFERROR(VLOOKUP(E785,REGRAS_CST!$A$2:$B$200,2,FALSE),""))</f>
        <v/>
      </c>
      <c r="H785" s="29">
        <v>8.9999999999999993E-3</v>
      </c>
      <c r="I785" s="29">
        <v>1E-3</v>
      </c>
      <c r="K785" s="21" t="str">
        <f>IF(E785="","",IFERROR(VLOOKUP(E785,REGRAS_CST!$A$2:$C$200,3,FALSE),""))</f>
        <v/>
      </c>
      <c r="L785" s="23" t="str">
        <f>IF($G785="", "", $G785*(1-$V785))</f>
        <v/>
      </c>
      <c r="M785" s="24" t="str">
        <f>IF(OR($L785="",$S785=""),"",$L785*$S785)</f>
        <v/>
      </c>
      <c r="N785" s="24" t="str">
        <f>IF(OR($L785="",$T785=""),"",$L785*$T785)</f>
        <v/>
      </c>
      <c r="O785" s="15" t="str">
        <f>IF(D785="","",
IF(AND(K785&lt;&gt;"SIM",V785&gt;0),"ERRO: % BC &gt; 0, mas NÃO permitida ❌",
IF(AND(K785="SIM",V785=0),"ATENÇÃO: BC permitida, mas % = 0 🔎",
"Base de cálculo aplicada corretamente ✅")))</f>
        <v/>
      </c>
      <c r="P785" s="31" t="str">
        <f>IF(D785="","",
IF(AND(Q785&lt;&gt;"SIM",U785&gt;0),"ERRO: % alíquota &gt; 0, mas NÃO permitida ❌",
IF(AND(Q785="SIM",U785=0),"ATENÇÃO: alíquota permitida, mas % = 0 🔎",
"Alíquota aplicada corretamente ✅")))</f>
        <v/>
      </c>
      <c r="Q785" s="8" t="str">
        <f>IF(E785="","",IFERROR(VLOOKUP(E785,REGRAS_CST!$A$2:$D$200,4,FALSE),""))</f>
        <v/>
      </c>
      <c r="S785" s="9">
        <f>IF($H785="","",$H785*(1-$U785))</f>
        <v>8.9999999999999993E-3</v>
      </c>
      <c r="T785" s="9">
        <f>IF($I785="","",$I785*(1-$U785))</f>
        <v>1E-3</v>
      </c>
      <c r="U785" s="16">
        <f>IFERROR(INDEX(BASE_CCLASSTRIB!$E:$E, MATCH(TEXT($D785,"000000"), BASE_CCLASSTRIB!$A:$A, 0))/100, 0)</f>
        <v>0</v>
      </c>
      <c r="V785" s="16">
        <f>IFERROR(INDEX(BASE_CCLASSTRIB!$F:$F, MATCH(TEXT($D785,"000000"), BASE_CCLASSTRIB!$A:$A, 0))/100, 0)</f>
        <v>0</v>
      </c>
    </row>
    <row r="786" spans="4:22" ht="32.25" customHeight="1">
      <c r="D786" s="40"/>
      <c r="E786" s="27" t="str">
        <f>IF(D786="","",LEFT(D786,3))</f>
        <v/>
      </c>
      <c r="F786" s="28" t="str">
        <f>IF(E786="","",IFERROR(VLOOKUP(E786,REGRAS_CST!$A$2:$B$200,2,FALSE),""))</f>
        <v/>
      </c>
      <c r="H786" s="29">
        <v>8.9999999999999993E-3</v>
      </c>
      <c r="I786" s="29">
        <v>1E-3</v>
      </c>
      <c r="K786" s="21" t="str">
        <f>IF(E786="","",IFERROR(VLOOKUP(E786,REGRAS_CST!$A$2:$C$200,3,FALSE),""))</f>
        <v/>
      </c>
      <c r="L786" s="23" t="str">
        <f>IF($G786="", "", $G786*(1-$V786))</f>
        <v/>
      </c>
      <c r="M786" s="24" t="str">
        <f>IF(OR($L786="",$S786=""),"",$L786*$S786)</f>
        <v/>
      </c>
      <c r="N786" s="24" t="str">
        <f>IF(OR($L786="",$T786=""),"",$L786*$T786)</f>
        <v/>
      </c>
      <c r="O786" s="15" t="str">
        <f>IF(D786="","",
IF(AND(K786&lt;&gt;"SIM",V786&gt;0),"ERRO: % BC &gt; 0, mas NÃO permitida ❌",
IF(AND(K786="SIM",V786=0),"ATENÇÃO: BC permitida, mas % = 0 🔎",
"Base de cálculo aplicada corretamente ✅")))</f>
        <v/>
      </c>
      <c r="P786" s="31" t="str">
        <f>IF(D786="","",
IF(AND(Q786&lt;&gt;"SIM",U786&gt;0),"ERRO: % alíquota &gt; 0, mas NÃO permitida ❌",
IF(AND(Q786="SIM",U786=0),"ATENÇÃO: alíquota permitida, mas % = 0 🔎",
"Alíquota aplicada corretamente ✅")))</f>
        <v/>
      </c>
      <c r="Q786" s="8" t="str">
        <f>IF(E786="","",IFERROR(VLOOKUP(E786,REGRAS_CST!$A$2:$D$200,4,FALSE),""))</f>
        <v/>
      </c>
      <c r="S786" s="9">
        <f>IF($H786="","",$H786*(1-$U786))</f>
        <v>8.9999999999999993E-3</v>
      </c>
      <c r="T786" s="9">
        <f>IF($I786="","",$I786*(1-$U786))</f>
        <v>1E-3</v>
      </c>
      <c r="U786" s="16">
        <f>IFERROR(INDEX(BASE_CCLASSTRIB!$E:$E, MATCH(TEXT($D786,"000000"), BASE_CCLASSTRIB!$A:$A, 0))/100, 0)</f>
        <v>0</v>
      </c>
      <c r="V786" s="16">
        <f>IFERROR(INDEX(BASE_CCLASSTRIB!$F:$F, MATCH(TEXT($D786,"000000"), BASE_CCLASSTRIB!$A:$A, 0))/100, 0)</f>
        <v>0</v>
      </c>
    </row>
    <row r="787" spans="4:22" ht="32.25" customHeight="1">
      <c r="D787" s="39"/>
      <c r="E787" s="27" t="str">
        <f>IF(D787="","",LEFT(D787,3))</f>
        <v/>
      </c>
      <c r="F787" s="28" t="str">
        <f>IF(E787="","",IFERROR(VLOOKUP(E787,REGRAS_CST!$A$2:$B$200,2,FALSE),""))</f>
        <v/>
      </c>
      <c r="H787" s="29">
        <v>8.9999999999999993E-3</v>
      </c>
      <c r="I787" s="29">
        <v>1E-3</v>
      </c>
      <c r="K787" s="21" t="str">
        <f>IF(E787="","",IFERROR(VLOOKUP(E787,REGRAS_CST!$A$2:$C$200,3,FALSE),""))</f>
        <v/>
      </c>
      <c r="L787" s="23" t="str">
        <f>IF($G787="", "", $G787*(1-$V787))</f>
        <v/>
      </c>
      <c r="M787" s="24" t="str">
        <f>IF(OR($L787="",$S787=""),"",$L787*$S787)</f>
        <v/>
      </c>
      <c r="N787" s="24" t="str">
        <f>IF(OR($L787="",$T787=""),"",$L787*$T787)</f>
        <v/>
      </c>
      <c r="O787" s="15" t="str">
        <f>IF(D787="","",
IF(AND(K787&lt;&gt;"SIM",V787&gt;0),"ERRO: % BC &gt; 0, mas NÃO permitida ❌",
IF(AND(K787="SIM",V787=0),"ATENÇÃO: BC permitida, mas % = 0 🔎",
"Base de cálculo aplicada corretamente ✅")))</f>
        <v/>
      </c>
      <c r="P787" s="31" t="str">
        <f>IF(D787="","",
IF(AND(Q787&lt;&gt;"SIM",U787&gt;0),"ERRO: % alíquota &gt; 0, mas NÃO permitida ❌",
IF(AND(Q787="SIM",U787=0),"ATENÇÃO: alíquota permitida, mas % = 0 🔎",
"Alíquota aplicada corretamente ✅")))</f>
        <v/>
      </c>
      <c r="Q787" s="8" t="str">
        <f>IF(E787="","",IFERROR(VLOOKUP(E787,REGRAS_CST!$A$2:$D$200,4,FALSE),""))</f>
        <v/>
      </c>
      <c r="S787" s="9">
        <f>IF($H787="","",$H787*(1-$U787))</f>
        <v>8.9999999999999993E-3</v>
      </c>
      <c r="T787" s="9">
        <f>IF($I787="","",$I787*(1-$U787))</f>
        <v>1E-3</v>
      </c>
      <c r="U787" s="16">
        <f>IFERROR(INDEX(BASE_CCLASSTRIB!$E:$E, MATCH(TEXT($D787,"000000"), BASE_CCLASSTRIB!$A:$A, 0))/100, 0)</f>
        <v>0</v>
      </c>
      <c r="V787" s="16">
        <f>IFERROR(INDEX(BASE_CCLASSTRIB!$F:$F, MATCH(TEXT($D787,"000000"), BASE_CCLASSTRIB!$A:$A, 0))/100, 0)</f>
        <v>0</v>
      </c>
    </row>
    <row r="788" spans="4:22" ht="32.25" customHeight="1">
      <c r="D788" s="39"/>
      <c r="E788" s="27" t="str">
        <f>IF(D788="","",LEFT(D788,3))</f>
        <v/>
      </c>
      <c r="F788" s="28" t="str">
        <f>IF(E788="","",IFERROR(VLOOKUP(E788,REGRAS_CST!$A$2:$B$200,2,FALSE),""))</f>
        <v/>
      </c>
      <c r="H788" s="29">
        <v>8.9999999999999993E-3</v>
      </c>
      <c r="I788" s="29">
        <v>1E-3</v>
      </c>
      <c r="K788" s="21" t="str">
        <f>IF(E788="","",IFERROR(VLOOKUP(E788,REGRAS_CST!$A$2:$C$200,3,FALSE),""))</f>
        <v/>
      </c>
      <c r="L788" s="23" t="str">
        <f>IF($G788="", "", $G788*(1-$V788))</f>
        <v/>
      </c>
      <c r="M788" s="24" t="str">
        <f>IF(OR($L788="",$S788=""),"",$L788*$S788)</f>
        <v/>
      </c>
      <c r="N788" s="24" t="str">
        <f>IF(OR($L788="",$T788=""),"",$L788*$T788)</f>
        <v/>
      </c>
      <c r="O788" s="15" t="str">
        <f>IF(D788="","",
IF(AND(K788&lt;&gt;"SIM",V788&gt;0),"ERRO: % BC &gt; 0, mas NÃO permitida ❌",
IF(AND(K788="SIM",V788=0),"ATENÇÃO: BC permitida, mas % = 0 🔎",
"Base de cálculo aplicada corretamente ✅")))</f>
        <v/>
      </c>
      <c r="P788" s="31" t="str">
        <f>IF(D788="","",
IF(AND(Q788&lt;&gt;"SIM",U788&gt;0),"ERRO: % alíquota &gt; 0, mas NÃO permitida ❌",
IF(AND(Q788="SIM",U788=0),"ATENÇÃO: alíquota permitida, mas % = 0 🔎",
"Alíquota aplicada corretamente ✅")))</f>
        <v/>
      </c>
      <c r="Q788" s="8" t="str">
        <f>IF(E788="","",IFERROR(VLOOKUP(E788,REGRAS_CST!$A$2:$D$200,4,FALSE),""))</f>
        <v/>
      </c>
      <c r="S788" s="9">
        <f>IF($H788="","",$H788*(1-$U788))</f>
        <v>8.9999999999999993E-3</v>
      </c>
      <c r="T788" s="9">
        <f>IF($I788="","",$I788*(1-$U788))</f>
        <v>1E-3</v>
      </c>
      <c r="U788" s="16">
        <f>IFERROR(INDEX(BASE_CCLASSTRIB!$E:$E, MATCH(TEXT($D788,"000000"), BASE_CCLASSTRIB!$A:$A, 0))/100, 0)</f>
        <v>0</v>
      </c>
      <c r="V788" s="16">
        <f>IFERROR(INDEX(BASE_CCLASSTRIB!$F:$F, MATCH(TEXT($D788,"000000"), BASE_CCLASSTRIB!$A:$A, 0))/100, 0)</f>
        <v>0</v>
      </c>
    </row>
    <row r="789" spans="4:22" ht="32.25" customHeight="1">
      <c r="D789" s="39"/>
      <c r="E789" s="27" t="str">
        <f>IF(D789="","",LEFT(D789,3))</f>
        <v/>
      </c>
      <c r="F789" s="28" t="str">
        <f>IF(E789="","",IFERROR(VLOOKUP(E789,REGRAS_CST!$A$2:$B$200,2,FALSE),""))</f>
        <v/>
      </c>
      <c r="H789" s="29">
        <v>8.9999999999999993E-3</v>
      </c>
      <c r="I789" s="29">
        <v>1E-3</v>
      </c>
      <c r="K789" s="21" t="str">
        <f>IF(E789="","",IFERROR(VLOOKUP(E789,REGRAS_CST!$A$2:$C$200,3,FALSE),""))</f>
        <v/>
      </c>
      <c r="L789" s="23" t="str">
        <f>IF($G789="", "", $G789*(1-$V789))</f>
        <v/>
      </c>
      <c r="M789" s="24" t="str">
        <f>IF(OR($L789="",$S789=""),"",$L789*$S789)</f>
        <v/>
      </c>
      <c r="N789" s="24" t="str">
        <f>IF(OR($L789="",$T789=""),"",$L789*$T789)</f>
        <v/>
      </c>
      <c r="O789" s="15" t="str">
        <f>IF(D789="","",
IF(AND(K789&lt;&gt;"SIM",V789&gt;0),"ERRO: % BC &gt; 0, mas NÃO permitida ❌",
IF(AND(K789="SIM",V789=0),"ATENÇÃO: BC permitida, mas % = 0 🔎",
"Base de cálculo aplicada corretamente ✅")))</f>
        <v/>
      </c>
      <c r="P789" s="31" t="str">
        <f>IF(D789="","",
IF(AND(Q789&lt;&gt;"SIM",U789&gt;0),"ERRO: % alíquota &gt; 0, mas NÃO permitida ❌",
IF(AND(Q789="SIM",U789=0),"ATENÇÃO: alíquota permitida, mas % = 0 🔎",
"Alíquota aplicada corretamente ✅")))</f>
        <v/>
      </c>
      <c r="Q789" s="8" t="str">
        <f>IF(E789="","",IFERROR(VLOOKUP(E789,REGRAS_CST!$A$2:$D$200,4,FALSE),""))</f>
        <v/>
      </c>
      <c r="S789" s="9">
        <f>IF($H789="","",$H789*(1-$U789))</f>
        <v>8.9999999999999993E-3</v>
      </c>
      <c r="T789" s="9">
        <f>IF($I789="","",$I789*(1-$U789))</f>
        <v>1E-3</v>
      </c>
      <c r="U789" s="16">
        <f>IFERROR(INDEX(BASE_CCLASSTRIB!$E:$E, MATCH(TEXT($D789,"000000"), BASE_CCLASSTRIB!$A:$A, 0))/100, 0)</f>
        <v>0</v>
      </c>
      <c r="V789" s="16">
        <f>IFERROR(INDEX(BASE_CCLASSTRIB!$F:$F, MATCH(TEXT($D789,"000000"), BASE_CCLASSTRIB!$A:$A, 0))/100, 0)</f>
        <v>0</v>
      </c>
    </row>
    <row r="790" spans="4:22" ht="32.25" customHeight="1">
      <c r="D790" s="39"/>
      <c r="E790" s="27" t="str">
        <f>IF(D790="","",LEFT(D790,3))</f>
        <v/>
      </c>
      <c r="F790" s="28" t="str">
        <f>IF(E790="","",IFERROR(VLOOKUP(E790,REGRAS_CST!$A$2:$B$200,2,FALSE),""))</f>
        <v/>
      </c>
      <c r="H790" s="29">
        <v>8.9999999999999993E-3</v>
      </c>
      <c r="I790" s="29">
        <v>1E-3</v>
      </c>
      <c r="K790" s="21" t="str">
        <f>IF(E790="","",IFERROR(VLOOKUP(E790,REGRAS_CST!$A$2:$C$200,3,FALSE),""))</f>
        <v/>
      </c>
      <c r="L790" s="23" t="str">
        <f>IF($G790="", "", $G790*(1-$V790))</f>
        <v/>
      </c>
      <c r="M790" s="24" t="str">
        <f>IF(OR($L790="",$S790=""),"",$L790*$S790)</f>
        <v/>
      </c>
      <c r="N790" s="24" t="str">
        <f>IF(OR($L790="",$T790=""),"",$L790*$T790)</f>
        <v/>
      </c>
      <c r="O790" s="15" t="str">
        <f>IF(D790="","",
IF(AND(K790&lt;&gt;"SIM",V790&gt;0),"ERRO: % BC &gt; 0, mas NÃO permitida ❌",
IF(AND(K790="SIM",V790=0),"ATENÇÃO: BC permitida, mas % = 0 🔎",
"Base de cálculo aplicada corretamente ✅")))</f>
        <v/>
      </c>
      <c r="P790" s="31" t="str">
        <f>IF(D790="","",
IF(AND(Q790&lt;&gt;"SIM",U790&gt;0),"ERRO: % alíquota &gt; 0, mas NÃO permitida ❌",
IF(AND(Q790="SIM",U790=0),"ATENÇÃO: alíquota permitida, mas % = 0 🔎",
"Alíquota aplicada corretamente ✅")))</f>
        <v/>
      </c>
      <c r="Q790" s="8" t="str">
        <f>IF(E790="","",IFERROR(VLOOKUP(E790,REGRAS_CST!$A$2:$D$200,4,FALSE),""))</f>
        <v/>
      </c>
      <c r="S790" s="9">
        <f>IF($H790="","",$H790*(1-$U790))</f>
        <v>8.9999999999999993E-3</v>
      </c>
      <c r="T790" s="9">
        <f>IF($I790="","",$I790*(1-$U790))</f>
        <v>1E-3</v>
      </c>
      <c r="U790" s="16">
        <f>IFERROR(INDEX(BASE_CCLASSTRIB!$E:$E, MATCH(TEXT($D790,"000000"), BASE_CCLASSTRIB!$A:$A, 0))/100, 0)</f>
        <v>0</v>
      </c>
      <c r="V790" s="16">
        <f>IFERROR(INDEX(BASE_CCLASSTRIB!$F:$F, MATCH(TEXT($D790,"000000"), BASE_CCLASSTRIB!$A:$A, 0))/100, 0)</f>
        <v>0</v>
      </c>
    </row>
    <row r="791" spans="4:22" ht="32.25" customHeight="1">
      <c r="D791" s="39"/>
      <c r="E791" s="27" t="str">
        <f>IF(D791="","",LEFT(D791,3))</f>
        <v/>
      </c>
      <c r="F791" s="28" t="str">
        <f>IF(E791="","",IFERROR(VLOOKUP(E791,REGRAS_CST!$A$2:$B$200,2,FALSE),""))</f>
        <v/>
      </c>
      <c r="H791" s="29">
        <v>8.9999999999999993E-3</v>
      </c>
      <c r="I791" s="29">
        <v>1E-3</v>
      </c>
      <c r="K791" s="21" t="str">
        <f>IF(E791="","",IFERROR(VLOOKUP(E791,REGRAS_CST!$A$2:$C$200,3,FALSE),""))</f>
        <v/>
      </c>
      <c r="L791" s="23" t="str">
        <f>IF($G791="", "", $G791*(1-$V791))</f>
        <v/>
      </c>
      <c r="M791" s="24" t="str">
        <f>IF(OR($L791="",$S791=""),"",$L791*$S791)</f>
        <v/>
      </c>
      <c r="N791" s="24" t="str">
        <f>IF(OR($L791="",$T791=""),"",$L791*$T791)</f>
        <v/>
      </c>
      <c r="O791" s="15" t="str">
        <f>IF(D791="","",
IF(AND(K791&lt;&gt;"SIM",V791&gt;0),"ERRO: % BC &gt; 0, mas NÃO permitida ❌",
IF(AND(K791="SIM",V791=0),"ATENÇÃO: BC permitida, mas % = 0 🔎",
"Base de cálculo aplicada corretamente ✅")))</f>
        <v/>
      </c>
      <c r="P791" s="31" t="str">
        <f>IF(D791="","",
IF(AND(Q791&lt;&gt;"SIM",U791&gt;0),"ERRO: % alíquota &gt; 0, mas NÃO permitida ❌",
IF(AND(Q791="SIM",U791=0),"ATENÇÃO: alíquota permitida, mas % = 0 🔎",
"Alíquota aplicada corretamente ✅")))</f>
        <v/>
      </c>
      <c r="Q791" s="8" t="str">
        <f>IF(E791="","",IFERROR(VLOOKUP(E791,REGRAS_CST!$A$2:$D$200,4,FALSE),""))</f>
        <v/>
      </c>
      <c r="S791" s="9">
        <f>IF($H791="","",$H791*(1-$U791))</f>
        <v>8.9999999999999993E-3</v>
      </c>
      <c r="T791" s="9">
        <f>IF($I791="","",$I791*(1-$U791))</f>
        <v>1E-3</v>
      </c>
      <c r="U791" s="16">
        <f>IFERROR(INDEX(BASE_CCLASSTRIB!$E:$E, MATCH(TEXT($D791,"000000"), BASE_CCLASSTRIB!$A:$A, 0))/100, 0)</f>
        <v>0</v>
      </c>
      <c r="V791" s="16">
        <f>IFERROR(INDEX(BASE_CCLASSTRIB!$F:$F, MATCH(TEXT($D791,"000000"), BASE_CCLASSTRIB!$A:$A, 0))/100, 0)</f>
        <v>0</v>
      </c>
    </row>
    <row r="792" spans="4:22" ht="32.25" customHeight="1">
      <c r="D792" s="39"/>
      <c r="E792" s="27" t="str">
        <f>IF(D792="","",LEFT(D792,3))</f>
        <v/>
      </c>
      <c r="F792" s="28" t="str">
        <f>IF(E792="","",IFERROR(VLOOKUP(E792,REGRAS_CST!$A$2:$B$200,2,FALSE),""))</f>
        <v/>
      </c>
      <c r="H792" s="29">
        <v>8.9999999999999993E-3</v>
      </c>
      <c r="I792" s="29">
        <v>1E-3</v>
      </c>
      <c r="K792" s="21" t="str">
        <f>IF(E792="","",IFERROR(VLOOKUP(E792,REGRAS_CST!$A$2:$C$200,3,FALSE),""))</f>
        <v/>
      </c>
      <c r="L792" s="23" t="str">
        <f>IF($G792="", "", $G792*(1-$V792))</f>
        <v/>
      </c>
      <c r="M792" s="24" t="str">
        <f>IF(OR($L792="",$S792=""),"",$L792*$S792)</f>
        <v/>
      </c>
      <c r="N792" s="24" t="str">
        <f>IF(OR($L792="",$T792=""),"",$L792*$T792)</f>
        <v/>
      </c>
      <c r="O792" s="15" t="str">
        <f>IF(D792="","",
IF(AND(K792&lt;&gt;"SIM",V792&gt;0),"ERRO: % BC &gt; 0, mas NÃO permitida ❌",
IF(AND(K792="SIM",V792=0),"ATENÇÃO: BC permitida, mas % = 0 🔎",
"Base de cálculo aplicada corretamente ✅")))</f>
        <v/>
      </c>
      <c r="P792" s="31" t="str">
        <f>IF(D792="","",
IF(AND(Q792&lt;&gt;"SIM",U792&gt;0),"ERRO: % alíquota &gt; 0, mas NÃO permitida ❌",
IF(AND(Q792="SIM",U792=0),"ATENÇÃO: alíquota permitida, mas % = 0 🔎",
"Alíquota aplicada corretamente ✅")))</f>
        <v/>
      </c>
      <c r="Q792" s="8" t="str">
        <f>IF(E792="","",IFERROR(VLOOKUP(E792,REGRAS_CST!$A$2:$D$200,4,FALSE),""))</f>
        <v/>
      </c>
      <c r="S792" s="9">
        <f>IF($H792="","",$H792*(1-$U792))</f>
        <v>8.9999999999999993E-3</v>
      </c>
      <c r="T792" s="9">
        <f>IF($I792="","",$I792*(1-$U792))</f>
        <v>1E-3</v>
      </c>
      <c r="U792" s="16">
        <f>IFERROR(INDEX(BASE_CCLASSTRIB!$E:$E, MATCH(TEXT($D792,"000000"), BASE_CCLASSTRIB!$A:$A, 0))/100, 0)</f>
        <v>0</v>
      </c>
      <c r="V792" s="16">
        <f>IFERROR(INDEX(BASE_CCLASSTRIB!$F:$F, MATCH(TEXT($D792,"000000"), BASE_CCLASSTRIB!$A:$A, 0))/100, 0)</f>
        <v>0</v>
      </c>
    </row>
    <row r="793" spans="4:22" ht="32.25" customHeight="1">
      <c r="D793" s="40"/>
      <c r="E793" s="27" t="str">
        <f>IF(D793="","",LEFT(D793,3))</f>
        <v/>
      </c>
      <c r="F793" s="28" t="str">
        <f>IF(E793="","",IFERROR(VLOOKUP(E793,REGRAS_CST!$A$2:$B$200,2,FALSE),""))</f>
        <v/>
      </c>
      <c r="H793" s="29">
        <v>8.9999999999999993E-3</v>
      </c>
      <c r="I793" s="29">
        <v>1E-3</v>
      </c>
      <c r="K793" s="21" t="str">
        <f>IF(E793="","",IFERROR(VLOOKUP(E793,REGRAS_CST!$A$2:$C$200,3,FALSE),""))</f>
        <v/>
      </c>
      <c r="L793" s="23" t="str">
        <f>IF($G793="", "", $G793*(1-$V793))</f>
        <v/>
      </c>
      <c r="M793" s="24" t="str">
        <f>IF(OR($L793="",$S793=""),"",$L793*$S793)</f>
        <v/>
      </c>
      <c r="N793" s="24" t="str">
        <f>IF(OR($L793="",$T793=""),"",$L793*$T793)</f>
        <v/>
      </c>
      <c r="O793" s="15" t="str">
        <f>IF(D793="","",
IF(AND(K793&lt;&gt;"SIM",V793&gt;0),"ERRO: % BC &gt; 0, mas NÃO permitida ❌",
IF(AND(K793="SIM",V793=0),"ATENÇÃO: BC permitida, mas % = 0 🔎",
"Base de cálculo aplicada corretamente ✅")))</f>
        <v/>
      </c>
      <c r="P793" s="31" t="str">
        <f>IF(D793="","",
IF(AND(Q793&lt;&gt;"SIM",U793&gt;0),"ERRO: % alíquota &gt; 0, mas NÃO permitida ❌",
IF(AND(Q793="SIM",U793=0),"ATENÇÃO: alíquota permitida, mas % = 0 🔎",
"Alíquota aplicada corretamente ✅")))</f>
        <v/>
      </c>
      <c r="Q793" s="8" t="str">
        <f>IF(E793="","",IFERROR(VLOOKUP(E793,REGRAS_CST!$A$2:$D$200,4,FALSE),""))</f>
        <v/>
      </c>
      <c r="S793" s="9">
        <f>IF($H793="","",$H793*(1-$U793))</f>
        <v>8.9999999999999993E-3</v>
      </c>
      <c r="T793" s="9">
        <f>IF($I793="","",$I793*(1-$U793))</f>
        <v>1E-3</v>
      </c>
      <c r="U793" s="16">
        <f>IFERROR(INDEX(BASE_CCLASSTRIB!$E:$E, MATCH(TEXT($D793,"000000"), BASE_CCLASSTRIB!$A:$A, 0))/100, 0)</f>
        <v>0</v>
      </c>
      <c r="V793" s="16">
        <f>IFERROR(INDEX(BASE_CCLASSTRIB!$F:$F, MATCH(TEXT($D793,"000000"), BASE_CCLASSTRIB!$A:$A, 0))/100, 0)</f>
        <v>0</v>
      </c>
    </row>
    <row r="794" spans="4:22" ht="32.25" customHeight="1">
      <c r="D794" s="39"/>
      <c r="E794" s="27" t="str">
        <f>IF(D794="","",LEFT(D794,3))</f>
        <v/>
      </c>
      <c r="F794" s="28" t="str">
        <f>IF(E794="","",IFERROR(VLOOKUP(E794,REGRAS_CST!$A$2:$B$200,2,FALSE),""))</f>
        <v/>
      </c>
      <c r="H794" s="29">
        <v>8.9999999999999993E-3</v>
      </c>
      <c r="I794" s="29">
        <v>1E-3</v>
      </c>
      <c r="K794" s="21" t="str">
        <f>IF(E794="","",IFERROR(VLOOKUP(E794,REGRAS_CST!$A$2:$C$200,3,FALSE),""))</f>
        <v/>
      </c>
      <c r="L794" s="23" t="str">
        <f>IF($G794="", "", $G794*(1-$V794))</f>
        <v/>
      </c>
      <c r="M794" s="24" t="str">
        <f>IF(OR($L794="",$S794=""),"",$L794*$S794)</f>
        <v/>
      </c>
      <c r="N794" s="24" t="str">
        <f>IF(OR($L794="",$T794=""),"",$L794*$T794)</f>
        <v/>
      </c>
      <c r="O794" s="15" t="str">
        <f>IF(D794="","",
IF(AND(K794&lt;&gt;"SIM",V794&gt;0),"ERRO: % BC &gt; 0, mas NÃO permitida ❌",
IF(AND(K794="SIM",V794=0),"ATENÇÃO: BC permitida, mas % = 0 🔎",
"Base de cálculo aplicada corretamente ✅")))</f>
        <v/>
      </c>
      <c r="P794" s="31" t="str">
        <f>IF(D794="","",
IF(AND(Q794&lt;&gt;"SIM",U794&gt;0),"ERRO: % alíquota &gt; 0, mas NÃO permitida ❌",
IF(AND(Q794="SIM",U794=0),"ATENÇÃO: alíquota permitida, mas % = 0 🔎",
"Alíquota aplicada corretamente ✅")))</f>
        <v/>
      </c>
      <c r="Q794" s="8" t="str">
        <f>IF(E794="","",IFERROR(VLOOKUP(E794,REGRAS_CST!$A$2:$D$200,4,FALSE),""))</f>
        <v/>
      </c>
      <c r="S794" s="9">
        <f>IF($H794="","",$H794*(1-$U794))</f>
        <v>8.9999999999999993E-3</v>
      </c>
      <c r="T794" s="9">
        <f>IF($I794="","",$I794*(1-$U794))</f>
        <v>1E-3</v>
      </c>
      <c r="U794" s="16">
        <f>IFERROR(INDEX(BASE_CCLASSTRIB!$E:$E, MATCH(TEXT($D794,"000000"), BASE_CCLASSTRIB!$A:$A, 0))/100, 0)</f>
        <v>0</v>
      </c>
      <c r="V794" s="16">
        <f>IFERROR(INDEX(BASE_CCLASSTRIB!$F:$F, MATCH(TEXT($D794,"000000"), BASE_CCLASSTRIB!$A:$A, 0))/100, 0)</f>
        <v>0</v>
      </c>
    </row>
    <row r="795" spans="4:22" ht="32.25" customHeight="1">
      <c r="D795" s="39"/>
      <c r="E795" s="27" t="str">
        <f>IF(D795="","",LEFT(D795,3))</f>
        <v/>
      </c>
      <c r="F795" s="28" t="str">
        <f>IF(E795="","",IFERROR(VLOOKUP(E795,REGRAS_CST!$A$2:$B$200,2,FALSE),""))</f>
        <v/>
      </c>
      <c r="H795" s="29">
        <v>8.9999999999999993E-3</v>
      </c>
      <c r="I795" s="29">
        <v>1E-3</v>
      </c>
      <c r="K795" s="21" t="str">
        <f>IF(E795="","",IFERROR(VLOOKUP(E795,REGRAS_CST!$A$2:$C$200,3,FALSE),""))</f>
        <v/>
      </c>
      <c r="L795" s="23" t="str">
        <f>IF($G795="", "", $G795*(1-$V795))</f>
        <v/>
      </c>
      <c r="M795" s="24" t="str">
        <f>IF(OR($L795="",$S795=""),"",$L795*$S795)</f>
        <v/>
      </c>
      <c r="N795" s="24" t="str">
        <f>IF(OR($L795="",$T795=""),"",$L795*$T795)</f>
        <v/>
      </c>
      <c r="O795" s="15" t="str">
        <f>IF(D795="","",
IF(AND(K795&lt;&gt;"SIM",V795&gt;0),"ERRO: % BC &gt; 0, mas NÃO permitida ❌",
IF(AND(K795="SIM",V795=0),"ATENÇÃO: BC permitida, mas % = 0 🔎",
"Base de cálculo aplicada corretamente ✅")))</f>
        <v/>
      </c>
      <c r="P795" s="31" t="str">
        <f>IF(D795="","",
IF(AND(Q795&lt;&gt;"SIM",U795&gt;0),"ERRO: % alíquota &gt; 0, mas NÃO permitida ❌",
IF(AND(Q795="SIM",U795=0),"ATENÇÃO: alíquota permitida, mas % = 0 🔎",
"Alíquota aplicada corretamente ✅")))</f>
        <v/>
      </c>
      <c r="Q795" s="8" t="str">
        <f>IF(E795="","",IFERROR(VLOOKUP(E795,REGRAS_CST!$A$2:$D$200,4,FALSE),""))</f>
        <v/>
      </c>
      <c r="S795" s="9">
        <f>IF($H795="","",$H795*(1-$U795))</f>
        <v>8.9999999999999993E-3</v>
      </c>
      <c r="T795" s="9">
        <f>IF($I795="","",$I795*(1-$U795))</f>
        <v>1E-3</v>
      </c>
      <c r="U795" s="16">
        <f>IFERROR(INDEX(BASE_CCLASSTRIB!$E:$E, MATCH(TEXT($D795,"000000"), BASE_CCLASSTRIB!$A:$A, 0))/100, 0)</f>
        <v>0</v>
      </c>
      <c r="V795" s="16">
        <f>IFERROR(INDEX(BASE_CCLASSTRIB!$F:$F, MATCH(TEXT($D795,"000000"), BASE_CCLASSTRIB!$A:$A, 0))/100, 0)</f>
        <v>0</v>
      </c>
    </row>
    <row r="796" spans="4:22" ht="32.25" customHeight="1">
      <c r="D796" s="40"/>
      <c r="E796" s="27" t="str">
        <f>IF(D796="","",LEFT(D796,3))</f>
        <v/>
      </c>
      <c r="F796" s="28" t="str">
        <f>IF(E796="","",IFERROR(VLOOKUP(E796,REGRAS_CST!$A$2:$B$200,2,FALSE),""))</f>
        <v/>
      </c>
      <c r="H796" s="29">
        <v>8.9999999999999993E-3</v>
      </c>
      <c r="I796" s="29">
        <v>1E-3</v>
      </c>
      <c r="K796" s="21" t="str">
        <f>IF(E796="","",IFERROR(VLOOKUP(E796,REGRAS_CST!$A$2:$C$200,3,FALSE),""))</f>
        <v/>
      </c>
      <c r="L796" s="23" t="str">
        <f>IF($G796="", "", $G796*(1-$V796))</f>
        <v/>
      </c>
      <c r="M796" s="24" t="str">
        <f>IF(OR($L796="",$S796=""),"",$L796*$S796)</f>
        <v/>
      </c>
      <c r="N796" s="24" t="str">
        <f>IF(OR($L796="",$T796=""),"",$L796*$T796)</f>
        <v/>
      </c>
      <c r="O796" s="15" t="str">
        <f>IF(D796="","",
IF(AND(K796&lt;&gt;"SIM",V796&gt;0),"ERRO: % BC &gt; 0, mas NÃO permitida ❌",
IF(AND(K796="SIM",V796=0),"ATENÇÃO: BC permitida, mas % = 0 🔎",
"Base de cálculo aplicada corretamente ✅")))</f>
        <v/>
      </c>
      <c r="P796" s="31" t="str">
        <f>IF(D796="","",
IF(AND(Q796&lt;&gt;"SIM",U796&gt;0),"ERRO: % alíquota &gt; 0, mas NÃO permitida ❌",
IF(AND(Q796="SIM",U796=0),"ATENÇÃO: alíquota permitida, mas % = 0 🔎",
"Alíquota aplicada corretamente ✅")))</f>
        <v/>
      </c>
      <c r="Q796" s="8" t="str">
        <f>IF(E796="","",IFERROR(VLOOKUP(E796,REGRAS_CST!$A$2:$D$200,4,FALSE),""))</f>
        <v/>
      </c>
      <c r="S796" s="9">
        <f>IF($H796="","",$H796*(1-$U796))</f>
        <v>8.9999999999999993E-3</v>
      </c>
      <c r="T796" s="9">
        <f>IF($I796="","",$I796*(1-$U796))</f>
        <v>1E-3</v>
      </c>
      <c r="U796" s="16">
        <f>IFERROR(INDEX(BASE_CCLASSTRIB!$E:$E, MATCH(TEXT($D796,"000000"), BASE_CCLASSTRIB!$A:$A, 0))/100, 0)</f>
        <v>0</v>
      </c>
      <c r="V796" s="16">
        <f>IFERROR(INDEX(BASE_CCLASSTRIB!$F:$F, MATCH(TEXT($D796,"000000"), BASE_CCLASSTRIB!$A:$A, 0))/100, 0)</f>
        <v>0</v>
      </c>
    </row>
    <row r="797" spans="4:22" ht="32.25" customHeight="1">
      <c r="D797" s="39"/>
      <c r="E797" s="27" t="str">
        <f>IF(D797="","",LEFT(D797,3))</f>
        <v/>
      </c>
      <c r="F797" s="28" t="str">
        <f>IF(E797="","",IFERROR(VLOOKUP(E797,REGRAS_CST!$A$2:$B$200,2,FALSE),""))</f>
        <v/>
      </c>
      <c r="H797" s="29">
        <v>8.9999999999999993E-3</v>
      </c>
      <c r="I797" s="29">
        <v>1E-3</v>
      </c>
      <c r="K797" s="21" t="str">
        <f>IF(E797="","",IFERROR(VLOOKUP(E797,REGRAS_CST!$A$2:$C$200,3,FALSE),""))</f>
        <v/>
      </c>
      <c r="L797" s="23" t="str">
        <f>IF($G797="", "", $G797*(1-$V797))</f>
        <v/>
      </c>
      <c r="M797" s="24" t="str">
        <f>IF(OR($L797="",$S797=""),"",$L797*$S797)</f>
        <v/>
      </c>
      <c r="N797" s="24" t="str">
        <f>IF(OR($L797="",$T797=""),"",$L797*$T797)</f>
        <v/>
      </c>
      <c r="O797" s="15" t="str">
        <f>IF(D797="","",
IF(AND(K797&lt;&gt;"SIM",V797&gt;0),"ERRO: % BC &gt; 0, mas NÃO permitida ❌",
IF(AND(K797="SIM",V797=0),"ATENÇÃO: BC permitida, mas % = 0 🔎",
"Base de cálculo aplicada corretamente ✅")))</f>
        <v/>
      </c>
      <c r="P797" s="31" t="str">
        <f>IF(D797="","",
IF(AND(Q797&lt;&gt;"SIM",U797&gt;0),"ERRO: % alíquota &gt; 0, mas NÃO permitida ❌",
IF(AND(Q797="SIM",U797=0),"ATENÇÃO: alíquota permitida, mas % = 0 🔎",
"Alíquota aplicada corretamente ✅")))</f>
        <v/>
      </c>
      <c r="Q797" s="8" t="str">
        <f>IF(E797="","",IFERROR(VLOOKUP(E797,REGRAS_CST!$A$2:$D$200,4,FALSE),""))</f>
        <v/>
      </c>
      <c r="S797" s="9">
        <f>IF($H797="","",$H797*(1-$U797))</f>
        <v>8.9999999999999993E-3</v>
      </c>
      <c r="T797" s="9">
        <f>IF($I797="","",$I797*(1-$U797))</f>
        <v>1E-3</v>
      </c>
      <c r="U797" s="16">
        <f>IFERROR(INDEX(BASE_CCLASSTRIB!$E:$E, MATCH(TEXT($D797,"000000"), BASE_CCLASSTRIB!$A:$A, 0))/100, 0)</f>
        <v>0</v>
      </c>
      <c r="V797" s="16">
        <f>IFERROR(INDEX(BASE_CCLASSTRIB!$F:$F, MATCH(TEXT($D797,"000000"), BASE_CCLASSTRIB!$A:$A, 0))/100, 0)</f>
        <v>0</v>
      </c>
    </row>
    <row r="798" spans="4:22" ht="32.25" customHeight="1">
      <c r="D798" s="39"/>
      <c r="E798" s="27" t="str">
        <f>IF(D798="","",LEFT(D798,3))</f>
        <v/>
      </c>
      <c r="F798" s="28" t="str">
        <f>IF(E798="","",IFERROR(VLOOKUP(E798,REGRAS_CST!$A$2:$B$200,2,FALSE),""))</f>
        <v/>
      </c>
      <c r="H798" s="29">
        <v>8.9999999999999993E-3</v>
      </c>
      <c r="I798" s="29">
        <v>1E-3</v>
      </c>
      <c r="K798" s="21" t="str">
        <f>IF(E798="","",IFERROR(VLOOKUP(E798,REGRAS_CST!$A$2:$C$200,3,FALSE),""))</f>
        <v/>
      </c>
      <c r="L798" s="23" t="str">
        <f>IF($G798="", "", $G798*(1-$V798))</f>
        <v/>
      </c>
      <c r="M798" s="24" t="str">
        <f>IF(OR($L798="",$S798=""),"",$L798*$S798)</f>
        <v/>
      </c>
      <c r="N798" s="24" t="str">
        <f>IF(OR($L798="",$T798=""),"",$L798*$T798)</f>
        <v/>
      </c>
      <c r="O798" s="15" t="str">
        <f>IF(D798="","",
IF(AND(K798&lt;&gt;"SIM",V798&gt;0),"ERRO: % BC &gt; 0, mas NÃO permitida ❌",
IF(AND(K798="SIM",V798=0),"ATENÇÃO: BC permitida, mas % = 0 🔎",
"Base de cálculo aplicada corretamente ✅")))</f>
        <v/>
      </c>
      <c r="P798" s="31" t="str">
        <f>IF(D798="","",
IF(AND(Q798&lt;&gt;"SIM",U798&gt;0),"ERRO: % alíquota &gt; 0, mas NÃO permitida ❌",
IF(AND(Q798="SIM",U798=0),"ATENÇÃO: alíquota permitida, mas % = 0 🔎",
"Alíquota aplicada corretamente ✅")))</f>
        <v/>
      </c>
      <c r="Q798" s="8" t="str">
        <f>IF(E798="","",IFERROR(VLOOKUP(E798,REGRAS_CST!$A$2:$D$200,4,FALSE),""))</f>
        <v/>
      </c>
      <c r="S798" s="9">
        <f>IF($H798="","",$H798*(1-$U798))</f>
        <v>8.9999999999999993E-3</v>
      </c>
      <c r="T798" s="9">
        <f>IF($I798="","",$I798*(1-$U798))</f>
        <v>1E-3</v>
      </c>
      <c r="U798" s="16">
        <f>IFERROR(INDEX(BASE_CCLASSTRIB!$E:$E, MATCH(TEXT($D798,"000000"), BASE_CCLASSTRIB!$A:$A, 0))/100, 0)</f>
        <v>0</v>
      </c>
      <c r="V798" s="16">
        <f>IFERROR(INDEX(BASE_CCLASSTRIB!$F:$F, MATCH(TEXT($D798,"000000"), BASE_CCLASSTRIB!$A:$A, 0))/100, 0)</f>
        <v>0</v>
      </c>
    </row>
    <row r="799" spans="4:22" ht="32.25" customHeight="1">
      <c r="D799" s="39"/>
      <c r="E799" s="27" t="str">
        <f>IF(D799="","",LEFT(D799,3))</f>
        <v/>
      </c>
      <c r="F799" s="28" t="str">
        <f>IF(E799="","",IFERROR(VLOOKUP(E799,REGRAS_CST!$A$2:$B$200,2,FALSE),""))</f>
        <v/>
      </c>
      <c r="H799" s="29">
        <v>8.9999999999999993E-3</v>
      </c>
      <c r="I799" s="29">
        <v>1E-3</v>
      </c>
      <c r="K799" s="21" t="str">
        <f>IF(E799="","",IFERROR(VLOOKUP(E799,REGRAS_CST!$A$2:$C$200,3,FALSE),""))</f>
        <v/>
      </c>
      <c r="L799" s="23" t="str">
        <f>IF($G799="", "", $G799*(1-$V799))</f>
        <v/>
      </c>
      <c r="M799" s="24" t="str">
        <f>IF(OR($L799="",$S799=""),"",$L799*$S799)</f>
        <v/>
      </c>
      <c r="N799" s="24" t="str">
        <f>IF(OR($L799="",$T799=""),"",$L799*$T799)</f>
        <v/>
      </c>
      <c r="O799" s="15" t="str">
        <f>IF(D799="","",
IF(AND(K799&lt;&gt;"SIM",V799&gt;0),"ERRO: % BC &gt; 0, mas NÃO permitida ❌",
IF(AND(K799="SIM",V799=0),"ATENÇÃO: BC permitida, mas % = 0 🔎",
"Base de cálculo aplicada corretamente ✅")))</f>
        <v/>
      </c>
      <c r="P799" s="31" t="str">
        <f>IF(D799="","",
IF(AND(Q799&lt;&gt;"SIM",U799&gt;0),"ERRO: % alíquota &gt; 0, mas NÃO permitida ❌",
IF(AND(Q799="SIM",U799=0),"ATENÇÃO: alíquota permitida, mas % = 0 🔎",
"Alíquota aplicada corretamente ✅")))</f>
        <v/>
      </c>
      <c r="Q799" s="8" t="str">
        <f>IF(E799="","",IFERROR(VLOOKUP(E799,REGRAS_CST!$A$2:$D$200,4,FALSE),""))</f>
        <v/>
      </c>
      <c r="S799" s="9">
        <f>IF($H799="","",$H799*(1-$U799))</f>
        <v>8.9999999999999993E-3</v>
      </c>
      <c r="T799" s="9">
        <f>IF($I799="","",$I799*(1-$U799))</f>
        <v>1E-3</v>
      </c>
      <c r="U799" s="16">
        <f>IFERROR(INDEX(BASE_CCLASSTRIB!$E:$E, MATCH(TEXT($D799,"000000"), BASE_CCLASSTRIB!$A:$A, 0))/100, 0)</f>
        <v>0</v>
      </c>
      <c r="V799" s="16">
        <f>IFERROR(INDEX(BASE_CCLASSTRIB!$F:$F, MATCH(TEXT($D799,"000000"), BASE_CCLASSTRIB!$A:$A, 0))/100, 0)</f>
        <v>0</v>
      </c>
    </row>
    <row r="800" spans="4:22" ht="32.25" customHeight="1">
      <c r="D800" s="39"/>
      <c r="E800" s="27" t="str">
        <f>IF(D800="","",LEFT(D800,3))</f>
        <v/>
      </c>
      <c r="F800" s="28" t="str">
        <f>IF(E800="","",IFERROR(VLOOKUP(E800,REGRAS_CST!$A$2:$B$200,2,FALSE),""))</f>
        <v/>
      </c>
      <c r="H800" s="29">
        <v>8.9999999999999993E-3</v>
      </c>
      <c r="I800" s="29">
        <v>1E-3</v>
      </c>
      <c r="K800" s="21" t="str">
        <f>IF(E800="","",IFERROR(VLOOKUP(E800,REGRAS_CST!$A$2:$C$200,3,FALSE),""))</f>
        <v/>
      </c>
      <c r="L800" s="23" t="str">
        <f>IF($G800="", "", $G800*(1-$V800))</f>
        <v/>
      </c>
      <c r="M800" s="24" t="str">
        <f>IF(OR($L800="",$S800=""),"",$L800*$S800)</f>
        <v/>
      </c>
      <c r="N800" s="24" t="str">
        <f>IF(OR($L800="",$T800=""),"",$L800*$T800)</f>
        <v/>
      </c>
      <c r="O800" s="15" t="str">
        <f>IF(D800="","",
IF(AND(K800&lt;&gt;"SIM",V800&gt;0),"ERRO: % BC &gt; 0, mas NÃO permitida ❌",
IF(AND(K800="SIM",V800=0),"ATENÇÃO: BC permitida, mas % = 0 🔎",
"Base de cálculo aplicada corretamente ✅")))</f>
        <v/>
      </c>
      <c r="P800" s="31" t="str">
        <f>IF(D800="","",
IF(AND(Q800&lt;&gt;"SIM",U800&gt;0),"ERRO: % alíquota &gt; 0, mas NÃO permitida ❌",
IF(AND(Q800="SIM",U800=0),"ATENÇÃO: alíquota permitida, mas % = 0 🔎",
"Alíquota aplicada corretamente ✅")))</f>
        <v/>
      </c>
      <c r="Q800" s="8" t="str">
        <f>IF(E800="","",IFERROR(VLOOKUP(E800,REGRAS_CST!$A$2:$D$200,4,FALSE),""))</f>
        <v/>
      </c>
      <c r="S800" s="9">
        <f>IF($H800="","",$H800*(1-$U800))</f>
        <v>8.9999999999999993E-3</v>
      </c>
      <c r="T800" s="9">
        <f>IF($I800="","",$I800*(1-$U800))</f>
        <v>1E-3</v>
      </c>
      <c r="U800" s="16">
        <f>IFERROR(INDEX(BASE_CCLASSTRIB!$E:$E, MATCH(TEXT($D800,"000000"), BASE_CCLASSTRIB!$A:$A, 0))/100, 0)</f>
        <v>0</v>
      </c>
      <c r="V800" s="16">
        <f>IFERROR(INDEX(BASE_CCLASSTRIB!$F:$F, MATCH(TEXT($D800,"000000"), BASE_CCLASSTRIB!$A:$A, 0))/100, 0)</f>
        <v>0</v>
      </c>
    </row>
    <row r="801" spans="4:22" ht="32.25" customHeight="1">
      <c r="D801" s="39"/>
      <c r="E801" s="27" t="str">
        <f>IF(D801="","",LEFT(D801,3))</f>
        <v/>
      </c>
      <c r="F801" s="28" t="str">
        <f>IF(E801="","",IFERROR(VLOOKUP(E801,REGRAS_CST!$A$2:$B$200,2,FALSE),""))</f>
        <v/>
      </c>
      <c r="H801" s="29">
        <v>8.9999999999999993E-3</v>
      </c>
      <c r="I801" s="29">
        <v>1E-3</v>
      </c>
      <c r="K801" s="21" t="str">
        <f>IF(E801="","",IFERROR(VLOOKUP(E801,REGRAS_CST!$A$2:$C$200,3,FALSE),""))</f>
        <v/>
      </c>
      <c r="L801" s="23" t="str">
        <f>IF($G801="", "", $G801*(1-$V801))</f>
        <v/>
      </c>
      <c r="M801" s="24" t="str">
        <f>IF(OR($L801="",$S801=""),"",$L801*$S801)</f>
        <v/>
      </c>
      <c r="N801" s="24" t="str">
        <f>IF(OR($L801="",$T801=""),"",$L801*$T801)</f>
        <v/>
      </c>
      <c r="O801" s="15" t="str">
        <f>IF(D801="","",
IF(AND(K801&lt;&gt;"SIM",V801&gt;0),"ERRO: % BC &gt; 0, mas NÃO permitida ❌",
IF(AND(K801="SIM",V801=0),"ATENÇÃO: BC permitida, mas % = 0 🔎",
"Base de cálculo aplicada corretamente ✅")))</f>
        <v/>
      </c>
      <c r="P801" s="31" t="str">
        <f>IF(D801="","",
IF(AND(Q801&lt;&gt;"SIM",U801&gt;0),"ERRO: % alíquota &gt; 0, mas NÃO permitida ❌",
IF(AND(Q801="SIM",U801=0),"ATENÇÃO: alíquota permitida, mas % = 0 🔎",
"Alíquota aplicada corretamente ✅")))</f>
        <v/>
      </c>
      <c r="Q801" s="8" t="str">
        <f>IF(E801="","",IFERROR(VLOOKUP(E801,REGRAS_CST!$A$2:$D$200,4,FALSE),""))</f>
        <v/>
      </c>
      <c r="S801" s="9">
        <f>IF($H801="","",$H801*(1-$U801))</f>
        <v>8.9999999999999993E-3</v>
      </c>
      <c r="T801" s="9">
        <f>IF($I801="","",$I801*(1-$U801))</f>
        <v>1E-3</v>
      </c>
      <c r="U801" s="16">
        <f>IFERROR(INDEX(BASE_CCLASSTRIB!$E:$E, MATCH(TEXT($D801,"000000"), BASE_CCLASSTRIB!$A:$A, 0))/100, 0)</f>
        <v>0</v>
      </c>
      <c r="V801" s="16">
        <f>IFERROR(INDEX(BASE_CCLASSTRIB!$F:$F, MATCH(TEXT($D801,"000000"), BASE_CCLASSTRIB!$A:$A, 0))/100, 0)</f>
        <v>0</v>
      </c>
    </row>
    <row r="802" spans="4:22" ht="32.25" customHeight="1">
      <c r="D802" s="39"/>
      <c r="E802" s="27" t="str">
        <f>IF(D802="","",LEFT(D802,3))</f>
        <v/>
      </c>
      <c r="F802" s="28" t="str">
        <f>IF(E802="","",IFERROR(VLOOKUP(E802,REGRAS_CST!$A$2:$B$200,2,FALSE),""))</f>
        <v/>
      </c>
      <c r="H802" s="29">
        <v>8.9999999999999993E-3</v>
      </c>
      <c r="I802" s="29">
        <v>1E-3</v>
      </c>
      <c r="K802" s="21" t="str">
        <f>IF(E802="","",IFERROR(VLOOKUP(E802,REGRAS_CST!$A$2:$C$200,3,FALSE),""))</f>
        <v/>
      </c>
      <c r="L802" s="23" t="str">
        <f>IF($G802="", "", $G802*(1-$V802))</f>
        <v/>
      </c>
      <c r="M802" s="24" t="str">
        <f>IF(OR($L802="",$S802=""),"",$L802*$S802)</f>
        <v/>
      </c>
      <c r="N802" s="24" t="str">
        <f>IF(OR($L802="",$T802=""),"",$L802*$T802)</f>
        <v/>
      </c>
      <c r="O802" s="15" t="str">
        <f>IF(D802="","",
IF(AND(K802&lt;&gt;"SIM",V802&gt;0),"ERRO: % BC &gt; 0, mas NÃO permitida ❌",
IF(AND(K802="SIM",V802=0),"ATENÇÃO: BC permitida, mas % = 0 🔎",
"Base de cálculo aplicada corretamente ✅")))</f>
        <v/>
      </c>
      <c r="P802" s="31" t="str">
        <f>IF(D802="","",
IF(AND(Q802&lt;&gt;"SIM",U802&gt;0),"ERRO: % alíquota &gt; 0, mas NÃO permitida ❌",
IF(AND(Q802="SIM",U802=0),"ATENÇÃO: alíquota permitida, mas % = 0 🔎",
"Alíquota aplicada corretamente ✅")))</f>
        <v/>
      </c>
      <c r="Q802" s="8" t="str">
        <f>IF(E802="","",IFERROR(VLOOKUP(E802,REGRAS_CST!$A$2:$D$200,4,FALSE),""))</f>
        <v/>
      </c>
      <c r="S802" s="9">
        <f>IF($H802="","",$H802*(1-$U802))</f>
        <v>8.9999999999999993E-3</v>
      </c>
      <c r="T802" s="9">
        <f>IF($I802="","",$I802*(1-$U802))</f>
        <v>1E-3</v>
      </c>
      <c r="U802" s="16">
        <f>IFERROR(INDEX(BASE_CCLASSTRIB!$E:$E, MATCH(TEXT($D802,"000000"), BASE_CCLASSTRIB!$A:$A, 0))/100, 0)</f>
        <v>0</v>
      </c>
      <c r="V802" s="16">
        <f>IFERROR(INDEX(BASE_CCLASSTRIB!$F:$F, MATCH(TEXT($D802,"000000"), BASE_CCLASSTRIB!$A:$A, 0))/100, 0)</f>
        <v>0</v>
      </c>
    </row>
    <row r="803" spans="4:22" ht="32.25" customHeight="1">
      <c r="D803" s="39"/>
      <c r="E803" s="27" t="str">
        <f>IF(D803="","",LEFT(D803,3))</f>
        <v/>
      </c>
      <c r="F803" s="28" t="str">
        <f>IF(E803="","",IFERROR(VLOOKUP(E803,REGRAS_CST!$A$2:$B$200,2,FALSE),""))</f>
        <v/>
      </c>
      <c r="H803" s="29">
        <v>8.9999999999999993E-3</v>
      </c>
      <c r="I803" s="29">
        <v>1E-3</v>
      </c>
      <c r="K803" s="21" t="str">
        <f>IF(E803="","",IFERROR(VLOOKUP(E803,REGRAS_CST!$A$2:$C$200,3,FALSE),""))</f>
        <v/>
      </c>
      <c r="L803" s="23" t="str">
        <f>IF($G803="", "", $G803*(1-$V803))</f>
        <v/>
      </c>
      <c r="M803" s="24" t="str">
        <f>IF(OR($L803="",$S803=""),"",$L803*$S803)</f>
        <v/>
      </c>
      <c r="N803" s="24" t="str">
        <f>IF(OR($L803="",$T803=""),"",$L803*$T803)</f>
        <v/>
      </c>
      <c r="O803" s="15" t="str">
        <f>IF(D803="","",
IF(AND(K803&lt;&gt;"SIM",V803&gt;0),"ERRO: % BC &gt; 0, mas NÃO permitida ❌",
IF(AND(K803="SIM",V803=0),"ATENÇÃO: BC permitida, mas % = 0 🔎",
"Base de cálculo aplicada corretamente ✅")))</f>
        <v/>
      </c>
      <c r="P803" s="31" t="str">
        <f>IF(D803="","",
IF(AND(Q803&lt;&gt;"SIM",U803&gt;0),"ERRO: % alíquota &gt; 0, mas NÃO permitida ❌",
IF(AND(Q803="SIM",U803=0),"ATENÇÃO: alíquota permitida, mas % = 0 🔎",
"Alíquota aplicada corretamente ✅")))</f>
        <v/>
      </c>
      <c r="Q803" s="8" t="str">
        <f>IF(E803="","",IFERROR(VLOOKUP(E803,REGRAS_CST!$A$2:$D$200,4,FALSE),""))</f>
        <v/>
      </c>
      <c r="S803" s="9">
        <f>IF($H803="","",$H803*(1-$U803))</f>
        <v>8.9999999999999993E-3</v>
      </c>
      <c r="T803" s="9">
        <f>IF($I803="","",$I803*(1-$U803))</f>
        <v>1E-3</v>
      </c>
      <c r="U803" s="16">
        <f>IFERROR(INDEX(BASE_CCLASSTRIB!$E:$E, MATCH(TEXT($D803,"000000"), BASE_CCLASSTRIB!$A:$A, 0))/100, 0)</f>
        <v>0</v>
      </c>
      <c r="V803" s="16">
        <f>IFERROR(INDEX(BASE_CCLASSTRIB!$F:$F, MATCH(TEXT($D803,"000000"), BASE_CCLASSTRIB!$A:$A, 0))/100, 0)</f>
        <v>0</v>
      </c>
    </row>
    <row r="804" spans="4:22" ht="32.25" customHeight="1">
      <c r="D804" s="39"/>
      <c r="E804" s="27" t="str">
        <f>IF(D804="","",LEFT(D804,3))</f>
        <v/>
      </c>
      <c r="F804" s="28" t="str">
        <f>IF(E804="","",IFERROR(VLOOKUP(E804,REGRAS_CST!$A$2:$B$200,2,FALSE),""))</f>
        <v/>
      </c>
      <c r="H804" s="29">
        <v>8.9999999999999993E-3</v>
      </c>
      <c r="I804" s="29">
        <v>1E-3</v>
      </c>
      <c r="K804" s="21" t="str">
        <f>IF(E804="","",IFERROR(VLOOKUP(E804,REGRAS_CST!$A$2:$C$200,3,FALSE),""))</f>
        <v/>
      </c>
      <c r="L804" s="23" t="str">
        <f>IF($G804="", "", $G804*(1-$V804))</f>
        <v/>
      </c>
      <c r="M804" s="24" t="str">
        <f>IF(OR($L804="",$S804=""),"",$L804*$S804)</f>
        <v/>
      </c>
      <c r="N804" s="24" t="str">
        <f>IF(OR($L804="",$T804=""),"",$L804*$T804)</f>
        <v/>
      </c>
      <c r="O804" s="15" t="str">
        <f>IF(D804="","",
IF(AND(K804&lt;&gt;"SIM",V804&gt;0),"ERRO: % BC &gt; 0, mas NÃO permitida ❌",
IF(AND(K804="SIM",V804=0),"ATENÇÃO: BC permitida, mas % = 0 🔎",
"Base de cálculo aplicada corretamente ✅")))</f>
        <v/>
      </c>
      <c r="P804" s="31" t="str">
        <f>IF(D804="","",
IF(AND(Q804&lt;&gt;"SIM",U804&gt;0),"ERRO: % alíquota &gt; 0, mas NÃO permitida ❌",
IF(AND(Q804="SIM",U804=0),"ATENÇÃO: alíquota permitida, mas % = 0 🔎",
"Alíquota aplicada corretamente ✅")))</f>
        <v/>
      </c>
      <c r="Q804" s="8" t="str">
        <f>IF(E804="","",IFERROR(VLOOKUP(E804,REGRAS_CST!$A$2:$D$200,4,FALSE),""))</f>
        <v/>
      </c>
      <c r="S804" s="9">
        <f>IF($H804="","",$H804*(1-$U804))</f>
        <v>8.9999999999999993E-3</v>
      </c>
      <c r="T804" s="9">
        <f>IF($I804="","",$I804*(1-$U804))</f>
        <v>1E-3</v>
      </c>
      <c r="U804" s="16">
        <f>IFERROR(INDEX(BASE_CCLASSTRIB!$E:$E, MATCH(TEXT($D804,"000000"), BASE_CCLASSTRIB!$A:$A, 0))/100, 0)</f>
        <v>0</v>
      </c>
      <c r="V804" s="16">
        <f>IFERROR(INDEX(BASE_CCLASSTRIB!$F:$F, MATCH(TEXT($D804,"000000"), BASE_CCLASSTRIB!$A:$A, 0))/100, 0)</f>
        <v>0</v>
      </c>
    </row>
    <row r="805" spans="4:22" ht="32.25" customHeight="1">
      <c r="D805" s="39"/>
      <c r="E805" s="27" t="str">
        <f>IF(D805="","",LEFT(D805,3))</f>
        <v/>
      </c>
      <c r="F805" s="28" t="str">
        <f>IF(E805="","",IFERROR(VLOOKUP(E805,REGRAS_CST!$A$2:$B$200,2,FALSE),""))</f>
        <v/>
      </c>
      <c r="H805" s="29">
        <v>8.9999999999999993E-3</v>
      </c>
      <c r="I805" s="29">
        <v>1E-3</v>
      </c>
      <c r="K805" s="21" t="str">
        <f>IF(E805="","",IFERROR(VLOOKUP(E805,REGRAS_CST!$A$2:$C$200,3,FALSE),""))</f>
        <v/>
      </c>
      <c r="L805" s="23" t="str">
        <f>IF($G805="", "", $G805*(1-$V805))</f>
        <v/>
      </c>
      <c r="M805" s="24" t="str">
        <f>IF(OR($L805="",$S805=""),"",$L805*$S805)</f>
        <v/>
      </c>
      <c r="N805" s="24" t="str">
        <f>IF(OR($L805="",$T805=""),"",$L805*$T805)</f>
        <v/>
      </c>
      <c r="O805" s="15" t="str">
        <f>IF(D805="","",
IF(AND(K805&lt;&gt;"SIM",V805&gt;0),"ERRO: % BC &gt; 0, mas NÃO permitida ❌",
IF(AND(K805="SIM",V805=0),"ATENÇÃO: BC permitida, mas % = 0 🔎",
"Base de cálculo aplicada corretamente ✅")))</f>
        <v/>
      </c>
      <c r="P805" s="31" t="str">
        <f>IF(D805="","",
IF(AND(Q805&lt;&gt;"SIM",U805&gt;0),"ERRO: % alíquota &gt; 0, mas NÃO permitida ❌",
IF(AND(Q805="SIM",U805=0),"ATENÇÃO: alíquota permitida, mas % = 0 🔎",
"Alíquota aplicada corretamente ✅")))</f>
        <v/>
      </c>
      <c r="Q805" s="8" t="str">
        <f>IF(E805="","",IFERROR(VLOOKUP(E805,REGRAS_CST!$A$2:$D$200,4,FALSE),""))</f>
        <v/>
      </c>
      <c r="S805" s="9">
        <f>IF($H805="","",$H805*(1-$U805))</f>
        <v>8.9999999999999993E-3</v>
      </c>
      <c r="T805" s="9">
        <f>IF($I805="","",$I805*(1-$U805))</f>
        <v>1E-3</v>
      </c>
      <c r="U805" s="16">
        <f>IFERROR(INDEX(BASE_CCLASSTRIB!$E:$E, MATCH(TEXT($D805,"000000"), BASE_CCLASSTRIB!$A:$A, 0))/100, 0)</f>
        <v>0</v>
      </c>
      <c r="V805" s="16">
        <f>IFERROR(INDEX(BASE_CCLASSTRIB!$F:$F, MATCH(TEXT($D805,"000000"), BASE_CCLASSTRIB!$A:$A, 0))/100, 0)</f>
        <v>0</v>
      </c>
    </row>
    <row r="806" spans="4:22" ht="32.25" customHeight="1">
      <c r="D806" s="40"/>
      <c r="E806" s="27" t="str">
        <f>IF(D806="","",LEFT(D806,3))</f>
        <v/>
      </c>
      <c r="F806" s="28" t="str">
        <f>IF(E806="","",IFERROR(VLOOKUP(E806,REGRAS_CST!$A$2:$B$200,2,FALSE),""))</f>
        <v/>
      </c>
      <c r="H806" s="29">
        <v>8.9999999999999993E-3</v>
      </c>
      <c r="I806" s="29">
        <v>1E-3</v>
      </c>
      <c r="K806" s="21" t="str">
        <f>IF(E806="","",IFERROR(VLOOKUP(E806,REGRAS_CST!$A$2:$C$200,3,FALSE),""))</f>
        <v/>
      </c>
      <c r="L806" s="23" t="str">
        <f>IF($G806="", "", $G806*(1-$V806))</f>
        <v/>
      </c>
      <c r="M806" s="24" t="str">
        <f>IF(OR($L806="",$S806=""),"",$L806*$S806)</f>
        <v/>
      </c>
      <c r="N806" s="24" t="str">
        <f>IF(OR($L806="",$T806=""),"",$L806*$T806)</f>
        <v/>
      </c>
      <c r="O806" s="15" t="str">
        <f>IF(D806="","",
IF(AND(K806&lt;&gt;"SIM",V806&gt;0),"ERRO: % BC &gt; 0, mas NÃO permitida ❌",
IF(AND(K806="SIM",V806=0),"ATENÇÃO: BC permitida, mas % = 0 🔎",
"Base de cálculo aplicada corretamente ✅")))</f>
        <v/>
      </c>
      <c r="P806" s="31" t="str">
        <f>IF(D806="","",
IF(AND(Q806&lt;&gt;"SIM",U806&gt;0),"ERRO: % alíquota &gt; 0, mas NÃO permitida ❌",
IF(AND(Q806="SIM",U806=0),"ATENÇÃO: alíquota permitida, mas % = 0 🔎",
"Alíquota aplicada corretamente ✅")))</f>
        <v/>
      </c>
      <c r="Q806" s="8" t="str">
        <f>IF(E806="","",IFERROR(VLOOKUP(E806,REGRAS_CST!$A$2:$D$200,4,FALSE),""))</f>
        <v/>
      </c>
      <c r="S806" s="9">
        <f>IF($H806="","",$H806*(1-$U806))</f>
        <v>8.9999999999999993E-3</v>
      </c>
      <c r="T806" s="9">
        <f>IF($I806="","",$I806*(1-$U806))</f>
        <v>1E-3</v>
      </c>
      <c r="U806" s="16">
        <f>IFERROR(INDEX(BASE_CCLASSTRIB!$E:$E, MATCH(TEXT($D806,"000000"), BASE_CCLASSTRIB!$A:$A, 0))/100, 0)</f>
        <v>0</v>
      </c>
      <c r="V806" s="16">
        <f>IFERROR(INDEX(BASE_CCLASSTRIB!$F:$F, MATCH(TEXT($D806,"000000"), BASE_CCLASSTRIB!$A:$A, 0))/100, 0)</f>
        <v>0</v>
      </c>
    </row>
    <row r="807" spans="4:22" ht="32.25" customHeight="1">
      <c r="D807" s="39"/>
      <c r="E807" s="27" t="str">
        <f>IF(D807="","",LEFT(D807,3))</f>
        <v/>
      </c>
      <c r="F807" s="28" t="str">
        <f>IF(E807="","",IFERROR(VLOOKUP(E807,REGRAS_CST!$A$2:$B$200,2,FALSE),""))</f>
        <v/>
      </c>
      <c r="H807" s="29">
        <v>8.9999999999999993E-3</v>
      </c>
      <c r="I807" s="29">
        <v>1E-3</v>
      </c>
      <c r="K807" s="21" t="str">
        <f>IF(E807="","",IFERROR(VLOOKUP(E807,REGRAS_CST!$A$2:$C$200,3,FALSE),""))</f>
        <v/>
      </c>
      <c r="L807" s="23" t="str">
        <f>IF($G807="", "", $G807*(1-$V807))</f>
        <v/>
      </c>
      <c r="M807" s="24" t="str">
        <f>IF(OR($L807="",$S807=""),"",$L807*$S807)</f>
        <v/>
      </c>
      <c r="N807" s="24" t="str">
        <f>IF(OR($L807="",$T807=""),"",$L807*$T807)</f>
        <v/>
      </c>
      <c r="O807" s="15" t="str">
        <f>IF(D807="","",
IF(AND(K807&lt;&gt;"SIM",V807&gt;0),"ERRO: % BC &gt; 0, mas NÃO permitida ❌",
IF(AND(K807="SIM",V807=0),"ATENÇÃO: BC permitida, mas % = 0 🔎",
"Base de cálculo aplicada corretamente ✅")))</f>
        <v/>
      </c>
      <c r="P807" s="31" t="str">
        <f>IF(D807="","",
IF(AND(Q807&lt;&gt;"SIM",U807&gt;0),"ERRO: % alíquota &gt; 0, mas NÃO permitida ❌",
IF(AND(Q807="SIM",U807=0),"ATENÇÃO: alíquota permitida, mas % = 0 🔎",
"Alíquota aplicada corretamente ✅")))</f>
        <v/>
      </c>
      <c r="Q807" s="8" t="str">
        <f>IF(E807="","",IFERROR(VLOOKUP(E807,REGRAS_CST!$A$2:$D$200,4,FALSE),""))</f>
        <v/>
      </c>
      <c r="S807" s="9">
        <f>IF($H807="","",$H807*(1-$U807))</f>
        <v>8.9999999999999993E-3</v>
      </c>
      <c r="T807" s="9">
        <f>IF($I807="","",$I807*(1-$U807))</f>
        <v>1E-3</v>
      </c>
      <c r="U807" s="16">
        <f>IFERROR(INDEX(BASE_CCLASSTRIB!$E:$E, MATCH(TEXT($D807,"000000"), BASE_CCLASSTRIB!$A:$A, 0))/100, 0)</f>
        <v>0</v>
      </c>
      <c r="V807" s="16">
        <f>IFERROR(INDEX(BASE_CCLASSTRIB!$F:$F, MATCH(TEXT($D807,"000000"), BASE_CCLASSTRIB!$A:$A, 0))/100, 0)</f>
        <v>0</v>
      </c>
    </row>
    <row r="808" spans="4:22" ht="32.25" customHeight="1">
      <c r="D808" s="39"/>
      <c r="E808" s="27" t="str">
        <f>IF(D808="","",LEFT(D808,3))</f>
        <v/>
      </c>
      <c r="F808" s="28" t="str">
        <f>IF(E808="","",IFERROR(VLOOKUP(E808,REGRAS_CST!$A$2:$B$200,2,FALSE),""))</f>
        <v/>
      </c>
      <c r="H808" s="29">
        <v>8.9999999999999993E-3</v>
      </c>
      <c r="I808" s="29">
        <v>1E-3</v>
      </c>
      <c r="K808" s="21" t="str">
        <f>IF(E808="","",IFERROR(VLOOKUP(E808,REGRAS_CST!$A$2:$C$200,3,FALSE),""))</f>
        <v/>
      </c>
      <c r="L808" s="23" t="str">
        <f>IF($G808="", "", $G808*(1-$V808))</f>
        <v/>
      </c>
      <c r="M808" s="24" t="str">
        <f>IF(OR($L808="",$S808=""),"",$L808*$S808)</f>
        <v/>
      </c>
      <c r="N808" s="24" t="str">
        <f>IF(OR($L808="",$T808=""),"",$L808*$T808)</f>
        <v/>
      </c>
      <c r="O808" s="15" t="str">
        <f>IF(D808="","",
IF(AND(K808&lt;&gt;"SIM",V808&gt;0),"ERRO: % BC &gt; 0, mas NÃO permitida ❌",
IF(AND(K808="SIM",V808=0),"ATENÇÃO: BC permitida, mas % = 0 🔎",
"Base de cálculo aplicada corretamente ✅")))</f>
        <v/>
      </c>
      <c r="P808" s="31" t="str">
        <f>IF(D808="","",
IF(AND(Q808&lt;&gt;"SIM",U808&gt;0),"ERRO: % alíquota &gt; 0, mas NÃO permitida ❌",
IF(AND(Q808="SIM",U808=0),"ATENÇÃO: alíquota permitida, mas % = 0 🔎",
"Alíquota aplicada corretamente ✅")))</f>
        <v/>
      </c>
      <c r="Q808" s="8" t="str">
        <f>IF(E808="","",IFERROR(VLOOKUP(E808,REGRAS_CST!$A$2:$D$200,4,FALSE),""))</f>
        <v/>
      </c>
      <c r="S808" s="9">
        <f>IF($H808="","",$H808*(1-$U808))</f>
        <v>8.9999999999999993E-3</v>
      </c>
      <c r="T808" s="9">
        <f>IF($I808="","",$I808*(1-$U808))</f>
        <v>1E-3</v>
      </c>
      <c r="U808" s="16">
        <f>IFERROR(INDEX(BASE_CCLASSTRIB!$E:$E, MATCH(TEXT($D808,"000000"), BASE_CCLASSTRIB!$A:$A, 0))/100, 0)</f>
        <v>0</v>
      </c>
      <c r="V808" s="16">
        <f>IFERROR(INDEX(BASE_CCLASSTRIB!$F:$F, MATCH(TEXT($D808,"000000"), BASE_CCLASSTRIB!$A:$A, 0))/100, 0)</f>
        <v>0</v>
      </c>
    </row>
    <row r="809" spans="4:22" ht="32.25" customHeight="1">
      <c r="D809" s="39"/>
      <c r="E809" s="27" t="str">
        <f>IF(D809="","",LEFT(D809,3))</f>
        <v/>
      </c>
      <c r="F809" s="28" t="str">
        <f>IF(E809="","",IFERROR(VLOOKUP(E809,REGRAS_CST!$A$2:$B$200,2,FALSE),""))</f>
        <v/>
      </c>
      <c r="H809" s="29">
        <v>8.9999999999999993E-3</v>
      </c>
      <c r="I809" s="29">
        <v>1E-3</v>
      </c>
      <c r="K809" s="21" t="str">
        <f>IF(E809="","",IFERROR(VLOOKUP(E809,REGRAS_CST!$A$2:$C$200,3,FALSE),""))</f>
        <v/>
      </c>
      <c r="L809" s="23" t="str">
        <f>IF($G809="", "", $G809*(1-$V809))</f>
        <v/>
      </c>
      <c r="M809" s="24" t="str">
        <f>IF(OR($L809="",$S809=""),"",$L809*$S809)</f>
        <v/>
      </c>
      <c r="N809" s="24" t="str">
        <f>IF(OR($L809="",$T809=""),"",$L809*$T809)</f>
        <v/>
      </c>
      <c r="O809" s="15" t="str">
        <f>IF(D809="","",
IF(AND(K809&lt;&gt;"SIM",V809&gt;0),"ERRO: % BC &gt; 0, mas NÃO permitida ❌",
IF(AND(K809="SIM",V809=0),"ATENÇÃO: BC permitida, mas % = 0 🔎",
"Base de cálculo aplicada corretamente ✅")))</f>
        <v/>
      </c>
      <c r="P809" s="31" t="str">
        <f>IF(D809="","",
IF(AND(Q809&lt;&gt;"SIM",U809&gt;0),"ERRO: % alíquota &gt; 0, mas NÃO permitida ❌",
IF(AND(Q809="SIM",U809=0),"ATENÇÃO: alíquota permitida, mas % = 0 🔎",
"Alíquota aplicada corretamente ✅")))</f>
        <v/>
      </c>
      <c r="Q809" s="8" t="str">
        <f>IF(E809="","",IFERROR(VLOOKUP(E809,REGRAS_CST!$A$2:$D$200,4,FALSE),""))</f>
        <v/>
      </c>
      <c r="S809" s="9">
        <f>IF($H809="","",$H809*(1-$U809))</f>
        <v>8.9999999999999993E-3</v>
      </c>
      <c r="T809" s="9">
        <f>IF($I809="","",$I809*(1-$U809))</f>
        <v>1E-3</v>
      </c>
      <c r="U809" s="16">
        <f>IFERROR(INDEX(BASE_CCLASSTRIB!$E:$E, MATCH(TEXT($D809,"000000"), BASE_CCLASSTRIB!$A:$A, 0))/100, 0)</f>
        <v>0</v>
      </c>
      <c r="V809" s="16">
        <f>IFERROR(INDEX(BASE_CCLASSTRIB!$F:$F, MATCH(TEXT($D809,"000000"), BASE_CCLASSTRIB!$A:$A, 0))/100, 0)</f>
        <v>0</v>
      </c>
    </row>
    <row r="810" spans="4:22" ht="32.25" customHeight="1">
      <c r="D810" s="39"/>
      <c r="E810" s="27" t="str">
        <f>IF(D810="","",LEFT(D810,3))</f>
        <v/>
      </c>
      <c r="F810" s="28" t="str">
        <f>IF(E810="","",IFERROR(VLOOKUP(E810,REGRAS_CST!$A$2:$B$200,2,FALSE),""))</f>
        <v/>
      </c>
      <c r="H810" s="29">
        <v>8.9999999999999993E-3</v>
      </c>
      <c r="I810" s="29">
        <v>1E-3</v>
      </c>
      <c r="K810" s="21" t="str">
        <f>IF(E810="","",IFERROR(VLOOKUP(E810,REGRAS_CST!$A$2:$C$200,3,FALSE),""))</f>
        <v/>
      </c>
      <c r="L810" s="23" t="str">
        <f>IF($G810="", "", $G810*(1-$V810))</f>
        <v/>
      </c>
      <c r="M810" s="24" t="str">
        <f>IF(OR($L810="",$S810=""),"",$L810*$S810)</f>
        <v/>
      </c>
      <c r="N810" s="24" t="str">
        <f>IF(OR($L810="",$T810=""),"",$L810*$T810)</f>
        <v/>
      </c>
      <c r="O810" s="15" t="str">
        <f>IF(D810="","",
IF(AND(K810&lt;&gt;"SIM",V810&gt;0),"ERRO: % BC &gt; 0, mas NÃO permitida ❌",
IF(AND(K810="SIM",V810=0),"ATENÇÃO: BC permitida, mas % = 0 🔎",
"Base de cálculo aplicada corretamente ✅")))</f>
        <v/>
      </c>
      <c r="P810" s="31" t="str">
        <f>IF(D810="","",
IF(AND(Q810&lt;&gt;"SIM",U810&gt;0),"ERRO: % alíquota &gt; 0, mas NÃO permitida ❌",
IF(AND(Q810="SIM",U810=0),"ATENÇÃO: alíquota permitida, mas % = 0 🔎",
"Alíquota aplicada corretamente ✅")))</f>
        <v/>
      </c>
      <c r="Q810" s="8" t="str">
        <f>IF(E810="","",IFERROR(VLOOKUP(E810,REGRAS_CST!$A$2:$D$200,4,FALSE),""))</f>
        <v/>
      </c>
      <c r="S810" s="9">
        <f>IF($H810="","",$H810*(1-$U810))</f>
        <v>8.9999999999999993E-3</v>
      </c>
      <c r="T810" s="9">
        <f>IF($I810="","",$I810*(1-$U810))</f>
        <v>1E-3</v>
      </c>
      <c r="U810" s="16">
        <f>IFERROR(INDEX(BASE_CCLASSTRIB!$E:$E, MATCH(TEXT($D810,"000000"), BASE_CCLASSTRIB!$A:$A, 0))/100, 0)</f>
        <v>0</v>
      </c>
      <c r="V810" s="16">
        <f>IFERROR(INDEX(BASE_CCLASSTRIB!$F:$F, MATCH(TEXT($D810,"000000"), BASE_CCLASSTRIB!$A:$A, 0))/100, 0)</f>
        <v>0</v>
      </c>
    </row>
    <row r="811" spans="4:22" ht="32.25" customHeight="1">
      <c r="D811" s="39"/>
      <c r="E811" s="27" t="str">
        <f>IF(D811="","",LEFT(D811,3))</f>
        <v/>
      </c>
      <c r="F811" s="28" t="str">
        <f>IF(E811="","",IFERROR(VLOOKUP(E811,REGRAS_CST!$A$2:$B$200,2,FALSE),""))</f>
        <v/>
      </c>
      <c r="H811" s="29">
        <v>8.9999999999999993E-3</v>
      </c>
      <c r="I811" s="29">
        <v>1E-3</v>
      </c>
      <c r="K811" s="21" t="str">
        <f>IF(E811="","",IFERROR(VLOOKUP(E811,REGRAS_CST!$A$2:$C$200,3,FALSE),""))</f>
        <v/>
      </c>
      <c r="L811" s="23" t="str">
        <f>IF($G811="", "", $G811*(1-$V811))</f>
        <v/>
      </c>
      <c r="M811" s="24" t="str">
        <f>IF(OR($L811="",$S811=""),"",$L811*$S811)</f>
        <v/>
      </c>
      <c r="N811" s="24" t="str">
        <f>IF(OR($L811="",$T811=""),"",$L811*$T811)</f>
        <v/>
      </c>
      <c r="O811" s="15" t="str">
        <f>IF(D811="","",
IF(AND(K811&lt;&gt;"SIM",V811&gt;0),"ERRO: % BC &gt; 0, mas NÃO permitida ❌",
IF(AND(K811="SIM",V811=0),"ATENÇÃO: BC permitida, mas % = 0 🔎",
"Base de cálculo aplicada corretamente ✅")))</f>
        <v/>
      </c>
      <c r="P811" s="31" t="str">
        <f>IF(D811="","",
IF(AND(Q811&lt;&gt;"SIM",U811&gt;0),"ERRO: % alíquota &gt; 0, mas NÃO permitida ❌",
IF(AND(Q811="SIM",U811=0),"ATENÇÃO: alíquota permitida, mas % = 0 🔎",
"Alíquota aplicada corretamente ✅")))</f>
        <v/>
      </c>
      <c r="Q811" s="8" t="str">
        <f>IF(E811="","",IFERROR(VLOOKUP(E811,REGRAS_CST!$A$2:$D$200,4,FALSE),""))</f>
        <v/>
      </c>
      <c r="S811" s="9">
        <f>IF($H811="","",$H811*(1-$U811))</f>
        <v>8.9999999999999993E-3</v>
      </c>
      <c r="T811" s="9">
        <f>IF($I811="","",$I811*(1-$U811))</f>
        <v>1E-3</v>
      </c>
      <c r="U811" s="16">
        <f>IFERROR(INDEX(BASE_CCLASSTRIB!$E:$E, MATCH(TEXT($D811,"000000"), BASE_CCLASSTRIB!$A:$A, 0))/100, 0)</f>
        <v>0</v>
      </c>
      <c r="V811" s="16">
        <f>IFERROR(INDEX(BASE_CCLASSTRIB!$F:$F, MATCH(TEXT($D811,"000000"), BASE_CCLASSTRIB!$A:$A, 0))/100, 0)</f>
        <v>0</v>
      </c>
    </row>
    <row r="812" spans="4:22" ht="32.25" customHeight="1">
      <c r="D812" s="40"/>
      <c r="E812" s="27" t="str">
        <f>IF(D812="","",LEFT(D812,3))</f>
        <v/>
      </c>
      <c r="F812" s="28" t="str">
        <f>IF(E812="","",IFERROR(VLOOKUP(E812,REGRAS_CST!$A$2:$B$200,2,FALSE),""))</f>
        <v/>
      </c>
      <c r="H812" s="29">
        <v>8.9999999999999993E-3</v>
      </c>
      <c r="I812" s="29">
        <v>1E-3</v>
      </c>
      <c r="K812" s="21" t="str">
        <f>IF(E812="","",IFERROR(VLOOKUP(E812,REGRAS_CST!$A$2:$C$200,3,FALSE),""))</f>
        <v/>
      </c>
      <c r="L812" s="23" t="str">
        <f>IF($G812="", "", $G812*(1-$V812))</f>
        <v/>
      </c>
      <c r="M812" s="24" t="str">
        <f>IF(OR($L812="",$S812=""),"",$L812*$S812)</f>
        <v/>
      </c>
      <c r="N812" s="24" t="str">
        <f>IF(OR($L812="",$T812=""),"",$L812*$T812)</f>
        <v/>
      </c>
      <c r="O812" s="15" t="str">
        <f>IF(D812="","",
IF(AND(K812&lt;&gt;"SIM",V812&gt;0),"ERRO: % BC &gt; 0, mas NÃO permitida ❌",
IF(AND(K812="SIM",V812=0),"ATENÇÃO: BC permitida, mas % = 0 🔎",
"Base de cálculo aplicada corretamente ✅")))</f>
        <v/>
      </c>
      <c r="P812" s="31" t="str">
        <f>IF(D812="","",
IF(AND(Q812&lt;&gt;"SIM",U812&gt;0),"ERRO: % alíquota &gt; 0, mas NÃO permitida ❌",
IF(AND(Q812="SIM",U812=0),"ATENÇÃO: alíquota permitida, mas % = 0 🔎",
"Alíquota aplicada corretamente ✅")))</f>
        <v/>
      </c>
      <c r="Q812" s="8" t="str">
        <f>IF(E812="","",IFERROR(VLOOKUP(E812,REGRAS_CST!$A$2:$D$200,4,FALSE),""))</f>
        <v/>
      </c>
      <c r="S812" s="9">
        <f>IF($H812="","",$H812*(1-$U812))</f>
        <v>8.9999999999999993E-3</v>
      </c>
      <c r="T812" s="9">
        <f>IF($I812="","",$I812*(1-$U812))</f>
        <v>1E-3</v>
      </c>
      <c r="U812" s="16">
        <f>IFERROR(INDEX(BASE_CCLASSTRIB!$E:$E, MATCH(TEXT($D812,"000000"), BASE_CCLASSTRIB!$A:$A, 0))/100, 0)</f>
        <v>0</v>
      </c>
      <c r="V812" s="16">
        <f>IFERROR(INDEX(BASE_CCLASSTRIB!$F:$F, MATCH(TEXT($D812,"000000"), BASE_CCLASSTRIB!$A:$A, 0))/100, 0)</f>
        <v>0</v>
      </c>
    </row>
    <row r="813" spans="4:22" ht="32.25" customHeight="1">
      <c r="D813" s="39"/>
      <c r="E813" s="27" t="str">
        <f>IF(D813="","",LEFT(D813,3))</f>
        <v/>
      </c>
      <c r="F813" s="28" t="str">
        <f>IF(E813="","",IFERROR(VLOOKUP(E813,REGRAS_CST!$A$2:$B$200,2,FALSE),""))</f>
        <v/>
      </c>
      <c r="H813" s="29">
        <v>8.9999999999999993E-3</v>
      </c>
      <c r="I813" s="29">
        <v>1E-3</v>
      </c>
      <c r="K813" s="21" t="str">
        <f>IF(E813="","",IFERROR(VLOOKUP(E813,REGRAS_CST!$A$2:$C$200,3,FALSE),""))</f>
        <v/>
      </c>
      <c r="L813" s="23" t="str">
        <f>IF($G813="", "", $G813*(1-$V813))</f>
        <v/>
      </c>
      <c r="M813" s="24" t="str">
        <f>IF(OR($L813="",$S813=""),"",$L813*$S813)</f>
        <v/>
      </c>
      <c r="N813" s="24" t="str">
        <f>IF(OR($L813="",$T813=""),"",$L813*$T813)</f>
        <v/>
      </c>
      <c r="O813" s="15" t="str">
        <f>IF(D813="","",
IF(AND(K813&lt;&gt;"SIM",V813&gt;0),"ERRO: % BC &gt; 0, mas NÃO permitida ❌",
IF(AND(K813="SIM",V813=0),"ATENÇÃO: BC permitida, mas % = 0 🔎",
"Base de cálculo aplicada corretamente ✅")))</f>
        <v/>
      </c>
      <c r="P813" s="31" t="str">
        <f>IF(D813="","",
IF(AND(Q813&lt;&gt;"SIM",U813&gt;0),"ERRO: % alíquota &gt; 0, mas NÃO permitida ❌",
IF(AND(Q813="SIM",U813=0),"ATENÇÃO: alíquota permitida, mas % = 0 🔎",
"Alíquota aplicada corretamente ✅")))</f>
        <v/>
      </c>
      <c r="Q813" s="8" t="str">
        <f>IF(E813="","",IFERROR(VLOOKUP(E813,REGRAS_CST!$A$2:$D$200,4,FALSE),""))</f>
        <v/>
      </c>
      <c r="S813" s="9">
        <f>IF($H813="","",$H813*(1-$U813))</f>
        <v>8.9999999999999993E-3</v>
      </c>
      <c r="T813" s="9">
        <f>IF($I813="","",$I813*(1-$U813))</f>
        <v>1E-3</v>
      </c>
      <c r="U813" s="16">
        <f>IFERROR(INDEX(BASE_CCLASSTRIB!$E:$E, MATCH(TEXT($D813,"000000"), BASE_CCLASSTRIB!$A:$A, 0))/100, 0)</f>
        <v>0</v>
      </c>
      <c r="V813" s="16">
        <f>IFERROR(INDEX(BASE_CCLASSTRIB!$F:$F, MATCH(TEXT($D813,"000000"), BASE_CCLASSTRIB!$A:$A, 0))/100, 0)</f>
        <v>0</v>
      </c>
    </row>
    <row r="814" spans="4:22" ht="32.25" customHeight="1">
      <c r="D814" s="40"/>
      <c r="E814" s="27" t="str">
        <f>IF(D814="","",LEFT(D814,3))</f>
        <v/>
      </c>
      <c r="F814" s="28" t="str">
        <f>IF(E814="","",IFERROR(VLOOKUP(E814,REGRAS_CST!$A$2:$B$200,2,FALSE),""))</f>
        <v/>
      </c>
      <c r="H814" s="29">
        <v>8.9999999999999993E-3</v>
      </c>
      <c r="I814" s="29">
        <v>1E-3</v>
      </c>
      <c r="K814" s="21" t="str">
        <f>IF(E814="","",IFERROR(VLOOKUP(E814,REGRAS_CST!$A$2:$C$200,3,FALSE),""))</f>
        <v/>
      </c>
      <c r="L814" s="23" t="str">
        <f>IF($G814="", "", $G814*(1-$V814))</f>
        <v/>
      </c>
      <c r="M814" s="24" t="str">
        <f>IF(OR($L814="",$S814=""),"",$L814*$S814)</f>
        <v/>
      </c>
      <c r="N814" s="24" t="str">
        <f>IF(OR($L814="",$T814=""),"",$L814*$T814)</f>
        <v/>
      </c>
      <c r="O814" s="15" t="str">
        <f>IF(D814="","",
IF(AND(K814&lt;&gt;"SIM",V814&gt;0),"ERRO: % BC &gt; 0, mas NÃO permitida ❌",
IF(AND(K814="SIM",V814=0),"ATENÇÃO: BC permitida, mas % = 0 🔎",
"Base de cálculo aplicada corretamente ✅")))</f>
        <v/>
      </c>
      <c r="P814" s="31" t="str">
        <f>IF(D814="","",
IF(AND(Q814&lt;&gt;"SIM",U814&gt;0),"ERRO: % alíquota &gt; 0, mas NÃO permitida ❌",
IF(AND(Q814="SIM",U814=0),"ATENÇÃO: alíquota permitida, mas % = 0 🔎",
"Alíquota aplicada corretamente ✅")))</f>
        <v/>
      </c>
      <c r="Q814" s="8" t="str">
        <f>IF(E814="","",IFERROR(VLOOKUP(E814,REGRAS_CST!$A$2:$D$200,4,FALSE),""))</f>
        <v/>
      </c>
      <c r="S814" s="9">
        <f>IF($H814="","",$H814*(1-$U814))</f>
        <v>8.9999999999999993E-3</v>
      </c>
      <c r="T814" s="9">
        <f>IF($I814="","",$I814*(1-$U814))</f>
        <v>1E-3</v>
      </c>
      <c r="U814" s="16">
        <f>IFERROR(INDEX(BASE_CCLASSTRIB!$E:$E, MATCH(TEXT($D814,"000000"), BASE_CCLASSTRIB!$A:$A, 0))/100, 0)</f>
        <v>0</v>
      </c>
      <c r="V814" s="16">
        <f>IFERROR(INDEX(BASE_CCLASSTRIB!$F:$F, MATCH(TEXT($D814,"000000"), BASE_CCLASSTRIB!$A:$A, 0))/100, 0)</f>
        <v>0</v>
      </c>
    </row>
    <row r="815" spans="4:22" ht="32.25" customHeight="1">
      <c r="D815" s="39"/>
      <c r="E815" s="27" t="str">
        <f>IF(D815="","",LEFT(D815,3))</f>
        <v/>
      </c>
      <c r="F815" s="28" t="str">
        <f>IF(E815="","",IFERROR(VLOOKUP(E815,REGRAS_CST!$A$2:$B$200,2,FALSE),""))</f>
        <v/>
      </c>
      <c r="H815" s="29">
        <v>8.9999999999999993E-3</v>
      </c>
      <c r="I815" s="29">
        <v>1E-3</v>
      </c>
      <c r="K815" s="21" t="str">
        <f>IF(E815="","",IFERROR(VLOOKUP(E815,REGRAS_CST!$A$2:$C$200,3,FALSE),""))</f>
        <v/>
      </c>
      <c r="L815" s="23" t="str">
        <f>IF($G815="", "", $G815*(1-$V815))</f>
        <v/>
      </c>
      <c r="M815" s="24" t="str">
        <f>IF(OR($L815="",$S815=""),"",$L815*$S815)</f>
        <v/>
      </c>
      <c r="N815" s="24" t="str">
        <f>IF(OR($L815="",$T815=""),"",$L815*$T815)</f>
        <v/>
      </c>
      <c r="O815" s="15" t="str">
        <f>IF(D815="","",
IF(AND(K815&lt;&gt;"SIM",V815&gt;0),"ERRO: % BC &gt; 0, mas NÃO permitida ❌",
IF(AND(K815="SIM",V815=0),"ATENÇÃO: BC permitida, mas % = 0 🔎",
"Base de cálculo aplicada corretamente ✅")))</f>
        <v/>
      </c>
      <c r="P815" s="31" t="str">
        <f>IF(D815="","",
IF(AND(Q815&lt;&gt;"SIM",U815&gt;0),"ERRO: % alíquota &gt; 0, mas NÃO permitida ❌",
IF(AND(Q815="SIM",U815=0),"ATENÇÃO: alíquota permitida, mas % = 0 🔎",
"Alíquota aplicada corretamente ✅")))</f>
        <v/>
      </c>
      <c r="Q815" s="8" t="str">
        <f>IF(E815="","",IFERROR(VLOOKUP(E815,REGRAS_CST!$A$2:$D$200,4,FALSE),""))</f>
        <v/>
      </c>
      <c r="S815" s="9">
        <f>IF($H815="","",$H815*(1-$U815))</f>
        <v>8.9999999999999993E-3</v>
      </c>
      <c r="T815" s="9">
        <f>IF($I815="","",$I815*(1-$U815))</f>
        <v>1E-3</v>
      </c>
      <c r="U815" s="16">
        <f>IFERROR(INDEX(BASE_CCLASSTRIB!$E:$E, MATCH(TEXT($D815,"000000"), BASE_CCLASSTRIB!$A:$A, 0))/100, 0)</f>
        <v>0</v>
      </c>
      <c r="V815" s="16">
        <f>IFERROR(INDEX(BASE_CCLASSTRIB!$F:$F, MATCH(TEXT($D815,"000000"), BASE_CCLASSTRIB!$A:$A, 0))/100, 0)</f>
        <v>0</v>
      </c>
    </row>
    <row r="816" spans="4:22" ht="32.25" customHeight="1">
      <c r="D816" s="39"/>
      <c r="E816" s="27" t="str">
        <f>IF(D816="","",LEFT(D816,3))</f>
        <v/>
      </c>
      <c r="F816" s="28" t="str">
        <f>IF(E816="","",IFERROR(VLOOKUP(E816,REGRAS_CST!$A$2:$B$200,2,FALSE),""))</f>
        <v/>
      </c>
      <c r="H816" s="29">
        <v>8.9999999999999993E-3</v>
      </c>
      <c r="I816" s="29">
        <v>1E-3</v>
      </c>
      <c r="K816" s="21" t="str">
        <f>IF(E816="","",IFERROR(VLOOKUP(E816,REGRAS_CST!$A$2:$C$200,3,FALSE),""))</f>
        <v/>
      </c>
      <c r="L816" s="23" t="str">
        <f>IF($G816="", "", $G816*(1-$V816))</f>
        <v/>
      </c>
      <c r="M816" s="24" t="str">
        <f>IF(OR($L816="",$S816=""),"",$L816*$S816)</f>
        <v/>
      </c>
      <c r="N816" s="24" t="str">
        <f>IF(OR($L816="",$T816=""),"",$L816*$T816)</f>
        <v/>
      </c>
      <c r="O816" s="15" t="str">
        <f>IF(D816="","",
IF(AND(K816&lt;&gt;"SIM",V816&gt;0),"ERRO: % BC &gt; 0, mas NÃO permitida ❌",
IF(AND(K816="SIM",V816=0),"ATENÇÃO: BC permitida, mas % = 0 🔎",
"Base de cálculo aplicada corretamente ✅")))</f>
        <v/>
      </c>
      <c r="P816" s="31" t="str">
        <f>IF(D816="","",
IF(AND(Q816&lt;&gt;"SIM",U816&gt;0),"ERRO: % alíquota &gt; 0, mas NÃO permitida ❌",
IF(AND(Q816="SIM",U816=0),"ATENÇÃO: alíquota permitida, mas % = 0 🔎",
"Alíquota aplicada corretamente ✅")))</f>
        <v/>
      </c>
      <c r="Q816" s="8" t="str">
        <f>IF(E816="","",IFERROR(VLOOKUP(E816,REGRAS_CST!$A$2:$D$200,4,FALSE),""))</f>
        <v/>
      </c>
      <c r="S816" s="9">
        <f>IF($H816="","",$H816*(1-$U816))</f>
        <v>8.9999999999999993E-3</v>
      </c>
      <c r="T816" s="9">
        <f>IF($I816="","",$I816*(1-$U816))</f>
        <v>1E-3</v>
      </c>
      <c r="U816" s="16">
        <f>IFERROR(INDEX(BASE_CCLASSTRIB!$E:$E, MATCH(TEXT($D816,"000000"), BASE_CCLASSTRIB!$A:$A, 0))/100, 0)</f>
        <v>0</v>
      </c>
      <c r="V816" s="16">
        <f>IFERROR(INDEX(BASE_CCLASSTRIB!$F:$F, MATCH(TEXT($D816,"000000"), BASE_CCLASSTRIB!$A:$A, 0))/100, 0)</f>
        <v>0</v>
      </c>
    </row>
    <row r="817" spans="4:22" ht="32.25" customHeight="1">
      <c r="D817" s="40"/>
      <c r="E817" s="27" t="str">
        <f>IF(D817="","",LEFT(D817,3))</f>
        <v/>
      </c>
      <c r="F817" s="28" t="str">
        <f>IF(E817="","",IFERROR(VLOOKUP(E817,REGRAS_CST!$A$2:$B$200,2,FALSE),""))</f>
        <v/>
      </c>
      <c r="H817" s="29">
        <v>8.9999999999999993E-3</v>
      </c>
      <c r="I817" s="29">
        <v>1E-3</v>
      </c>
      <c r="K817" s="21" t="str">
        <f>IF(E817="","",IFERROR(VLOOKUP(E817,REGRAS_CST!$A$2:$C$200,3,FALSE),""))</f>
        <v/>
      </c>
      <c r="L817" s="23" t="str">
        <f>IF($G817="", "", $G817*(1-$V817))</f>
        <v/>
      </c>
      <c r="M817" s="24" t="str">
        <f>IF(OR($L817="",$S817=""),"",$L817*$S817)</f>
        <v/>
      </c>
      <c r="N817" s="24" t="str">
        <f>IF(OR($L817="",$T817=""),"",$L817*$T817)</f>
        <v/>
      </c>
      <c r="O817" s="15" t="str">
        <f>IF(D817="","",
IF(AND(K817&lt;&gt;"SIM",V817&gt;0),"ERRO: % BC &gt; 0, mas NÃO permitida ❌",
IF(AND(K817="SIM",V817=0),"ATENÇÃO: BC permitida, mas % = 0 🔎",
"Base de cálculo aplicada corretamente ✅")))</f>
        <v/>
      </c>
      <c r="P817" s="31" t="str">
        <f>IF(D817="","",
IF(AND(Q817&lt;&gt;"SIM",U817&gt;0),"ERRO: % alíquota &gt; 0, mas NÃO permitida ❌",
IF(AND(Q817="SIM",U817=0),"ATENÇÃO: alíquota permitida, mas % = 0 🔎",
"Alíquota aplicada corretamente ✅")))</f>
        <v/>
      </c>
      <c r="Q817" s="8" t="str">
        <f>IF(E817="","",IFERROR(VLOOKUP(E817,REGRAS_CST!$A$2:$D$200,4,FALSE),""))</f>
        <v/>
      </c>
      <c r="S817" s="9">
        <f>IF($H817="","",$H817*(1-$U817))</f>
        <v>8.9999999999999993E-3</v>
      </c>
      <c r="T817" s="9">
        <f>IF($I817="","",$I817*(1-$U817))</f>
        <v>1E-3</v>
      </c>
      <c r="U817" s="16">
        <f>IFERROR(INDEX(BASE_CCLASSTRIB!$E:$E, MATCH(TEXT($D817,"000000"), BASE_CCLASSTRIB!$A:$A, 0))/100, 0)</f>
        <v>0</v>
      </c>
      <c r="V817" s="16">
        <f>IFERROR(INDEX(BASE_CCLASSTRIB!$F:$F, MATCH(TEXT($D817,"000000"), BASE_CCLASSTRIB!$A:$A, 0))/100, 0)</f>
        <v>0</v>
      </c>
    </row>
    <row r="818" spans="4:22" ht="32.25" customHeight="1">
      <c r="D818" s="39"/>
      <c r="E818" s="27" t="str">
        <f>IF(D818="","",LEFT(D818,3))</f>
        <v/>
      </c>
      <c r="F818" s="28" t="str">
        <f>IF(E818="","",IFERROR(VLOOKUP(E818,REGRAS_CST!$A$2:$B$200,2,FALSE),""))</f>
        <v/>
      </c>
      <c r="H818" s="29">
        <v>8.9999999999999993E-3</v>
      </c>
      <c r="I818" s="29">
        <v>1E-3</v>
      </c>
      <c r="K818" s="21" t="str">
        <f>IF(E818="","",IFERROR(VLOOKUP(E818,REGRAS_CST!$A$2:$C$200,3,FALSE),""))</f>
        <v/>
      </c>
      <c r="L818" s="23" t="str">
        <f>IF($G818="", "", $G818*(1-$V818))</f>
        <v/>
      </c>
      <c r="M818" s="24" t="str">
        <f>IF(OR($L818="",$S818=""),"",$L818*$S818)</f>
        <v/>
      </c>
      <c r="N818" s="24" t="str">
        <f>IF(OR($L818="",$T818=""),"",$L818*$T818)</f>
        <v/>
      </c>
      <c r="O818" s="15" t="str">
        <f>IF(D818="","",
IF(AND(K818&lt;&gt;"SIM",V818&gt;0),"ERRO: % BC &gt; 0, mas NÃO permitida ❌",
IF(AND(K818="SIM",V818=0),"ATENÇÃO: BC permitida, mas % = 0 🔎",
"Base de cálculo aplicada corretamente ✅")))</f>
        <v/>
      </c>
      <c r="P818" s="31" t="str">
        <f>IF(D818="","",
IF(AND(Q818&lt;&gt;"SIM",U818&gt;0),"ERRO: % alíquota &gt; 0, mas NÃO permitida ❌",
IF(AND(Q818="SIM",U818=0),"ATENÇÃO: alíquota permitida, mas % = 0 🔎",
"Alíquota aplicada corretamente ✅")))</f>
        <v/>
      </c>
      <c r="Q818" s="8" t="str">
        <f>IF(E818="","",IFERROR(VLOOKUP(E818,REGRAS_CST!$A$2:$D$200,4,FALSE),""))</f>
        <v/>
      </c>
      <c r="S818" s="9">
        <f>IF($H818="","",$H818*(1-$U818))</f>
        <v>8.9999999999999993E-3</v>
      </c>
      <c r="T818" s="9">
        <f>IF($I818="","",$I818*(1-$U818))</f>
        <v>1E-3</v>
      </c>
      <c r="U818" s="16">
        <f>IFERROR(INDEX(BASE_CCLASSTRIB!$E:$E, MATCH(TEXT($D818,"000000"), BASE_CCLASSTRIB!$A:$A, 0))/100, 0)</f>
        <v>0</v>
      </c>
      <c r="V818" s="16">
        <f>IFERROR(INDEX(BASE_CCLASSTRIB!$F:$F, MATCH(TEXT($D818,"000000"), BASE_CCLASSTRIB!$A:$A, 0))/100, 0)</f>
        <v>0</v>
      </c>
    </row>
    <row r="819" spans="4:22" ht="32.25" customHeight="1">
      <c r="D819" s="39"/>
      <c r="E819" s="27" t="str">
        <f>IF(D819="","",LEFT(D819,3))</f>
        <v/>
      </c>
      <c r="F819" s="28" t="str">
        <f>IF(E819="","",IFERROR(VLOOKUP(E819,REGRAS_CST!$A$2:$B$200,2,FALSE),""))</f>
        <v/>
      </c>
      <c r="H819" s="29">
        <v>8.9999999999999993E-3</v>
      </c>
      <c r="I819" s="29">
        <v>1E-3</v>
      </c>
      <c r="K819" s="21" t="str">
        <f>IF(E819="","",IFERROR(VLOOKUP(E819,REGRAS_CST!$A$2:$C$200,3,FALSE),""))</f>
        <v/>
      </c>
      <c r="L819" s="23" t="str">
        <f>IF($G819="", "", $G819*(1-$V819))</f>
        <v/>
      </c>
      <c r="M819" s="24" t="str">
        <f>IF(OR($L819="",$S819=""),"",$L819*$S819)</f>
        <v/>
      </c>
      <c r="N819" s="24" t="str">
        <f>IF(OR($L819="",$T819=""),"",$L819*$T819)</f>
        <v/>
      </c>
      <c r="O819" s="15" t="str">
        <f>IF(D819="","",
IF(AND(K819&lt;&gt;"SIM",V819&gt;0),"ERRO: % BC &gt; 0, mas NÃO permitida ❌",
IF(AND(K819="SIM",V819=0),"ATENÇÃO: BC permitida, mas % = 0 🔎",
"Base de cálculo aplicada corretamente ✅")))</f>
        <v/>
      </c>
      <c r="P819" s="31" t="str">
        <f>IF(D819="","",
IF(AND(Q819&lt;&gt;"SIM",U819&gt;0),"ERRO: % alíquota &gt; 0, mas NÃO permitida ❌",
IF(AND(Q819="SIM",U819=0),"ATENÇÃO: alíquota permitida, mas % = 0 🔎",
"Alíquota aplicada corretamente ✅")))</f>
        <v/>
      </c>
      <c r="Q819" s="8" t="str">
        <f>IF(E819="","",IFERROR(VLOOKUP(E819,REGRAS_CST!$A$2:$D$200,4,FALSE),""))</f>
        <v/>
      </c>
      <c r="S819" s="9">
        <f>IF($H819="","",$H819*(1-$U819))</f>
        <v>8.9999999999999993E-3</v>
      </c>
      <c r="T819" s="9">
        <f>IF($I819="","",$I819*(1-$U819))</f>
        <v>1E-3</v>
      </c>
      <c r="U819" s="16">
        <f>IFERROR(INDEX(BASE_CCLASSTRIB!$E:$E, MATCH(TEXT($D819,"000000"), BASE_CCLASSTRIB!$A:$A, 0))/100, 0)</f>
        <v>0</v>
      </c>
      <c r="V819" s="16">
        <f>IFERROR(INDEX(BASE_CCLASSTRIB!$F:$F, MATCH(TEXT($D819,"000000"), BASE_CCLASSTRIB!$A:$A, 0))/100, 0)</f>
        <v>0</v>
      </c>
    </row>
    <row r="820" spans="4:22" ht="32.25" customHeight="1">
      <c r="D820" s="40"/>
      <c r="E820" s="27" t="str">
        <f>IF(D820="","",LEFT(D820,3))</f>
        <v/>
      </c>
      <c r="F820" s="28" t="str">
        <f>IF(E820="","",IFERROR(VLOOKUP(E820,REGRAS_CST!$A$2:$B$200,2,FALSE),""))</f>
        <v/>
      </c>
      <c r="H820" s="29">
        <v>8.9999999999999993E-3</v>
      </c>
      <c r="I820" s="29">
        <v>1E-3</v>
      </c>
      <c r="K820" s="21" t="str">
        <f>IF(E820="","",IFERROR(VLOOKUP(E820,REGRAS_CST!$A$2:$C$200,3,FALSE),""))</f>
        <v/>
      </c>
      <c r="L820" s="23" t="str">
        <f>IF($G820="", "", $G820*(1-$V820))</f>
        <v/>
      </c>
      <c r="M820" s="24" t="str">
        <f>IF(OR($L820="",$S820=""),"",$L820*$S820)</f>
        <v/>
      </c>
      <c r="N820" s="24" t="str">
        <f>IF(OR($L820="",$T820=""),"",$L820*$T820)</f>
        <v/>
      </c>
      <c r="O820" s="15" t="str">
        <f>IF(D820="","",
IF(AND(K820&lt;&gt;"SIM",V820&gt;0),"ERRO: % BC &gt; 0, mas NÃO permitida ❌",
IF(AND(K820="SIM",V820=0),"ATENÇÃO: BC permitida, mas % = 0 🔎",
"Base de cálculo aplicada corretamente ✅")))</f>
        <v/>
      </c>
      <c r="P820" s="31" t="str">
        <f>IF(D820="","",
IF(AND(Q820&lt;&gt;"SIM",U820&gt;0),"ERRO: % alíquota &gt; 0, mas NÃO permitida ❌",
IF(AND(Q820="SIM",U820=0),"ATENÇÃO: alíquota permitida, mas % = 0 🔎",
"Alíquota aplicada corretamente ✅")))</f>
        <v/>
      </c>
      <c r="Q820" s="8" t="str">
        <f>IF(E820="","",IFERROR(VLOOKUP(E820,REGRAS_CST!$A$2:$D$200,4,FALSE),""))</f>
        <v/>
      </c>
      <c r="S820" s="9">
        <f>IF($H820="","",$H820*(1-$U820))</f>
        <v>8.9999999999999993E-3</v>
      </c>
      <c r="T820" s="9">
        <f>IF($I820="","",$I820*(1-$U820))</f>
        <v>1E-3</v>
      </c>
      <c r="U820" s="16">
        <f>IFERROR(INDEX(BASE_CCLASSTRIB!$E:$E, MATCH(TEXT($D820,"000000"), BASE_CCLASSTRIB!$A:$A, 0))/100, 0)</f>
        <v>0</v>
      </c>
      <c r="V820" s="16">
        <f>IFERROR(INDEX(BASE_CCLASSTRIB!$F:$F, MATCH(TEXT($D820,"000000"), BASE_CCLASSTRIB!$A:$A, 0))/100, 0)</f>
        <v>0</v>
      </c>
    </row>
    <row r="821" spans="4:22" ht="32.25" customHeight="1">
      <c r="D821" s="40"/>
      <c r="E821" s="27" t="str">
        <f>IF(D821="","",LEFT(D821,3))</f>
        <v/>
      </c>
      <c r="F821" s="28" t="str">
        <f>IF(E821="","",IFERROR(VLOOKUP(E821,REGRAS_CST!$A$2:$B$200,2,FALSE),""))</f>
        <v/>
      </c>
      <c r="H821" s="29">
        <v>8.9999999999999993E-3</v>
      </c>
      <c r="I821" s="29">
        <v>1E-3</v>
      </c>
      <c r="K821" s="21" t="str">
        <f>IF(E821="","",IFERROR(VLOOKUP(E821,REGRAS_CST!$A$2:$C$200,3,FALSE),""))</f>
        <v/>
      </c>
      <c r="L821" s="23" t="str">
        <f>IF($G821="", "", $G821*(1-$V821))</f>
        <v/>
      </c>
      <c r="M821" s="24" t="str">
        <f>IF(OR($L821="",$S821=""),"",$L821*$S821)</f>
        <v/>
      </c>
      <c r="N821" s="24" t="str">
        <f>IF(OR($L821="",$T821=""),"",$L821*$T821)</f>
        <v/>
      </c>
      <c r="O821" s="15" t="str">
        <f>IF(D821="","",
IF(AND(K821&lt;&gt;"SIM",V821&gt;0),"ERRO: % BC &gt; 0, mas NÃO permitida ❌",
IF(AND(K821="SIM",V821=0),"ATENÇÃO: BC permitida, mas % = 0 🔎",
"Base de cálculo aplicada corretamente ✅")))</f>
        <v/>
      </c>
      <c r="P821" s="31" t="str">
        <f>IF(D821="","",
IF(AND(Q821&lt;&gt;"SIM",U821&gt;0),"ERRO: % alíquota &gt; 0, mas NÃO permitida ❌",
IF(AND(Q821="SIM",U821=0),"ATENÇÃO: alíquota permitida, mas % = 0 🔎",
"Alíquota aplicada corretamente ✅")))</f>
        <v/>
      </c>
      <c r="Q821" s="8" t="str">
        <f>IF(E821="","",IFERROR(VLOOKUP(E821,REGRAS_CST!$A$2:$D$200,4,FALSE),""))</f>
        <v/>
      </c>
      <c r="S821" s="9">
        <f>IF($H821="","",$H821*(1-$U821))</f>
        <v>8.9999999999999993E-3</v>
      </c>
      <c r="T821" s="9">
        <f>IF($I821="","",$I821*(1-$U821))</f>
        <v>1E-3</v>
      </c>
      <c r="U821" s="16">
        <f>IFERROR(INDEX(BASE_CCLASSTRIB!$E:$E, MATCH(TEXT($D821,"000000"), BASE_CCLASSTRIB!$A:$A, 0))/100, 0)</f>
        <v>0</v>
      </c>
      <c r="V821" s="16">
        <f>IFERROR(INDEX(BASE_CCLASSTRIB!$F:$F, MATCH(TEXT($D821,"000000"), BASE_CCLASSTRIB!$A:$A, 0))/100, 0)</f>
        <v>0</v>
      </c>
    </row>
    <row r="822" spans="4:22" ht="32.25" customHeight="1">
      <c r="D822" s="40"/>
      <c r="E822" s="27" t="str">
        <f>IF(D822="","",LEFT(D822,3))</f>
        <v/>
      </c>
      <c r="F822" s="28" t="str">
        <f>IF(E822="","",IFERROR(VLOOKUP(E822,REGRAS_CST!$A$2:$B$200,2,FALSE),""))</f>
        <v/>
      </c>
      <c r="H822" s="29">
        <v>8.9999999999999993E-3</v>
      </c>
      <c r="I822" s="29">
        <v>1E-3</v>
      </c>
      <c r="K822" s="21" t="str">
        <f>IF(E822="","",IFERROR(VLOOKUP(E822,REGRAS_CST!$A$2:$C$200,3,FALSE),""))</f>
        <v/>
      </c>
      <c r="L822" s="23" t="str">
        <f>IF($G822="", "", $G822*(1-$V822))</f>
        <v/>
      </c>
      <c r="M822" s="24" t="str">
        <f>IF(OR($L822="",$S822=""),"",$L822*$S822)</f>
        <v/>
      </c>
      <c r="N822" s="24" t="str">
        <f>IF(OR($L822="",$T822=""),"",$L822*$T822)</f>
        <v/>
      </c>
      <c r="O822" s="15" t="str">
        <f>IF(D822="","",
IF(AND(K822&lt;&gt;"SIM",V822&gt;0),"ERRO: % BC &gt; 0, mas NÃO permitida ❌",
IF(AND(K822="SIM",V822=0),"ATENÇÃO: BC permitida, mas % = 0 🔎",
"Base de cálculo aplicada corretamente ✅")))</f>
        <v/>
      </c>
      <c r="P822" s="31" t="str">
        <f>IF(D822="","",
IF(AND(Q822&lt;&gt;"SIM",U822&gt;0),"ERRO: % alíquota &gt; 0, mas NÃO permitida ❌",
IF(AND(Q822="SIM",U822=0),"ATENÇÃO: alíquota permitida, mas % = 0 🔎",
"Alíquota aplicada corretamente ✅")))</f>
        <v/>
      </c>
      <c r="Q822" s="8" t="str">
        <f>IF(E822="","",IFERROR(VLOOKUP(E822,REGRAS_CST!$A$2:$D$200,4,FALSE),""))</f>
        <v/>
      </c>
      <c r="S822" s="9">
        <f>IF($H822="","",$H822*(1-$U822))</f>
        <v>8.9999999999999993E-3</v>
      </c>
      <c r="T822" s="9">
        <f>IF($I822="","",$I822*(1-$U822))</f>
        <v>1E-3</v>
      </c>
      <c r="U822" s="16">
        <f>IFERROR(INDEX(BASE_CCLASSTRIB!$E:$E, MATCH(TEXT($D822,"000000"), BASE_CCLASSTRIB!$A:$A, 0))/100, 0)</f>
        <v>0</v>
      </c>
      <c r="V822" s="16">
        <f>IFERROR(INDEX(BASE_CCLASSTRIB!$F:$F, MATCH(TEXT($D822,"000000"), BASE_CCLASSTRIB!$A:$A, 0))/100, 0)</f>
        <v>0</v>
      </c>
    </row>
    <row r="823" spans="4:22" ht="32.25" customHeight="1">
      <c r="D823" s="40"/>
      <c r="E823" s="27" t="str">
        <f>IF(D823="","",LEFT(D823,3))</f>
        <v/>
      </c>
      <c r="F823" s="28" t="str">
        <f>IF(E823="","",IFERROR(VLOOKUP(E823,REGRAS_CST!$A$2:$B$200,2,FALSE),""))</f>
        <v/>
      </c>
      <c r="H823" s="29">
        <v>8.9999999999999993E-3</v>
      </c>
      <c r="I823" s="29">
        <v>1E-3</v>
      </c>
      <c r="K823" s="21" t="str">
        <f>IF(E823="","",IFERROR(VLOOKUP(E823,REGRAS_CST!$A$2:$C$200,3,FALSE),""))</f>
        <v/>
      </c>
      <c r="L823" s="23" t="str">
        <f>IF($G823="", "", $G823*(1-$V823))</f>
        <v/>
      </c>
      <c r="M823" s="24" t="str">
        <f>IF(OR($L823="",$S823=""),"",$L823*$S823)</f>
        <v/>
      </c>
      <c r="N823" s="24" t="str">
        <f>IF(OR($L823="",$T823=""),"",$L823*$T823)</f>
        <v/>
      </c>
      <c r="O823" s="15" t="str">
        <f>IF(D823="","",
IF(AND(K823&lt;&gt;"SIM",V823&gt;0),"ERRO: % BC &gt; 0, mas NÃO permitida ❌",
IF(AND(K823="SIM",V823=0),"ATENÇÃO: BC permitida, mas % = 0 🔎",
"Base de cálculo aplicada corretamente ✅")))</f>
        <v/>
      </c>
      <c r="P823" s="31" t="str">
        <f>IF(D823="","",
IF(AND(Q823&lt;&gt;"SIM",U823&gt;0),"ERRO: % alíquota &gt; 0, mas NÃO permitida ❌",
IF(AND(Q823="SIM",U823=0),"ATENÇÃO: alíquota permitida, mas % = 0 🔎",
"Alíquota aplicada corretamente ✅")))</f>
        <v/>
      </c>
      <c r="Q823" s="8" t="str">
        <f>IF(E823="","",IFERROR(VLOOKUP(E823,REGRAS_CST!$A$2:$D$200,4,FALSE),""))</f>
        <v/>
      </c>
      <c r="S823" s="9">
        <f>IF($H823="","",$H823*(1-$U823))</f>
        <v>8.9999999999999993E-3</v>
      </c>
      <c r="T823" s="9">
        <f>IF($I823="","",$I823*(1-$U823))</f>
        <v>1E-3</v>
      </c>
      <c r="U823" s="16">
        <f>IFERROR(INDEX(BASE_CCLASSTRIB!$E:$E, MATCH(TEXT($D823,"000000"), BASE_CCLASSTRIB!$A:$A, 0))/100, 0)</f>
        <v>0</v>
      </c>
      <c r="V823" s="16">
        <f>IFERROR(INDEX(BASE_CCLASSTRIB!$F:$F, MATCH(TEXT($D823,"000000"), BASE_CCLASSTRIB!$A:$A, 0))/100, 0)</f>
        <v>0</v>
      </c>
    </row>
    <row r="824" spans="4:22" ht="32.25" customHeight="1">
      <c r="D824" s="39"/>
      <c r="E824" s="27" t="str">
        <f>IF(D824="","",LEFT(D824,3))</f>
        <v/>
      </c>
      <c r="F824" s="28" t="str">
        <f>IF(E824="","",IFERROR(VLOOKUP(E824,REGRAS_CST!$A$2:$B$200,2,FALSE),""))</f>
        <v/>
      </c>
      <c r="H824" s="29">
        <v>8.9999999999999993E-3</v>
      </c>
      <c r="I824" s="29">
        <v>1E-3</v>
      </c>
      <c r="K824" s="21" t="str">
        <f>IF(E824="","",IFERROR(VLOOKUP(E824,REGRAS_CST!$A$2:$C$200,3,FALSE),""))</f>
        <v/>
      </c>
      <c r="L824" s="23" t="str">
        <f>IF($G824="", "", $G824*(1-$V824))</f>
        <v/>
      </c>
      <c r="M824" s="24" t="str">
        <f>IF(OR($L824="",$S824=""),"",$L824*$S824)</f>
        <v/>
      </c>
      <c r="N824" s="24" t="str">
        <f>IF(OR($L824="",$T824=""),"",$L824*$T824)</f>
        <v/>
      </c>
      <c r="O824" s="15" t="str">
        <f>IF(D824="","",
IF(AND(K824&lt;&gt;"SIM",V824&gt;0),"ERRO: % BC &gt; 0, mas NÃO permitida ❌",
IF(AND(K824="SIM",V824=0),"ATENÇÃO: BC permitida, mas % = 0 🔎",
"Base de cálculo aplicada corretamente ✅")))</f>
        <v/>
      </c>
      <c r="P824" s="31" t="str">
        <f>IF(D824="","",
IF(AND(Q824&lt;&gt;"SIM",U824&gt;0),"ERRO: % alíquota &gt; 0, mas NÃO permitida ❌",
IF(AND(Q824="SIM",U824=0),"ATENÇÃO: alíquota permitida, mas % = 0 🔎",
"Alíquota aplicada corretamente ✅")))</f>
        <v/>
      </c>
      <c r="Q824" s="8" t="str">
        <f>IF(E824="","",IFERROR(VLOOKUP(E824,REGRAS_CST!$A$2:$D$200,4,FALSE),""))</f>
        <v/>
      </c>
      <c r="S824" s="9">
        <f>IF($H824="","",$H824*(1-$U824))</f>
        <v>8.9999999999999993E-3</v>
      </c>
      <c r="T824" s="9">
        <f>IF($I824="","",$I824*(1-$U824))</f>
        <v>1E-3</v>
      </c>
      <c r="U824" s="16">
        <f>IFERROR(INDEX(BASE_CCLASSTRIB!$E:$E, MATCH(TEXT($D824,"000000"), BASE_CCLASSTRIB!$A:$A, 0))/100, 0)</f>
        <v>0</v>
      </c>
      <c r="V824" s="16">
        <f>IFERROR(INDEX(BASE_CCLASSTRIB!$F:$F, MATCH(TEXT($D824,"000000"), BASE_CCLASSTRIB!$A:$A, 0))/100, 0)</f>
        <v>0</v>
      </c>
    </row>
    <row r="825" spans="4:22" ht="32.25" customHeight="1">
      <c r="D825" s="39"/>
      <c r="E825" s="27" t="str">
        <f>IF(D825="","",LEFT(D825,3))</f>
        <v/>
      </c>
      <c r="F825" s="28" t="str">
        <f>IF(E825="","",IFERROR(VLOOKUP(E825,REGRAS_CST!$A$2:$B$200,2,FALSE),""))</f>
        <v/>
      </c>
      <c r="H825" s="29">
        <v>8.9999999999999993E-3</v>
      </c>
      <c r="I825" s="29">
        <v>1E-3</v>
      </c>
      <c r="K825" s="21" t="str">
        <f>IF(E825="","",IFERROR(VLOOKUP(E825,REGRAS_CST!$A$2:$C$200,3,FALSE),""))</f>
        <v/>
      </c>
      <c r="L825" s="23" t="str">
        <f>IF($G825="", "", $G825*(1-$V825))</f>
        <v/>
      </c>
      <c r="M825" s="24" t="str">
        <f>IF(OR($L825="",$S825=""),"",$L825*$S825)</f>
        <v/>
      </c>
      <c r="N825" s="24" t="str">
        <f>IF(OR($L825="",$T825=""),"",$L825*$T825)</f>
        <v/>
      </c>
      <c r="O825" s="15" t="str">
        <f>IF(D825="","",
IF(AND(K825&lt;&gt;"SIM",V825&gt;0),"ERRO: % BC &gt; 0, mas NÃO permitida ❌",
IF(AND(K825="SIM",V825=0),"ATENÇÃO: BC permitida, mas % = 0 🔎",
"Base de cálculo aplicada corretamente ✅")))</f>
        <v/>
      </c>
      <c r="P825" s="31" t="str">
        <f>IF(D825="","",
IF(AND(Q825&lt;&gt;"SIM",U825&gt;0),"ERRO: % alíquota &gt; 0, mas NÃO permitida ❌",
IF(AND(Q825="SIM",U825=0),"ATENÇÃO: alíquota permitida, mas % = 0 🔎",
"Alíquota aplicada corretamente ✅")))</f>
        <v/>
      </c>
      <c r="Q825" s="8" t="str">
        <f>IF(E825="","",IFERROR(VLOOKUP(E825,REGRAS_CST!$A$2:$D$200,4,FALSE),""))</f>
        <v/>
      </c>
      <c r="S825" s="9">
        <f>IF($H825="","",$H825*(1-$U825))</f>
        <v>8.9999999999999993E-3</v>
      </c>
      <c r="T825" s="9">
        <f>IF($I825="","",$I825*(1-$U825))</f>
        <v>1E-3</v>
      </c>
      <c r="U825" s="16">
        <f>IFERROR(INDEX(BASE_CCLASSTRIB!$E:$E, MATCH(TEXT($D825,"000000"), BASE_CCLASSTRIB!$A:$A, 0))/100, 0)</f>
        <v>0</v>
      </c>
      <c r="V825" s="16">
        <f>IFERROR(INDEX(BASE_CCLASSTRIB!$F:$F, MATCH(TEXT($D825,"000000"), BASE_CCLASSTRIB!$A:$A, 0))/100, 0)</f>
        <v>0</v>
      </c>
    </row>
    <row r="826" spans="4:22" ht="32.25" customHeight="1">
      <c r="D826" s="40"/>
      <c r="E826" s="27" t="str">
        <f>IF(D826="","",LEFT(D826,3))</f>
        <v/>
      </c>
      <c r="F826" s="28" t="str">
        <f>IF(E826="","",IFERROR(VLOOKUP(E826,REGRAS_CST!$A$2:$B$200,2,FALSE),""))</f>
        <v/>
      </c>
      <c r="H826" s="29">
        <v>8.9999999999999993E-3</v>
      </c>
      <c r="I826" s="29">
        <v>1E-3</v>
      </c>
      <c r="K826" s="21" t="str">
        <f>IF(E826="","",IFERROR(VLOOKUP(E826,REGRAS_CST!$A$2:$C$200,3,FALSE),""))</f>
        <v/>
      </c>
      <c r="L826" s="23" t="str">
        <f>IF($G826="", "", $G826*(1-$V826))</f>
        <v/>
      </c>
      <c r="M826" s="24" t="str">
        <f>IF(OR($L826="",$S826=""),"",$L826*$S826)</f>
        <v/>
      </c>
      <c r="N826" s="24" t="str">
        <f>IF(OR($L826="",$T826=""),"",$L826*$T826)</f>
        <v/>
      </c>
      <c r="O826" s="15" t="str">
        <f>IF(D826="","",
IF(AND(K826&lt;&gt;"SIM",V826&gt;0),"ERRO: % BC &gt; 0, mas NÃO permitida ❌",
IF(AND(K826="SIM",V826=0),"ATENÇÃO: BC permitida, mas % = 0 🔎",
"Base de cálculo aplicada corretamente ✅")))</f>
        <v/>
      </c>
      <c r="P826" s="31" t="str">
        <f>IF(D826="","",
IF(AND(Q826&lt;&gt;"SIM",U826&gt;0),"ERRO: % alíquota &gt; 0, mas NÃO permitida ❌",
IF(AND(Q826="SIM",U826=0),"ATENÇÃO: alíquota permitida, mas % = 0 🔎",
"Alíquota aplicada corretamente ✅")))</f>
        <v/>
      </c>
      <c r="Q826" s="8" t="str">
        <f>IF(E826="","",IFERROR(VLOOKUP(E826,REGRAS_CST!$A$2:$D$200,4,FALSE),""))</f>
        <v/>
      </c>
      <c r="S826" s="9">
        <f>IF($H826="","",$H826*(1-$U826))</f>
        <v>8.9999999999999993E-3</v>
      </c>
      <c r="T826" s="9">
        <f>IF($I826="","",$I826*(1-$U826))</f>
        <v>1E-3</v>
      </c>
      <c r="U826" s="16">
        <f>IFERROR(INDEX(BASE_CCLASSTRIB!$E:$E, MATCH(TEXT($D826,"000000"), BASE_CCLASSTRIB!$A:$A, 0))/100, 0)</f>
        <v>0</v>
      </c>
      <c r="V826" s="16">
        <f>IFERROR(INDEX(BASE_CCLASSTRIB!$F:$F, MATCH(TEXT($D826,"000000"), BASE_CCLASSTRIB!$A:$A, 0))/100, 0)</f>
        <v>0</v>
      </c>
    </row>
    <row r="827" spans="4:22" ht="32.25" customHeight="1">
      <c r="D827" s="39"/>
      <c r="E827" s="27" t="str">
        <f>IF(D827="","",LEFT(D827,3))</f>
        <v/>
      </c>
      <c r="F827" s="28" t="str">
        <f>IF(E827="","",IFERROR(VLOOKUP(E827,REGRAS_CST!$A$2:$B$200,2,FALSE),""))</f>
        <v/>
      </c>
      <c r="H827" s="29">
        <v>8.9999999999999993E-3</v>
      </c>
      <c r="I827" s="29">
        <v>1E-3</v>
      </c>
      <c r="K827" s="21" t="str">
        <f>IF(E827="","",IFERROR(VLOOKUP(E827,REGRAS_CST!$A$2:$C$200,3,FALSE),""))</f>
        <v/>
      </c>
      <c r="L827" s="23" t="str">
        <f>IF($G827="", "", $G827*(1-$V827))</f>
        <v/>
      </c>
      <c r="M827" s="24" t="str">
        <f>IF(OR($L827="",$S827=""),"",$L827*$S827)</f>
        <v/>
      </c>
      <c r="N827" s="24" t="str">
        <f>IF(OR($L827="",$T827=""),"",$L827*$T827)</f>
        <v/>
      </c>
      <c r="O827" s="15" t="str">
        <f>IF(D827="","",
IF(AND(K827&lt;&gt;"SIM",V827&gt;0),"ERRO: % BC &gt; 0, mas NÃO permitida ❌",
IF(AND(K827="SIM",V827=0),"ATENÇÃO: BC permitida, mas % = 0 🔎",
"Base de cálculo aplicada corretamente ✅")))</f>
        <v/>
      </c>
      <c r="P827" s="31" t="str">
        <f>IF(D827="","",
IF(AND(Q827&lt;&gt;"SIM",U827&gt;0),"ERRO: % alíquota &gt; 0, mas NÃO permitida ❌",
IF(AND(Q827="SIM",U827=0),"ATENÇÃO: alíquota permitida, mas % = 0 🔎",
"Alíquota aplicada corretamente ✅")))</f>
        <v/>
      </c>
      <c r="Q827" s="8" t="str">
        <f>IF(E827="","",IFERROR(VLOOKUP(E827,REGRAS_CST!$A$2:$D$200,4,FALSE),""))</f>
        <v/>
      </c>
      <c r="S827" s="9">
        <f>IF($H827="","",$H827*(1-$U827))</f>
        <v>8.9999999999999993E-3</v>
      </c>
      <c r="T827" s="9">
        <f>IF($I827="","",$I827*(1-$U827))</f>
        <v>1E-3</v>
      </c>
      <c r="U827" s="16">
        <f>IFERROR(INDEX(BASE_CCLASSTRIB!$E:$E, MATCH(TEXT($D827,"000000"), BASE_CCLASSTRIB!$A:$A, 0))/100, 0)</f>
        <v>0</v>
      </c>
      <c r="V827" s="16">
        <f>IFERROR(INDEX(BASE_CCLASSTRIB!$F:$F, MATCH(TEXT($D827,"000000"), BASE_CCLASSTRIB!$A:$A, 0))/100, 0)</f>
        <v>0</v>
      </c>
    </row>
    <row r="828" spans="4:22" ht="32.25" customHeight="1">
      <c r="D828" s="39"/>
      <c r="E828" s="27" t="str">
        <f>IF(D828="","",LEFT(D828,3))</f>
        <v/>
      </c>
      <c r="F828" s="28" t="str">
        <f>IF(E828="","",IFERROR(VLOOKUP(E828,REGRAS_CST!$A$2:$B$200,2,FALSE),""))</f>
        <v/>
      </c>
      <c r="H828" s="29">
        <v>8.9999999999999993E-3</v>
      </c>
      <c r="I828" s="29">
        <v>1E-3</v>
      </c>
      <c r="K828" s="21" t="str">
        <f>IF(E828="","",IFERROR(VLOOKUP(E828,REGRAS_CST!$A$2:$C$200,3,FALSE),""))</f>
        <v/>
      </c>
      <c r="L828" s="23" t="str">
        <f>IF($G828="", "", $G828*(1-$V828))</f>
        <v/>
      </c>
      <c r="M828" s="24" t="str">
        <f>IF(OR($L828="",$S828=""),"",$L828*$S828)</f>
        <v/>
      </c>
      <c r="N828" s="24" t="str">
        <f>IF(OR($L828="",$T828=""),"",$L828*$T828)</f>
        <v/>
      </c>
      <c r="O828" s="15" t="str">
        <f>IF(D828="","",
IF(AND(K828&lt;&gt;"SIM",V828&gt;0),"ERRO: % BC &gt; 0, mas NÃO permitida ❌",
IF(AND(K828="SIM",V828=0),"ATENÇÃO: BC permitida, mas % = 0 🔎",
"Base de cálculo aplicada corretamente ✅")))</f>
        <v/>
      </c>
      <c r="P828" s="31" t="str">
        <f>IF(D828="","",
IF(AND(Q828&lt;&gt;"SIM",U828&gt;0),"ERRO: % alíquota &gt; 0, mas NÃO permitida ❌",
IF(AND(Q828="SIM",U828=0),"ATENÇÃO: alíquota permitida, mas % = 0 🔎",
"Alíquota aplicada corretamente ✅")))</f>
        <v/>
      </c>
      <c r="Q828" s="8" t="str">
        <f>IF(E828="","",IFERROR(VLOOKUP(E828,REGRAS_CST!$A$2:$D$200,4,FALSE),""))</f>
        <v/>
      </c>
      <c r="S828" s="9">
        <f>IF($H828="","",$H828*(1-$U828))</f>
        <v>8.9999999999999993E-3</v>
      </c>
      <c r="T828" s="9">
        <f>IF($I828="","",$I828*(1-$U828))</f>
        <v>1E-3</v>
      </c>
      <c r="U828" s="16">
        <f>IFERROR(INDEX(BASE_CCLASSTRIB!$E:$E, MATCH(TEXT($D828,"000000"), BASE_CCLASSTRIB!$A:$A, 0))/100, 0)</f>
        <v>0</v>
      </c>
      <c r="V828" s="16">
        <f>IFERROR(INDEX(BASE_CCLASSTRIB!$F:$F, MATCH(TEXT($D828,"000000"), BASE_CCLASSTRIB!$A:$A, 0))/100, 0)</f>
        <v>0</v>
      </c>
    </row>
    <row r="829" spans="4:22" ht="32.25" customHeight="1">
      <c r="D829" s="39"/>
      <c r="E829" s="27" t="str">
        <f>IF(D829="","",LEFT(D829,3))</f>
        <v/>
      </c>
      <c r="F829" s="28" t="str">
        <f>IF(E829="","",IFERROR(VLOOKUP(E829,REGRAS_CST!$A$2:$B$200,2,FALSE),""))</f>
        <v/>
      </c>
      <c r="H829" s="29">
        <v>8.9999999999999993E-3</v>
      </c>
      <c r="I829" s="29">
        <v>1E-3</v>
      </c>
      <c r="K829" s="21" t="str">
        <f>IF(E829="","",IFERROR(VLOOKUP(E829,REGRAS_CST!$A$2:$C$200,3,FALSE),""))</f>
        <v/>
      </c>
      <c r="L829" s="23" t="str">
        <f>IF($G829="", "", $G829*(1-$V829))</f>
        <v/>
      </c>
      <c r="M829" s="24" t="str">
        <f>IF(OR($L829="",$S829=""),"",$L829*$S829)</f>
        <v/>
      </c>
      <c r="N829" s="24" t="str">
        <f>IF(OR($L829="",$T829=""),"",$L829*$T829)</f>
        <v/>
      </c>
      <c r="O829" s="15" t="str">
        <f>IF(D829="","",
IF(AND(K829&lt;&gt;"SIM",V829&gt;0),"ERRO: % BC &gt; 0, mas NÃO permitida ❌",
IF(AND(K829="SIM",V829=0),"ATENÇÃO: BC permitida, mas % = 0 🔎",
"Base de cálculo aplicada corretamente ✅")))</f>
        <v/>
      </c>
      <c r="P829" s="31" t="str">
        <f>IF(D829="","",
IF(AND(Q829&lt;&gt;"SIM",U829&gt;0),"ERRO: % alíquota &gt; 0, mas NÃO permitida ❌",
IF(AND(Q829="SIM",U829=0),"ATENÇÃO: alíquota permitida, mas % = 0 🔎",
"Alíquota aplicada corretamente ✅")))</f>
        <v/>
      </c>
      <c r="Q829" s="8" t="str">
        <f>IF(E829="","",IFERROR(VLOOKUP(E829,REGRAS_CST!$A$2:$D$200,4,FALSE),""))</f>
        <v/>
      </c>
      <c r="S829" s="9">
        <f>IF($H829="","",$H829*(1-$U829))</f>
        <v>8.9999999999999993E-3</v>
      </c>
      <c r="T829" s="9">
        <f>IF($I829="","",$I829*(1-$U829))</f>
        <v>1E-3</v>
      </c>
      <c r="U829" s="16">
        <f>IFERROR(INDEX(BASE_CCLASSTRIB!$E:$E, MATCH(TEXT($D829,"000000"), BASE_CCLASSTRIB!$A:$A, 0))/100, 0)</f>
        <v>0</v>
      </c>
      <c r="V829" s="16">
        <f>IFERROR(INDEX(BASE_CCLASSTRIB!$F:$F, MATCH(TEXT($D829,"000000"), BASE_CCLASSTRIB!$A:$A, 0))/100, 0)</f>
        <v>0</v>
      </c>
    </row>
    <row r="830" spans="4:22" ht="32.25" customHeight="1">
      <c r="D830" s="39"/>
      <c r="E830" s="27" t="str">
        <f>IF(D830="","",LEFT(D830,3))</f>
        <v/>
      </c>
      <c r="F830" s="28" t="str">
        <f>IF(E830="","",IFERROR(VLOOKUP(E830,REGRAS_CST!$A$2:$B$200,2,FALSE),""))</f>
        <v/>
      </c>
      <c r="H830" s="29">
        <v>8.9999999999999993E-3</v>
      </c>
      <c r="I830" s="29">
        <v>1E-3</v>
      </c>
      <c r="K830" s="21" t="str">
        <f>IF(E830="","",IFERROR(VLOOKUP(E830,REGRAS_CST!$A$2:$C$200,3,FALSE),""))</f>
        <v/>
      </c>
      <c r="L830" s="23" t="str">
        <f>IF($G830="", "", $G830*(1-$V830))</f>
        <v/>
      </c>
      <c r="M830" s="24" t="str">
        <f>IF(OR($L830="",$S830=""),"",$L830*$S830)</f>
        <v/>
      </c>
      <c r="N830" s="24" t="str">
        <f>IF(OR($L830="",$T830=""),"",$L830*$T830)</f>
        <v/>
      </c>
      <c r="O830" s="15" t="str">
        <f>IF(D830="","",
IF(AND(K830&lt;&gt;"SIM",V830&gt;0),"ERRO: % BC &gt; 0, mas NÃO permitida ❌",
IF(AND(K830="SIM",V830=0),"ATENÇÃO: BC permitida, mas % = 0 🔎",
"Base de cálculo aplicada corretamente ✅")))</f>
        <v/>
      </c>
      <c r="P830" s="31" t="str">
        <f>IF(D830="","",
IF(AND(Q830&lt;&gt;"SIM",U830&gt;0),"ERRO: % alíquota &gt; 0, mas NÃO permitida ❌",
IF(AND(Q830="SIM",U830=0),"ATENÇÃO: alíquota permitida, mas % = 0 🔎",
"Alíquota aplicada corretamente ✅")))</f>
        <v/>
      </c>
      <c r="Q830" s="8" t="str">
        <f>IF(E830="","",IFERROR(VLOOKUP(E830,REGRAS_CST!$A$2:$D$200,4,FALSE),""))</f>
        <v/>
      </c>
      <c r="S830" s="9">
        <f>IF($H830="","",$H830*(1-$U830))</f>
        <v>8.9999999999999993E-3</v>
      </c>
      <c r="T830" s="9">
        <f>IF($I830="","",$I830*(1-$U830))</f>
        <v>1E-3</v>
      </c>
      <c r="U830" s="16">
        <f>IFERROR(INDEX(BASE_CCLASSTRIB!$E:$E, MATCH(TEXT($D830,"000000"), BASE_CCLASSTRIB!$A:$A, 0))/100, 0)</f>
        <v>0</v>
      </c>
      <c r="V830" s="16">
        <f>IFERROR(INDEX(BASE_CCLASSTRIB!$F:$F, MATCH(TEXT($D830,"000000"), BASE_CCLASSTRIB!$A:$A, 0))/100, 0)</f>
        <v>0</v>
      </c>
    </row>
    <row r="831" spans="4:22" ht="32.25" customHeight="1">
      <c r="D831" s="39"/>
      <c r="E831" s="27" t="str">
        <f>IF(D831="","",LEFT(D831,3))</f>
        <v/>
      </c>
      <c r="F831" s="28" t="str">
        <f>IF(E831="","",IFERROR(VLOOKUP(E831,REGRAS_CST!$A$2:$B$200,2,FALSE),""))</f>
        <v/>
      </c>
      <c r="H831" s="29">
        <v>8.9999999999999993E-3</v>
      </c>
      <c r="I831" s="29">
        <v>1E-3</v>
      </c>
      <c r="K831" s="21" t="str">
        <f>IF(E831="","",IFERROR(VLOOKUP(E831,REGRAS_CST!$A$2:$C$200,3,FALSE),""))</f>
        <v/>
      </c>
      <c r="L831" s="23" t="str">
        <f>IF($G831="", "", $G831*(1-$V831))</f>
        <v/>
      </c>
      <c r="M831" s="24" t="str">
        <f>IF(OR($L831="",$S831=""),"",$L831*$S831)</f>
        <v/>
      </c>
      <c r="N831" s="24" t="str">
        <f>IF(OR($L831="",$T831=""),"",$L831*$T831)</f>
        <v/>
      </c>
      <c r="O831" s="15" t="str">
        <f>IF(D831="","",
IF(AND(K831&lt;&gt;"SIM",V831&gt;0),"ERRO: % BC &gt; 0, mas NÃO permitida ❌",
IF(AND(K831="SIM",V831=0),"ATENÇÃO: BC permitida, mas % = 0 🔎",
"Base de cálculo aplicada corretamente ✅")))</f>
        <v/>
      </c>
      <c r="P831" s="31" t="str">
        <f>IF(D831="","",
IF(AND(Q831&lt;&gt;"SIM",U831&gt;0),"ERRO: % alíquota &gt; 0, mas NÃO permitida ❌",
IF(AND(Q831="SIM",U831=0),"ATENÇÃO: alíquota permitida, mas % = 0 🔎",
"Alíquota aplicada corretamente ✅")))</f>
        <v/>
      </c>
      <c r="Q831" s="8" t="str">
        <f>IF(E831="","",IFERROR(VLOOKUP(E831,REGRAS_CST!$A$2:$D$200,4,FALSE),""))</f>
        <v/>
      </c>
      <c r="S831" s="9">
        <f>IF($H831="","",$H831*(1-$U831))</f>
        <v>8.9999999999999993E-3</v>
      </c>
      <c r="T831" s="9">
        <f>IF($I831="","",$I831*(1-$U831))</f>
        <v>1E-3</v>
      </c>
      <c r="U831" s="16">
        <f>IFERROR(INDEX(BASE_CCLASSTRIB!$E:$E, MATCH(TEXT($D831,"000000"), BASE_CCLASSTRIB!$A:$A, 0))/100, 0)</f>
        <v>0</v>
      </c>
      <c r="V831" s="16">
        <f>IFERROR(INDEX(BASE_CCLASSTRIB!$F:$F, MATCH(TEXT($D831,"000000"), BASE_CCLASSTRIB!$A:$A, 0))/100, 0)</f>
        <v>0</v>
      </c>
    </row>
    <row r="832" spans="4:22" ht="32.25" customHeight="1">
      <c r="D832" s="39"/>
      <c r="E832" s="27" t="str">
        <f>IF(D832="","",LEFT(D832,3))</f>
        <v/>
      </c>
      <c r="F832" s="28" t="str">
        <f>IF(E832="","",IFERROR(VLOOKUP(E832,REGRAS_CST!$A$2:$B$200,2,FALSE),""))</f>
        <v/>
      </c>
      <c r="H832" s="29">
        <v>8.9999999999999993E-3</v>
      </c>
      <c r="I832" s="29">
        <v>1E-3</v>
      </c>
      <c r="K832" s="21" t="str">
        <f>IF(E832="","",IFERROR(VLOOKUP(E832,REGRAS_CST!$A$2:$C$200,3,FALSE),""))</f>
        <v/>
      </c>
      <c r="L832" s="23" t="str">
        <f>IF($G832="", "", $G832*(1-$V832))</f>
        <v/>
      </c>
      <c r="M832" s="24" t="str">
        <f>IF(OR($L832="",$S832=""),"",$L832*$S832)</f>
        <v/>
      </c>
      <c r="N832" s="24" t="str">
        <f>IF(OR($L832="",$T832=""),"",$L832*$T832)</f>
        <v/>
      </c>
      <c r="O832" s="15" t="str">
        <f>IF(D832="","",
IF(AND(K832&lt;&gt;"SIM",V832&gt;0),"ERRO: % BC &gt; 0, mas NÃO permitida ❌",
IF(AND(K832="SIM",V832=0),"ATENÇÃO: BC permitida, mas % = 0 🔎",
"Base de cálculo aplicada corretamente ✅")))</f>
        <v/>
      </c>
      <c r="P832" s="31" t="str">
        <f>IF(D832="","",
IF(AND(Q832&lt;&gt;"SIM",U832&gt;0),"ERRO: % alíquota &gt; 0, mas NÃO permitida ❌",
IF(AND(Q832="SIM",U832=0),"ATENÇÃO: alíquota permitida, mas % = 0 🔎",
"Alíquota aplicada corretamente ✅")))</f>
        <v/>
      </c>
      <c r="Q832" s="8" t="str">
        <f>IF(E832="","",IFERROR(VLOOKUP(E832,REGRAS_CST!$A$2:$D$200,4,FALSE),""))</f>
        <v/>
      </c>
      <c r="S832" s="9">
        <f>IF($H832="","",$H832*(1-$U832))</f>
        <v>8.9999999999999993E-3</v>
      </c>
      <c r="T832" s="9">
        <f>IF($I832="","",$I832*(1-$U832))</f>
        <v>1E-3</v>
      </c>
      <c r="U832" s="16">
        <f>IFERROR(INDEX(BASE_CCLASSTRIB!$E:$E, MATCH(TEXT($D832,"000000"), BASE_CCLASSTRIB!$A:$A, 0))/100, 0)</f>
        <v>0</v>
      </c>
      <c r="V832" s="16">
        <f>IFERROR(INDEX(BASE_CCLASSTRIB!$F:$F, MATCH(TEXT($D832,"000000"), BASE_CCLASSTRIB!$A:$A, 0))/100, 0)</f>
        <v>0</v>
      </c>
    </row>
    <row r="833" spans="4:22" ht="32.25" customHeight="1">
      <c r="D833" s="39"/>
      <c r="E833" s="27" t="str">
        <f>IF(D833="","",LEFT(D833,3))</f>
        <v/>
      </c>
      <c r="F833" s="28" t="str">
        <f>IF(E833="","",IFERROR(VLOOKUP(E833,REGRAS_CST!$A$2:$B$200,2,FALSE),""))</f>
        <v/>
      </c>
      <c r="H833" s="29">
        <v>8.9999999999999993E-3</v>
      </c>
      <c r="I833" s="29">
        <v>1E-3</v>
      </c>
      <c r="K833" s="21" t="str">
        <f>IF(E833="","",IFERROR(VLOOKUP(E833,REGRAS_CST!$A$2:$C$200,3,FALSE),""))</f>
        <v/>
      </c>
      <c r="L833" s="23" t="str">
        <f>IF($G833="", "", $G833*(1-$V833))</f>
        <v/>
      </c>
      <c r="M833" s="24" t="str">
        <f>IF(OR($L833="",$S833=""),"",$L833*$S833)</f>
        <v/>
      </c>
      <c r="N833" s="24" t="str">
        <f>IF(OR($L833="",$T833=""),"",$L833*$T833)</f>
        <v/>
      </c>
      <c r="O833" s="15" t="str">
        <f>IF(D833="","",
IF(AND(K833&lt;&gt;"SIM",V833&gt;0),"ERRO: % BC &gt; 0, mas NÃO permitida ❌",
IF(AND(K833="SIM",V833=0),"ATENÇÃO: BC permitida, mas % = 0 🔎",
"Base de cálculo aplicada corretamente ✅")))</f>
        <v/>
      </c>
      <c r="P833" s="31" t="str">
        <f>IF(D833="","",
IF(AND(Q833&lt;&gt;"SIM",U833&gt;0),"ERRO: % alíquota &gt; 0, mas NÃO permitida ❌",
IF(AND(Q833="SIM",U833=0),"ATENÇÃO: alíquota permitida, mas % = 0 🔎",
"Alíquota aplicada corretamente ✅")))</f>
        <v/>
      </c>
      <c r="Q833" s="8" t="str">
        <f>IF(E833="","",IFERROR(VLOOKUP(E833,REGRAS_CST!$A$2:$D$200,4,FALSE),""))</f>
        <v/>
      </c>
      <c r="S833" s="9">
        <f>IF($H833="","",$H833*(1-$U833))</f>
        <v>8.9999999999999993E-3</v>
      </c>
      <c r="T833" s="9">
        <f>IF($I833="","",$I833*(1-$U833))</f>
        <v>1E-3</v>
      </c>
      <c r="U833" s="16">
        <f>IFERROR(INDEX(BASE_CCLASSTRIB!$E:$E, MATCH(TEXT($D833,"000000"), BASE_CCLASSTRIB!$A:$A, 0))/100, 0)</f>
        <v>0</v>
      </c>
      <c r="V833" s="16">
        <f>IFERROR(INDEX(BASE_CCLASSTRIB!$F:$F, MATCH(TEXT($D833,"000000"), BASE_CCLASSTRIB!$A:$A, 0))/100, 0)</f>
        <v>0</v>
      </c>
    </row>
    <row r="834" spans="4:22" ht="32.25" customHeight="1">
      <c r="D834" s="40"/>
      <c r="E834" s="27" t="str">
        <f>IF(D834="","",LEFT(D834,3))</f>
        <v/>
      </c>
      <c r="F834" s="28" t="str">
        <f>IF(E834="","",IFERROR(VLOOKUP(E834,REGRAS_CST!$A$2:$B$200,2,FALSE),""))</f>
        <v/>
      </c>
      <c r="H834" s="29">
        <v>8.9999999999999993E-3</v>
      </c>
      <c r="I834" s="29">
        <v>1E-3</v>
      </c>
      <c r="K834" s="21" t="str">
        <f>IF(E834="","",IFERROR(VLOOKUP(E834,REGRAS_CST!$A$2:$C$200,3,FALSE),""))</f>
        <v/>
      </c>
      <c r="L834" s="23" t="str">
        <f>IF($G834="", "", $G834*(1-$V834))</f>
        <v/>
      </c>
      <c r="M834" s="24" t="str">
        <f>IF(OR($L834="",$S834=""),"",$L834*$S834)</f>
        <v/>
      </c>
      <c r="N834" s="24" t="str">
        <f>IF(OR($L834="",$T834=""),"",$L834*$T834)</f>
        <v/>
      </c>
      <c r="O834" s="15" t="str">
        <f>IF(D834="","",
IF(AND(K834&lt;&gt;"SIM",V834&gt;0),"ERRO: % BC &gt; 0, mas NÃO permitida ❌",
IF(AND(K834="SIM",V834=0),"ATENÇÃO: BC permitida, mas % = 0 🔎",
"Base de cálculo aplicada corretamente ✅")))</f>
        <v/>
      </c>
      <c r="P834" s="31" t="str">
        <f>IF(D834="","",
IF(AND(Q834&lt;&gt;"SIM",U834&gt;0),"ERRO: % alíquota &gt; 0, mas NÃO permitida ❌",
IF(AND(Q834="SIM",U834=0),"ATENÇÃO: alíquota permitida, mas % = 0 🔎",
"Alíquota aplicada corretamente ✅")))</f>
        <v/>
      </c>
      <c r="Q834" s="8" t="str">
        <f>IF(E834="","",IFERROR(VLOOKUP(E834,REGRAS_CST!$A$2:$D$200,4,FALSE),""))</f>
        <v/>
      </c>
      <c r="S834" s="9">
        <f>IF($H834="","",$H834*(1-$U834))</f>
        <v>8.9999999999999993E-3</v>
      </c>
      <c r="T834" s="9">
        <f>IF($I834="","",$I834*(1-$U834))</f>
        <v>1E-3</v>
      </c>
      <c r="U834" s="16">
        <f>IFERROR(INDEX(BASE_CCLASSTRIB!$E:$E, MATCH(TEXT($D834,"000000"), BASE_CCLASSTRIB!$A:$A, 0))/100, 0)</f>
        <v>0</v>
      </c>
      <c r="V834" s="16">
        <f>IFERROR(INDEX(BASE_CCLASSTRIB!$F:$F, MATCH(TEXT($D834,"000000"), BASE_CCLASSTRIB!$A:$A, 0))/100, 0)</f>
        <v>0</v>
      </c>
    </row>
    <row r="835" spans="4:22" ht="32.25" customHeight="1">
      <c r="D835" s="39"/>
      <c r="E835" s="27" t="str">
        <f>IF(D835="","",LEFT(D835,3))</f>
        <v/>
      </c>
      <c r="F835" s="28" t="str">
        <f>IF(E835="","",IFERROR(VLOOKUP(E835,REGRAS_CST!$A$2:$B$200,2,FALSE),""))</f>
        <v/>
      </c>
      <c r="H835" s="29">
        <v>8.9999999999999993E-3</v>
      </c>
      <c r="I835" s="29">
        <v>1E-3</v>
      </c>
      <c r="K835" s="21" t="str">
        <f>IF(E835="","",IFERROR(VLOOKUP(E835,REGRAS_CST!$A$2:$C$200,3,FALSE),""))</f>
        <v/>
      </c>
      <c r="L835" s="23" t="str">
        <f>IF($G835="", "", $G835*(1-$V835))</f>
        <v/>
      </c>
      <c r="M835" s="24" t="str">
        <f>IF(OR($L835="",$S835=""),"",$L835*$S835)</f>
        <v/>
      </c>
      <c r="N835" s="24" t="str">
        <f>IF(OR($L835="",$T835=""),"",$L835*$T835)</f>
        <v/>
      </c>
      <c r="O835" s="15" t="str">
        <f>IF(D835="","",
IF(AND(K835&lt;&gt;"SIM",V835&gt;0),"ERRO: % BC &gt; 0, mas NÃO permitida ❌",
IF(AND(K835="SIM",V835=0),"ATENÇÃO: BC permitida, mas % = 0 🔎",
"Base de cálculo aplicada corretamente ✅")))</f>
        <v/>
      </c>
      <c r="P835" s="31" t="str">
        <f>IF(D835="","",
IF(AND(Q835&lt;&gt;"SIM",U835&gt;0),"ERRO: % alíquota &gt; 0, mas NÃO permitida ❌",
IF(AND(Q835="SIM",U835=0),"ATENÇÃO: alíquota permitida, mas % = 0 🔎",
"Alíquota aplicada corretamente ✅")))</f>
        <v/>
      </c>
      <c r="Q835" s="8" t="str">
        <f>IF(E835="","",IFERROR(VLOOKUP(E835,REGRAS_CST!$A$2:$D$200,4,FALSE),""))</f>
        <v/>
      </c>
      <c r="S835" s="9">
        <f>IF($H835="","",$H835*(1-$U835))</f>
        <v>8.9999999999999993E-3</v>
      </c>
      <c r="T835" s="9">
        <f>IF($I835="","",$I835*(1-$U835))</f>
        <v>1E-3</v>
      </c>
      <c r="U835" s="16">
        <f>IFERROR(INDEX(BASE_CCLASSTRIB!$E:$E, MATCH(TEXT($D835,"000000"), BASE_CCLASSTRIB!$A:$A, 0))/100, 0)</f>
        <v>0</v>
      </c>
      <c r="V835" s="16">
        <f>IFERROR(INDEX(BASE_CCLASSTRIB!$F:$F, MATCH(TEXT($D835,"000000"), BASE_CCLASSTRIB!$A:$A, 0))/100, 0)</f>
        <v>0</v>
      </c>
    </row>
    <row r="836" spans="4:22" ht="32.25" customHeight="1">
      <c r="D836" s="39"/>
      <c r="E836" s="27" t="str">
        <f>IF(D836="","",LEFT(D836,3))</f>
        <v/>
      </c>
      <c r="F836" s="28" t="str">
        <f>IF(E836="","",IFERROR(VLOOKUP(E836,REGRAS_CST!$A$2:$B$200,2,FALSE),""))</f>
        <v/>
      </c>
      <c r="H836" s="29">
        <v>8.9999999999999993E-3</v>
      </c>
      <c r="I836" s="29">
        <v>1E-3</v>
      </c>
      <c r="K836" s="21" t="str">
        <f>IF(E836="","",IFERROR(VLOOKUP(E836,REGRAS_CST!$A$2:$C$200,3,FALSE),""))</f>
        <v/>
      </c>
      <c r="L836" s="23" t="str">
        <f>IF($G836="", "", $G836*(1-$V836))</f>
        <v/>
      </c>
      <c r="M836" s="24" t="str">
        <f>IF(OR($L836="",$S836=""),"",$L836*$S836)</f>
        <v/>
      </c>
      <c r="N836" s="24" t="str">
        <f>IF(OR($L836="",$T836=""),"",$L836*$T836)</f>
        <v/>
      </c>
      <c r="O836" s="15" t="str">
        <f>IF(D836="","",
IF(AND(K836&lt;&gt;"SIM",V836&gt;0),"ERRO: % BC &gt; 0, mas NÃO permitida ❌",
IF(AND(K836="SIM",V836=0),"ATENÇÃO: BC permitida, mas % = 0 🔎",
"Base de cálculo aplicada corretamente ✅")))</f>
        <v/>
      </c>
      <c r="P836" s="31" t="str">
        <f>IF(D836="","",
IF(AND(Q836&lt;&gt;"SIM",U836&gt;0),"ERRO: % alíquota &gt; 0, mas NÃO permitida ❌",
IF(AND(Q836="SIM",U836=0),"ATENÇÃO: alíquota permitida, mas % = 0 🔎",
"Alíquota aplicada corretamente ✅")))</f>
        <v/>
      </c>
      <c r="Q836" s="8" t="str">
        <f>IF(E836="","",IFERROR(VLOOKUP(E836,REGRAS_CST!$A$2:$D$200,4,FALSE),""))</f>
        <v/>
      </c>
      <c r="S836" s="9">
        <f>IF($H836="","",$H836*(1-$U836))</f>
        <v>8.9999999999999993E-3</v>
      </c>
      <c r="T836" s="9">
        <f>IF($I836="","",$I836*(1-$U836))</f>
        <v>1E-3</v>
      </c>
      <c r="U836" s="16">
        <f>IFERROR(INDEX(BASE_CCLASSTRIB!$E:$E, MATCH(TEXT($D836,"000000"), BASE_CCLASSTRIB!$A:$A, 0))/100, 0)</f>
        <v>0</v>
      </c>
      <c r="V836" s="16">
        <f>IFERROR(INDEX(BASE_CCLASSTRIB!$F:$F, MATCH(TEXT($D836,"000000"), BASE_CCLASSTRIB!$A:$A, 0))/100, 0)</f>
        <v>0</v>
      </c>
    </row>
    <row r="837" spans="4:22" ht="32.25" customHeight="1">
      <c r="D837" s="39"/>
      <c r="E837" s="27" t="str">
        <f>IF(D837="","",LEFT(D837,3))</f>
        <v/>
      </c>
      <c r="F837" s="28" t="str">
        <f>IF(E837="","",IFERROR(VLOOKUP(E837,REGRAS_CST!$A$2:$B$200,2,FALSE),""))</f>
        <v/>
      </c>
      <c r="H837" s="29">
        <v>8.9999999999999993E-3</v>
      </c>
      <c r="I837" s="29">
        <v>1E-3</v>
      </c>
      <c r="K837" s="21" t="str">
        <f>IF(E837="","",IFERROR(VLOOKUP(E837,REGRAS_CST!$A$2:$C$200,3,FALSE),""))</f>
        <v/>
      </c>
      <c r="L837" s="23" t="str">
        <f>IF($G837="", "", $G837*(1-$V837))</f>
        <v/>
      </c>
      <c r="M837" s="24" t="str">
        <f>IF(OR($L837="",$S837=""),"",$L837*$S837)</f>
        <v/>
      </c>
      <c r="N837" s="24" t="str">
        <f>IF(OR($L837="",$T837=""),"",$L837*$T837)</f>
        <v/>
      </c>
      <c r="O837" s="15" t="str">
        <f>IF(D837="","",
IF(AND(K837&lt;&gt;"SIM",V837&gt;0),"ERRO: % BC &gt; 0, mas NÃO permitida ❌",
IF(AND(K837="SIM",V837=0),"ATENÇÃO: BC permitida, mas % = 0 🔎",
"Base de cálculo aplicada corretamente ✅")))</f>
        <v/>
      </c>
      <c r="P837" s="31" t="str">
        <f>IF(D837="","",
IF(AND(Q837&lt;&gt;"SIM",U837&gt;0),"ERRO: % alíquota &gt; 0, mas NÃO permitida ❌",
IF(AND(Q837="SIM",U837=0),"ATENÇÃO: alíquota permitida, mas % = 0 🔎",
"Alíquota aplicada corretamente ✅")))</f>
        <v/>
      </c>
      <c r="Q837" s="8" t="str">
        <f>IF(E837="","",IFERROR(VLOOKUP(E837,REGRAS_CST!$A$2:$D$200,4,FALSE),""))</f>
        <v/>
      </c>
      <c r="S837" s="9">
        <f>IF($H837="","",$H837*(1-$U837))</f>
        <v>8.9999999999999993E-3</v>
      </c>
      <c r="T837" s="9">
        <f>IF($I837="","",$I837*(1-$U837))</f>
        <v>1E-3</v>
      </c>
      <c r="U837" s="16">
        <f>IFERROR(INDEX(BASE_CCLASSTRIB!$E:$E, MATCH(TEXT($D837,"000000"), BASE_CCLASSTRIB!$A:$A, 0))/100, 0)</f>
        <v>0</v>
      </c>
      <c r="V837" s="16">
        <f>IFERROR(INDEX(BASE_CCLASSTRIB!$F:$F, MATCH(TEXT($D837,"000000"), BASE_CCLASSTRIB!$A:$A, 0))/100, 0)</f>
        <v>0</v>
      </c>
    </row>
    <row r="838" spans="4:22" ht="32.25" customHeight="1">
      <c r="D838" s="40"/>
      <c r="E838" s="27" t="str">
        <f>IF(D838="","",LEFT(D838,3))</f>
        <v/>
      </c>
      <c r="F838" s="28" t="str">
        <f>IF(E838="","",IFERROR(VLOOKUP(E838,REGRAS_CST!$A$2:$B$200,2,FALSE),""))</f>
        <v/>
      </c>
      <c r="H838" s="29">
        <v>8.9999999999999993E-3</v>
      </c>
      <c r="I838" s="29">
        <v>1E-3</v>
      </c>
      <c r="K838" s="21" t="str">
        <f>IF(E838="","",IFERROR(VLOOKUP(E838,REGRAS_CST!$A$2:$C$200,3,FALSE),""))</f>
        <v/>
      </c>
      <c r="L838" s="23" t="str">
        <f>IF($G838="", "", $G838*(1-$V838))</f>
        <v/>
      </c>
      <c r="M838" s="24" t="str">
        <f>IF(OR($L838="",$S838=""),"",$L838*$S838)</f>
        <v/>
      </c>
      <c r="N838" s="24" t="str">
        <f>IF(OR($L838="",$T838=""),"",$L838*$T838)</f>
        <v/>
      </c>
      <c r="O838" s="15" t="str">
        <f>IF(D838="","",
IF(AND(K838&lt;&gt;"SIM",V838&gt;0),"ERRO: % BC &gt; 0, mas NÃO permitida ❌",
IF(AND(K838="SIM",V838=0),"ATENÇÃO: BC permitida, mas % = 0 🔎",
"Base de cálculo aplicada corretamente ✅")))</f>
        <v/>
      </c>
      <c r="P838" s="31" t="str">
        <f>IF(D838="","",
IF(AND(Q838&lt;&gt;"SIM",U838&gt;0),"ERRO: % alíquota &gt; 0, mas NÃO permitida ❌",
IF(AND(Q838="SIM",U838=0),"ATENÇÃO: alíquota permitida, mas % = 0 🔎",
"Alíquota aplicada corretamente ✅")))</f>
        <v/>
      </c>
      <c r="Q838" s="8" t="str">
        <f>IF(E838="","",IFERROR(VLOOKUP(E838,REGRAS_CST!$A$2:$D$200,4,FALSE),""))</f>
        <v/>
      </c>
      <c r="S838" s="9">
        <f>IF($H838="","",$H838*(1-$U838))</f>
        <v>8.9999999999999993E-3</v>
      </c>
      <c r="T838" s="9">
        <f>IF($I838="","",$I838*(1-$U838))</f>
        <v>1E-3</v>
      </c>
      <c r="U838" s="16">
        <f>IFERROR(INDEX(BASE_CCLASSTRIB!$E:$E, MATCH(TEXT($D838,"000000"), BASE_CCLASSTRIB!$A:$A, 0))/100, 0)</f>
        <v>0</v>
      </c>
      <c r="V838" s="16">
        <f>IFERROR(INDEX(BASE_CCLASSTRIB!$F:$F, MATCH(TEXT($D838,"000000"), BASE_CCLASSTRIB!$A:$A, 0))/100, 0)</f>
        <v>0</v>
      </c>
    </row>
    <row r="839" spans="4:22" ht="32.25" customHeight="1">
      <c r="D839" s="40"/>
      <c r="E839" s="27" t="str">
        <f>IF(D839="","",LEFT(D839,3))</f>
        <v/>
      </c>
      <c r="F839" s="28" t="str">
        <f>IF(E839="","",IFERROR(VLOOKUP(E839,REGRAS_CST!$A$2:$B$200,2,FALSE),""))</f>
        <v/>
      </c>
      <c r="H839" s="29">
        <v>8.9999999999999993E-3</v>
      </c>
      <c r="I839" s="29">
        <v>1E-3</v>
      </c>
      <c r="K839" s="21" t="str">
        <f>IF(E839="","",IFERROR(VLOOKUP(E839,REGRAS_CST!$A$2:$C$200,3,FALSE),""))</f>
        <v/>
      </c>
      <c r="L839" s="23" t="str">
        <f>IF($G839="", "", $G839*(1-$V839))</f>
        <v/>
      </c>
      <c r="M839" s="24" t="str">
        <f>IF(OR($L839="",$S839=""),"",$L839*$S839)</f>
        <v/>
      </c>
      <c r="N839" s="24" t="str">
        <f>IF(OR($L839="",$T839=""),"",$L839*$T839)</f>
        <v/>
      </c>
      <c r="O839" s="15" t="str">
        <f>IF(D839="","",
IF(AND(K839&lt;&gt;"SIM",V839&gt;0),"ERRO: % BC &gt; 0, mas NÃO permitida ❌",
IF(AND(K839="SIM",V839=0),"ATENÇÃO: BC permitida, mas % = 0 🔎",
"Base de cálculo aplicada corretamente ✅")))</f>
        <v/>
      </c>
      <c r="P839" s="31" t="str">
        <f>IF(D839="","",
IF(AND(Q839&lt;&gt;"SIM",U839&gt;0),"ERRO: % alíquota &gt; 0, mas NÃO permitida ❌",
IF(AND(Q839="SIM",U839=0),"ATENÇÃO: alíquota permitida, mas % = 0 🔎",
"Alíquota aplicada corretamente ✅")))</f>
        <v/>
      </c>
      <c r="Q839" s="8" t="str">
        <f>IF(E839="","",IFERROR(VLOOKUP(E839,REGRAS_CST!$A$2:$D$200,4,FALSE),""))</f>
        <v/>
      </c>
      <c r="S839" s="9">
        <f>IF($H839="","",$H839*(1-$U839))</f>
        <v>8.9999999999999993E-3</v>
      </c>
      <c r="T839" s="9">
        <f>IF($I839="","",$I839*(1-$U839))</f>
        <v>1E-3</v>
      </c>
      <c r="U839" s="16">
        <f>IFERROR(INDEX(BASE_CCLASSTRIB!$E:$E, MATCH(TEXT($D839,"000000"), BASE_CCLASSTRIB!$A:$A, 0))/100, 0)</f>
        <v>0</v>
      </c>
      <c r="V839" s="16">
        <f>IFERROR(INDEX(BASE_CCLASSTRIB!$F:$F, MATCH(TEXT($D839,"000000"), BASE_CCLASSTRIB!$A:$A, 0))/100, 0)</f>
        <v>0</v>
      </c>
    </row>
    <row r="840" spans="4:22" ht="32.25" customHeight="1">
      <c r="D840" s="39"/>
      <c r="E840" s="27" t="str">
        <f>IF(D840="","",LEFT(D840,3))</f>
        <v/>
      </c>
      <c r="F840" s="28" t="str">
        <f>IF(E840="","",IFERROR(VLOOKUP(E840,REGRAS_CST!$A$2:$B$200,2,FALSE),""))</f>
        <v/>
      </c>
      <c r="H840" s="29">
        <v>8.9999999999999993E-3</v>
      </c>
      <c r="I840" s="29">
        <v>1E-3</v>
      </c>
      <c r="K840" s="21" t="str">
        <f>IF(E840="","",IFERROR(VLOOKUP(E840,REGRAS_CST!$A$2:$C$200,3,FALSE),""))</f>
        <v/>
      </c>
      <c r="L840" s="23" t="str">
        <f>IF($G840="", "", $G840*(1-$V840))</f>
        <v/>
      </c>
      <c r="M840" s="24" t="str">
        <f>IF(OR($L840="",$S840=""),"",$L840*$S840)</f>
        <v/>
      </c>
      <c r="N840" s="24" t="str">
        <f>IF(OR($L840="",$T840=""),"",$L840*$T840)</f>
        <v/>
      </c>
      <c r="O840" s="15" t="str">
        <f>IF(D840="","",
IF(AND(K840&lt;&gt;"SIM",V840&gt;0),"ERRO: % BC &gt; 0, mas NÃO permitida ❌",
IF(AND(K840="SIM",V840=0),"ATENÇÃO: BC permitida, mas % = 0 🔎",
"Base de cálculo aplicada corretamente ✅")))</f>
        <v/>
      </c>
      <c r="P840" s="31" t="str">
        <f>IF(D840="","",
IF(AND(Q840&lt;&gt;"SIM",U840&gt;0),"ERRO: % alíquota &gt; 0, mas NÃO permitida ❌",
IF(AND(Q840="SIM",U840=0),"ATENÇÃO: alíquota permitida, mas % = 0 🔎",
"Alíquota aplicada corretamente ✅")))</f>
        <v/>
      </c>
      <c r="Q840" s="8" t="str">
        <f>IF(E840="","",IFERROR(VLOOKUP(E840,REGRAS_CST!$A$2:$D$200,4,FALSE),""))</f>
        <v/>
      </c>
      <c r="S840" s="9">
        <f>IF($H840="","",$H840*(1-$U840))</f>
        <v>8.9999999999999993E-3</v>
      </c>
      <c r="T840" s="9">
        <f>IF($I840="","",$I840*(1-$U840))</f>
        <v>1E-3</v>
      </c>
      <c r="U840" s="16">
        <f>IFERROR(INDEX(BASE_CCLASSTRIB!$E:$E, MATCH(TEXT($D840,"000000"), BASE_CCLASSTRIB!$A:$A, 0))/100, 0)</f>
        <v>0</v>
      </c>
      <c r="V840" s="16">
        <f>IFERROR(INDEX(BASE_CCLASSTRIB!$F:$F, MATCH(TEXT($D840,"000000"), BASE_CCLASSTRIB!$A:$A, 0))/100, 0)</f>
        <v>0</v>
      </c>
    </row>
    <row r="841" spans="4:22" ht="32.25" customHeight="1">
      <c r="D841" s="39"/>
      <c r="E841" s="27" t="str">
        <f>IF(D841="","",LEFT(D841,3))</f>
        <v/>
      </c>
      <c r="F841" s="28" t="str">
        <f>IF(E841="","",IFERROR(VLOOKUP(E841,REGRAS_CST!$A$2:$B$200,2,FALSE),""))</f>
        <v/>
      </c>
      <c r="H841" s="29">
        <v>8.9999999999999993E-3</v>
      </c>
      <c r="I841" s="29">
        <v>1E-3</v>
      </c>
      <c r="K841" s="21" t="str">
        <f>IF(E841="","",IFERROR(VLOOKUP(E841,REGRAS_CST!$A$2:$C$200,3,FALSE),""))</f>
        <v/>
      </c>
      <c r="L841" s="23" t="str">
        <f>IF($G841="", "", $G841*(1-$V841))</f>
        <v/>
      </c>
      <c r="M841" s="24" t="str">
        <f>IF(OR($L841="",$S841=""),"",$L841*$S841)</f>
        <v/>
      </c>
      <c r="N841" s="24" t="str">
        <f>IF(OR($L841="",$T841=""),"",$L841*$T841)</f>
        <v/>
      </c>
      <c r="O841" s="15" t="str">
        <f>IF(D841="","",
IF(AND(K841&lt;&gt;"SIM",V841&gt;0),"ERRO: % BC &gt; 0, mas NÃO permitida ❌",
IF(AND(K841="SIM",V841=0),"ATENÇÃO: BC permitida, mas % = 0 🔎",
"Base de cálculo aplicada corretamente ✅")))</f>
        <v/>
      </c>
      <c r="P841" s="31" t="str">
        <f>IF(D841="","",
IF(AND(Q841&lt;&gt;"SIM",U841&gt;0),"ERRO: % alíquota &gt; 0, mas NÃO permitida ❌",
IF(AND(Q841="SIM",U841=0),"ATENÇÃO: alíquota permitida, mas % = 0 🔎",
"Alíquota aplicada corretamente ✅")))</f>
        <v/>
      </c>
      <c r="Q841" s="8" t="str">
        <f>IF(E841="","",IFERROR(VLOOKUP(E841,REGRAS_CST!$A$2:$D$200,4,FALSE),""))</f>
        <v/>
      </c>
      <c r="S841" s="9">
        <f>IF($H841="","",$H841*(1-$U841))</f>
        <v>8.9999999999999993E-3</v>
      </c>
      <c r="T841" s="9">
        <f>IF($I841="","",$I841*(1-$U841))</f>
        <v>1E-3</v>
      </c>
      <c r="U841" s="16">
        <f>IFERROR(INDEX(BASE_CCLASSTRIB!$E:$E, MATCH(TEXT($D841,"000000"), BASE_CCLASSTRIB!$A:$A, 0))/100, 0)</f>
        <v>0</v>
      </c>
      <c r="V841" s="16">
        <f>IFERROR(INDEX(BASE_CCLASSTRIB!$F:$F, MATCH(TEXT($D841,"000000"), BASE_CCLASSTRIB!$A:$A, 0))/100, 0)</f>
        <v>0</v>
      </c>
    </row>
    <row r="842" spans="4:22" ht="32.25" customHeight="1">
      <c r="D842" s="39"/>
      <c r="E842" s="27" t="str">
        <f>IF(D842="","",LEFT(D842,3))</f>
        <v/>
      </c>
      <c r="F842" s="28" t="str">
        <f>IF(E842="","",IFERROR(VLOOKUP(E842,REGRAS_CST!$A$2:$B$200,2,FALSE),""))</f>
        <v/>
      </c>
      <c r="H842" s="29">
        <v>8.9999999999999993E-3</v>
      </c>
      <c r="I842" s="29">
        <v>1E-3</v>
      </c>
      <c r="K842" s="21" t="str">
        <f>IF(E842="","",IFERROR(VLOOKUP(E842,REGRAS_CST!$A$2:$C$200,3,FALSE),""))</f>
        <v/>
      </c>
      <c r="L842" s="23" t="str">
        <f>IF($G842="", "", $G842*(1-$V842))</f>
        <v/>
      </c>
      <c r="M842" s="24" t="str">
        <f>IF(OR($L842="",$S842=""),"",$L842*$S842)</f>
        <v/>
      </c>
      <c r="N842" s="24" t="str">
        <f>IF(OR($L842="",$T842=""),"",$L842*$T842)</f>
        <v/>
      </c>
      <c r="O842" s="15" t="str">
        <f>IF(D842="","",
IF(AND(K842&lt;&gt;"SIM",V842&gt;0),"ERRO: % BC &gt; 0, mas NÃO permitida ❌",
IF(AND(K842="SIM",V842=0),"ATENÇÃO: BC permitida, mas % = 0 🔎",
"Base de cálculo aplicada corretamente ✅")))</f>
        <v/>
      </c>
      <c r="P842" s="31" t="str">
        <f>IF(D842="","",
IF(AND(Q842&lt;&gt;"SIM",U842&gt;0),"ERRO: % alíquota &gt; 0, mas NÃO permitida ❌",
IF(AND(Q842="SIM",U842=0),"ATENÇÃO: alíquota permitida, mas % = 0 🔎",
"Alíquota aplicada corretamente ✅")))</f>
        <v/>
      </c>
      <c r="Q842" s="8" t="str">
        <f>IF(E842="","",IFERROR(VLOOKUP(E842,REGRAS_CST!$A$2:$D$200,4,FALSE),""))</f>
        <v/>
      </c>
      <c r="S842" s="9">
        <f>IF($H842="","",$H842*(1-$U842))</f>
        <v>8.9999999999999993E-3</v>
      </c>
      <c r="T842" s="9">
        <f>IF($I842="","",$I842*(1-$U842))</f>
        <v>1E-3</v>
      </c>
      <c r="U842" s="16">
        <f>IFERROR(INDEX(BASE_CCLASSTRIB!$E:$E, MATCH(TEXT($D842,"000000"), BASE_CCLASSTRIB!$A:$A, 0))/100, 0)</f>
        <v>0</v>
      </c>
      <c r="V842" s="16">
        <f>IFERROR(INDEX(BASE_CCLASSTRIB!$F:$F, MATCH(TEXT($D842,"000000"), BASE_CCLASSTRIB!$A:$A, 0))/100, 0)</f>
        <v>0</v>
      </c>
    </row>
    <row r="843" spans="4:22" ht="32.25" customHeight="1">
      <c r="D843" s="39"/>
      <c r="E843" s="27" t="str">
        <f>IF(D843="","",LEFT(D843,3))</f>
        <v/>
      </c>
      <c r="F843" s="28" t="str">
        <f>IF(E843="","",IFERROR(VLOOKUP(E843,REGRAS_CST!$A$2:$B$200,2,FALSE),""))</f>
        <v/>
      </c>
      <c r="H843" s="29">
        <v>8.9999999999999993E-3</v>
      </c>
      <c r="I843" s="29">
        <v>1E-3</v>
      </c>
      <c r="K843" s="21" t="str">
        <f>IF(E843="","",IFERROR(VLOOKUP(E843,REGRAS_CST!$A$2:$C$200,3,FALSE),""))</f>
        <v/>
      </c>
      <c r="L843" s="23" t="str">
        <f>IF($G843="", "", $G843*(1-$V843))</f>
        <v/>
      </c>
      <c r="M843" s="24" t="str">
        <f>IF(OR($L843="",$S843=""),"",$L843*$S843)</f>
        <v/>
      </c>
      <c r="N843" s="24" t="str">
        <f>IF(OR($L843="",$T843=""),"",$L843*$T843)</f>
        <v/>
      </c>
      <c r="O843" s="15" t="str">
        <f>IF(D843="","",
IF(AND(K843&lt;&gt;"SIM",V843&gt;0),"ERRO: % BC &gt; 0, mas NÃO permitida ❌",
IF(AND(K843="SIM",V843=0),"ATENÇÃO: BC permitida, mas % = 0 🔎",
"Base de cálculo aplicada corretamente ✅")))</f>
        <v/>
      </c>
      <c r="P843" s="31" t="str">
        <f>IF(D843="","",
IF(AND(Q843&lt;&gt;"SIM",U843&gt;0),"ERRO: % alíquota &gt; 0, mas NÃO permitida ❌",
IF(AND(Q843="SIM",U843=0),"ATENÇÃO: alíquota permitida, mas % = 0 🔎",
"Alíquota aplicada corretamente ✅")))</f>
        <v/>
      </c>
      <c r="Q843" s="8" t="str">
        <f>IF(E843="","",IFERROR(VLOOKUP(E843,REGRAS_CST!$A$2:$D$200,4,FALSE),""))</f>
        <v/>
      </c>
      <c r="S843" s="9">
        <f>IF($H843="","",$H843*(1-$U843))</f>
        <v>8.9999999999999993E-3</v>
      </c>
      <c r="T843" s="9">
        <f>IF($I843="","",$I843*(1-$U843))</f>
        <v>1E-3</v>
      </c>
      <c r="U843" s="16">
        <f>IFERROR(INDEX(BASE_CCLASSTRIB!$E:$E, MATCH(TEXT($D843,"000000"), BASE_CCLASSTRIB!$A:$A, 0))/100, 0)</f>
        <v>0</v>
      </c>
      <c r="V843" s="16">
        <f>IFERROR(INDEX(BASE_CCLASSTRIB!$F:$F, MATCH(TEXT($D843,"000000"), BASE_CCLASSTRIB!$A:$A, 0))/100, 0)</f>
        <v>0</v>
      </c>
    </row>
    <row r="844" spans="4:22" ht="32.25" customHeight="1">
      <c r="D844" s="39"/>
      <c r="E844" s="27" t="str">
        <f>IF(D844="","",LEFT(D844,3))</f>
        <v/>
      </c>
      <c r="F844" s="28" t="str">
        <f>IF(E844="","",IFERROR(VLOOKUP(E844,REGRAS_CST!$A$2:$B$200,2,FALSE),""))</f>
        <v/>
      </c>
      <c r="H844" s="29">
        <v>8.9999999999999993E-3</v>
      </c>
      <c r="I844" s="29">
        <v>1E-3</v>
      </c>
      <c r="K844" s="21" t="str">
        <f>IF(E844="","",IFERROR(VLOOKUP(E844,REGRAS_CST!$A$2:$C$200,3,FALSE),""))</f>
        <v/>
      </c>
      <c r="L844" s="23" t="str">
        <f>IF($G844="", "", $G844*(1-$V844))</f>
        <v/>
      </c>
      <c r="M844" s="24" t="str">
        <f>IF(OR($L844="",$S844=""),"",$L844*$S844)</f>
        <v/>
      </c>
      <c r="N844" s="24" t="str">
        <f>IF(OR($L844="",$T844=""),"",$L844*$T844)</f>
        <v/>
      </c>
      <c r="O844" s="15" t="str">
        <f>IF(D844="","",
IF(AND(K844&lt;&gt;"SIM",V844&gt;0),"ERRO: % BC &gt; 0, mas NÃO permitida ❌",
IF(AND(K844="SIM",V844=0),"ATENÇÃO: BC permitida, mas % = 0 🔎",
"Base de cálculo aplicada corretamente ✅")))</f>
        <v/>
      </c>
      <c r="P844" s="31" t="str">
        <f>IF(D844="","",
IF(AND(Q844&lt;&gt;"SIM",U844&gt;0),"ERRO: % alíquota &gt; 0, mas NÃO permitida ❌",
IF(AND(Q844="SIM",U844=0),"ATENÇÃO: alíquota permitida, mas % = 0 🔎",
"Alíquota aplicada corretamente ✅")))</f>
        <v/>
      </c>
      <c r="Q844" s="8" t="str">
        <f>IF(E844="","",IFERROR(VLOOKUP(E844,REGRAS_CST!$A$2:$D$200,4,FALSE),""))</f>
        <v/>
      </c>
      <c r="S844" s="9">
        <f>IF($H844="","",$H844*(1-$U844))</f>
        <v>8.9999999999999993E-3</v>
      </c>
      <c r="T844" s="9">
        <f>IF($I844="","",$I844*(1-$U844))</f>
        <v>1E-3</v>
      </c>
      <c r="U844" s="16">
        <f>IFERROR(INDEX(BASE_CCLASSTRIB!$E:$E, MATCH(TEXT($D844,"000000"), BASE_CCLASSTRIB!$A:$A, 0))/100, 0)</f>
        <v>0</v>
      </c>
      <c r="V844" s="16">
        <f>IFERROR(INDEX(BASE_CCLASSTRIB!$F:$F, MATCH(TEXT($D844,"000000"), BASE_CCLASSTRIB!$A:$A, 0))/100, 0)</f>
        <v>0</v>
      </c>
    </row>
    <row r="845" spans="4:22" ht="32.25" customHeight="1">
      <c r="D845" s="40"/>
      <c r="E845" s="27" t="str">
        <f>IF(D845="","",LEFT(D845,3))</f>
        <v/>
      </c>
      <c r="F845" s="28" t="str">
        <f>IF(E845="","",IFERROR(VLOOKUP(E845,REGRAS_CST!$A$2:$B$200,2,FALSE),""))</f>
        <v/>
      </c>
      <c r="H845" s="29">
        <v>8.9999999999999993E-3</v>
      </c>
      <c r="I845" s="29">
        <v>1E-3</v>
      </c>
      <c r="K845" s="21" t="str">
        <f>IF(E845="","",IFERROR(VLOOKUP(E845,REGRAS_CST!$A$2:$C$200,3,FALSE),""))</f>
        <v/>
      </c>
      <c r="L845" s="23" t="str">
        <f>IF($G845="", "", $G845*(1-$V845))</f>
        <v/>
      </c>
      <c r="M845" s="24" t="str">
        <f>IF(OR($L845="",$S845=""),"",$L845*$S845)</f>
        <v/>
      </c>
      <c r="N845" s="24" t="str">
        <f>IF(OR($L845="",$T845=""),"",$L845*$T845)</f>
        <v/>
      </c>
      <c r="O845" s="15" t="str">
        <f>IF(D845="","",
IF(AND(K845&lt;&gt;"SIM",V845&gt;0),"ERRO: % BC &gt; 0, mas NÃO permitida ❌",
IF(AND(K845="SIM",V845=0),"ATENÇÃO: BC permitida, mas % = 0 🔎",
"Base de cálculo aplicada corretamente ✅")))</f>
        <v/>
      </c>
      <c r="P845" s="31" t="str">
        <f>IF(D845="","",
IF(AND(Q845&lt;&gt;"SIM",U845&gt;0),"ERRO: % alíquota &gt; 0, mas NÃO permitida ❌",
IF(AND(Q845="SIM",U845=0),"ATENÇÃO: alíquota permitida, mas % = 0 🔎",
"Alíquota aplicada corretamente ✅")))</f>
        <v/>
      </c>
      <c r="Q845" s="8" t="str">
        <f>IF(E845="","",IFERROR(VLOOKUP(E845,REGRAS_CST!$A$2:$D$200,4,FALSE),""))</f>
        <v/>
      </c>
      <c r="S845" s="9">
        <f>IF($H845="","",$H845*(1-$U845))</f>
        <v>8.9999999999999993E-3</v>
      </c>
      <c r="T845" s="9">
        <f>IF($I845="","",$I845*(1-$U845))</f>
        <v>1E-3</v>
      </c>
      <c r="U845" s="16">
        <f>IFERROR(INDEX(BASE_CCLASSTRIB!$E:$E, MATCH(TEXT($D845,"000000"), BASE_CCLASSTRIB!$A:$A, 0))/100, 0)</f>
        <v>0</v>
      </c>
      <c r="V845" s="16">
        <f>IFERROR(INDEX(BASE_CCLASSTRIB!$F:$F, MATCH(TEXT($D845,"000000"), BASE_CCLASSTRIB!$A:$A, 0))/100, 0)</f>
        <v>0</v>
      </c>
    </row>
    <row r="846" spans="4:22" ht="32.25" customHeight="1">
      <c r="D846" s="39"/>
      <c r="E846" s="27" t="str">
        <f>IF(D846="","",LEFT(D846,3))</f>
        <v/>
      </c>
      <c r="F846" s="28" t="str">
        <f>IF(E846="","",IFERROR(VLOOKUP(E846,REGRAS_CST!$A$2:$B$200,2,FALSE),""))</f>
        <v/>
      </c>
      <c r="H846" s="29">
        <v>8.9999999999999993E-3</v>
      </c>
      <c r="I846" s="29">
        <v>1E-3</v>
      </c>
      <c r="K846" s="21" t="str">
        <f>IF(E846="","",IFERROR(VLOOKUP(E846,REGRAS_CST!$A$2:$C$200,3,FALSE),""))</f>
        <v/>
      </c>
      <c r="L846" s="23" t="str">
        <f>IF($G846="", "", $G846*(1-$V846))</f>
        <v/>
      </c>
      <c r="M846" s="24" t="str">
        <f>IF(OR($L846="",$S846=""),"",$L846*$S846)</f>
        <v/>
      </c>
      <c r="N846" s="24" t="str">
        <f>IF(OR($L846="",$T846=""),"",$L846*$T846)</f>
        <v/>
      </c>
      <c r="O846" s="15" t="str">
        <f>IF(D846="","",
IF(AND(K846&lt;&gt;"SIM",V846&gt;0),"ERRO: % BC &gt; 0, mas NÃO permitida ❌",
IF(AND(K846="SIM",V846=0),"ATENÇÃO: BC permitida, mas % = 0 🔎",
"Base de cálculo aplicada corretamente ✅")))</f>
        <v/>
      </c>
      <c r="P846" s="31" t="str">
        <f>IF(D846="","",
IF(AND(Q846&lt;&gt;"SIM",U846&gt;0),"ERRO: % alíquota &gt; 0, mas NÃO permitida ❌",
IF(AND(Q846="SIM",U846=0),"ATENÇÃO: alíquota permitida, mas % = 0 🔎",
"Alíquota aplicada corretamente ✅")))</f>
        <v/>
      </c>
      <c r="Q846" s="8" t="str">
        <f>IF(E846="","",IFERROR(VLOOKUP(E846,REGRAS_CST!$A$2:$D$200,4,FALSE),""))</f>
        <v/>
      </c>
      <c r="S846" s="9">
        <f>IF($H846="","",$H846*(1-$U846))</f>
        <v>8.9999999999999993E-3</v>
      </c>
      <c r="T846" s="9">
        <f>IF($I846="","",$I846*(1-$U846))</f>
        <v>1E-3</v>
      </c>
      <c r="U846" s="16">
        <f>IFERROR(INDEX(BASE_CCLASSTRIB!$E:$E, MATCH(TEXT($D846,"000000"), BASE_CCLASSTRIB!$A:$A, 0))/100, 0)</f>
        <v>0</v>
      </c>
      <c r="V846" s="16">
        <f>IFERROR(INDEX(BASE_CCLASSTRIB!$F:$F, MATCH(TEXT($D846,"000000"), BASE_CCLASSTRIB!$A:$A, 0))/100, 0)</f>
        <v>0</v>
      </c>
    </row>
    <row r="847" spans="4:22" ht="32.25" customHeight="1">
      <c r="D847" s="39"/>
      <c r="E847" s="27" t="str">
        <f>IF(D847="","",LEFT(D847,3))</f>
        <v/>
      </c>
      <c r="F847" s="28" t="str">
        <f>IF(E847="","",IFERROR(VLOOKUP(E847,REGRAS_CST!$A$2:$B$200,2,FALSE),""))</f>
        <v/>
      </c>
      <c r="H847" s="29">
        <v>8.9999999999999993E-3</v>
      </c>
      <c r="I847" s="29">
        <v>1E-3</v>
      </c>
      <c r="K847" s="21" t="str">
        <f>IF(E847="","",IFERROR(VLOOKUP(E847,REGRAS_CST!$A$2:$C$200,3,FALSE),""))</f>
        <v/>
      </c>
      <c r="L847" s="23" t="str">
        <f>IF($G847="", "", $G847*(1-$V847))</f>
        <v/>
      </c>
      <c r="M847" s="24" t="str">
        <f>IF(OR($L847="",$S847=""),"",$L847*$S847)</f>
        <v/>
      </c>
      <c r="N847" s="24" t="str">
        <f>IF(OR($L847="",$T847=""),"",$L847*$T847)</f>
        <v/>
      </c>
      <c r="O847" s="15" t="str">
        <f>IF(D847="","",
IF(AND(K847&lt;&gt;"SIM",V847&gt;0),"ERRO: % BC &gt; 0, mas NÃO permitida ❌",
IF(AND(K847="SIM",V847=0),"ATENÇÃO: BC permitida, mas % = 0 🔎",
"Base de cálculo aplicada corretamente ✅")))</f>
        <v/>
      </c>
      <c r="P847" s="31" t="str">
        <f>IF(D847="","",
IF(AND(Q847&lt;&gt;"SIM",U847&gt;0),"ERRO: % alíquota &gt; 0, mas NÃO permitida ❌",
IF(AND(Q847="SIM",U847=0),"ATENÇÃO: alíquota permitida, mas % = 0 🔎",
"Alíquota aplicada corretamente ✅")))</f>
        <v/>
      </c>
      <c r="Q847" s="8" t="str">
        <f>IF(E847="","",IFERROR(VLOOKUP(E847,REGRAS_CST!$A$2:$D$200,4,FALSE),""))</f>
        <v/>
      </c>
      <c r="S847" s="9">
        <f>IF($H847="","",$H847*(1-$U847))</f>
        <v>8.9999999999999993E-3</v>
      </c>
      <c r="T847" s="9">
        <f>IF($I847="","",$I847*(1-$U847))</f>
        <v>1E-3</v>
      </c>
      <c r="U847" s="16">
        <f>IFERROR(INDEX(BASE_CCLASSTRIB!$E:$E, MATCH(TEXT($D847,"000000"), BASE_CCLASSTRIB!$A:$A, 0))/100, 0)</f>
        <v>0</v>
      </c>
      <c r="V847" s="16">
        <f>IFERROR(INDEX(BASE_CCLASSTRIB!$F:$F, MATCH(TEXT($D847,"000000"), BASE_CCLASSTRIB!$A:$A, 0))/100, 0)</f>
        <v>0</v>
      </c>
    </row>
    <row r="848" spans="4:22" ht="32.25" customHeight="1">
      <c r="D848" s="39"/>
      <c r="E848" s="27" t="str">
        <f>IF(D848="","",LEFT(D848,3))</f>
        <v/>
      </c>
      <c r="F848" s="28" t="str">
        <f>IF(E848="","",IFERROR(VLOOKUP(E848,REGRAS_CST!$A$2:$B$200,2,FALSE),""))</f>
        <v/>
      </c>
      <c r="H848" s="29">
        <v>8.9999999999999993E-3</v>
      </c>
      <c r="I848" s="29">
        <v>1E-3</v>
      </c>
      <c r="K848" s="21" t="str">
        <f>IF(E848="","",IFERROR(VLOOKUP(E848,REGRAS_CST!$A$2:$C$200,3,FALSE),""))</f>
        <v/>
      </c>
      <c r="L848" s="23" t="str">
        <f>IF($G848="", "", $G848*(1-$V848))</f>
        <v/>
      </c>
      <c r="M848" s="24" t="str">
        <f>IF(OR($L848="",$S848=""),"",$L848*$S848)</f>
        <v/>
      </c>
      <c r="N848" s="24" t="str">
        <f>IF(OR($L848="",$T848=""),"",$L848*$T848)</f>
        <v/>
      </c>
      <c r="O848" s="15" t="str">
        <f>IF(D848="","",
IF(AND(K848&lt;&gt;"SIM",V848&gt;0),"ERRO: % BC &gt; 0, mas NÃO permitida ❌",
IF(AND(K848="SIM",V848=0),"ATENÇÃO: BC permitida, mas % = 0 🔎",
"Base de cálculo aplicada corretamente ✅")))</f>
        <v/>
      </c>
      <c r="P848" s="31" t="str">
        <f>IF(D848="","",
IF(AND(Q848&lt;&gt;"SIM",U848&gt;0),"ERRO: % alíquota &gt; 0, mas NÃO permitida ❌",
IF(AND(Q848="SIM",U848=0),"ATENÇÃO: alíquota permitida, mas % = 0 🔎",
"Alíquota aplicada corretamente ✅")))</f>
        <v/>
      </c>
      <c r="Q848" s="8" t="str">
        <f>IF(E848="","",IFERROR(VLOOKUP(E848,REGRAS_CST!$A$2:$D$200,4,FALSE),""))</f>
        <v/>
      </c>
      <c r="S848" s="9">
        <f>IF($H848="","",$H848*(1-$U848))</f>
        <v>8.9999999999999993E-3</v>
      </c>
      <c r="T848" s="9">
        <f>IF($I848="","",$I848*(1-$U848))</f>
        <v>1E-3</v>
      </c>
      <c r="U848" s="16">
        <f>IFERROR(INDEX(BASE_CCLASSTRIB!$E:$E, MATCH(TEXT($D848,"000000"), BASE_CCLASSTRIB!$A:$A, 0))/100, 0)</f>
        <v>0</v>
      </c>
      <c r="V848" s="16">
        <f>IFERROR(INDEX(BASE_CCLASSTRIB!$F:$F, MATCH(TEXT($D848,"000000"), BASE_CCLASSTRIB!$A:$A, 0))/100, 0)</f>
        <v>0</v>
      </c>
    </row>
    <row r="849" spans="4:22" ht="32.25" customHeight="1">
      <c r="D849" s="39"/>
      <c r="E849" s="27" t="str">
        <f>IF(D849="","",LEFT(D849,3))</f>
        <v/>
      </c>
      <c r="F849" s="28" t="str">
        <f>IF(E849="","",IFERROR(VLOOKUP(E849,REGRAS_CST!$A$2:$B$200,2,FALSE),""))</f>
        <v/>
      </c>
      <c r="H849" s="29">
        <v>8.9999999999999993E-3</v>
      </c>
      <c r="I849" s="29">
        <v>1E-3</v>
      </c>
      <c r="K849" s="21" t="str">
        <f>IF(E849="","",IFERROR(VLOOKUP(E849,REGRAS_CST!$A$2:$C$200,3,FALSE),""))</f>
        <v/>
      </c>
      <c r="L849" s="23" t="str">
        <f>IF($G849="", "", $G849*(1-$V849))</f>
        <v/>
      </c>
      <c r="M849" s="24" t="str">
        <f>IF(OR($L849="",$S849=""),"",$L849*$S849)</f>
        <v/>
      </c>
      <c r="N849" s="24" t="str">
        <f>IF(OR($L849="",$T849=""),"",$L849*$T849)</f>
        <v/>
      </c>
      <c r="O849" s="15" t="str">
        <f>IF(D849="","",
IF(AND(K849&lt;&gt;"SIM",V849&gt;0),"ERRO: % BC &gt; 0, mas NÃO permitida ❌",
IF(AND(K849="SIM",V849=0),"ATENÇÃO: BC permitida, mas % = 0 🔎",
"Base de cálculo aplicada corretamente ✅")))</f>
        <v/>
      </c>
      <c r="P849" s="31" t="str">
        <f>IF(D849="","",
IF(AND(Q849&lt;&gt;"SIM",U849&gt;0),"ERRO: % alíquota &gt; 0, mas NÃO permitida ❌",
IF(AND(Q849="SIM",U849=0),"ATENÇÃO: alíquota permitida, mas % = 0 🔎",
"Alíquota aplicada corretamente ✅")))</f>
        <v/>
      </c>
      <c r="Q849" s="8" t="str">
        <f>IF(E849="","",IFERROR(VLOOKUP(E849,REGRAS_CST!$A$2:$D$200,4,FALSE),""))</f>
        <v/>
      </c>
      <c r="S849" s="9">
        <f>IF($H849="","",$H849*(1-$U849))</f>
        <v>8.9999999999999993E-3</v>
      </c>
      <c r="T849" s="9">
        <f>IF($I849="","",$I849*(1-$U849))</f>
        <v>1E-3</v>
      </c>
      <c r="U849" s="16">
        <f>IFERROR(INDEX(BASE_CCLASSTRIB!$E:$E, MATCH(TEXT($D849,"000000"), BASE_CCLASSTRIB!$A:$A, 0))/100, 0)</f>
        <v>0</v>
      </c>
      <c r="V849" s="16">
        <f>IFERROR(INDEX(BASE_CCLASSTRIB!$F:$F, MATCH(TEXT($D849,"000000"), BASE_CCLASSTRIB!$A:$A, 0))/100, 0)</f>
        <v>0</v>
      </c>
    </row>
    <row r="850" spans="4:22" ht="32.25" customHeight="1">
      <c r="D850" s="39"/>
      <c r="E850" s="27" t="str">
        <f>IF(D850="","",LEFT(D850,3))</f>
        <v/>
      </c>
      <c r="F850" s="28" t="str">
        <f>IF(E850="","",IFERROR(VLOOKUP(E850,REGRAS_CST!$A$2:$B$200,2,FALSE),""))</f>
        <v/>
      </c>
      <c r="H850" s="29">
        <v>8.9999999999999993E-3</v>
      </c>
      <c r="I850" s="29">
        <v>1E-3</v>
      </c>
      <c r="K850" s="21" t="str">
        <f>IF(E850="","",IFERROR(VLOOKUP(E850,REGRAS_CST!$A$2:$C$200,3,FALSE),""))</f>
        <v/>
      </c>
      <c r="L850" s="23" t="str">
        <f>IF($G850="", "", $G850*(1-$V850))</f>
        <v/>
      </c>
      <c r="M850" s="24" t="str">
        <f>IF(OR($L850="",$S850=""),"",$L850*$S850)</f>
        <v/>
      </c>
      <c r="N850" s="24" t="str">
        <f>IF(OR($L850="",$T850=""),"",$L850*$T850)</f>
        <v/>
      </c>
      <c r="O850" s="15" t="str">
        <f>IF(D850="","",
IF(AND(K850&lt;&gt;"SIM",V850&gt;0),"ERRO: % BC &gt; 0, mas NÃO permitida ❌",
IF(AND(K850="SIM",V850=0),"ATENÇÃO: BC permitida, mas % = 0 🔎",
"Base de cálculo aplicada corretamente ✅")))</f>
        <v/>
      </c>
      <c r="P850" s="31" t="str">
        <f>IF(D850="","",
IF(AND(Q850&lt;&gt;"SIM",U850&gt;0),"ERRO: % alíquota &gt; 0, mas NÃO permitida ❌",
IF(AND(Q850="SIM",U850=0),"ATENÇÃO: alíquota permitida, mas % = 0 🔎",
"Alíquota aplicada corretamente ✅")))</f>
        <v/>
      </c>
      <c r="Q850" s="8" t="str">
        <f>IF(E850="","",IFERROR(VLOOKUP(E850,REGRAS_CST!$A$2:$D$200,4,FALSE),""))</f>
        <v/>
      </c>
      <c r="S850" s="9">
        <f>IF($H850="","",$H850*(1-$U850))</f>
        <v>8.9999999999999993E-3</v>
      </c>
      <c r="T850" s="9">
        <f>IF($I850="","",$I850*(1-$U850))</f>
        <v>1E-3</v>
      </c>
      <c r="U850" s="16">
        <f>IFERROR(INDEX(BASE_CCLASSTRIB!$E:$E, MATCH(TEXT($D850,"000000"), BASE_CCLASSTRIB!$A:$A, 0))/100, 0)</f>
        <v>0</v>
      </c>
      <c r="V850" s="16">
        <f>IFERROR(INDEX(BASE_CCLASSTRIB!$F:$F, MATCH(TEXT($D850,"000000"), BASE_CCLASSTRIB!$A:$A, 0))/100, 0)</f>
        <v>0</v>
      </c>
    </row>
    <row r="851" spans="4:22" ht="32.25" customHeight="1">
      <c r="D851" s="39"/>
      <c r="E851" s="27" t="str">
        <f>IF(D851="","",LEFT(D851,3))</f>
        <v/>
      </c>
      <c r="F851" s="28" t="str">
        <f>IF(E851="","",IFERROR(VLOOKUP(E851,REGRAS_CST!$A$2:$B$200,2,FALSE),""))</f>
        <v/>
      </c>
      <c r="H851" s="29">
        <v>8.9999999999999993E-3</v>
      </c>
      <c r="I851" s="29">
        <v>1E-3</v>
      </c>
      <c r="K851" s="21" t="str">
        <f>IF(E851="","",IFERROR(VLOOKUP(E851,REGRAS_CST!$A$2:$C$200,3,FALSE),""))</f>
        <v/>
      </c>
      <c r="L851" s="23" t="str">
        <f>IF($G851="", "", $G851*(1-$V851))</f>
        <v/>
      </c>
      <c r="M851" s="24" t="str">
        <f>IF(OR($L851="",$S851=""),"",$L851*$S851)</f>
        <v/>
      </c>
      <c r="N851" s="24" t="str">
        <f>IF(OR($L851="",$T851=""),"",$L851*$T851)</f>
        <v/>
      </c>
      <c r="O851" s="15" t="str">
        <f>IF(D851="","",
IF(AND(K851&lt;&gt;"SIM",V851&gt;0),"ERRO: % BC &gt; 0, mas NÃO permitida ❌",
IF(AND(K851="SIM",V851=0),"ATENÇÃO: BC permitida, mas % = 0 🔎",
"Base de cálculo aplicada corretamente ✅")))</f>
        <v/>
      </c>
      <c r="P851" s="31" t="str">
        <f>IF(D851="","",
IF(AND(Q851&lt;&gt;"SIM",U851&gt;0),"ERRO: % alíquota &gt; 0, mas NÃO permitida ❌",
IF(AND(Q851="SIM",U851=0),"ATENÇÃO: alíquota permitida, mas % = 0 🔎",
"Alíquota aplicada corretamente ✅")))</f>
        <v/>
      </c>
      <c r="Q851" s="8" t="str">
        <f>IF(E851="","",IFERROR(VLOOKUP(E851,REGRAS_CST!$A$2:$D$200,4,FALSE),""))</f>
        <v/>
      </c>
      <c r="S851" s="9">
        <f>IF($H851="","",$H851*(1-$U851))</f>
        <v>8.9999999999999993E-3</v>
      </c>
      <c r="T851" s="9">
        <f>IF($I851="","",$I851*(1-$U851))</f>
        <v>1E-3</v>
      </c>
      <c r="U851" s="16">
        <f>IFERROR(INDEX(BASE_CCLASSTRIB!$E:$E, MATCH(TEXT($D851,"000000"), BASE_CCLASSTRIB!$A:$A, 0))/100, 0)</f>
        <v>0</v>
      </c>
      <c r="V851" s="16">
        <f>IFERROR(INDEX(BASE_CCLASSTRIB!$F:$F, MATCH(TEXT($D851,"000000"), BASE_CCLASSTRIB!$A:$A, 0))/100, 0)</f>
        <v>0</v>
      </c>
    </row>
    <row r="852" spans="4:22" ht="32.25" customHeight="1">
      <c r="D852" s="40"/>
      <c r="E852" s="27" t="str">
        <f>IF(D852="","",LEFT(D852,3))</f>
        <v/>
      </c>
      <c r="F852" s="28" t="str">
        <f>IF(E852="","",IFERROR(VLOOKUP(E852,REGRAS_CST!$A$2:$B$200,2,FALSE),""))</f>
        <v/>
      </c>
      <c r="H852" s="29">
        <v>8.9999999999999993E-3</v>
      </c>
      <c r="I852" s="29">
        <v>1E-3</v>
      </c>
      <c r="K852" s="21" t="str">
        <f>IF(E852="","",IFERROR(VLOOKUP(E852,REGRAS_CST!$A$2:$C$200,3,FALSE),""))</f>
        <v/>
      </c>
      <c r="L852" s="23" t="str">
        <f>IF($G852="", "", $G852*(1-$V852))</f>
        <v/>
      </c>
      <c r="M852" s="24" t="str">
        <f>IF(OR($L852="",$S852=""),"",$L852*$S852)</f>
        <v/>
      </c>
      <c r="N852" s="24" t="str">
        <f>IF(OR($L852="",$T852=""),"",$L852*$T852)</f>
        <v/>
      </c>
      <c r="O852" s="15" t="str">
        <f>IF(D852="","",
IF(AND(K852&lt;&gt;"SIM",V852&gt;0),"ERRO: % BC &gt; 0, mas NÃO permitida ❌",
IF(AND(K852="SIM",V852=0),"ATENÇÃO: BC permitida, mas % = 0 🔎",
"Base de cálculo aplicada corretamente ✅")))</f>
        <v/>
      </c>
      <c r="P852" s="31" t="str">
        <f>IF(D852="","",
IF(AND(Q852&lt;&gt;"SIM",U852&gt;0),"ERRO: % alíquota &gt; 0, mas NÃO permitida ❌",
IF(AND(Q852="SIM",U852=0),"ATENÇÃO: alíquota permitida, mas % = 0 🔎",
"Alíquota aplicada corretamente ✅")))</f>
        <v/>
      </c>
      <c r="Q852" s="8" t="str">
        <f>IF(E852="","",IFERROR(VLOOKUP(E852,REGRAS_CST!$A$2:$D$200,4,FALSE),""))</f>
        <v/>
      </c>
      <c r="S852" s="9">
        <f>IF($H852="","",$H852*(1-$U852))</f>
        <v>8.9999999999999993E-3</v>
      </c>
      <c r="T852" s="9">
        <f>IF($I852="","",$I852*(1-$U852))</f>
        <v>1E-3</v>
      </c>
      <c r="U852" s="16">
        <f>IFERROR(INDEX(BASE_CCLASSTRIB!$E:$E, MATCH(TEXT($D852,"000000"), BASE_CCLASSTRIB!$A:$A, 0))/100, 0)</f>
        <v>0</v>
      </c>
      <c r="V852" s="16">
        <f>IFERROR(INDEX(BASE_CCLASSTRIB!$F:$F, MATCH(TEXT($D852,"000000"), BASE_CCLASSTRIB!$A:$A, 0))/100, 0)</f>
        <v>0</v>
      </c>
    </row>
    <row r="853" spans="4:22" ht="32.25" customHeight="1">
      <c r="D853" s="39"/>
      <c r="E853" s="27" t="str">
        <f>IF(D853="","",LEFT(D853,3))</f>
        <v/>
      </c>
      <c r="F853" s="28" t="str">
        <f>IF(E853="","",IFERROR(VLOOKUP(E853,REGRAS_CST!$A$2:$B$200,2,FALSE),""))</f>
        <v/>
      </c>
      <c r="H853" s="29">
        <v>8.9999999999999993E-3</v>
      </c>
      <c r="I853" s="29">
        <v>1E-3</v>
      </c>
      <c r="K853" s="21" t="str">
        <f>IF(E853="","",IFERROR(VLOOKUP(E853,REGRAS_CST!$A$2:$C$200,3,FALSE),""))</f>
        <v/>
      </c>
      <c r="L853" s="23" t="str">
        <f>IF($G853="", "", $G853*(1-$V853))</f>
        <v/>
      </c>
      <c r="M853" s="24" t="str">
        <f>IF(OR($L853="",$S853=""),"",$L853*$S853)</f>
        <v/>
      </c>
      <c r="N853" s="24" t="str">
        <f>IF(OR($L853="",$T853=""),"",$L853*$T853)</f>
        <v/>
      </c>
      <c r="O853" s="15" t="str">
        <f>IF(D853="","",
IF(AND(K853&lt;&gt;"SIM",V853&gt;0),"ERRO: % BC &gt; 0, mas NÃO permitida ❌",
IF(AND(K853="SIM",V853=0),"ATENÇÃO: BC permitida, mas % = 0 🔎",
"Base de cálculo aplicada corretamente ✅")))</f>
        <v/>
      </c>
      <c r="P853" s="31" t="str">
        <f>IF(D853="","",
IF(AND(Q853&lt;&gt;"SIM",U853&gt;0),"ERRO: % alíquota &gt; 0, mas NÃO permitida ❌",
IF(AND(Q853="SIM",U853=0),"ATENÇÃO: alíquota permitida, mas % = 0 🔎",
"Alíquota aplicada corretamente ✅")))</f>
        <v/>
      </c>
      <c r="Q853" s="8" t="str">
        <f>IF(E853="","",IFERROR(VLOOKUP(E853,REGRAS_CST!$A$2:$D$200,4,FALSE),""))</f>
        <v/>
      </c>
      <c r="S853" s="9">
        <f>IF($H853="","",$H853*(1-$U853))</f>
        <v>8.9999999999999993E-3</v>
      </c>
      <c r="T853" s="9">
        <f>IF($I853="","",$I853*(1-$U853))</f>
        <v>1E-3</v>
      </c>
      <c r="U853" s="16">
        <f>IFERROR(INDEX(BASE_CCLASSTRIB!$E:$E, MATCH(TEXT($D853,"000000"), BASE_CCLASSTRIB!$A:$A, 0))/100, 0)</f>
        <v>0</v>
      </c>
      <c r="V853" s="16">
        <f>IFERROR(INDEX(BASE_CCLASSTRIB!$F:$F, MATCH(TEXT($D853,"000000"), BASE_CCLASSTRIB!$A:$A, 0))/100, 0)</f>
        <v>0</v>
      </c>
    </row>
    <row r="854" spans="4:22" ht="32.25" customHeight="1">
      <c r="D854" s="39"/>
      <c r="E854" s="27" t="str">
        <f>IF(D854="","",LEFT(D854,3))</f>
        <v/>
      </c>
      <c r="F854" s="28" t="str">
        <f>IF(E854="","",IFERROR(VLOOKUP(E854,REGRAS_CST!$A$2:$B$200,2,FALSE),""))</f>
        <v/>
      </c>
      <c r="H854" s="29">
        <v>8.9999999999999993E-3</v>
      </c>
      <c r="I854" s="29">
        <v>1E-3</v>
      </c>
      <c r="K854" s="21" t="str">
        <f>IF(E854="","",IFERROR(VLOOKUP(E854,REGRAS_CST!$A$2:$C$200,3,FALSE),""))</f>
        <v/>
      </c>
      <c r="L854" s="23" t="str">
        <f>IF($G854="", "", $G854*(1-$V854))</f>
        <v/>
      </c>
      <c r="M854" s="24" t="str">
        <f>IF(OR($L854="",$S854=""),"",$L854*$S854)</f>
        <v/>
      </c>
      <c r="N854" s="24" t="str">
        <f>IF(OR($L854="",$T854=""),"",$L854*$T854)</f>
        <v/>
      </c>
      <c r="O854" s="15" t="str">
        <f>IF(D854="","",
IF(AND(K854&lt;&gt;"SIM",V854&gt;0),"ERRO: % BC &gt; 0, mas NÃO permitida ❌",
IF(AND(K854="SIM",V854=0),"ATENÇÃO: BC permitida, mas % = 0 🔎",
"Base de cálculo aplicada corretamente ✅")))</f>
        <v/>
      </c>
      <c r="P854" s="31" t="str">
        <f>IF(D854="","",
IF(AND(Q854&lt;&gt;"SIM",U854&gt;0),"ERRO: % alíquota &gt; 0, mas NÃO permitida ❌",
IF(AND(Q854="SIM",U854=0),"ATENÇÃO: alíquota permitida, mas % = 0 🔎",
"Alíquota aplicada corretamente ✅")))</f>
        <v/>
      </c>
      <c r="Q854" s="8" t="str">
        <f>IF(E854="","",IFERROR(VLOOKUP(E854,REGRAS_CST!$A$2:$D$200,4,FALSE),""))</f>
        <v/>
      </c>
      <c r="S854" s="9">
        <f>IF($H854="","",$H854*(1-$U854))</f>
        <v>8.9999999999999993E-3</v>
      </c>
      <c r="T854" s="9">
        <f>IF($I854="","",$I854*(1-$U854))</f>
        <v>1E-3</v>
      </c>
      <c r="U854" s="16">
        <f>IFERROR(INDEX(BASE_CCLASSTRIB!$E:$E, MATCH(TEXT($D854,"000000"), BASE_CCLASSTRIB!$A:$A, 0))/100, 0)</f>
        <v>0</v>
      </c>
      <c r="V854" s="16">
        <f>IFERROR(INDEX(BASE_CCLASSTRIB!$F:$F, MATCH(TEXT($D854,"000000"), BASE_CCLASSTRIB!$A:$A, 0))/100, 0)</f>
        <v>0</v>
      </c>
    </row>
    <row r="855" spans="4:22" ht="32.25" customHeight="1">
      <c r="D855" s="39"/>
      <c r="E855" s="27" t="str">
        <f>IF(D855="","",LEFT(D855,3))</f>
        <v/>
      </c>
      <c r="F855" s="28" t="str">
        <f>IF(E855="","",IFERROR(VLOOKUP(E855,REGRAS_CST!$A$2:$B$200,2,FALSE),""))</f>
        <v/>
      </c>
      <c r="H855" s="29">
        <v>8.9999999999999993E-3</v>
      </c>
      <c r="I855" s="29">
        <v>1E-3</v>
      </c>
      <c r="K855" s="21" t="str">
        <f>IF(E855="","",IFERROR(VLOOKUP(E855,REGRAS_CST!$A$2:$C$200,3,FALSE),""))</f>
        <v/>
      </c>
      <c r="L855" s="23" t="str">
        <f>IF($G855="", "", $G855*(1-$V855))</f>
        <v/>
      </c>
      <c r="M855" s="24" t="str">
        <f>IF(OR($L855="",$S855=""),"",$L855*$S855)</f>
        <v/>
      </c>
      <c r="N855" s="24" t="str">
        <f>IF(OR($L855="",$T855=""),"",$L855*$T855)</f>
        <v/>
      </c>
      <c r="O855" s="15" t="str">
        <f>IF(D855="","",
IF(AND(K855&lt;&gt;"SIM",V855&gt;0),"ERRO: % BC &gt; 0, mas NÃO permitida ❌",
IF(AND(K855="SIM",V855=0),"ATENÇÃO: BC permitida, mas % = 0 🔎",
"Base de cálculo aplicada corretamente ✅")))</f>
        <v/>
      </c>
      <c r="P855" s="31" t="str">
        <f>IF(D855="","",
IF(AND(Q855&lt;&gt;"SIM",U855&gt;0),"ERRO: % alíquota &gt; 0, mas NÃO permitida ❌",
IF(AND(Q855="SIM",U855=0),"ATENÇÃO: alíquota permitida, mas % = 0 🔎",
"Alíquota aplicada corretamente ✅")))</f>
        <v/>
      </c>
      <c r="Q855" s="8" t="str">
        <f>IF(E855="","",IFERROR(VLOOKUP(E855,REGRAS_CST!$A$2:$D$200,4,FALSE),""))</f>
        <v/>
      </c>
      <c r="S855" s="9">
        <f>IF($H855="","",$H855*(1-$U855))</f>
        <v>8.9999999999999993E-3</v>
      </c>
      <c r="T855" s="9">
        <f>IF($I855="","",$I855*(1-$U855))</f>
        <v>1E-3</v>
      </c>
      <c r="U855" s="16">
        <f>IFERROR(INDEX(BASE_CCLASSTRIB!$E:$E, MATCH(TEXT($D855,"000000"), BASE_CCLASSTRIB!$A:$A, 0))/100, 0)</f>
        <v>0</v>
      </c>
      <c r="V855" s="16">
        <f>IFERROR(INDEX(BASE_CCLASSTRIB!$F:$F, MATCH(TEXT($D855,"000000"), BASE_CCLASSTRIB!$A:$A, 0))/100, 0)</f>
        <v>0</v>
      </c>
    </row>
    <row r="856" spans="4:22" ht="32.25" customHeight="1">
      <c r="D856" s="40"/>
      <c r="E856" s="27" t="str">
        <f>IF(D856="","",LEFT(D856,3))</f>
        <v/>
      </c>
      <c r="F856" s="28" t="str">
        <f>IF(E856="","",IFERROR(VLOOKUP(E856,REGRAS_CST!$A$2:$B$200,2,FALSE),""))</f>
        <v/>
      </c>
      <c r="H856" s="29">
        <v>8.9999999999999993E-3</v>
      </c>
      <c r="I856" s="29">
        <v>1E-3</v>
      </c>
      <c r="K856" s="21" t="str">
        <f>IF(E856="","",IFERROR(VLOOKUP(E856,REGRAS_CST!$A$2:$C$200,3,FALSE),""))</f>
        <v/>
      </c>
      <c r="L856" s="23" t="str">
        <f>IF($G856="", "", $G856*(1-$V856))</f>
        <v/>
      </c>
      <c r="M856" s="24" t="str">
        <f>IF(OR($L856="",$S856=""),"",$L856*$S856)</f>
        <v/>
      </c>
      <c r="N856" s="24" t="str">
        <f>IF(OR($L856="",$T856=""),"",$L856*$T856)</f>
        <v/>
      </c>
      <c r="O856" s="15" t="str">
        <f>IF(D856="","",
IF(AND(K856&lt;&gt;"SIM",V856&gt;0),"ERRO: % BC &gt; 0, mas NÃO permitida ❌",
IF(AND(K856="SIM",V856=0),"ATENÇÃO: BC permitida, mas % = 0 🔎",
"Base de cálculo aplicada corretamente ✅")))</f>
        <v/>
      </c>
      <c r="P856" s="31" t="str">
        <f>IF(D856="","",
IF(AND(Q856&lt;&gt;"SIM",U856&gt;0),"ERRO: % alíquota &gt; 0, mas NÃO permitida ❌",
IF(AND(Q856="SIM",U856=0),"ATENÇÃO: alíquota permitida, mas % = 0 🔎",
"Alíquota aplicada corretamente ✅")))</f>
        <v/>
      </c>
      <c r="Q856" s="8" t="str">
        <f>IF(E856="","",IFERROR(VLOOKUP(E856,REGRAS_CST!$A$2:$D$200,4,FALSE),""))</f>
        <v/>
      </c>
      <c r="S856" s="9">
        <f>IF($H856="","",$H856*(1-$U856))</f>
        <v>8.9999999999999993E-3</v>
      </c>
      <c r="T856" s="9">
        <f>IF($I856="","",$I856*(1-$U856))</f>
        <v>1E-3</v>
      </c>
      <c r="U856" s="16">
        <f>IFERROR(INDEX(BASE_CCLASSTRIB!$E:$E, MATCH(TEXT($D856,"000000"), BASE_CCLASSTRIB!$A:$A, 0))/100, 0)</f>
        <v>0</v>
      </c>
      <c r="V856" s="16">
        <f>IFERROR(INDEX(BASE_CCLASSTRIB!$F:$F, MATCH(TEXT($D856,"000000"), BASE_CCLASSTRIB!$A:$A, 0))/100, 0)</f>
        <v>0</v>
      </c>
    </row>
    <row r="857" spans="4:22" ht="32.25" customHeight="1">
      <c r="D857" s="40"/>
      <c r="E857" s="27" t="str">
        <f>IF(D857="","",LEFT(D857,3))</f>
        <v/>
      </c>
      <c r="F857" s="28" t="str">
        <f>IF(E857="","",IFERROR(VLOOKUP(E857,REGRAS_CST!$A$2:$B$200,2,FALSE),""))</f>
        <v/>
      </c>
      <c r="H857" s="29">
        <v>8.9999999999999993E-3</v>
      </c>
      <c r="I857" s="29">
        <v>1E-3</v>
      </c>
      <c r="K857" s="21" t="str">
        <f>IF(E857="","",IFERROR(VLOOKUP(E857,REGRAS_CST!$A$2:$C$200,3,FALSE),""))</f>
        <v/>
      </c>
      <c r="L857" s="23" t="str">
        <f>IF($G857="", "", $G857*(1-$V857))</f>
        <v/>
      </c>
      <c r="M857" s="24" t="str">
        <f>IF(OR($L857="",$S857=""),"",$L857*$S857)</f>
        <v/>
      </c>
      <c r="N857" s="24" t="str">
        <f>IF(OR($L857="",$T857=""),"",$L857*$T857)</f>
        <v/>
      </c>
      <c r="O857" s="15" t="str">
        <f>IF(D857="","",
IF(AND(K857&lt;&gt;"SIM",V857&gt;0),"ERRO: % BC &gt; 0, mas NÃO permitida ❌",
IF(AND(K857="SIM",V857=0),"ATENÇÃO: BC permitida, mas % = 0 🔎",
"Base de cálculo aplicada corretamente ✅")))</f>
        <v/>
      </c>
      <c r="P857" s="31" t="str">
        <f>IF(D857="","",
IF(AND(Q857&lt;&gt;"SIM",U857&gt;0),"ERRO: % alíquota &gt; 0, mas NÃO permitida ❌",
IF(AND(Q857="SIM",U857=0),"ATENÇÃO: alíquota permitida, mas % = 0 🔎",
"Alíquota aplicada corretamente ✅")))</f>
        <v/>
      </c>
      <c r="Q857" s="8" t="str">
        <f>IF(E857="","",IFERROR(VLOOKUP(E857,REGRAS_CST!$A$2:$D$200,4,FALSE),""))</f>
        <v/>
      </c>
      <c r="S857" s="9">
        <f>IF($H857="","",$H857*(1-$U857))</f>
        <v>8.9999999999999993E-3</v>
      </c>
      <c r="T857" s="9">
        <f>IF($I857="","",$I857*(1-$U857))</f>
        <v>1E-3</v>
      </c>
      <c r="U857" s="16">
        <f>IFERROR(INDEX(BASE_CCLASSTRIB!$E:$E, MATCH(TEXT($D857,"000000"), BASE_CCLASSTRIB!$A:$A, 0))/100, 0)</f>
        <v>0</v>
      </c>
      <c r="V857" s="16">
        <f>IFERROR(INDEX(BASE_CCLASSTRIB!$F:$F, MATCH(TEXT($D857,"000000"), BASE_CCLASSTRIB!$A:$A, 0))/100, 0)</f>
        <v>0</v>
      </c>
    </row>
    <row r="858" spans="4:22" ht="32.25" customHeight="1">
      <c r="D858" s="39"/>
      <c r="E858" s="27" t="str">
        <f>IF(D858="","",LEFT(D858,3))</f>
        <v/>
      </c>
      <c r="F858" s="28" t="str">
        <f>IF(E858="","",IFERROR(VLOOKUP(E858,REGRAS_CST!$A$2:$B$200,2,FALSE),""))</f>
        <v/>
      </c>
      <c r="H858" s="29">
        <v>8.9999999999999993E-3</v>
      </c>
      <c r="I858" s="29">
        <v>1E-3</v>
      </c>
      <c r="K858" s="21" t="str">
        <f>IF(E858="","",IFERROR(VLOOKUP(E858,REGRAS_CST!$A$2:$C$200,3,FALSE),""))</f>
        <v/>
      </c>
      <c r="L858" s="23" t="str">
        <f>IF($G858="", "", $G858*(1-$V858))</f>
        <v/>
      </c>
      <c r="M858" s="24" t="str">
        <f>IF(OR($L858="",$S858=""),"",$L858*$S858)</f>
        <v/>
      </c>
      <c r="N858" s="24" t="str">
        <f>IF(OR($L858="",$T858=""),"",$L858*$T858)</f>
        <v/>
      </c>
      <c r="O858" s="15" t="str">
        <f>IF(D858="","",
IF(AND(K858&lt;&gt;"SIM",V858&gt;0),"ERRO: % BC &gt; 0, mas NÃO permitida ❌",
IF(AND(K858="SIM",V858=0),"ATENÇÃO: BC permitida, mas % = 0 🔎",
"Base de cálculo aplicada corretamente ✅")))</f>
        <v/>
      </c>
      <c r="P858" s="31" t="str">
        <f>IF(D858="","",
IF(AND(Q858&lt;&gt;"SIM",U858&gt;0),"ERRO: % alíquota &gt; 0, mas NÃO permitida ❌",
IF(AND(Q858="SIM",U858=0),"ATENÇÃO: alíquota permitida, mas % = 0 🔎",
"Alíquota aplicada corretamente ✅")))</f>
        <v/>
      </c>
      <c r="Q858" s="8" t="str">
        <f>IF(E858="","",IFERROR(VLOOKUP(E858,REGRAS_CST!$A$2:$D$200,4,FALSE),""))</f>
        <v/>
      </c>
      <c r="S858" s="9">
        <f>IF($H858="","",$H858*(1-$U858))</f>
        <v>8.9999999999999993E-3</v>
      </c>
      <c r="T858" s="9">
        <f>IF($I858="","",$I858*(1-$U858))</f>
        <v>1E-3</v>
      </c>
      <c r="U858" s="16">
        <f>IFERROR(INDEX(BASE_CCLASSTRIB!$E:$E, MATCH(TEXT($D858,"000000"), BASE_CCLASSTRIB!$A:$A, 0))/100, 0)</f>
        <v>0</v>
      </c>
      <c r="V858" s="16">
        <f>IFERROR(INDEX(BASE_CCLASSTRIB!$F:$F, MATCH(TEXT($D858,"000000"), BASE_CCLASSTRIB!$A:$A, 0))/100, 0)</f>
        <v>0</v>
      </c>
    </row>
    <row r="859" spans="4:22" ht="32.25" customHeight="1">
      <c r="D859" s="39"/>
      <c r="E859" s="27" t="str">
        <f>IF(D859="","",LEFT(D859,3))</f>
        <v/>
      </c>
      <c r="F859" s="28" t="str">
        <f>IF(E859="","",IFERROR(VLOOKUP(E859,REGRAS_CST!$A$2:$B$200,2,FALSE),""))</f>
        <v/>
      </c>
      <c r="H859" s="29">
        <v>8.9999999999999993E-3</v>
      </c>
      <c r="I859" s="29">
        <v>1E-3</v>
      </c>
      <c r="K859" s="21" t="str">
        <f>IF(E859="","",IFERROR(VLOOKUP(E859,REGRAS_CST!$A$2:$C$200,3,FALSE),""))</f>
        <v/>
      </c>
      <c r="L859" s="23" t="str">
        <f>IF($G859="", "", $G859*(1-$V859))</f>
        <v/>
      </c>
      <c r="M859" s="24" t="str">
        <f>IF(OR($L859="",$S859=""),"",$L859*$S859)</f>
        <v/>
      </c>
      <c r="N859" s="24" t="str">
        <f>IF(OR($L859="",$T859=""),"",$L859*$T859)</f>
        <v/>
      </c>
      <c r="O859" s="15" t="str">
        <f>IF(D859="","",
IF(AND(K859&lt;&gt;"SIM",V859&gt;0),"ERRO: % BC &gt; 0, mas NÃO permitida ❌",
IF(AND(K859="SIM",V859=0),"ATENÇÃO: BC permitida, mas % = 0 🔎",
"Base de cálculo aplicada corretamente ✅")))</f>
        <v/>
      </c>
      <c r="P859" s="31" t="str">
        <f>IF(D859="","",
IF(AND(Q859&lt;&gt;"SIM",U859&gt;0),"ERRO: % alíquota &gt; 0, mas NÃO permitida ❌",
IF(AND(Q859="SIM",U859=0),"ATENÇÃO: alíquota permitida, mas % = 0 🔎",
"Alíquota aplicada corretamente ✅")))</f>
        <v/>
      </c>
      <c r="Q859" s="8" t="str">
        <f>IF(E859="","",IFERROR(VLOOKUP(E859,REGRAS_CST!$A$2:$D$200,4,FALSE),""))</f>
        <v/>
      </c>
      <c r="S859" s="9">
        <f>IF($H859="","",$H859*(1-$U859))</f>
        <v>8.9999999999999993E-3</v>
      </c>
      <c r="T859" s="9">
        <f>IF($I859="","",$I859*(1-$U859))</f>
        <v>1E-3</v>
      </c>
      <c r="U859" s="16">
        <f>IFERROR(INDEX(BASE_CCLASSTRIB!$E:$E, MATCH(TEXT($D859,"000000"), BASE_CCLASSTRIB!$A:$A, 0))/100, 0)</f>
        <v>0</v>
      </c>
      <c r="V859" s="16">
        <f>IFERROR(INDEX(BASE_CCLASSTRIB!$F:$F, MATCH(TEXT($D859,"000000"), BASE_CCLASSTRIB!$A:$A, 0))/100, 0)</f>
        <v>0</v>
      </c>
    </row>
    <row r="860" spans="4:22" ht="32.25" customHeight="1">
      <c r="D860" s="39"/>
      <c r="E860" s="27" t="str">
        <f>IF(D860="","",LEFT(D860,3))</f>
        <v/>
      </c>
      <c r="F860" s="28" t="str">
        <f>IF(E860="","",IFERROR(VLOOKUP(E860,REGRAS_CST!$A$2:$B$200,2,FALSE),""))</f>
        <v/>
      </c>
      <c r="H860" s="29">
        <v>8.9999999999999993E-3</v>
      </c>
      <c r="I860" s="29">
        <v>1E-3</v>
      </c>
      <c r="K860" s="21" t="str">
        <f>IF(E860="","",IFERROR(VLOOKUP(E860,REGRAS_CST!$A$2:$C$200,3,FALSE),""))</f>
        <v/>
      </c>
      <c r="L860" s="23" t="str">
        <f>IF($G860="", "", $G860*(1-$V860))</f>
        <v/>
      </c>
      <c r="M860" s="24" t="str">
        <f>IF(OR($L860="",$S860=""),"",$L860*$S860)</f>
        <v/>
      </c>
      <c r="N860" s="24" t="str">
        <f>IF(OR($L860="",$T860=""),"",$L860*$T860)</f>
        <v/>
      </c>
      <c r="O860" s="15" t="str">
        <f>IF(D860="","",
IF(AND(K860&lt;&gt;"SIM",V860&gt;0),"ERRO: % BC &gt; 0, mas NÃO permitida ❌",
IF(AND(K860="SIM",V860=0),"ATENÇÃO: BC permitida, mas % = 0 🔎",
"Base de cálculo aplicada corretamente ✅")))</f>
        <v/>
      </c>
      <c r="P860" s="31" t="str">
        <f>IF(D860="","",
IF(AND(Q860&lt;&gt;"SIM",U860&gt;0),"ERRO: % alíquota &gt; 0, mas NÃO permitida ❌",
IF(AND(Q860="SIM",U860=0),"ATENÇÃO: alíquota permitida, mas % = 0 🔎",
"Alíquota aplicada corretamente ✅")))</f>
        <v/>
      </c>
      <c r="Q860" s="8" t="str">
        <f>IF(E860="","",IFERROR(VLOOKUP(E860,REGRAS_CST!$A$2:$D$200,4,FALSE),""))</f>
        <v/>
      </c>
      <c r="S860" s="9">
        <f>IF($H860="","",$H860*(1-$U860))</f>
        <v>8.9999999999999993E-3</v>
      </c>
      <c r="T860" s="9">
        <f>IF($I860="","",$I860*(1-$U860))</f>
        <v>1E-3</v>
      </c>
      <c r="U860" s="16">
        <f>IFERROR(INDEX(BASE_CCLASSTRIB!$E:$E, MATCH(TEXT($D860,"000000"), BASE_CCLASSTRIB!$A:$A, 0))/100, 0)</f>
        <v>0</v>
      </c>
      <c r="V860" s="16">
        <f>IFERROR(INDEX(BASE_CCLASSTRIB!$F:$F, MATCH(TEXT($D860,"000000"), BASE_CCLASSTRIB!$A:$A, 0))/100, 0)</f>
        <v>0</v>
      </c>
    </row>
    <row r="861" spans="4:22" ht="32.25" customHeight="1">
      <c r="D861" s="39"/>
      <c r="E861" s="27" t="str">
        <f>IF(D861="","",LEFT(D861,3))</f>
        <v/>
      </c>
      <c r="F861" s="28" t="str">
        <f>IF(E861="","",IFERROR(VLOOKUP(E861,REGRAS_CST!$A$2:$B$200,2,FALSE),""))</f>
        <v/>
      </c>
      <c r="H861" s="29">
        <v>8.9999999999999993E-3</v>
      </c>
      <c r="I861" s="29">
        <v>1E-3</v>
      </c>
      <c r="K861" s="21" t="str">
        <f>IF(E861="","",IFERROR(VLOOKUP(E861,REGRAS_CST!$A$2:$C$200,3,FALSE),""))</f>
        <v/>
      </c>
      <c r="L861" s="23" t="str">
        <f>IF($G861="", "", $G861*(1-$V861))</f>
        <v/>
      </c>
      <c r="M861" s="24" t="str">
        <f>IF(OR($L861="",$S861=""),"",$L861*$S861)</f>
        <v/>
      </c>
      <c r="N861" s="24" t="str">
        <f>IF(OR($L861="",$T861=""),"",$L861*$T861)</f>
        <v/>
      </c>
      <c r="O861" s="15" t="str">
        <f>IF(D861="","",
IF(AND(K861&lt;&gt;"SIM",V861&gt;0),"ERRO: % BC &gt; 0, mas NÃO permitida ❌",
IF(AND(K861="SIM",V861=0),"ATENÇÃO: BC permitida, mas % = 0 🔎",
"Base de cálculo aplicada corretamente ✅")))</f>
        <v/>
      </c>
      <c r="P861" s="31" t="str">
        <f>IF(D861="","",
IF(AND(Q861&lt;&gt;"SIM",U861&gt;0),"ERRO: % alíquota &gt; 0, mas NÃO permitida ❌",
IF(AND(Q861="SIM",U861=0),"ATENÇÃO: alíquota permitida, mas % = 0 🔎",
"Alíquota aplicada corretamente ✅")))</f>
        <v/>
      </c>
      <c r="Q861" s="8" t="str">
        <f>IF(E861="","",IFERROR(VLOOKUP(E861,REGRAS_CST!$A$2:$D$200,4,FALSE),""))</f>
        <v/>
      </c>
      <c r="S861" s="9">
        <f>IF($H861="","",$H861*(1-$U861))</f>
        <v>8.9999999999999993E-3</v>
      </c>
      <c r="T861" s="9">
        <f>IF($I861="","",$I861*(1-$U861))</f>
        <v>1E-3</v>
      </c>
      <c r="U861" s="16">
        <f>IFERROR(INDEX(BASE_CCLASSTRIB!$E:$E, MATCH(TEXT($D861,"000000"), BASE_CCLASSTRIB!$A:$A, 0))/100, 0)</f>
        <v>0</v>
      </c>
      <c r="V861" s="16">
        <f>IFERROR(INDEX(BASE_CCLASSTRIB!$F:$F, MATCH(TEXT($D861,"000000"), BASE_CCLASSTRIB!$A:$A, 0))/100, 0)</f>
        <v>0</v>
      </c>
    </row>
    <row r="862" spans="4:22" ht="32.25" customHeight="1">
      <c r="D862" s="40"/>
      <c r="E862" s="27" t="str">
        <f>IF(D862="","",LEFT(D862,3))</f>
        <v/>
      </c>
      <c r="F862" s="28" t="str">
        <f>IF(E862="","",IFERROR(VLOOKUP(E862,REGRAS_CST!$A$2:$B$200,2,FALSE),""))</f>
        <v/>
      </c>
      <c r="H862" s="29">
        <v>8.9999999999999993E-3</v>
      </c>
      <c r="I862" s="29">
        <v>1E-3</v>
      </c>
      <c r="K862" s="21" t="str">
        <f>IF(E862="","",IFERROR(VLOOKUP(E862,REGRAS_CST!$A$2:$C$200,3,FALSE),""))</f>
        <v/>
      </c>
      <c r="L862" s="23" t="str">
        <f>IF($G862="", "", $G862*(1-$V862))</f>
        <v/>
      </c>
      <c r="M862" s="24" t="str">
        <f>IF(OR($L862="",$S862=""),"",$L862*$S862)</f>
        <v/>
      </c>
      <c r="N862" s="24" t="str">
        <f>IF(OR($L862="",$T862=""),"",$L862*$T862)</f>
        <v/>
      </c>
      <c r="O862" s="15" t="str">
        <f>IF(D862="","",
IF(AND(K862&lt;&gt;"SIM",V862&gt;0),"ERRO: % BC &gt; 0, mas NÃO permitida ❌",
IF(AND(K862="SIM",V862=0),"ATENÇÃO: BC permitida, mas % = 0 🔎",
"Base de cálculo aplicada corretamente ✅")))</f>
        <v/>
      </c>
      <c r="P862" s="31" t="str">
        <f>IF(D862="","",
IF(AND(Q862&lt;&gt;"SIM",U862&gt;0),"ERRO: % alíquota &gt; 0, mas NÃO permitida ❌",
IF(AND(Q862="SIM",U862=0),"ATENÇÃO: alíquota permitida, mas % = 0 🔎",
"Alíquota aplicada corretamente ✅")))</f>
        <v/>
      </c>
      <c r="Q862" s="8" t="str">
        <f>IF(E862="","",IFERROR(VLOOKUP(E862,REGRAS_CST!$A$2:$D$200,4,FALSE),""))</f>
        <v/>
      </c>
      <c r="S862" s="9">
        <f>IF($H862="","",$H862*(1-$U862))</f>
        <v>8.9999999999999993E-3</v>
      </c>
      <c r="T862" s="9">
        <f>IF($I862="","",$I862*(1-$U862))</f>
        <v>1E-3</v>
      </c>
      <c r="U862" s="16">
        <f>IFERROR(INDEX(BASE_CCLASSTRIB!$E:$E, MATCH(TEXT($D862,"000000"), BASE_CCLASSTRIB!$A:$A, 0))/100, 0)</f>
        <v>0</v>
      </c>
      <c r="V862" s="16">
        <f>IFERROR(INDEX(BASE_CCLASSTRIB!$F:$F, MATCH(TEXT($D862,"000000"), BASE_CCLASSTRIB!$A:$A, 0))/100, 0)</f>
        <v>0</v>
      </c>
    </row>
    <row r="863" spans="4:22" ht="32.25" customHeight="1">
      <c r="D863" s="40"/>
      <c r="E863" s="27" t="str">
        <f>IF(D863="","",LEFT(D863,3))</f>
        <v/>
      </c>
      <c r="F863" s="28" t="str">
        <f>IF(E863="","",IFERROR(VLOOKUP(E863,REGRAS_CST!$A$2:$B$200,2,FALSE),""))</f>
        <v/>
      </c>
      <c r="H863" s="29">
        <v>8.9999999999999993E-3</v>
      </c>
      <c r="I863" s="29">
        <v>1E-3</v>
      </c>
      <c r="K863" s="21" t="str">
        <f>IF(E863="","",IFERROR(VLOOKUP(E863,REGRAS_CST!$A$2:$C$200,3,FALSE),""))</f>
        <v/>
      </c>
      <c r="L863" s="23" t="str">
        <f>IF($G863="", "", $G863*(1-$V863))</f>
        <v/>
      </c>
      <c r="M863" s="24" t="str">
        <f>IF(OR($L863="",$S863=""),"",$L863*$S863)</f>
        <v/>
      </c>
      <c r="N863" s="24" t="str">
        <f>IF(OR($L863="",$T863=""),"",$L863*$T863)</f>
        <v/>
      </c>
      <c r="O863" s="15" t="str">
        <f>IF(D863="","",
IF(AND(K863&lt;&gt;"SIM",V863&gt;0),"ERRO: % BC &gt; 0, mas NÃO permitida ❌",
IF(AND(K863="SIM",V863=0),"ATENÇÃO: BC permitida, mas % = 0 🔎",
"Base de cálculo aplicada corretamente ✅")))</f>
        <v/>
      </c>
      <c r="P863" s="31" t="str">
        <f>IF(D863="","",
IF(AND(Q863&lt;&gt;"SIM",U863&gt;0),"ERRO: % alíquota &gt; 0, mas NÃO permitida ❌",
IF(AND(Q863="SIM",U863=0),"ATENÇÃO: alíquota permitida, mas % = 0 🔎",
"Alíquota aplicada corretamente ✅")))</f>
        <v/>
      </c>
      <c r="Q863" s="8" t="str">
        <f>IF(E863="","",IFERROR(VLOOKUP(E863,REGRAS_CST!$A$2:$D$200,4,FALSE),""))</f>
        <v/>
      </c>
      <c r="S863" s="9">
        <f>IF($H863="","",$H863*(1-$U863))</f>
        <v>8.9999999999999993E-3</v>
      </c>
      <c r="T863" s="9">
        <f>IF($I863="","",$I863*(1-$U863))</f>
        <v>1E-3</v>
      </c>
      <c r="U863" s="16">
        <f>IFERROR(INDEX(BASE_CCLASSTRIB!$E:$E, MATCH(TEXT($D863,"000000"), BASE_CCLASSTRIB!$A:$A, 0))/100, 0)</f>
        <v>0</v>
      </c>
      <c r="V863" s="16">
        <f>IFERROR(INDEX(BASE_CCLASSTRIB!$F:$F, MATCH(TEXT($D863,"000000"), BASE_CCLASSTRIB!$A:$A, 0))/100, 0)</f>
        <v>0</v>
      </c>
    </row>
    <row r="864" spans="4:22" ht="32.25" customHeight="1">
      <c r="D864" s="40"/>
      <c r="E864" s="27" t="str">
        <f>IF(D864="","",LEFT(D864,3))</f>
        <v/>
      </c>
      <c r="F864" s="28" t="str">
        <f>IF(E864="","",IFERROR(VLOOKUP(E864,REGRAS_CST!$A$2:$B$200,2,FALSE),""))</f>
        <v/>
      </c>
      <c r="H864" s="29">
        <v>8.9999999999999993E-3</v>
      </c>
      <c r="I864" s="29">
        <v>1E-3</v>
      </c>
      <c r="K864" s="21" t="str">
        <f>IF(E864="","",IFERROR(VLOOKUP(E864,REGRAS_CST!$A$2:$C$200,3,FALSE),""))</f>
        <v/>
      </c>
      <c r="L864" s="23" t="str">
        <f>IF($G864="", "", $G864*(1-$V864))</f>
        <v/>
      </c>
      <c r="M864" s="24" t="str">
        <f>IF(OR($L864="",$S864=""),"",$L864*$S864)</f>
        <v/>
      </c>
      <c r="N864" s="24" t="str">
        <f>IF(OR($L864="",$T864=""),"",$L864*$T864)</f>
        <v/>
      </c>
      <c r="O864" s="15" t="str">
        <f>IF(D864="","",
IF(AND(K864&lt;&gt;"SIM",V864&gt;0),"ERRO: % BC &gt; 0, mas NÃO permitida ❌",
IF(AND(K864="SIM",V864=0),"ATENÇÃO: BC permitida, mas % = 0 🔎",
"Base de cálculo aplicada corretamente ✅")))</f>
        <v/>
      </c>
      <c r="P864" s="31" t="str">
        <f>IF(D864="","",
IF(AND(Q864&lt;&gt;"SIM",U864&gt;0),"ERRO: % alíquota &gt; 0, mas NÃO permitida ❌",
IF(AND(Q864="SIM",U864=0),"ATENÇÃO: alíquota permitida, mas % = 0 🔎",
"Alíquota aplicada corretamente ✅")))</f>
        <v/>
      </c>
      <c r="Q864" s="8" t="str">
        <f>IF(E864="","",IFERROR(VLOOKUP(E864,REGRAS_CST!$A$2:$D$200,4,FALSE),""))</f>
        <v/>
      </c>
      <c r="S864" s="9">
        <f>IF($H864="","",$H864*(1-$U864))</f>
        <v>8.9999999999999993E-3</v>
      </c>
      <c r="T864" s="9">
        <f>IF($I864="","",$I864*(1-$U864))</f>
        <v>1E-3</v>
      </c>
      <c r="U864" s="16">
        <f>IFERROR(INDEX(BASE_CCLASSTRIB!$E:$E, MATCH(TEXT($D864,"000000"), BASE_CCLASSTRIB!$A:$A, 0))/100, 0)</f>
        <v>0</v>
      </c>
      <c r="V864" s="16">
        <f>IFERROR(INDEX(BASE_CCLASSTRIB!$F:$F, MATCH(TEXT($D864,"000000"), BASE_CCLASSTRIB!$A:$A, 0))/100, 0)</f>
        <v>0</v>
      </c>
    </row>
    <row r="865" spans="4:22" ht="32.25" customHeight="1">
      <c r="D865" s="40"/>
      <c r="E865" s="27" t="str">
        <f>IF(D865="","",LEFT(D865,3))</f>
        <v/>
      </c>
      <c r="F865" s="28" t="str">
        <f>IF(E865="","",IFERROR(VLOOKUP(E865,REGRAS_CST!$A$2:$B$200,2,FALSE),""))</f>
        <v/>
      </c>
      <c r="H865" s="29">
        <v>8.9999999999999993E-3</v>
      </c>
      <c r="I865" s="29">
        <v>1E-3</v>
      </c>
      <c r="K865" s="21" t="str">
        <f>IF(E865="","",IFERROR(VLOOKUP(E865,REGRAS_CST!$A$2:$C$200,3,FALSE),""))</f>
        <v/>
      </c>
      <c r="L865" s="23" t="str">
        <f>IF($G865="", "", $G865*(1-$V865))</f>
        <v/>
      </c>
      <c r="M865" s="24" t="str">
        <f>IF(OR($L865="",$S865=""),"",$L865*$S865)</f>
        <v/>
      </c>
      <c r="N865" s="24" t="str">
        <f>IF(OR($L865="",$T865=""),"",$L865*$T865)</f>
        <v/>
      </c>
      <c r="O865" s="15" t="str">
        <f>IF(D865="","",
IF(AND(K865&lt;&gt;"SIM",V865&gt;0),"ERRO: % BC &gt; 0, mas NÃO permitida ❌",
IF(AND(K865="SIM",V865=0),"ATENÇÃO: BC permitida, mas % = 0 🔎",
"Base de cálculo aplicada corretamente ✅")))</f>
        <v/>
      </c>
      <c r="P865" s="31" t="str">
        <f>IF(D865="","",
IF(AND(Q865&lt;&gt;"SIM",U865&gt;0),"ERRO: % alíquota &gt; 0, mas NÃO permitida ❌",
IF(AND(Q865="SIM",U865=0),"ATENÇÃO: alíquota permitida, mas % = 0 🔎",
"Alíquota aplicada corretamente ✅")))</f>
        <v/>
      </c>
      <c r="Q865" s="8" t="str">
        <f>IF(E865="","",IFERROR(VLOOKUP(E865,REGRAS_CST!$A$2:$D$200,4,FALSE),""))</f>
        <v/>
      </c>
      <c r="S865" s="9">
        <f>IF($H865="","",$H865*(1-$U865))</f>
        <v>8.9999999999999993E-3</v>
      </c>
      <c r="T865" s="9">
        <f>IF($I865="","",$I865*(1-$U865))</f>
        <v>1E-3</v>
      </c>
      <c r="U865" s="16">
        <f>IFERROR(INDEX(BASE_CCLASSTRIB!$E:$E, MATCH(TEXT($D865,"000000"), BASE_CCLASSTRIB!$A:$A, 0))/100, 0)</f>
        <v>0</v>
      </c>
      <c r="V865" s="16">
        <f>IFERROR(INDEX(BASE_CCLASSTRIB!$F:$F, MATCH(TEXT($D865,"000000"), BASE_CCLASSTRIB!$A:$A, 0))/100, 0)</f>
        <v>0</v>
      </c>
    </row>
    <row r="866" spans="4:22" ht="32.25" customHeight="1">
      <c r="D866" s="40"/>
      <c r="E866" s="27" t="str">
        <f>IF(D866="","",LEFT(D866,3))</f>
        <v/>
      </c>
      <c r="F866" s="28" t="str">
        <f>IF(E866="","",IFERROR(VLOOKUP(E866,REGRAS_CST!$A$2:$B$200,2,FALSE),""))</f>
        <v/>
      </c>
      <c r="H866" s="29">
        <v>8.9999999999999993E-3</v>
      </c>
      <c r="I866" s="29">
        <v>1E-3</v>
      </c>
      <c r="K866" s="21" t="str">
        <f>IF(E866="","",IFERROR(VLOOKUP(E866,REGRAS_CST!$A$2:$C$200,3,FALSE),""))</f>
        <v/>
      </c>
      <c r="L866" s="23" t="str">
        <f>IF($G866="", "", $G866*(1-$V866))</f>
        <v/>
      </c>
      <c r="M866" s="24" t="str">
        <f>IF(OR($L866="",$S866=""),"",$L866*$S866)</f>
        <v/>
      </c>
      <c r="N866" s="24" t="str">
        <f>IF(OR($L866="",$T866=""),"",$L866*$T866)</f>
        <v/>
      </c>
      <c r="O866" s="15" t="str">
        <f>IF(D866="","",
IF(AND(K866&lt;&gt;"SIM",V866&gt;0),"ERRO: % BC &gt; 0, mas NÃO permitida ❌",
IF(AND(K866="SIM",V866=0),"ATENÇÃO: BC permitida, mas % = 0 🔎",
"Base de cálculo aplicada corretamente ✅")))</f>
        <v/>
      </c>
      <c r="P866" s="31" t="str">
        <f>IF(D866="","",
IF(AND(Q866&lt;&gt;"SIM",U866&gt;0),"ERRO: % alíquota &gt; 0, mas NÃO permitida ❌",
IF(AND(Q866="SIM",U866=0),"ATENÇÃO: alíquota permitida, mas % = 0 🔎",
"Alíquota aplicada corretamente ✅")))</f>
        <v/>
      </c>
      <c r="Q866" s="8" t="str">
        <f>IF(E866="","",IFERROR(VLOOKUP(E866,REGRAS_CST!$A$2:$D$200,4,FALSE),""))</f>
        <v/>
      </c>
      <c r="S866" s="9">
        <f>IF($H866="","",$H866*(1-$U866))</f>
        <v>8.9999999999999993E-3</v>
      </c>
      <c r="T866" s="9">
        <f>IF($I866="","",$I866*(1-$U866))</f>
        <v>1E-3</v>
      </c>
      <c r="U866" s="16">
        <f>IFERROR(INDEX(BASE_CCLASSTRIB!$E:$E, MATCH(TEXT($D866,"000000"), BASE_CCLASSTRIB!$A:$A, 0))/100, 0)</f>
        <v>0</v>
      </c>
      <c r="V866" s="16">
        <f>IFERROR(INDEX(BASE_CCLASSTRIB!$F:$F, MATCH(TEXT($D866,"000000"), BASE_CCLASSTRIB!$A:$A, 0))/100, 0)</f>
        <v>0</v>
      </c>
    </row>
    <row r="867" spans="4:22" ht="32.25" customHeight="1">
      <c r="D867" s="39"/>
      <c r="E867" s="27" t="str">
        <f>IF(D867="","",LEFT(D867,3))</f>
        <v/>
      </c>
      <c r="F867" s="28" t="str">
        <f>IF(E867="","",IFERROR(VLOOKUP(E867,REGRAS_CST!$A$2:$B$200,2,FALSE),""))</f>
        <v/>
      </c>
      <c r="H867" s="29">
        <v>8.9999999999999993E-3</v>
      </c>
      <c r="I867" s="29">
        <v>1E-3</v>
      </c>
      <c r="K867" s="21" t="str">
        <f>IF(E867="","",IFERROR(VLOOKUP(E867,REGRAS_CST!$A$2:$C$200,3,FALSE),""))</f>
        <v/>
      </c>
      <c r="L867" s="23" t="str">
        <f>IF($G867="", "", $G867*(1-$V867))</f>
        <v/>
      </c>
      <c r="M867" s="24" t="str">
        <f>IF(OR($L867="",$S867=""),"",$L867*$S867)</f>
        <v/>
      </c>
      <c r="N867" s="24" t="str">
        <f>IF(OR($L867="",$T867=""),"",$L867*$T867)</f>
        <v/>
      </c>
      <c r="O867" s="15" t="str">
        <f>IF(D867="","",
IF(AND(K867&lt;&gt;"SIM",V867&gt;0),"ERRO: % BC &gt; 0, mas NÃO permitida ❌",
IF(AND(K867="SIM",V867=0),"ATENÇÃO: BC permitida, mas % = 0 🔎",
"Base de cálculo aplicada corretamente ✅")))</f>
        <v/>
      </c>
      <c r="P867" s="31" t="str">
        <f>IF(D867="","",
IF(AND(Q867&lt;&gt;"SIM",U867&gt;0),"ERRO: % alíquota &gt; 0, mas NÃO permitida ❌",
IF(AND(Q867="SIM",U867=0),"ATENÇÃO: alíquota permitida, mas % = 0 🔎",
"Alíquota aplicada corretamente ✅")))</f>
        <v/>
      </c>
      <c r="Q867" s="8" t="str">
        <f>IF(E867="","",IFERROR(VLOOKUP(E867,REGRAS_CST!$A$2:$D$200,4,FALSE),""))</f>
        <v/>
      </c>
      <c r="S867" s="9">
        <f>IF($H867="","",$H867*(1-$U867))</f>
        <v>8.9999999999999993E-3</v>
      </c>
      <c r="T867" s="9">
        <f>IF($I867="","",$I867*(1-$U867))</f>
        <v>1E-3</v>
      </c>
      <c r="U867" s="16">
        <f>IFERROR(INDEX(BASE_CCLASSTRIB!$E:$E, MATCH(TEXT($D867,"000000"), BASE_CCLASSTRIB!$A:$A, 0))/100, 0)</f>
        <v>0</v>
      </c>
      <c r="V867" s="16">
        <f>IFERROR(INDEX(BASE_CCLASSTRIB!$F:$F, MATCH(TEXT($D867,"000000"), BASE_CCLASSTRIB!$A:$A, 0))/100, 0)</f>
        <v>0</v>
      </c>
    </row>
    <row r="868" spans="4:22" ht="32.25" customHeight="1">
      <c r="D868" s="39"/>
      <c r="E868" s="27" t="str">
        <f>IF(D868="","",LEFT(D868,3))</f>
        <v/>
      </c>
      <c r="F868" s="28" t="str">
        <f>IF(E868="","",IFERROR(VLOOKUP(E868,REGRAS_CST!$A$2:$B$200,2,FALSE),""))</f>
        <v/>
      </c>
      <c r="H868" s="29">
        <v>8.9999999999999993E-3</v>
      </c>
      <c r="I868" s="29">
        <v>1E-3</v>
      </c>
      <c r="K868" s="21" t="str">
        <f>IF(E868="","",IFERROR(VLOOKUP(E868,REGRAS_CST!$A$2:$C$200,3,FALSE),""))</f>
        <v/>
      </c>
      <c r="L868" s="23" t="str">
        <f>IF($G868="", "", $G868*(1-$V868))</f>
        <v/>
      </c>
      <c r="M868" s="24" t="str">
        <f>IF(OR($L868="",$S868=""),"",$L868*$S868)</f>
        <v/>
      </c>
      <c r="N868" s="24" t="str">
        <f>IF(OR($L868="",$T868=""),"",$L868*$T868)</f>
        <v/>
      </c>
      <c r="O868" s="15" t="str">
        <f>IF(D868="","",
IF(AND(K868&lt;&gt;"SIM",V868&gt;0),"ERRO: % BC &gt; 0, mas NÃO permitida ❌",
IF(AND(K868="SIM",V868=0),"ATENÇÃO: BC permitida, mas % = 0 🔎",
"Base de cálculo aplicada corretamente ✅")))</f>
        <v/>
      </c>
      <c r="P868" s="31" t="str">
        <f>IF(D868="","",
IF(AND(Q868&lt;&gt;"SIM",U868&gt;0),"ERRO: % alíquota &gt; 0, mas NÃO permitida ❌",
IF(AND(Q868="SIM",U868=0),"ATENÇÃO: alíquota permitida, mas % = 0 🔎",
"Alíquota aplicada corretamente ✅")))</f>
        <v/>
      </c>
      <c r="Q868" s="8" t="str">
        <f>IF(E868="","",IFERROR(VLOOKUP(E868,REGRAS_CST!$A$2:$D$200,4,FALSE),""))</f>
        <v/>
      </c>
      <c r="S868" s="9">
        <f>IF($H868="","",$H868*(1-$U868))</f>
        <v>8.9999999999999993E-3</v>
      </c>
      <c r="T868" s="9">
        <f>IF($I868="","",$I868*(1-$U868))</f>
        <v>1E-3</v>
      </c>
      <c r="U868" s="16">
        <f>IFERROR(INDEX(BASE_CCLASSTRIB!$E:$E, MATCH(TEXT($D868,"000000"), BASE_CCLASSTRIB!$A:$A, 0))/100, 0)</f>
        <v>0</v>
      </c>
      <c r="V868" s="16">
        <f>IFERROR(INDEX(BASE_CCLASSTRIB!$F:$F, MATCH(TEXT($D868,"000000"), BASE_CCLASSTRIB!$A:$A, 0))/100, 0)</f>
        <v>0</v>
      </c>
    </row>
    <row r="869" spans="4:22" ht="32.25" customHeight="1">
      <c r="D869" s="39"/>
      <c r="E869" s="27" t="str">
        <f>IF(D869="","",LEFT(D869,3))</f>
        <v/>
      </c>
      <c r="F869" s="28" t="str">
        <f>IF(E869="","",IFERROR(VLOOKUP(E869,REGRAS_CST!$A$2:$B$200,2,FALSE),""))</f>
        <v/>
      </c>
      <c r="H869" s="29">
        <v>8.9999999999999993E-3</v>
      </c>
      <c r="I869" s="29">
        <v>1E-3</v>
      </c>
      <c r="K869" s="21" t="str">
        <f>IF(E869="","",IFERROR(VLOOKUP(E869,REGRAS_CST!$A$2:$C$200,3,FALSE),""))</f>
        <v/>
      </c>
      <c r="L869" s="23" t="str">
        <f>IF($G869="", "", $G869*(1-$V869))</f>
        <v/>
      </c>
      <c r="M869" s="24" t="str">
        <f>IF(OR($L869="",$S869=""),"",$L869*$S869)</f>
        <v/>
      </c>
      <c r="N869" s="24" t="str">
        <f>IF(OR($L869="",$T869=""),"",$L869*$T869)</f>
        <v/>
      </c>
      <c r="O869" s="15" t="str">
        <f>IF(D869="","",
IF(AND(K869&lt;&gt;"SIM",V869&gt;0),"ERRO: % BC &gt; 0, mas NÃO permitida ❌",
IF(AND(K869="SIM",V869=0),"ATENÇÃO: BC permitida, mas % = 0 🔎",
"Base de cálculo aplicada corretamente ✅")))</f>
        <v/>
      </c>
      <c r="P869" s="31" t="str">
        <f>IF(D869="","",
IF(AND(Q869&lt;&gt;"SIM",U869&gt;0),"ERRO: % alíquota &gt; 0, mas NÃO permitida ❌",
IF(AND(Q869="SIM",U869=0),"ATENÇÃO: alíquota permitida, mas % = 0 🔎",
"Alíquota aplicada corretamente ✅")))</f>
        <v/>
      </c>
      <c r="Q869" s="8" t="str">
        <f>IF(E869="","",IFERROR(VLOOKUP(E869,REGRAS_CST!$A$2:$D$200,4,FALSE),""))</f>
        <v/>
      </c>
      <c r="S869" s="9">
        <f>IF($H869="","",$H869*(1-$U869))</f>
        <v>8.9999999999999993E-3</v>
      </c>
      <c r="T869" s="9">
        <f>IF($I869="","",$I869*(1-$U869))</f>
        <v>1E-3</v>
      </c>
      <c r="U869" s="16">
        <f>IFERROR(INDEX(BASE_CCLASSTRIB!$E:$E, MATCH(TEXT($D869,"000000"), BASE_CCLASSTRIB!$A:$A, 0))/100, 0)</f>
        <v>0</v>
      </c>
      <c r="V869" s="16">
        <f>IFERROR(INDEX(BASE_CCLASSTRIB!$F:$F, MATCH(TEXT($D869,"000000"), BASE_CCLASSTRIB!$A:$A, 0))/100, 0)</f>
        <v>0</v>
      </c>
    </row>
    <row r="870" spans="4:22" ht="32.25" customHeight="1">
      <c r="D870" s="39"/>
      <c r="E870" s="27" t="str">
        <f>IF(D870="","",LEFT(D870,3))</f>
        <v/>
      </c>
      <c r="F870" s="28" t="str">
        <f>IF(E870="","",IFERROR(VLOOKUP(E870,REGRAS_CST!$A$2:$B$200,2,FALSE),""))</f>
        <v/>
      </c>
      <c r="H870" s="29">
        <v>8.9999999999999993E-3</v>
      </c>
      <c r="I870" s="29">
        <v>1E-3</v>
      </c>
      <c r="K870" s="21" t="str">
        <f>IF(E870="","",IFERROR(VLOOKUP(E870,REGRAS_CST!$A$2:$C$200,3,FALSE),""))</f>
        <v/>
      </c>
      <c r="L870" s="23" t="str">
        <f>IF($G870="", "", $G870*(1-$V870))</f>
        <v/>
      </c>
      <c r="M870" s="24" t="str">
        <f>IF(OR($L870="",$S870=""),"",$L870*$S870)</f>
        <v/>
      </c>
      <c r="N870" s="24" t="str">
        <f>IF(OR($L870="",$T870=""),"",$L870*$T870)</f>
        <v/>
      </c>
      <c r="O870" s="15" t="str">
        <f>IF(D870="","",
IF(AND(K870&lt;&gt;"SIM",V870&gt;0),"ERRO: % BC &gt; 0, mas NÃO permitida ❌",
IF(AND(K870="SIM",V870=0),"ATENÇÃO: BC permitida, mas % = 0 🔎",
"Base de cálculo aplicada corretamente ✅")))</f>
        <v/>
      </c>
      <c r="P870" s="31" t="str">
        <f>IF(D870="","",
IF(AND(Q870&lt;&gt;"SIM",U870&gt;0),"ERRO: % alíquota &gt; 0, mas NÃO permitida ❌",
IF(AND(Q870="SIM",U870=0),"ATENÇÃO: alíquota permitida, mas % = 0 🔎",
"Alíquota aplicada corretamente ✅")))</f>
        <v/>
      </c>
      <c r="Q870" s="8" t="str">
        <f>IF(E870="","",IFERROR(VLOOKUP(E870,REGRAS_CST!$A$2:$D$200,4,FALSE),""))</f>
        <v/>
      </c>
      <c r="S870" s="9">
        <f>IF($H870="","",$H870*(1-$U870))</f>
        <v>8.9999999999999993E-3</v>
      </c>
      <c r="T870" s="9">
        <f>IF($I870="","",$I870*(1-$U870))</f>
        <v>1E-3</v>
      </c>
      <c r="U870" s="16">
        <f>IFERROR(INDEX(BASE_CCLASSTRIB!$E:$E, MATCH(TEXT($D870,"000000"), BASE_CCLASSTRIB!$A:$A, 0))/100, 0)</f>
        <v>0</v>
      </c>
      <c r="V870" s="16">
        <f>IFERROR(INDEX(BASE_CCLASSTRIB!$F:$F, MATCH(TEXT($D870,"000000"), BASE_CCLASSTRIB!$A:$A, 0))/100, 0)</f>
        <v>0</v>
      </c>
    </row>
    <row r="871" spans="4:22" ht="32.25" customHeight="1">
      <c r="D871" s="40"/>
      <c r="E871" s="27" t="str">
        <f>IF(D871="","",LEFT(D871,3))</f>
        <v/>
      </c>
      <c r="F871" s="28" t="str">
        <f>IF(E871="","",IFERROR(VLOOKUP(E871,REGRAS_CST!$A$2:$B$200,2,FALSE),""))</f>
        <v/>
      </c>
      <c r="H871" s="29">
        <v>8.9999999999999993E-3</v>
      </c>
      <c r="I871" s="29">
        <v>1E-3</v>
      </c>
      <c r="K871" s="21" t="str">
        <f>IF(E871="","",IFERROR(VLOOKUP(E871,REGRAS_CST!$A$2:$C$200,3,FALSE),""))</f>
        <v/>
      </c>
      <c r="L871" s="23" t="str">
        <f>IF($G871="", "", $G871*(1-$V871))</f>
        <v/>
      </c>
      <c r="M871" s="24" t="str">
        <f>IF(OR($L871="",$S871=""),"",$L871*$S871)</f>
        <v/>
      </c>
      <c r="N871" s="24" t="str">
        <f>IF(OR($L871="",$T871=""),"",$L871*$T871)</f>
        <v/>
      </c>
      <c r="O871" s="15" t="str">
        <f>IF(D871="","",
IF(AND(K871&lt;&gt;"SIM",V871&gt;0),"ERRO: % BC &gt; 0, mas NÃO permitida ❌",
IF(AND(K871="SIM",V871=0),"ATENÇÃO: BC permitida, mas % = 0 🔎",
"Base de cálculo aplicada corretamente ✅")))</f>
        <v/>
      </c>
      <c r="P871" s="31" t="str">
        <f>IF(D871="","",
IF(AND(Q871&lt;&gt;"SIM",U871&gt;0),"ERRO: % alíquota &gt; 0, mas NÃO permitida ❌",
IF(AND(Q871="SIM",U871=0),"ATENÇÃO: alíquota permitida, mas % = 0 🔎",
"Alíquota aplicada corretamente ✅")))</f>
        <v/>
      </c>
      <c r="Q871" s="8" t="str">
        <f>IF(E871="","",IFERROR(VLOOKUP(E871,REGRAS_CST!$A$2:$D$200,4,FALSE),""))</f>
        <v/>
      </c>
      <c r="S871" s="9">
        <f>IF($H871="","",$H871*(1-$U871))</f>
        <v>8.9999999999999993E-3</v>
      </c>
      <c r="T871" s="9">
        <f>IF($I871="","",$I871*(1-$U871))</f>
        <v>1E-3</v>
      </c>
      <c r="U871" s="16">
        <f>IFERROR(INDEX(BASE_CCLASSTRIB!$E:$E, MATCH(TEXT($D871,"000000"), BASE_CCLASSTRIB!$A:$A, 0))/100, 0)</f>
        <v>0</v>
      </c>
      <c r="V871" s="16">
        <f>IFERROR(INDEX(BASE_CCLASSTRIB!$F:$F, MATCH(TEXT($D871,"000000"), BASE_CCLASSTRIB!$A:$A, 0))/100, 0)</f>
        <v>0</v>
      </c>
    </row>
    <row r="872" spans="4:22" ht="32.25" customHeight="1">
      <c r="D872" s="39"/>
      <c r="E872" s="27" t="str">
        <f>IF(D872="","",LEFT(D872,3))</f>
        <v/>
      </c>
      <c r="F872" s="28" t="str">
        <f>IF(E872="","",IFERROR(VLOOKUP(E872,REGRAS_CST!$A$2:$B$200,2,FALSE),""))</f>
        <v/>
      </c>
      <c r="H872" s="29">
        <v>8.9999999999999993E-3</v>
      </c>
      <c r="I872" s="29">
        <v>1E-3</v>
      </c>
      <c r="K872" s="21" t="str">
        <f>IF(E872="","",IFERROR(VLOOKUP(E872,REGRAS_CST!$A$2:$C$200,3,FALSE),""))</f>
        <v/>
      </c>
      <c r="L872" s="23" t="str">
        <f>IF($G872="", "", $G872*(1-$V872))</f>
        <v/>
      </c>
      <c r="M872" s="24" t="str">
        <f>IF(OR($L872="",$S872=""),"",$L872*$S872)</f>
        <v/>
      </c>
      <c r="N872" s="24" t="str">
        <f>IF(OR($L872="",$T872=""),"",$L872*$T872)</f>
        <v/>
      </c>
      <c r="O872" s="15" t="str">
        <f>IF(D872="","",
IF(AND(K872&lt;&gt;"SIM",V872&gt;0),"ERRO: % BC &gt; 0, mas NÃO permitida ❌",
IF(AND(K872="SIM",V872=0),"ATENÇÃO: BC permitida, mas % = 0 🔎",
"Base de cálculo aplicada corretamente ✅")))</f>
        <v/>
      </c>
      <c r="P872" s="31" t="str">
        <f>IF(D872="","",
IF(AND(Q872&lt;&gt;"SIM",U872&gt;0),"ERRO: % alíquota &gt; 0, mas NÃO permitida ❌",
IF(AND(Q872="SIM",U872=0),"ATENÇÃO: alíquota permitida, mas % = 0 🔎",
"Alíquota aplicada corretamente ✅")))</f>
        <v/>
      </c>
      <c r="Q872" s="8" t="str">
        <f>IF(E872="","",IFERROR(VLOOKUP(E872,REGRAS_CST!$A$2:$D$200,4,FALSE),""))</f>
        <v/>
      </c>
      <c r="S872" s="9">
        <f>IF($H872="","",$H872*(1-$U872))</f>
        <v>8.9999999999999993E-3</v>
      </c>
      <c r="T872" s="9">
        <f>IF($I872="","",$I872*(1-$U872))</f>
        <v>1E-3</v>
      </c>
      <c r="U872" s="16">
        <f>IFERROR(INDEX(BASE_CCLASSTRIB!$E:$E, MATCH(TEXT($D872,"000000"), BASE_CCLASSTRIB!$A:$A, 0))/100, 0)</f>
        <v>0</v>
      </c>
      <c r="V872" s="16">
        <f>IFERROR(INDEX(BASE_CCLASSTRIB!$F:$F, MATCH(TEXT($D872,"000000"), BASE_CCLASSTRIB!$A:$A, 0))/100, 0)</f>
        <v>0</v>
      </c>
    </row>
    <row r="873" spans="4:22" ht="32.25" customHeight="1">
      <c r="D873" s="39"/>
      <c r="E873" s="27" t="str">
        <f>IF(D873="","",LEFT(D873,3))</f>
        <v/>
      </c>
      <c r="F873" s="28" t="str">
        <f>IF(E873="","",IFERROR(VLOOKUP(E873,REGRAS_CST!$A$2:$B$200,2,FALSE),""))</f>
        <v/>
      </c>
      <c r="H873" s="29">
        <v>8.9999999999999993E-3</v>
      </c>
      <c r="I873" s="29">
        <v>1E-3</v>
      </c>
      <c r="K873" s="21" t="str">
        <f>IF(E873="","",IFERROR(VLOOKUP(E873,REGRAS_CST!$A$2:$C$200,3,FALSE),""))</f>
        <v/>
      </c>
      <c r="L873" s="23" t="str">
        <f>IF($G873="", "", $G873*(1-$V873))</f>
        <v/>
      </c>
      <c r="M873" s="24" t="str">
        <f>IF(OR($L873="",$S873=""),"",$L873*$S873)</f>
        <v/>
      </c>
      <c r="N873" s="24" t="str">
        <f>IF(OR($L873="",$T873=""),"",$L873*$T873)</f>
        <v/>
      </c>
      <c r="O873" s="15" t="str">
        <f>IF(D873="","",
IF(AND(K873&lt;&gt;"SIM",V873&gt;0),"ERRO: % BC &gt; 0, mas NÃO permitida ❌",
IF(AND(K873="SIM",V873=0),"ATENÇÃO: BC permitida, mas % = 0 🔎",
"Base de cálculo aplicada corretamente ✅")))</f>
        <v/>
      </c>
      <c r="P873" s="31" t="str">
        <f>IF(D873="","",
IF(AND(Q873&lt;&gt;"SIM",U873&gt;0),"ERRO: % alíquota &gt; 0, mas NÃO permitida ❌",
IF(AND(Q873="SIM",U873=0),"ATENÇÃO: alíquota permitida, mas % = 0 🔎",
"Alíquota aplicada corretamente ✅")))</f>
        <v/>
      </c>
      <c r="Q873" s="8" t="str">
        <f>IF(E873="","",IFERROR(VLOOKUP(E873,REGRAS_CST!$A$2:$D$200,4,FALSE),""))</f>
        <v/>
      </c>
      <c r="S873" s="9">
        <f>IF($H873="","",$H873*(1-$U873))</f>
        <v>8.9999999999999993E-3</v>
      </c>
      <c r="T873" s="9">
        <f>IF($I873="","",$I873*(1-$U873))</f>
        <v>1E-3</v>
      </c>
      <c r="U873" s="16">
        <f>IFERROR(INDEX(BASE_CCLASSTRIB!$E:$E, MATCH(TEXT($D873,"000000"), BASE_CCLASSTRIB!$A:$A, 0))/100, 0)</f>
        <v>0</v>
      </c>
      <c r="V873" s="16">
        <f>IFERROR(INDEX(BASE_CCLASSTRIB!$F:$F, MATCH(TEXT($D873,"000000"), BASE_CCLASSTRIB!$A:$A, 0))/100, 0)</f>
        <v>0</v>
      </c>
    </row>
    <row r="874" spans="4:22" ht="32.25" customHeight="1">
      <c r="D874" s="40"/>
      <c r="E874" s="27" t="str">
        <f>IF(D874="","",LEFT(D874,3))</f>
        <v/>
      </c>
      <c r="F874" s="28" t="str">
        <f>IF(E874="","",IFERROR(VLOOKUP(E874,REGRAS_CST!$A$2:$B$200,2,FALSE),""))</f>
        <v/>
      </c>
      <c r="H874" s="29">
        <v>8.9999999999999993E-3</v>
      </c>
      <c r="I874" s="29">
        <v>1E-3</v>
      </c>
      <c r="K874" s="21" t="str">
        <f>IF(E874="","",IFERROR(VLOOKUP(E874,REGRAS_CST!$A$2:$C$200,3,FALSE),""))</f>
        <v/>
      </c>
      <c r="L874" s="23" t="str">
        <f>IF($G874="", "", $G874*(1-$V874))</f>
        <v/>
      </c>
      <c r="M874" s="24" t="str">
        <f>IF(OR($L874="",$S874=""),"",$L874*$S874)</f>
        <v/>
      </c>
      <c r="N874" s="24" t="str">
        <f>IF(OR($L874="",$T874=""),"",$L874*$T874)</f>
        <v/>
      </c>
      <c r="O874" s="15" t="str">
        <f>IF(D874="","",
IF(AND(K874&lt;&gt;"SIM",V874&gt;0),"ERRO: % BC &gt; 0, mas NÃO permitida ❌",
IF(AND(K874="SIM",V874=0),"ATENÇÃO: BC permitida, mas % = 0 🔎",
"Base de cálculo aplicada corretamente ✅")))</f>
        <v/>
      </c>
      <c r="P874" s="31" t="str">
        <f>IF(D874="","",
IF(AND(Q874&lt;&gt;"SIM",U874&gt;0),"ERRO: % alíquota &gt; 0, mas NÃO permitida ❌",
IF(AND(Q874="SIM",U874=0),"ATENÇÃO: alíquota permitida, mas % = 0 🔎",
"Alíquota aplicada corretamente ✅")))</f>
        <v/>
      </c>
      <c r="Q874" s="8" t="str">
        <f>IF(E874="","",IFERROR(VLOOKUP(E874,REGRAS_CST!$A$2:$D$200,4,FALSE),""))</f>
        <v/>
      </c>
      <c r="S874" s="9">
        <f>IF($H874="","",$H874*(1-$U874))</f>
        <v>8.9999999999999993E-3</v>
      </c>
      <c r="T874" s="9">
        <f>IF($I874="","",$I874*(1-$U874))</f>
        <v>1E-3</v>
      </c>
      <c r="U874" s="16">
        <f>IFERROR(INDEX(BASE_CCLASSTRIB!$E:$E, MATCH(TEXT($D874,"000000"), BASE_CCLASSTRIB!$A:$A, 0))/100, 0)</f>
        <v>0</v>
      </c>
      <c r="V874" s="16">
        <f>IFERROR(INDEX(BASE_CCLASSTRIB!$F:$F, MATCH(TEXT($D874,"000000"), BASE_CCLASSTRIB!$A:$A, 0))/100, 0)</f>
        <v>0</v>
      </c>
    </row>
    <row r="875" spans="4:22" ht="32.25" customHeight="1">
      <c r="D875" s="40"/>
      <c r="E875" s="27" t="str">
        <f>IF(D875="","",LEFT(D875,3))</f>
        <v/>
      </c>
      <c r="F875" s="28" t="str">
        <f>IF(E875="","",IFERROR(VLOOKUP(E875,REGRAS_CST!$A$2:$B$200,2,FALSE),""))</f>
        <v/>
      </c>
      <c r="H875" s="29">
        <v>8.9999999999999993E-3</v>
      </c>
      <c r="I875" s="29">
        <v>1E-3</v>
      </c>
      <c r="K875" s="21" t="str">
        <f>IF(E875="","",IFERROR(VLOOKUP(E875,REGRAS_CST!$A$2:$C$200,3,FALSE),""))</f>
        <v/>
      </c>
      <c r="L875" s="23" t="str">
        <f>IF($G875="", "", $G875*(1-$V875))</f>
        <v/>
      </c>
      <c r="M875" s="24" t="str">
        <f>IF(OR($L875="",$S875=""),"",$L875*$S875)</f>
        <v/>
      </c>
      <c r="N875" s="24" t="str">
        <f>IF(OR($L875="",$T875=""),"",$L875*$T875)</f>
        <v/>
      </c>
      <c r="O875" s="15" t="str">
        <f>IF(D875="","",
IF(AND(K875&lt;&gt;"SIM",V875&gt;0),"ERRO: % BC &gt; 0, mas NÃO permitida ❌",
IF(AND(K875="SIM",V875=0),"ATENÇÃO: BC permitida, mas % = 0 🔎",
"Base de cálculo aplicada corretamente ✅")))</f>
        <v/>
      </c>
      <c r="P875" s="31" t="str">
        <f>IF(D875="","",
IF(AND(Q875&lt;&gt;"SIM",U875&gt;0),"ERRO: % alíquota &gt; 0, mas NÃO permitida ❌",
IF(AND(Q875="SIM",U875=0),"ATENÇÃO: alíquota permitida, mas % = 0 🔎",
"Alíquota aplicada corretamente ✅")))</f>
        <v/>
      </c>
      <c r="Q875" s="8" t="str">
        <f>IF(E875="","",IFERROR(VLOOKUP(E875,REGRAS_CST!$A$2:$D$200,4,FALSE),""))</f>
        <v/>
      </c>
      <c r="S875" s="9">
        <f>IF($H875="","",$H875*(1-$U875))</f>
        <v>8.9999999999999993E-3</v>
      </c>
      <c r="T875" s="9">
        <f>IF($I875="","",$I875*(1-$U875))</f>
        <v>1E-3</v>
      </c>
      <c r="U875" s="16">
        <f>IFERROR(INDEX(BASE_CCLASSTRIB!$E:$E, MATCH(TEXT($D875,"000000"), BASE_CCLASSTRIB!$A:$A, 0))/100, 0)</f>
        <v>0</v>
      </c>
      <c r="V875" s="16">
        <f>IFERROR(INDEX(BASE_CCLASSTRIB!$F:$F, MATCH(TEXT($D875,"000000"), BASE_CCLASSTRIB!$A:$A, 0))/100, 0)</f>
        <v>0</v>
      </c>
    </row>
    <row r="876" spans="4:22" ht="32.25" customHeight="1">
      <c r="D876" s="39"/>
      <c r="E876" s="27" t="str">
        <f>IF(D876="","",LEFT(D876,3))</f>
        <v/>
      </c>
      <c r="F876" s="28" t="str">
        <f>IF(E876="","",IFERROR(VLOOKUP(E876,REGRAS_CST!$A$2:$B$200,2,FALSE),""))</f>
        <v/>
      </c>
      <c r="H876" s="29">
        <v>8.9999999999999993E-3</v>
      </c>
      <c r="I876" s="29">
        <v>1E-3</v>
      </c>
      <c r="K876" s="21" t="str">
        <f>IF(E876="","",IFERROR(VLOOKUP(E876,REGRAS_CST!$A$2:$C$200,3,FALSE),""))</f>
        <v/>
      </c>
      <c r="L876" s="23" t="str">
        <f>IF($G876="", "", $G876*(1-$V876))</f>
        <v/>
      </c>
      <c r="M876" s="24" t="str">
        <f>IF(OR($L876="",$S876=""),"",$L876*$S876)</f>
        <v/>
      </c>
      <c r="N876" s="24" t="str">
        <f>IF(OR($L876="",$T876=""),"",$L876*$T876)</f>
        <v/>
      </c>
      <c r="O876" s="15" t="str">
        <f>IF(D876="","",
IF(AND(K876&lt;&gt;"SIM",V876&gt;0),"ERRO: % BC &gt; 0, mas NÃO permitida ❌",
IF(AND(K876="SIM",V876=0),"ATENÇÃO: BC permitida, mas % = 0 🔎",
"Base de cálculo aplicada corretamente ✅")))</f>
        <v/>
      </c>
      <c r="P876" s="31" t="str">
        <f>IF(D876="","",
IF(AND(Q876&lt;&gt;"SIM",U876&gt;0),"ERRO: % alíquota &gt; 0, mas NÃO permitida ❌",
IF(AND(Q876="SIM",U876=0),"ATENÇÃO: alíquota permitida, mas % = 0 🔎",
"Alíquota aplicada corretamente ✅")))</f>
        <v/>
      </c>
      <c r="Q876" s="8" t="str">
        <f>IF(E876="","",IFERROR(VLOOKUP(E876,REGRAS_CST!$A$2:$D$200,4,FALSE),""))</f>
        <v/>
      </c>
      <c r="S876" s="9">
        <f>IF($H876="","",$H876*(1-$U876))</f>
        <v>8.9999999999999993E-3</v>
      </c>
      <c r="T876" s="9">
        <f>IF($I876="","",$I876*(1-$U876))</f>
        <v>1E-3</v>
      </c>
      <c r="U876" s="16">
        <f>IFERROR(INDEX(BASE_CCLASSTRIB!$E:$E, MATCH(TEXT($D876,"000000"), BASE_CCLASSTRIB!$A:$A, 0))/100, 0)</f>
        <v>0</v>
      </c>
      <c r="V876" s="16">
        <f>IFERROR(INDEX(BASE_CCLASSTRIB!$F:$F, MATCH(TEXT($D876,"000000"), BASE_CCLASSTRIB!$A:$A, 0))/100, 0)</f>
        <v>0</v>
      </c>
    </row>
    <row r="877" spans="4:22" ht="32.25" customHeight="1">
      <c r="D877" s="39"/>
      <c r="E877" s="27" t="str">
        <f>IF(D877="","",LEFT(D877,3))</f>
        <v/>
      </c>
      <c r="F877" s="28" t="str">
        <f>IF(E877="","",IFERROR(VLOOKUP(E877,REGRAS_CST!$A$2:$B$200,2,FALSE),""))</f>
        <v/>
      </c>
      <c r="H877" s="29">
        <v>8.9999999999999993E-3</v>
      </c>
      <c r="I877" s="29">
        <v>1E-3</v>
      </c>
      <c r="K877" s="21" t="str">
        <f>IF(E877="","",IFERROR(VLOOKUP(E877,REGRAS_CST!$A$2:$C$200,3,FALSE),""))</f>
        <v/>
      </c>
      <c r="L877" s="23" t="str">
        <f>IF($G877="", "", $G877*(1-$V877))</f>
        <v/>
      </c>
      <c r="M877" s="24" t="str">
        <f>IF(OR($L877="",$S877=""),"",$L877*$S877)</f>
        <v/>
      </c>
      <c r="N877" s="24" t="str">
        <f>IF(OR($L877="",$T877=""),"",$L877*$T877)</f>
        <v/>
      </c>
      <c r="O877" s="15" t="str">
        <f>IF(D877="","",
IF(AND(K877&lt;&gt;"SIM",V877&gt;0),"ERRO: % BC &gt; 0, mas NÃO permitida ❌",
IF(AND(K877="SIM",V877=0),"ATENÇÃO: BC permitida, mas % = 0 🔎",
"Base de cálculo aplicada corretamente ✅")))</f>
        <v/>
      </c>
      <c r="P877" s="31" t="str">
        <f>IF(D877="","",
IF(AND(Q877&lt;&gt;"SIM",U877&gt;0),"ERRO: % alíquota &gt; 0, mas NÃO permitida ❌",
IF(AND(Q877="SIM",U877=0),"ATENÇÃO: alíquota permitida, mas % = 0 🔎",
"Alíquota aplicada corretamente ✅")))</f>
        <v/>
      </c>
      <c r="Q877" s="8" t="str">
        <f>IF(E877="","",IFERROR(VLOOKUP(E877,REGRAS_CST!$A$2:$D$200,4,FALSE),""))</f>
        <v/>
      </c>
      <c r="S877" s="9">
        <f>IF($H877="","",$H877*(1-$U877))</f>
        <v>8.9999999999999993E-3</v>
      </c>
      <c r="T877" s="9">
        <f>IF($I877="","",$I877*(1-$U877))</f>
        <v>1E-3</v>
      </c>
      <c r="U877" s="16">
        <f>IFERROR(INDEX(BASE_CCLASSTRIB!$E:$E, MATCH(TEXT($D877,"000000"), BASE_CCLASSTRIB!$A:$A, 0))/100, 0)</f>
        <v>0</v>
      </c>
      <c r="V877" s="16">
        <f>IFERROR(INDEX(BASE_CCLASSTRIB!$F:$F, MATCH(TEXT($D877,"000000"), BASE_CCLASSTRIB!$A:$A, 0))/100, 0)</f>
        <v>0</v>
      </c>
    </row>
    <row r="878" spans="4:22" ht="32.25" customHeight="1">
      <c r="D878" s="39"/>
      <c r="E878" s="27" t="str">
        <f>IF(D878="","",LEFT(D878,3))</f>
        <v/>
      </c>
      <c r="F878" s="28" t="str">
        <f>IF(E878="","",IFERROR(VLOOKUP(E878,REGRAS_CST!$A$2:$B$200,2,FALSE),""))</f>
        <v/>
      </c>
      <c r="H878" s="29">
        <v>8.9999999999999993E-3</v>
      </c>
      <c r="I878" s="29">
        <v>1E-3</v>
      </c>
      <c r="K878" s="21" t="str">
        <f>IF(E878="","",IFERROR(VLOOKUP(E878,REGRAS_CST!$A$2:$C$200,3,FALSE),""))</f>
        <v/>
      </c>
      <c r="L878" s="23" t="str">
        <f>IF($G878="", "", $G878*(1-$V878))</f>
        <v/>
      </c>
      <c r="M878" s="24" t="str">
        <f>IF(OR($L878="",$S878=""),"",$L878*$S878)</f>
        <v/>
      </c>
      <c r="N878" s="24" t="str">
        <f>IF(OR($L878="",$T878=""),"",$L878*$T878)</f>
        <v/>
      </c>
      <c r="O878" s="15" t="str">
        <f>IF(D878="","",
IF(AND(K878&lt;&gt;"SIM",V878&gt;0),"ERRO: % BC &gt; 0, mas NÃO permitida ❌",
IF(AND(K878="SIM",V878=0),"ATENÇÃO: BC permitida, mas % = 0 🔎",
"Base de cálculo aplicada corretamente ✅")))</f>
        <v/>
      </c>
      <c r="P878" s="31" t="str">
        <f>IF(D878="","",
IF(AND(Q878&lt;&gt;"SIM",U878&gt;0),"ERRO: % alíquota &gt; 0, mas NÃO permitida ❌",
IF(AND(Q878="SIM",U878=0),"ATENÇÃO: alíquota permitida, mas % = 0 🔎",
"Alíquota aplicada corretamente ✅")))</f>
        <v/>
      </c>
      <c r="Q878" s="8" t="str">
        <f>IF(E878="","",IFERROR(VLOOKUP(E878,REGRAS_CST!$A$2:$D$200,4,FALSE),""))</f>
        <v/>
      </c>
      <c r="S878" s="9">
        <f>IF($H878="","",$H878*(1-$U878))</f>
        <v>8.9999999999999993E-3</v>
      </c>
      <c r="T878" s="9">
        <f>IF($I878="","",$I878*(1-$U878))</f>
        <v>1E-3</v>
      </c>
      <c r="U878" s="16">
        <f>IFERROR(INDEX(BASE_CCLASSTRIB!$E:$E, MATCH(TEXT($D878,"000000"), BASE_CCLASSTRIB!$A:$A, 0))/100, 0)</f>
        <v>0</v>
      </c>
      <c r="V878" s="16">
        <f>IFERROR(INDEX(BASE_CCLASSTRIB!$F:$F, MATCH(TEXT($D878,"000000"), BASE_CCLASSTRIB!$A:$A, 0))/100, 0)</f>
        <v>0</v>
      </c>
    </row>
    <row r="879" spans="4:22" ht="32.25" customHeight="1">
      <c r="D879" s="39"/>
      <c r="E879" s="27" t="str">
        <f>IF(D879="","",LEFT(D879,3))</f>
        <v/>
      </c>
      <c r="F879" s="28" t="str">
        <f>IF(E879="","",IFERROR(VLOOKUP(E879,REGRAS_CST!$A$2:$B$200,2,FALSE),""))</f>
        <v/>
      </c>
      <c r="H879" s="29">
        <v>8.9999999999999993E-3</v>
      </c>
      <c r="I879" s="29">
        <v>1E-3</v>
      </c>
      <c r="K879" s="21" t="str">
        <f>IF(E879="","",IFERROR(VLOOKUP(E879,REGRAS_CST!$A$2:$C$200,3,FALSE),""))</f>
        <v/>
      </c>
      <c r="L879" s="23" t="str">
        <f>IF($G879="", "", $G879*(1-$V879))</f>
        <v/>
      </c>
      <c r="M879" s="24" t="str">
        <f>IF(OR($L879="",$S879=""),"",$L879*$S879)</f>
        <v/>
      </c>
      <c r="N879" s="24" t="str">
        <f>IF(OR($L879="",$T879=""),"",$L879*$T879)</f>
        <v/>
      </c>
      <c r="O879" s="15" t="str">
        <f>IF(D879="","",
IF(AND(K879&lt;&gt;"SIM",V879&gt;0),"ERRO: % BC &gt; 0, mas NÃO permitida ❌",
IF(AND(K879="SIM",V879=0),"ATENÇÃO: BC permitida, mas % = 0 🔎",
"Base de cálculo aplicada corretamente ✅")))</f>
        <v/>
      </c>
      <c r="P879" s="31" t="str">
        <f>IF(D879="","",
IF(AND(Q879&lt;&gt;"SIM",U879&gt;0),"ERRO: % alíquota &gt; 0, mas NÃO permitida ❌",
IF(AND(Q879="SIM",U879=0),"ATENÇÃO: alíquota permitida, mas % = 0 🔎",
"Alíquota aplicada corretamente ✅")))</f>
        <v/>
      </c>
      <c r="Q879" s="8" t="str">
        <f>IF(E879="","",IFERROR(VLOOKUP(E879,REGRAS_CST!$A$2:$D$200,4,FALSE),""))</f>
        <v/>
      </c>
      <c r="S879" s="9">
        <f>IF($H879="","",$H879*(1-$U879))</f>
        <v>8.9999999999999993E-3</v>
      </c>
      <c r="T879" s="9">
        <f>IF($I879="","",$I879*(1-$U879))</f>
        <v>1E-3</v>
      </c>
      <c r="U879" s="16">
        <f>IFERROR(INDEX(BASE_CCLASSTRIB!$E:$E, MATCH(TEXT($D879,"000000"), BASE_CCLASSTRIB!$A:$A, 0))/100, 0)</f>
        <v>0</v>
      </c>
      <c r="V879" s="16">
        <f>IFERROR(INDEX(BASE_CCLASSTRIB!$F:$F, MATCH(TEXT($D879,"000000"), BASE_CCLASSTRIB!$A:$A, 0))/100, 0)</f>
        <v>0</v>
      </c>
    </row>
    <row r="880" spans="4:22" ht="32.25" customHeight="1">
      <c r="D880" s="39"/>
      <c r="E880" s="27" t="str">
        <f>IF(D880="","",LEFT(D880,3))</f>
        <v/>
      </c>
      <c r="F880" s="28" t="str">
        <f>IF(E880="","",IFERROR(VLOOKUP(E880,REGRAS_CST!$A$2:$B$200,2,FALSE),""))</f>
        <v/>
      </c>
      <c r="H880" s="29">
        <v>8.9999999999999993E-3</v>
      </c>
      <c r="I880" s="29">
        <v>1E-3</v>
      </c>
      <c r="K880" s="21" t="str">
        <f>IF(E880="","",IFERROR(VLOOKUP(E880,REGRAS_CST!$A$2:$C$200,3,FALSE),""))</f>
        <v/>
      </c>
      <c r="L880" s="23" t="str">
        <f>IF($G880="", "", $G880*(1-$V880))</f>
        <v/>
      </c>
      <c r="M880" s="24" t="str">
        <f>IF(OR($L880="",$S880=""),"",$L880*$S880)</f>
        <v/>
      </c>
      <c r="N880" s="24" t="str">
        <f>IF(OR($L880="",$T880=""),"",$L880*$T880)</f>
        <v/>
      </c>
      <c r="O880" s="15" t="str">
        <f>IF(D880="","",
IF(AND(K880&lt;&gt;"SIM",V880&gt;0),"ERRO: % BC &gt; 0, mas NÃO permitida ❌",
IF(AND(K880="SIM",V880=0),"ATENÇÃO: BC permitida, mas % = 0 🔎",
"Base de cálculo aplicada corretamente ✅")))</f>
        <v/>
      </c>
      <c r="P880" s="31" t="str">
        <f>IF(D880="","",
IF(AND(Q880&lt;&gt;"SIM",U880&gt;0),"ERRO: % alíquota &gt; 0, mas NÃO permitida ❌",
IF(AND(Q880="SIM",U880=0),"ATENÇÃO: alíquota permitida, mas % = 0 🔎",
"Alíquota aplicada corretamente ✅")))</f>
        <v/>
      </c>
      <c r="Q880" s="8" t="str">
        <f>IF(E880="","",IFERROR(VLOOKUP(E880,REGRAS_CST!$A$2:$D$200,4,FALSE),""))</f>
        <v/>
      </c>
      <c r="S880" s="9">
        <f>IF($H880="","",$H880*(1-$U880))</f>
        <v>8.9999999999999993E-3</v>
      </c>
      <c r="T880" s="9">
        <f>IF($I880="","",$I880*(1-$U880))</f>
        <v>1E-3</v>
      </c>
      <c r="U880" s="16">
        <f>IFERROR(INDEX(BASE_CCLASSTRIB!$E:$E, MATCH(TEXT($D880,"000000"), BASE_CCLASSTRIB!$A:$A, 0))/100, 0)</f>
        <v>0</v>
      </c>
      <c r="V880" s="16">
        <f>IFERROR(INDEX(BASE_CCLASSTRIB!$F:$F, MATCH(TEXT($D880,"000000"), BASE_CCLASSTRIB!$A:$A, 0))/100, 0)</f>
        <v>0</v>
      </c>
    </row>
    <row r="881" spans="4:22" ht="32.25" customHeight="1">
      <c r="D881" s="39"/>
      <c r="E881" s="27" t="str">
        <f>IF(D881="","",LEFT(D881,3))</f>
        <v/>
      </c>
      <c r="F881" s="28" t="str">
        <f>IF(E881="","",IFERROR(VLOOKUP(E881,REGRAS_CST!$A$2:$B$200,2,FALSE),""))</f>
        <v/>
      </c>
      <c r="H881" s="29">
        <v>8.9999999999999993E-3</v>
      </c>
      <c r="I881" s="29">
        <v>1E-3</v>
      </c>
      <c r="K881" s="21" t="str">
        <f>IF(E881="","",IFERROR(VLOOKUP(E881,REGRAS_CST!$A$2:$C$200,3,FALSE),""))</f>
        <v/>
      </c>
      <c r="L881" s="23" t="str">
        <f>IF($G881="", "", $G881*(1-$V881))</f>
        <v/>
      </c>
      <c r="M881" s="24" t="str">
        <f>IF(OR($L881="",$S881=""),"",$L881*$S881)</f>
        <v/>
      </c>
      <c r="N881" s="24" t="str">
        <f>IF(OR($L881="",$T881=""),"",$L881*$T881)</f>
        <v/>
      </c>
      <c r="O881" s="15" t="str">
        <f>IF(D881="","",
IF(AND(K881&lt;&gt;"SIM",V881&gt;0),"ERRO: % BC &gt; 0, mas NÃO permitida ❌",
IF(AND(K881="SIM",V881=0),"ATENÇÃO: BC permitida, mas % = 0 🔎",
"Base de cálculo aplicada corretamente ✅")))</f>
        <v/>
      </c>
      <c r="P881" s="31" t="str">
        <f>IF(D881="","",
IF(AND(Q881&lt;&gt;"SIM",U881&gt;0),"ERRO: % alíquota &gt; 0, mas NÃO permitida ❌",
IF(AND(Q881="SIM",U881=0),"ATENÇÃO: alíquota permitida, mas % = 0 🔎",
"Alíquota aplicada corretamente ✅")))</f>
        <v/>
      </c>
      <c r="Q881" s="8" t="str">
        <f>IF(E881="","",IFERROR(VLOOKUP(E881,REGRAS_CST!$A$2:$D$200,4,FALSE),""))</f>
        <v/>
      </c>
      <c r="S881" s="9">
        <f>IF($H881="","",$H881*(1-$U881))</f>
        <v>8.9999999999999993E-3</v>
      </c>
      <c r="T881" s="9">
        <f>IF($I881="","",$I881*(1-$U881))</f>
        <v>1E-3</v>
      </c>
      <c r="U881" s="16">
        <f>IFERROR(INDEX(BASE_CCLASSTRIB!$E:$E, MATCH(TEXT($D881,"000000"), BASE_CCLASSTRIB!$A:$A, 0))/100, 0)</f>
        <v>0</v>
      </c>
      <c r="V881" s="16">
        <f>IFERROR(INDEX(BASE_CCLASSTRIB!$F:$F, MATCH(TEXT($D881,"000000"), BASE_CCLASSTRIB!$A:$A, 0))/100, 0)</f>
        <v>0</v>
      </c>
    </row>
    <row r="882" spans="4:22" ht="32.25" customHeight="1">
      <c r="D882" s="40"/>
      <c r="E882" s="27" t="str">
        <f>IF(D882="","",LEFT(D882,3))</f>
        <v/>
      </c>
      <c r="F882" s="28" t="str">
        <f>IF(E882="","",IFERROR(VLOOKUP(E882,REGRAS_CST!$A$2:$B$200,2,FALSE),""))</f>
        <v/>
      </c>
      <c r="H882" s="29">
        <v>8.9999999999999993E-3</v>
      </c>
      <c r="I882" s="29">
        <v>1E-3</v>
      </c>
      <c r="K882" s="21" t="str">
        <f>IF(E882="","",IFERROR(VLOOKUP(E882,REGRAS_CST!$A$2:$C$200,3,FALSE),""))</f>
        <v/>
      </c>
      <c r="L882" s="23" t="str">
        <f>IF($G882="", "", $G882*(1-$V882))</f>
        <v/>
      </c>
      <c r="M882" s="24" t="str">
        <f>IF(OR($L882="",$S882=""),"",$L882*$S882)</f>
        <v/>
      </c>
      <c r="N882" s="24" t="str">
        <f>IF(OR($L882="",$T882=""),"",$L882*$T882)</f>
        <v/>
      </c>
      <c r="O882" s="15" t="str">
        <f>IF(D882="","",
IF(AND(K882&lt;&gt;"SIM",V882&gt;0),"ERRO: % BC &gt; 0, mas NÃO permitida ❌",
IF(AND(K882="SIM",V882=0),"ATENÇÃO: BC permitida, mas % = 0 🔎",
"Base de cálculo aplicada corretamente ✅")))</f>
        <v/>
      </c>
      <c r="P882" s="31" t="str">
        <f>IF(D882="","",
IF(AND(Q882&lt;&gt;"SIM",U882&gt;0),"ERRO: % alíquota &gt; 0, mas NÃO permitida ❌",
IF(AND(Q882="SIM",U882=0),"ATENÇÃO: alíquota permitida, mas % = 0 🔎",
"Alíquota aplicada corretamente ✅")))</f>
        <v/>
      </c>
      <c r="Q882" s="8" t="str">
        <f>IF(E882="","",IFERROR(VLOOKUP(E882,REGRAS_CST!$A$2:$D$200,4,FALSE),""))</f>
        <v/>
      </c>
      <c r="S882" s="9">
        <f>IF($H882="","",$H882*(1-$U882))</f>
        <v>8.9999999999999993E-3</v>
      </c>
      <c r="T882" s="9">
        <f>IF($I882="","",$I882*(1-$U882))</f>
        <v>1E-3</v>
      </c>
      <c r="U882" s="16">
        <f>IFERROR(INDEX(BASE_CCLASSTRIB!$E:$E, MATCH(TEXT($D882,"000000"), BASE_CCLASSTRIB!$A:$A, 0))/100, 0)</f>
        <v>0</v>
      </c>
      <c r="V882" s="16">
        <f>IFERROR(INDEX(BASE_CCLASSTRIB!$F:$F, MATCH(TEXT($D882,"000000"), BASE_CCLASSTRIB!$A:$A, 0))/100, 0)</f>
        <v>0</v>
      </c>
    </row>
    <row r="883" spans="4:22" ht="32.25" customHeight="1">
      <c r="D883" s="39"/>
      <c r="E883" s="27" t="str">
        <f>IF(D883="","",LEFT(D883,3))</f>
        <v/>
      </c>
      <c r="F883" s="28" t="str">
        <f>IF(E883="","",IFERROR(VLOOKUP(E883,REGRAS_CST!$A$2:$B$200,2,FALSE),""))</f>
        <v/>
      </c>
      <c r="H883" s="29">
        <v>8.9999999999999993E-3</v>
      </c>
      <c r="I883" s="29">
        <v>1E-3</v>
      </c>
      <c r="K883" s="21" t="str">
        <f>IF(E883="","",IFERROR(VLOOKUP(E883,REGRAS_CST!$A$2:$C$200,3,FALSE),""))</f>
        <v/>
      </c>
      <c r="L883" s="23" t="str">
        <f>IF($G883="", "", $G883*(1-$V883))</f>
        <v/>
      </c>
      <c r="M883" s="24" t="str">
        <f>IF(OR($L883="",$S883=""),"",$L883*$S883)</f>
        <v/>
      </c>
      <c r="N883" s="24" t="str">
        <f>IF(OR($L883="",$T883=""),"",$L883*$T883)</f>
        <v/>
      </c>
      <c r="O883" s="15" t="str">
        <f>IF(D883="","",
IF(AND(K883&lt;&gt;"SIM",V883&gt;0),"ERRO: % BC &gt; 0, mas NÃO permitida ❌",
IF(AND(K883="SIM",V883=0),"ATENÇÃO: BC permitida, mas % = 0 🔎",
"Base de cálculo aplicada corretamente ✅")))</f>
        <v/>
      </c>
      <c r="P883" s="31" t="str">
        <f>IF(D883="","",
IF(AND(Q883&lt;&gt;"SIM",U883&gt;0),"ERRO: % alíquota &gt; 0, mas NÃO permitida ❌",
IF(AND(Q883="SIM",U883=0),"ATENÇÃO: alíquota permitida, mas % = 0 🔎",
"Alíquota aplicada corretamente ✅")))</f>
        <v/>
      </c>
      <c r="Q883" s="8" t="str">
        <f>IF(E883="","",IFERROR(VLOOKUP(E883,REGRAS_CST!$A$2:$D$200,4,FALSE),""))</f>
        <v/>
      </c>
      <c r="S883" s="9">
        <f>IF($H883="","",$H883*(1-$U883))</f>
        <v>8.9999999999999993E-3</v>
      </c>
      <c r="T883" s="9">
        <f>IF($I883="","",$I883*(1-$U883))</f>
        <v>1E-3</v>
      </c>
      <c r="U883" s="16">
        <f>IFERROR(INDEX(BASE_CCLASSTRIB!$E:$E, MATCH(TEXT($D883,"000000"), BASE_CCLASSTRIB!$A:$A, 0))/100, 0)</f>
        <v>0</v>
      </c>
      <c r="V883" s="16">
        <f>IFERROR(INDEX(BASE_CCLASSTRIB!$F:$F, MATCH(TEXT($D883,"000000"), BASE_CCLASSTRIB!$A:$A, 0))/100, 0)</f>
        <v>0</v>
      </c>
    </row>
    <row r="884" spans="4:22" ht="32.25" customHeight="1">
      <c r="D884" s="39"/>
      <c r="E884" s="27" t="str">
        <f>IF(D884="","",LEFT(D884,3))</f>
        <v/>
      </c>
      <c r="F884" s="28" t="str">
        <f>IF(E884="","",IFERROR(VLOOKUP(E884,REGRAS_CST!$A$2:$B$200,2,FALSE),""))</f>
        <v/>
      </c>
      <c r="H884" s="29">
        <v>8.9999999999999993E-3</v>
      </c>
      <c r="I884" s="29">
        <v>1E-3</v>
      </c>
      <c r="K884" s="21" t="str">
        <f>IF(E884="","",IFERROR(VLOOKUP(E884,REGRAS_CST!$A$2:$C$200,3,FALSE),""))</f>
        <v/>
      </c>
      <c r="L884" s="23" t="str">
        <f>IF($G884="", "", $G884*(1-$V884))</f>
        <v/>
      </c>
      <c r="M884" s="24" t="str">
        <f>IF(OR($L884="",$S884=""),"",$L884*$S884)</f>
        <v/>
      </c>
      <c r="N884" s="24" t="str">
        <f>IF(OR($L884="",$T884=""),"",$L884*$T884)</f>
        <v/>
      </c>
      <c r="O884" s="15" t="str">
        <f>IF(D884="","",
IF(AND(K884&lt;&gt;"SIM",V884&gt;0),"ERRO: % BC &gt; 0, mas NÃO permitida ❌",
IF(AND(K884="SIM",V884=0),"ATENÇÃO: BC permitida, mas % = 0 🔎",
"Base de cálculo aplicada corretamente ✅")))</f>
        <v/>
      </c>
      <c r="P884" s="31" t="str">
        <f>IF(D884="","",
IF(AND(Q884&lt;&gt;"SIM",U884&gt;0),"ERRO: % alíquota &gt; 0, mas NÃO permitida ❌",
IF(AND(Q884="SIM",U884=0),"ATENÇÃO: alíquota permitida, mas % = 0 🔎",
"Alíquota aplicada corretamente ✅")))</f>
        <v/>
      </c>
      <c r="Q884" s="8" t="str">
        <f>IF(E884="","",IFERROR(VLOOKUP(E884,REGRAS_CST!$A$2:$D$200,4,FALSE),""))</f>
        <v/>
      </c>
      <c r="S884" s="9">
        <f>IF($H884="","",$H884*(1-$U884))</f>
        <v>8.9999999999999993E-3</v>
      </c>
      <c r="T884" s="9">
        <f>IF($I884="","",$I884*(1-$U884))</f>
        <v>1E-3</v>
      </c>
      <c r="U884" s="16">
        <f>IFERROR(INDEX(BASE_CCLASSTRIB!$E:$E, MATCH(TEXT($D884,"000000"), BASE_CCLASSTRIB!$A:$A, 0))/100, 0)</f>
        <v>0</v>
      </c>
      <c r="V884" s="16">
        <f>IFERROR(INDEX(BASE_CCLASSTRIB!$F:$F, MATCH(TEXT($D884,"000000"), BASE_CCLASSTRIB!$A:$A, 0))/100, 0)</f>
        <v>0</v>
      </c>
    </row>
    <row r="885" spans="4:22" ht="32.25" customHeight="1">
      <c r="D885" s="39"/>
      <c r="E885" s="27" t="str">
        <f>IF(D885="","",LEFT(D885,3))</f>
        <v/>
      </c>
      <c r="F885" s="28" t="str">
        <f>IF(E885="","",IFERROR(VLOOKUP(E885,REGRAS_CST!$A$2:$B$200,2,FALSE),""))</f>
        <v/>
      </c>
      <c r="H885" s="29">
        <v>8.9999999999999993E-3</v>
      </c>
      <c r="I885" s="29">
        <v>1E-3</v>
      </c>
      <c r="K885" s="21" t="str">
        <f>IF(E885="","",IFERROR(VLOOKUP(E885,REGRAS_CST!$A$2:$C$200,3,FALSE),""))</f>
        <v/>
      </c>
      <c r="L885" s="23" t="str">
        <f>IF($G885="", "", $G885*(1-$V885))</f>
        <v/>
      </c>
      <c r="M885" s="24" t="str">
        <f>IF(OR($L885="",$S885=""),"",$L885*$S885)</f>
        <v/>
      </c>
      <c r="N885" s="24" t="str">
        <f>IF(OR($L885="",$T885=""),"",$L885*$T885)</f>
        <v/>
      </c>
      <c r="O885" s="15" t="str">
        <f>IF(D885="","",
IF(AND(K885&lt;&gt;"SIM",V885&gt;0),"ERRO: % BC &gt; 0, mas NÃO permitida ❌",
IF(AND(K885="SIM",V885=0),"ATENÇÃO: BC permitida, mas % = 0 🔎",
"Base de cálculo aplicada corretamente ✅")))</f>
        <v/>
      </c>
      <c r="P885" s="31" t="str">
        <f>IF(D885="","",
IF(AND(Q885&lt;&gt;"SIM",U885&gt;0),"ERRO: % alíquota &gt; 0, mas NÃO permitida ❌",
IF(AND(Q885="SIM",U885=0),"ATENÇÃO: alíquota permitida, mas % = 0 🔎",
"Alíquota aplicada corretamente ✅")))</f>
        <v/>
      </c>
      <c r="Q885" s="8" t="str">
        <f>IF(E885="","",IFERROR(VLOOKUP(E885,REGRAS_CST!$A$2:$D$200,4,FALSE),""))</f>
        <v/>
      </c>
      <c r="S885" s="9">
        <f>IF($H885="","",$H885*(1-$U885))</f>
        <v>8.9999999999999993E-3</v>
      </c>
      <c r="T885" s="9">
        <f>IF($I885="","",$I885*(1-$U885))</f>
        <v>1E-3</v>
      </c>
      <c r="U885" s="16">
        <f>IFERROR(INDEX(BASE_CCLASSTRIB!$E:$E, MATCH(TEXT($D885,"000000"), BASE_CCLASSTRIB!$A:$A, 0))/100, 0)</f>
        <v>0</v>
      </c>
      <c r="V885" s="16">
        <f>IFERROR(INDEX(BASE_CCLASSTRIB!$F:$F, MATCH(TEXT($D885,"000000"), BASE_CCLASSTRIB!$A:$A, 0))/100, 0)</f>
        <v>0</v>
      </c>
    </row>
    <row r="886" spans="4:22" ht="32.25" customHeight="1">
      <c r="D886" s="39"/>
      <c r="E886" s="27" t="str">
        <f>IF(D886="","",LEFT(D886,3))</f>
        <v/>
      </c>
      <c r="F886" s="28" t="str">
        <f>IF(E886="","",IFERROR(VLOOKUP(E886,REGRAS_CST!$A$2:$B$200,2,FALSE),""))</f>
        <v/>
      </c>
      <c r="H886" s="29">
        <v>8.9999999999999993E-3</v>
      </c>
      <c r="I886" s="29">
        <v>1E-3</v>
      </c>
      <c r="K886" s="21" t="str">
        <f>IF(E886="","",IFERROR(VLOOKUP(E886,REGRAS_CST!$A$2:$C$200,3,FALSE),""))</f>
        <v/>
      </c>
      <c r="L886" s="23" t="str">
        <f>IF($G886="", "", $G886*(1-$V886))</f>
        <v/>
      </c>
      <c r="M886" s="24" t="str">
        <f>IF(OR($L886="",$S886=""),"",$L886*$S886)</f>
        <v/>
      </c>
      <c r="N886" s="24" t="str">
        <f>IF(OR($L886="",$T886=""),"",$L886*$T886)</f>
        <v/>
      </c>
      <c r="O886" s="15" t="str">
        <f>IF(D886="","",
IF(AND(K886&lt;&gt;"SIM",V886&gt;0),"ERRO: % BC &gt; 0, mas NÃO permitida ❌",
IF(AND(K886="SIM",V886=0),"ATENÇÃO: BC permitida, mas % = 0 🔎",
"Base de cálculo aplicada corretamente ✅")))</f>
        <v/>
      </c>
      <c r="P886" s="31" t="str">
        <f>IF(D886="","",
IF(AND(Q886&lt;&gt;"SIM",U886&gt;0),"ERRO: % alíquota &gt; 0, mas NÃO permitida ❌",
IF(AND(Q886="SIM",U886=0),"ATENÇÃO: alíquota permitida, mas % = 0 🔎",
"Alíquota aplicada corretamente ✅")))</f>
        <v/>
      </c>
      <c r="Q886" s="8" t="str">
        <f>IF(E886="","",IFERROR(VLOOKUP(E886,REGRAS_CST!$A$2:$D$200,4,FALSE),""))</f>
        <v/>
      </c>
      <c r="S886" s="9">
        <f>IF($H886="","",$H886*(1-$U886))</f>
        <v>8.9999999999999993E-3</v>
      </c>
      <c r="T886" s="9">
        <f>IF($I886="","",$I886*(1-$U886))</f>
        <v>1E-3</v>
      </c>
      <c r="U886" s="16">
        <f>IFERROR(INDEX(BASE_CCLASSTRIB!$E:$E, MATCH(TEXT($D886,"000000"), BASE_CCLASSTRIB!$A:$A, 0))/100, 0)</f>
        <v>0</v>
      </c>
      <c r="V886" s="16">
        <f>IFERROR(INDEX(BASE_CCLASSTRIB!$F:$F, MATCH(TEXT($D886,"000000"), BASE_CCLASSTRIB!$A:$A, 0))/100, 0)</f>
        <v>0</v>
      </c>
    </row>
    <row r="887" spans="4:22" ht="32.25" customHeight="1">
      <c r="D887" s="39"/>
      <c r="E887" s="27" t="str">
        <f>IF(D887="","",LEFT(D887,3))</f>
        <v/>
      </c>
      <c r="F887" s="28" t="str">
        <f>IF(E887="","",IFERROR(VLOOKUP(E887,REGRAS_CST!$A$2:$B$200,2,FALSE),""))</f>
        <v/>
      </c>
      <c r="H887" s="29">
        <v>8.9999999999999993E-3</v>
      </c>
      <c r="I887" s="29">
        <v>1E-3</v>
      </c>
      <c r="K887" s="21" t="str">
        <f>IF(E887="","",IFERROR(VLOOKUP(E887,REGRAS_CST!$A$2:$C$200,3,FALSE),""))</f>
        <v/>
      </c>
      <c r="L887" s="23" t="str">
        <f>IF($G887="", "", $G887*(1-$V887))</f>
        <v/>
      </c>
      <c r="M887" s="24" t="str">
        <f>IF(OR($L887="",$S887=""),"",$L887*$S887)</f>
        <v/>
      </c>
      <c r="N887" s="24" t="str">
        <f>IF(OR($L887="",$T887=""),"",$L887*$T887)</f>
        <v/>
      </c>
      <c r="O887" s="15" t="str">
        <f>IF(D887="","",
IF(AND(K887&lt;&gt;"SIM",V887&gt;0),"ERRO: % BC &gt; 0, mas NÃO permitida ❌",
IF(AND(K887="SIM",V887=0),"ATENÇÃO: BC permitida, mas % = 0 🔎",
"Base de cálculo aplicada corretamente ✅")))</f>
        <v/>
      </c>
      <c r="P887" s="31" t="str">
        <f>IF(D887="","",
IF(AND(Q887&lt;&gt;"SIM",U887&gt;0),"ERRO: % alíquota &gt; 0, mas NÃO permitida ❌",
IF(AND(Q887="SIM",U887=0),"ATENÇÃO: alíquota permitida, mas % = 0 🔎",
"Alíquota aplicada corretamente ✅")))</f>
        <v/>
      </c>
      <c r="Q887" s="8" t="str">
        <f>IF(E887="","",IFERROR(VLOOKUP(E887,REGRAS_CST!$A$2:$D$200,4,FALSE),""))</f>
        <v/>
      </c>
      <c r="S887" s="9">
        <f>IF($H887="","",$H887*(1-$U887))</f>
        <v>8.9999999999999993E-3</v>
      </c>
      <c r="T887" s="9">
        <f>IF($I887="","",$I887*(1-$U887))</f>
        <v>1E-3</v>
      </c>
      <c r="U887" s="16">
        <f>IFERROR(INDEX(BASE_CCLASSTRIB!$E:$E, MATCH(TEXT($D887,"000000"), BASE_CCLASSTRIB!$A:$A, 0))/100, 0)</f>
        <v>0</v>
      </c>
      <c r="V887" s="16">
        <f>IFERROR(INDEX(BASE_CCLASSTRIB!$F:$F, MATCH(TEXT($D887,"000000"), BASE_CCLASSTRIB!$A:$A, 0))/100, 0)</f>
        <v>0</v>
      </c>
    </row>
    <row r="888" spans="4:22" ht="32.25" customHeight="1">
      <c r="D888" s="39"/>
      <c r="E888" s="27" t="str">
        <f>IF(D888="","",LEFT(D888,3))</f>
        <v/>
      </c>
      <c r="F888" s="28" t="str">
        <f>IF(E888="","",IFERROR(VLOOKUP(E888,REGRAS_CST!$A$2:$B$200,2,FALSE),""))</f>
        <v/>
      </c>
      <c r="H888" s="29">
        <v>8.9999999999999993E-3</v>
      </c>
      <c r="I888" s="29">
        <v>1E-3</v>
      </c>
      <c r="K888" s="21" t="str">
        <f>IF(E888="","",IFERROR(VLOOKUP(E888,REGRAS_CST!$A$2:$C$200,3,FALSE),""))</f>
        <v/>
      </c>
      <c r="L888" s="23" t="str">
        <f>IF($G888="", "", $G888*(1-$V888))</f>
        <v/>
      </c>
      <c r="M888" s="24" t="str">
        <f>IF(OR($L888="",$S888=""),"",$L888*$S888)</f>
        <v/>
      </c>
      <c r="N888" s="24" t="str">
        <f>IF(OR($L888="",$T888=""),"",$L888*$T888)</f>
        <v/>
      </c>
      <c r="O888" s="15" t="str">
        <f>IF(D888="","",
IF(AND(K888&lt;&gt;"SIM",V888&gt;0),"ERRO: % BC &gt; 0, mas NÃO permitida ❌",
IF(AND(K888="SIM",V888=0),"ATENÇÃO: BC permitida, mas % = 0 🔎",
"Base de cálculo aplicada corretamente ✅")))</f>
        <v/>
      </c>
      <c r="P888" s="31" t="str">
        <f>IF(D888="","",
IF(AND(Q888&lt;&gt;"SIM",U888&gt;0),"ERRO: % alíquota &gt; 0, mas NÃO permitida ❌",
IF(AND(Q888="SIM",U888=0),"ATENÇÃO: alíquota permitida, mas % = 0 🔎",
"Alíquota aplicada corretamente ✅")))</f>
        <v/>
      </c>
      <c r="Q888" s="8" t="str">
        <f>IF(E888="","",IFERROR(VLOOKUP(E888,REGRAS_CST!$A$2:$D$200,4,FALSE),""))</f>
        <v/>
      </c>
      <c r="S888" s="9">
        <f>IF($H888="","",$H888*(1-$U888))</f>
        <v>8.9999999999999993E-3</v>
      </c>
      <c r="T888" s="9">
        <f>IF($I888="","",$I888*(1-$U888))</f>
        <v>1E-3</v>
      </c>
      <c r="U888" s="16">
        <f>IFERROR(INDEX(BASE_CCLASSTRIB!$E:$E, MATCH(TEXT($D888,"000000"), BASE_CCLASSTRIB!$A:$A, 0))/100, 0)</f>
        <v>0</v>
      </c>
      <c r="V888" s="16">
        <f>IFERROR(INDEX(BASE_CCLASSTRIB!$F:$F, MATCH(TEXT($D888,"000000"), BASE_CCLASSTRIB!$A:$A, 0))/100, 0)</f>
        <v>0</v>
      </c>
    </row>
    <row r="889" spans="4:22" ht="32.25" customHeight="1">
      <c r="D889" s="39"/>
      <c r="E889" s="27" t="str">
        <f>IF(D889="","",LEFT(D889,3))</f>
        <v/>
      </c>
      <c r="F889" s="28" t="str">
        <f>IF(E889="","",IFERROR(VLOOKUP(E889,REGRAS_CST!$A$2:$B$200,2,FALSE),""))</f>
        <v/>
      </c>
      <c r="H889" s="29">
        <v>8.9999999999999993E-3</v>
      </c>
      <c r="I889" s="29">
        <v>1E-3</v>
      </c>
      <c r="K889" s="21" t="str">
        <f>IF(E889="","",IFERROR(VLOOKUP(E889,REGRAS_CST!$A$2:$C$200,3,FALSE),""))</f>
        <v/>
      </c>
      <c r="L889" s="23" t="str">
        <f>IF($G889="", "", $G889*(1-$V889))</f>
        <v/>
      </c>
      <c r="M889" s="24" t="str">
        <f>IF(OR($L889="",$S889=""),"",$L889*$S889)</f>
        <v/>
      </c>
      <c r="N889" s="24" t="str">
        <f>IF(OR($L889="",$T889=""),"",$L889*$T889)</f>
        <v/>
      </c>
      <c r="O889" s="15" t="str">
        <f>IF(D889="","",
IF(AND(K889&lt;&gt;"SIM",V889&gt;0),"ERRO: % BC &gt; 0, mas NÃO permitida ❌",
IF(AND(K889="SIM",V889=0),"ATENÇÃO: BC permitida, mas % = 0 🔎",
"Base de cálculo aplicada corretamente ✅")))</f>
        <v/>
      </c>
      <c r="P889" s="31" t="str">
        <f>IF(D889="","",
IF(AND(Q889&lt;&gt;"SIM",U889&gt;0),"ERRO: % alíquota &gt; 0, mas NÃO permitida ❌",
IF(AND(Q889="SIM",U889=0),"ATENÇÃO: alíquota permitida, mas % = 0 🔎",
"Alíquota aplicada corretamente ✅")))</f>
        <v/>
      </c>
      <c r="Q889" s="8" t="str">
        <f>IF(E889="","",IFERROR(VLOOKUP(E889,REGRAS_CST!$A$2:$D$200,4,FALSE),""))</f>
        <v/>
      </c>
      <c r="S889" s="9">
        <f>IF($H889="","",$H889*(1-$U889))</f>
        <v>8.9999999999999993E-3</v>
      </c>
      <c r="T889" s="9">
        <f>IF($I889="","",$I889*(1-$U889))</f>
        <v>1E-3</v>
      </c>
      <c r="U889" s="16">
        <f>IFERROR(INDEX(BASE_CCLASSTRIB!$E:$E, MATCH(TEXT($D889,"000000"), BASE_CCLASSTRIB!$A:$A, 0))/100, 0)</f>
        <v>0</v>
      </c>
      <c r="V889" s="16">
        <f>IFERROR(INDEX(BASE_CCLASSTRIB!$F:$F, MATCH(TEXT($D889,"000000"), BASE_CCLASSTRIB!$A:$A, 0))/100, 0)</f>
        <v>0</v>
      </c>
    </row>
    <row r="890" spans="4:22" ht="32.25" customHeight="1">
      <c r="D890" s="39"/>
      <c r="E890" s="27" t="str">
        <f>IF(D890="","",LEFT(D890,3))</f>
        <v/>
      </c>
      <c r="F890" s="28" t="str">
        <f>IF(E890="","",IFERROR(VLOOKUP(E890,REGRAS_CST!$A$2:$B$200,2,FALSE),""))</f>
        <v/>
      </c>
      <c r="H890" s="29">
        <v>8.9999999999999993E-3</v>
      </c>
      <c r="I890" s="29">
        <v>1E-3</v>
      </c>
      <c r="K890" s="21" t="str">
        <f>IF(E890="","",IFERROR(VLOOKUP(E890,REGRAS_CST!$A$2:$C$200,3,FALSE),""))</f>
        <v/>
      </c>
      <c r="L890" s="23" t="str">
        <f>IF($G890="", "", $G890*(1-$V890))</f>
        <v/>
      </c>
      <c r="M890" s="24" t="str">
        <f>IF(OR($L890="",$S890=""),"",$L890*$S890)</f>
        <v/>
      </c>
      <c r="N890" s="24" t="str">
        <f>IF(OR($L890="",$T890=""),"",$L890*$T890)</f>
        <v/>
      </c>
      <c r="O890" s="15" t="str">
        <f>IF(D890="","",
IF(AND(K890&lt;&gt;"SIM",V890&gt;0),"ERRO: % BC &gt; 0, mas NÃO permitida ❌",
IF(AND(K890="SIM",V890=0),"ATENÇÃO: BC permitida, mas % = 0 🔎",
"Base de cálculo aplicada corretamente ✅")))</f>
        <v/>
      </c>
      <c r="P890" s="31" t="str">
        <f>IF(D890="","",
IF(AND(Q890&lt;&gt;"SIM",U890&gt;0),"ERRO: % alíquota &gt; 0, mas NÃO permitida ❌",
IF(AND(Q890="SIM",U890=0),"ATENÇÃO: alíquota permitida, mas % = 0 🔎",
"Alíquota aplicada corretamente ✅")))</f>
        <v/>
      </c>
      <c r="Q890" s="8" t="str">
        <f>IF(E890="","",IFERROR(VLOOKUP(E890,REGRAS_CST!$A$2:$D$200,4,FALSE),""))</f>
        <v/>
      </c>
      <c r="S890" s="9">
        <f>IF($H890="","",$H890*(1-$U890))</f>
        <v>8.9999999999999993E-3</v>
      </c>
      <c r="T890" s="9">
        <f>IF($I890="","",$I890*(1-$U890))</f>
        <v>1E-3</v>
      </c>
      <c r="U890" s="16">
        <f>IFERROR(INDEX(BASE_CCLASSTRIB!$E:$E, MATCH(TEXT($D890,"000000"), BASE_CCLASSTRIB!$A:$A, 0))/100, 0)</f>
        <v>0</v>
      </c>
      <c r="V890" s="16">
        <f>IFERROR(INDEX(BASE_CCLASSTRIB!$F:$F, MATCH(TEXT($D890,"000000"), BASE_CCLASSTRIB!$A:$A, 0))/100, 0)</f>
        <v>0</v>
      </c>
    </row>
    <row r="891" spans="4:22" ht="32.25" customHeight="1">
      <c r="D891" s="39"/>
      <c r="E891" s="27" t="str">
        <f>IF(D891="","",LEFT(D891,3))</f>
        <v/>
      </c>
      <c r="F891" s="28" t="str">
        <f>IF(E891="","",IFERROR(VLOOKUP(E891,REGRAS_CST!$A$2:$B$200,2,FALSE),""))</f>
        <v/>
      </c>
      <c r="H891" s="29">
        <v>8.9999999999999993E-3</v>
      </c>
      <c r="I891" s="29">
        <v>1E-3</v>
      </c>
      <c r="K891" s="21" t="str">
        <f>IF(E891="","",IFERROR(VLOOKUP(E891,REGRAS_CST!$A$2:$C$200,3,FALSE),""))</f>
        <v/>
      </c>
      <c r="L891" s="23" t="str">
        <f>IF($G891="", "", $G891*(1-$V891))</f>
        <v/>
      </c>
      <c r="M891" s="24" t="str">
        <f>IF(OR($L891="",$S891=""),"",$L891*$S891)</f>
        <v/>
      </c>
      <c r="N891" s="24" t="str">
        <f>IF(OR($L891="",$T891=""),"",$L891*$T891)</f>
        <v/>
      </c>
      <c r="O891" s="15" t="str">
        <f>IF(D891="","",
IF(AND(K891&lt;&gt;"SIM",V891&gt;0),"ERRO: % BC &gt; 0, mas NÃO permitida ❌",
IF(AND(K891="SIM",V891=0),"ATENÇÃO: BC permitida, mas % = 0 🔎",
"Base de cálculo aplicada corretamente ✅")))</f>
        <v/>
      </c>
      <c r="P891" s="31" t="str">
        <f>IF(D891="","",
IF(AND(Q891&lt;&gt;"SIM",U891&gt;0),"ERRO: % alíquota &gt; 0, mas NÃO permitida ❌",
IF(AND(Q891="SIM",U891=0),"ATENÇÃO: alíquota permitida, mas % = 0 🔎",
"Alíquota aplicada corretamente ✅")))</f>
        <v/>
      </c>
      <c r="Q891" s="8" t="str">
        <f>IF(E891="","",IFERROR(VLOOKUP(E891,REGRAS_CST!$A$2:$D$200,4,FALSE),""))</f>
        <v/>
      </c>
      <c r="S891" s="9">
        <f>IF($H891="","",$H891*(1-$U891))</f>
        <v>8.9999999999999993E-3</v>
      </c>
      <c r="T891" s="9">
        <f>IF($I891="","",$I891*(1-$U891))</f>
        <v>1E-3</v>
      </c>
      <c r="U891" s="16">
        <f>IFERROR(INDEX(BASE_CCLASSTRIB!$E:$E, MATCH(TEXT($D891,"000000"), BASE_CCLASSTRIB!$A:$A, 0))/100, 0)</f>
        <v>0</v>
      </c>
      <c r="V891" s="16">
        <f>IFERROR(INDEX(BASE_CCLASSTRIB!$F:$F, MATCH(TEXT($D891,"000000"), BASE_CCLASSTRIB!$A:$A, 0))/100, 0)</f>
        <v>0</v>
      </c>
    </row>
    <row r="892" spans="4:22" ht="32.25" customHeight="1">
      <c r="D892" s="40"/>
      <c r="E892" s="27" t="str">
        <f>IF(D892="","",LEFT(D892,3))</f>
        <v/>
      </c>
      <c r="F892" s="28" t="str">
        <f>IF(E892="","",IFERROR(VLOOKUP(E892,REGRAS_CST!$A$2:$B$200,2,FALSE),""))</f>
        <v/>
      </c>
      <c r="H892" s="29">
        <v>8.9999999999999993E-3</v>
      </c>
      <c r="I892" s="29">
        <v>1E-3</v>
      </c>
      <c r="K892" s="21" t="str">
        <f>IF(E892="","",IFERROR(VLOOKUP(E892,REGRAS_CST!$A$2:$C$200,3,FALSE),""))</f>
        <v/>
      </c>
      <c r="L892" s="23" t="str">
        <f>IF($G892="", "", $G892*(1-$V892))</f>
        <v/>
      </c>
      <c r="M892" s="24" t="str">
        <f>IF(OR($L892="",$S892=""),"",$L892*$S892)</f>
        <v/>
      </c>
      <c r="N892" s="24" t="str">
        <f>IF(OR($L892="",$T892=""),"",$L892*$T892)</f>
        <v/>
      </c>
      <c r="O892" s="15" t="str">
        <f>IF(D892="","",
IF(AND(K892&lt;&gt;"SIM",V892&gt;0),"ERRO: % BC &gt; 0, mas NÃO permitida ❌",
IF(AND(K892="SIM",V892=0),"ATENÇÃO: BC permitida, mas % = 0 🔎",
"Base de cálculo aplicada corretamente ✅")))</f>
        <v/>
      </c>
      <c r="P892" s="31" t="str">
        <f>IF(D892="","",
IF(AND(Q892&lt;&gt;"SIM",U892&gt;0),"ERRO: % alíquota &gt; 0, mas NÃO permitida ❌",
IF(AND(Q892="SIM",U892=0),"ATENÇÃO: alíquota permitida, mas % = 0 🔎",
"Alíquota aplicada corretamente ✅")))</f>
        <v/>
      </c>
      <c r="Q892" s="8" t="str">
        <f>IF(E892="","",IFERROR(VLOOKUP(E892,REGRAS_CST!$A$2:$D$200,4,FALSE),""))</f>
        <v/>
      </c>
      <c r="S892" s="9">
        <f>IF($H892="","",$H892*(1-$U892))</f>
        <v>8.9999999999999993E-3</v>
      </c>
      <c r="T892" s="9">
        <f>IF($I892="","",$I892*(1-$U892))</f>
        <v>1E-3</v>
      </c>
      <c r="U892" s="16">
        <f>IFERROR(INDEX(BASE_CCLASSTRIB!$E:$E, MATCH(TEXT($D892,"000000"), BASE_CCLASSTRIB!$A:$A, 0))/100, 0)</f>
        <v>0</v>
      </c>
      <c r="V892" s="16">
        <f>IFERROR(INDEX(BASE_CCLASSTRIB!$F:$F, MATCH(TEXT($D892,"000000"), BASE_CCLASSTRIB!$A:$A, 0))/100, 0)</f>
        <v>0</v>
      </c>
    </row>
    <row r="893" spans="4:22" ht="32.25" customHeight="1">
      <c r="D893" s="40"/>
      <c r="E893" s="27" t="str">
        <f>IF(D893="","",LEFT(D893,3))</f>
        <v/>
      </c>
      <c r="F893" s="28" t="str">
        <f>IF(E893="","",IFERROR(VLOOKUP(E893,REGRAS_CST!$A$2:$B$200,2,FALSE),""))</f>
        <v/>
      </c>
      <c r="H893" s="29">
        <v>8.9999999999999993E-3</v>
      </c>
      <c r="I893" s="29">
        <v>1E-3</v>
      </c>
      <c r="K893" s="21" t="str">
        <f>IF(E893="","",IFERROR(VLOOKUP(E893,REGRAS_CST!$A$2:$C$200,3,FALSE),""))</f>
        <v/>
      </c>
      <c r="L893" s="23" t="str">
        <f>IF($G893="", "", $G893*(1-$V893))</f>
        <v/>
      </c>
      <c r="M893" s="24" t="str">
        <f>IF(OR($L893="",$S893=""),"",$L893*$S893)</f>
        <v/>
      </c>
      <c r="N893" s="24" t="str">
        <f>IF(OR($L893="",$T893=""),"",$L893*$T893)</f>
        <v/>
      </c>
      <c r="O893" s="15" t="str">
        <f>IF(D893="","",
IF(AND(K893&lt;&gt;"SIM",V893&gt;0),"ERRO: % BC &gt; 0, mas NÃO permitida ❌",
IF(AND(K893="SIM",V893=0),"ATENÇÃO: BC permitida, mas % = 0 🔎",
"Base de cálculo aplicada corretamente ✅")))</f>
        <v/>
      </c>
      <c r="P893" s="31" t="str">
        <f>IF(D893="","",
IF(AND(Q893&lt;&gt;"SIM",U893&gt;0),"ERRO: % alíquota &gt; 0, mas NÃO permitida ❌",
IF(AND(Q893="SIM",U893=0),"ATENÇÃO: alíquota permitida, mas % = 0 🔎",
"Alíquota aplicada corretamente ✅")))</f>
        <v/>
      </c>
      <c r="Q893" s="8" t="str">
        <f>IF(E893="","",IFERROR(VLOOKUP(E893,REGRAS_CST!$A$2:$D$200,4,FALSE),""))</f>
        <v/>
      </c>
      <c r="S893" s="9">
        <f>IF($H893="","",$H893*(1-$U893))</f>
        <v>8.9999999999999993E-3</v>
      </c>
      <c r="T893" s="9">
        <f>IF($I893="","",$I893*(1-$U893))</f>
        <v>1E-3</v>
      </c>
      <c r="U893" s="16">
        <f>IFERROR(INDEX(BASE_CCLASSTRIB!$E:$E, MATCH(TEXT($D893,"000000"), BASE_CCLASSTRIB!$A:$A, 0))/100, 0)</f>
        <v>0</v>
      </c>
      <c r="V893" s="16">
        <f>IFERROR(INDEX(BASE_CCLASSTRIB!$F:$F, MATCH(TEXT($D893,"000000"), BASE_CCLASSTRIB!$A:$A, 0))/100, 0)</f>
        <v>0</v>
      </c>
    </row>
    <row r="894" spans="4:22" ht="32.25" customHeight="1">
      <c r="D894" s="39"/>
      <c r="E894" s="27" t="str">
        <f>IF(D894="","",LEFT(D894,3))</f>
        <v/>
      </c>
      <c r="F894" s="28" t="str">
        <f>IF(E894="","",IFERROR(VLOOKUP(E894,REGRAS_CST!$A$2:$B$200,2,FALSE),""))</f>
        <v/>
      </c>
      <c r="H894" s="29">
        <v>8.9999999999999993E-3</v>
      </c>
      <c r="I894" s="29">
        <v>1E-3</v>
      </c>
      <c r="K894" s="21" t="str">
        <f>IF(E894="","",IFERROR(VLOOKUP(E894,REGRAS_CST!$A$2:$C$200,3,FALSE),""))</f>
        <v/>
      </c>
      <c r="L894" s="23" t="str">
        <f>IF($G894="", "", $G894*(1-$V894))</f>
        <v/>
      </c>
      <c r="M894" s="24" t="str">
        <f>IF(OR($L894="",$S894=""),"",$L894*$S894)</f>
        <v/>
      </c>
      <c r="N894" s="24" t="str">
        <f>IF(OR($L894="",$T894=""),"",$L894*$T894)</f>
        <v/>
      </c>
      <c r="O894" s="15" t="str">
        <f>IF(D894="","",
IF(AND(K894&lt;&gt;"SIM",V894&gt;0),"ERRO: % BC &gt; 0, mas NÃO permitida ❌",
IF(AND(K894="SIM",V894=0),"ATENÇÃO: BC permitida, mas % = 0 🔎",
"Base de cálculo aplicada corretamente ✅")))</f>
        <v/>
      </c>
      <c r="P894" s="31" t="str">
        <f>IF(D894="","",
IF(AND(Q894&lt;&gt;"SIM",U894&gt;0),"ERRO: % alíquota &gt; 0, mas NÃO permitida ❌",
IF(AND(Q894="SIM",U894=0),"ATENÇÃO: alíquota permitida, mas % = 0 🔎",
"Alíquota aplicada corretamente ✅")))</f>
        <v/>
      </c>
      <c r="Q894" s="8" t="str">
        <f>IF(E894="","",IFERROR(VLOOKUP(E894,REGRAS_CST!$A$2:$D$200,4,FALSE),""))</f>
        <v/>
      </c>
      <c r="S894" s="9">
        <f>IF($H894="","",$H894*(1-$U894))</f>
        <v>8.9999999999999993E-3</v>
      </c>
      <c r="T894" s="9">
        <f>IF($I894="","",$I894*(1-$U894))</f>
        <v>1E-3</v>
      </c>
      <c r="U894" s="16">
        <f>IFERROR(INDEX(BASE_CCLASSTRIB!$E:$E, MATCH(TEXT($D894,"000000"), BASE_CCLASSTRIB!$A:$A, 0))/100, 0)</f>
        <v>0</v>
      </c>
      <c r="V894" s="16">
        <f>IFERROR(INDEX(BASE_CCLASSTRIB!$F:$F, MATCH(TEXT($D894,"000000"), BASE_CCLASSTRIB!$A:$A, 0))/100, 0)</f>
        <v>0</v>
      </c>
    </row>
    <row r="895" spans="4:22" ht="32.25" customHeight="1">
      <c r="D895" s="39"/>
      <c r="E895" s="27" t="str">
        <f>IF(D895="","",LEFT(D895,3))</f>
        <v/>
      </c>
      <c r="F895" s="28" t="str">
        <f>IF(E895="","",IFERROR(VLOOKUP(E895,REGRAS_CST!$A$2:$B$200,2,FALSE),""))</f>
        <v/>
      </c>
      <c r="H895" s="29">
        <v>8.9999999999999993E-3</v>
      </c>
      <c r="I895" s="29">
        <v>1E-3</v>
      </c>
      <c r="K895" s="21" t="str">
        <f>IF(E895="","",IFERROR(VLOOKUP(E895,REGRAS_CST!$A$2:$C$200,3,FALSE),""))</f>
        <v/>
      </c>
      <c r="L895" s="23" t="str">
        <f>IF($G895="", "", $G895*(1-$V895))</f>
        <v/>
      </c>
      <c r="M895" s="24" t="str">
        <f>IF(OR($L895="",$S895=""),"",$L895*$S895)</f>
        <v/>
      </c>
      <c r="N895" s="24" t="str">
        <f>IF(OR($L895="",$T895=""),"",$L895*$T895)</f>
        <v/>
      </c>
      <c r="O895" s="15" t="str">
        <f>IF(D895="","",
IF(AND(K895&lt;&gt;"SIM",V895&gt;0),"ERRO: % BC &gt; 0, mas NÃO permitida ❌",
IF(AND(K895="SIM",V895=0),"ATENÇÃO: BC permitida, mas % = 0 🔎",
"Base de cálculo aplicada corretamente ✅")))</f>
        <v/>
      </c>
      <c r="P895" s="31" t="str">
        <f>IF(D895="","",
IF(AND(Q895&lt;&gt;"SIM",U895&gt;0),"ERRO: % alíquota &gt; 0, mas NÃO permitida ❌",
IF(AND(Q895="SIM",U895=0),"ATENÇÃO: alíquota permitida, mas % = 0 🔎",
"Alíquota aplicada corretamente ✅")))</f>
        <v/>
      </c>
      <c r="Q895" s="8" t="str">
        <f>IF(E895="","",IFERROR(VLOOKUP(E895,REGRAS_CST!$A$2:$D$200,4,FALSE),""))</f>
        <v/>
      </c>
      <c r="S895" s="9">
        <f>IF($H895="","",$H895*(1-$U895))</f>
        <v>8.9999999999999993E-3</v>
      </c>
      <c r="T895" s="9">
        <f>IF($I895="","",$I895*(1-$U895))</f>
        <v>1E-3</v>
      </c>
      <c r="U895" s="16">
        <f>IFERROR(INDEX(BASE_CCLASSTRIB!$E:$E, MATCH(TEXT($D895,"000000"), BASE_CCLASSTRIB!$A:$A, 0))/100, 0)</f>
        <v>0</v>
      </c>
      <c r="V895" s="16">
        <f>IFERROR(INDEX(BASE_CCLASSTRIB!$F:$F, MATCH(TEXT($D895,"000000"), BASE_CCLASSTRIB!$A:$A, 0))/100, 0)</f>
        <v>0</v>
      </c>
    </row>
    <row r="896" spans="4:22" ht="32.25" customHeight="1">
      <c r="D896" s="39"/>
      <c r="E896" s="27" t="str">
        <f>IF(D896="","",LEFT(D896,3))</f>
        <v/>
      </c>
      <c r="F896" s="28" t="str">
        <f>IF(E896="","",IFERROR(VLOOKUP(E896,REGRAS_CST!$A$2:$B$200,2,FALSE),""))</f>
        <v/>
      </c>
      <c r="H896" s="29">
        <v>8.9999999999999993E-3</v>
      </c>
      <c r="I896" s="29">
        <v>1E-3</v>
      </c>
      <c r="K896" s="21" t="str">
        <f>IF(E896="","",IFERROR(VLOOKUP(E896,REGRAS_CST!$A$2:$C$200,3,FALSE),""))</f>
        <v/>
      </c>
      <c r="L896" s="23" t="str">
        <f>IF($G896="", "", $G896*(1-$V896))</f>
        <v/>
      </c>
      <c r="M896" s="24" t="str">
        <f>IF(OR($L896="",$S896=""),"",$L896*$S896)</f>
        <v/>
      </c>
      <c r="N896" s="24" t="str">
        <f>IF(OR($L896="",$T896=""),"",$L896*$T896)</f>
        <v/>
      </c>
      <c r="O896" s="15" t="str">
        <f>IF(D896="","",
IF(AND(K896&lt;&gt;"SIM",V896&gt;0),"ERRO: % BC &gt; 0, mas NÃO permitida ❌",
IF(AND(K896="SIM",V896=0),"ATENÇÃO: BC permitida, mas % = 0 🔎",
"Base de cálculo aplicada corretamente ✅")))</f>
        <v/>
      </c>
      <c r="P896" s="31" t="str">
        <f>IF(D896="","",
IF(AND(Q896&lt;&gt;"SIM",U896&gt;0),"ERRO: % alíquota &gt; 0, mas NÃO permitida ❌",
IF(AND(Q896="SIM",U896=0),"ATENÇÃO: alíquota permitida, mas % = 0 🔎",
"Alíquota aplicada corretamente ✅")))</f>
        <v/>
      </c>
      <c r="Q896" s="8" t="str">
        <f>IF(E896="","",IFERROR(VLOOKUP(E896,REGRAS_CST!$A$2:$D$200,4,FALSE),""))</f>
        <v/>
      </c>
      <c r="S896" s="9">
        <f>IF($H896="","",$H896*(1-$U896))</f>
        <v>8.9999999999999993E-3</v>
      </c>
      <c r="T896" s="9">
        <f>IF($I896="","",$I896*(1-$U896))</f>
        <v>1E-3</v>
      </c>
      <c r="U896" s="16">
        <f>IFERROR(INDEX(BASE_CCLASSTRIB!$E:$E, MATCH(TEXT($D896,"000000"), BASE_CCLASSTRIB!$A:$A, 0))/100, 0)</f>
        <v>0</v>
      </c>
      <c r="V896" s="16">
        <f>IFERROR(INDEX(BASE_CCLASSTRIB!$F:$F, MATCH(TEXT($D896,"000000"), BASE_CCLASSTRIB!$A:$A, 0))/100, 0)</f>
        <v>0</v>
      </c>
    </row>
    <row r="897" spans="4:22" ht="32.25" customHeight="1">
      <c r="D897" s="39"/>
      <c r="E897" s="27" t="str">
        <f>IF(D897="","",LEFT(D897,3))</f>
        <v/>
      </c>
      <c r="F897" s="28" t="str">
        <f>IF(E897="","",IFERROR(VLOOKUP(E897,REGRAS_CST!$A$2:$B$200,2,FALSE),""))</f>
        <v/>
      </c>
      <c r="H897" s="29">
        <v>8.9999999999999993E-3</v>
      </c>
      <c r="I897" s="29">
        <v>1E-3</v>
      </c>
      <c r="K897" s="21" t="str">
        <f>IF(E897="","",IFERROR(VLOOKUP(E897,REGRAS_CST!$A$2:$C$200,3,FALSE),""))</f>
        <v/>
      </c>
      <c r="L897" s="23" t="str">
        <f>IF($G897="", "", $G897*(1-$V897))</f>
        <v/>
      </c>
      <c r="M897" s="24" t="str">
        <f>IF(OR($L897="",$S897=""),"",$L897*$S897)</f>
        <v/>
      </c>
      <c r="N897" s="24" t="str">
        <f>IF(OR($L897="",$T897=""),"",$L897*$T897)</f>
        <v/>
      </c>
      <c r="O897" s="15" t="str">
        <f>IF(D897="","",
IF(AND(K897&lt;&gt;"SIM",V897&gt;0),"ERRO: % BC &gt; 0, mas NÃO permitida ❌",
IF(AND(K897="SIM",V897=0),"ATENÇÃO: BC permitida, mas % = 0 🔎",
"Base de cálculo aplicada corretamente ✅")))</f>
        <v/>
      </c>
      <c r="P897" s="31" t="str">
        <f>IF(D897="","",
IF(AND(Q897&lt;&gt;"SIM",U897&gt;0),"ERRO: % alíquota &gt; 0, mas NÃO permitida ❌",
IF(AND(Q897="SIM",U897=0),"ATENÇÃO: alíquota permitida, mas % = 0 🔎",
"Alíquota aplicada corretamente ✅")))</f>
        <v/>
      </c>
      <c r="Q897" s="8" t="str">
        <f>IF(E897="","",IFERROR(VLOOKUP(E897,REGRAS_CST!$A$2:$D$200,4,FALSE),""))</f>
        <v/>
      </c>
      <c r="S897" s="9">
        <f>IF($H897="","",$H897*(1-$U897))</f>
        <v>8.9999999999999993E-3</v>
      </c>
      <c r="T897" s="9">
        <f>IF($I897="","",$I897*(1-$U897))</f>
        <v>1E-3</v>
      </c>
      <c r="U897" s="16">
        <f>IFERROR(INDEX(BASE_CCLASSTRIB!$E:$E, MATCH(TEXT($D897,"000000"), BASE_CCLASSTRIB!$A:$A, 0))/100, 0)</f>
        <v>0</v>
      </c>
      <c r="V897" s="16">
        <f>IFERROR(INDEX(BASE_CCLASSTRIB!$F:$F, MATCH(TEXT($D897,"000000"), BASE_CCLASSTRIB!$A:$A, 0))/100, 0)</f>
        <v>0</v>
      </c>
    </row>
    <row r="898" spans="4:22" ht="32.25" customHeight="1">
      <c r="D898" s="40"/>
      <c r="E898" s="27" t="str">
        <f>IF(D898="","",LEFT(D898,3))</f>
        <v/>
      </c>
      <c r="F898" s="28" t="str">
        <f>IF(E898="","",IFERROR(VLOOKUP(E898,REGRAS_CST!$A$2:$B$200,2,FALSE),""))</f>
        <v/>
      </c>
      <c r="H898" s="29">
        <v>8.9999999999999993E-3</v>
      </c>
      <c r="I898" s="29">
        <v>1E-3</v>
      </c>
      <c r="K898" s="21" t="str">
        <f>IF(E898="","",IFERROR(VLOOKUP(E898,REGRAS_CST!$A$2:$C$200,3,FALSE),""))</f>
        <v/>
      </c>
      <c r="L898" s="23" t="str">
        <f>IF($G898="", "", $G898*(1-$V898))</f>
        <v/>
      </c>
      <c r="M898" s="24" t="str">
        <f>IF(OR($L898="",$S898=""),"",$L898*$S898)</f>
        <v/>
      </c>
      <c r="N898" s="24" t="str">
        <f>IF(OR($L898="",$T898=""),"",$L898*$T898)</f>
        <v/>
      </c>
      <c r="O898" s="15" t="str">
        <f>IF(D898="","",
IF(AND(K898&lt;&gt;"SIM",V898&gt;0),"ERRO: % BC &gt; 0, mas NÃO permitida ❌",
IF(AND(K898="SIM",V898=0),"ATENÇÃO: BC permitida, mas % = 0 🔎",
"Base de cálculo aplicada corretamente ✅")))</f>
        <v/>
      </c>
      <c r="P898" s="31" t="str">
        <f>IF(D898="","",
IF(AND(Q898&lt;&gt;"SIM",U898&gt;0),"ERRO: % alíquota &gt; 0, mas NÃO permitida ❌",
IF(AND(Q898="SIM",U898=0),"ATENÇÃO: alíquota permitida, mas % = 0 🔎",
"Alíquota aplicada corretamente ✅")))</f>
        <v/>
      </c>
      <c r="Q898" s="8" t="str">
        <f>IF(E898="","",IFERROR(VLOOKUP(E898,REGRAS_CST!$A$2:$D$200,4,FALSE),""))</f>
        <v/>
      </c>
      <c r="S898" s="9">
        <f>IF($H898="","",$H898*(1-$U898))</f>
        <v>8.9999999999999993E-3</v>
      </c>
      <c r="T898" s="9">
        <f>IF($I898="","",$I898*(1-$U898))</f>
        <v>1E-3</v>
      </c>
      <c r="U898" s="16">
        <f>IFERROR(INDEX(BASE_CCLASSTRIB!$E:$E, MATCH(TEXT($D898,"000000"), BASE_CCLASSTRIB!$A:$A, 0))/100, 0)</f>
        <v>0</v>
      </c>
      <c r="V898" s="16">
        <f>IFERROR(INDEX(BASE_CCLASSTRIB!$F:$F, MATCH(TEXT($D898,"000000"), BASE_CCLASSTRIB!$A:$A, 0))/100, 0)</f>
        <v>0</v>
      </c>
    </row>
    <row r="899" spans="4:22" ht="32.25" customHeight="1">
      <c r="D899" s="40"/>
      <c r="E899" s="27" t="str">
        <f>IF(D899="","",LEFT(D899,3))</f>
        <v/>
      </c>
      <c r="F899" s="28" t="str">
        <f>IF(E899="","",IFERROR(VLOOKUP(E899,REGRAS_CST!$A$2:$B$200,2,FALSE),""))</f>
        <v/>
      </c>
      <c r="H899" s="29">
        <v>8.9999999999999993E-3</v>
      </c>
      <c r="I899" s="29">
        <v>1E-3</v>
      </c>
      <c r="K899" s="21" t="str">
        <f>IF(E899="","",IFERROR(VLOOKUP(E899,REGRAS_CST!$A$2:$C$200,3,FALSE),""))</f>
        <v/>
      </c>
      <c r="L899" s="23" t="str">
        <f>IF($G899="", "", $G899*(1-$V899))</f>
        <v/>
      </c>
      <c r="M899" s="24" t="str">
        <f>IF(OR($L899="",$S899=""),"",$L899*$S899)</f>
        <v/>
      </c>
      <c r="N899" s="24" t="str">
        <f>IF(OR($L899="",$T899=""),"",$L899*$T899)</f>
        <v/>
      </c>
      <c r="O899" s="15" t="str">
        <f>IF(D899="","",
IF(AND(K899&lt;&gt;"SIM",V899&gt;0),"ERRO: % BC &gt; 0, mas NÃO permitida ❌",
IF(AND(K899="SIM",V899=0),"ATENÇÃO: BC permitida, mas % = 0 🔎",
"Base de cálculo aplicada corretamente ✅")))</f>
        <v/>
      </c>
      <c r="P899" s="31" t="str">
        <f>IF(D899="","",
IF(AND(Q899&lt;&gt;"SIM",U899&gt;0),"ERRO: % alíquota &gt; 0, mas NÃO permitida ❌",
IF(AND(Q899="SIM",U899=0),"ATENÇÃO: alíquota permitida, mas % = 0 🔎",
"Alíquota aplicada corretamente ✅")))</f>
        <v/>
      </c>
      <c r="Q899" s="8" t="str">
        <f>IF(E899="","",IFERROR(VLOOKUP(E899,REGRAS_CST!$A$2:$D$200,4,FALSE),""))</f>
        <v/>
      </c>
      <c r="S899" s="9">
        <f>IF($H899="","",$H899*(1-$U899))</f>
        <v>8.9999999999999993E-3</v>
      </c>
      <c r="T899" s="9">
        <f>IF($I899="","",$I899*(1-$U899))</f>
        <v>1E-3</v>
      </c>
      <c r="U899" s="16">
        <f>IFERROR(INDEX(BASE_CCLASSTRIB!$E:$E, MATCH(TEXT($D899,"000000"), BASE_CCLASSTRIB!$A:$A, 0))/100, 0)</f>
        <v>0</v>
      </c>
      <c r="V899" s="16">
        <f>IFERROR(INDEX(BASE_CCLASSTRIB!$F:$F, MATCH(TEXT($D899,"000000"), BASE_CCLASSTRIB!$A:$A, 0))/100, 0)</f>
        <v>0</v>
      </c>
    </row>
    <row r="900" spans="4:22" ht="32.25" customHeight="1">
      <c r="D900" s="39"/>
      <c r="E900" s="27" t="str">
        <f>IF(D900="","",LEFT(D900,3))</f>
        <v/>
      </c>
      <c r="F900" s="28" t="str">
        <f>IF(E900="","",IFERROR(VLOOKUP(E900,REGRAS_CST!$A$2:$B$200,2,FALSE),""))</f>
        <v/>
      </c>
      <c r="H900" s="29">
        <v>8.9999999999999993E-3</v>
      </c>
      <c r="I900" s="29">
        <v>1E-3</v>
      </c>
      <c r="K900" s="21" t="str">
        <f>IF(E900="","",IFERROR(VLOOKUP(E900,REGRAS_CST!$A$2:$C$200,3,FALSE),""))</f>
        <v/>
      </c>
      <c r="L900" s="23" t="str">
        <f>IF($G900="", "", $G900*(1-$V900))</f>
        <v/>
      </c>
      <c r="M900" s="24" t="str">
        <f>IF(OR($L900="",$S900=""),"",$L900*$S900)</f>
        <v/>
      </c>
      <c r="N900" s="24" t="str">
        <f>IF(OR($L900="",$T900=""),"",$L900*$T900)</f>
        <v/>
      </c>
      <c r="O900" s="15" t="str">
        <f>IF(D900="","",
IF(AND(K900&lt;&gt;"SIM",V900&gt;0),"ERRO: % BC &gt; 0, mas NÃO permitida ❌",
IF(AND(K900="SIM",V900=0),"ATENÇÃO: BC permitida, mas % = 0 🔎",
"Base de cálculo aplicada corretamente ✅")))</f>
        <v/>
      </c>
      <c r="P900" s="31" t="str">
        <f>IF(D900="","",
IF(AND(Q900&lt;&gt;"SIM",U900&gt;0),"ERRO: % alíquota &gt; 0, mas NÃO permitida ❌",
IF(AND(Q900="SIM",U900=0),"ATENÇÃO: alíquota permitida, mas % = 0 🔎",
"Alíquota aplicada corretamente ✅")))</f>
        <v/>
      </c>
      <c r="Q900" s="8" t="str">
        <f>IF(E900="","",IFERROR(VLOOKUP(E900,REGRAS_CST!$A$2:$D$200,4,FALSE),""))</f>
        <v/>
      </c>
      <c r="S900" s="9">
        <f>IF($H900="","",$H900*(1-$U900))</f>
        <v>8.9999999999999993E-3</v>
      </c>
      <c r="T900" s="9">
        <f>IF($I900="","",$I900*(1-$U900))</f>
        <v>1E-3</v>
      </c>
      <c r="U900" s="16">
        <f>IFERROR(INDEX(BASE_CCLASSTRIB!$E:$E, MATCH(TEXT($D900,"000000"), BASE_CCLASSTRIB!$A:$A, 0))/100, 0)</f>
        <v>0</v>
      </c>
      <c r="V900" s="16">
        <f>IFERROR(INDEX(BASE_CCLASSTRIB!$F:$F, MATCH(TEXT($D900,"000000"), BASE_CCLASSTRIB!$A:$A, 0))/100, 0)</f>
        <v>0</v>
      </c>
    </row>
    <row r="901" spans="4:22" ht="32.25" customHeight="1">
      <c r="D901" s="40"/>
      <c r="E901" s="27" t="str">
        <f>IF(D901="","",LEFT(D901,3))</f>
        <v/>
      </c>
      <c r="F901" s="28" t="str">
        <f>IF(E901="","",IFERROR(VLOOKUP(E901,REGRAS_CST!$A$2:$B$200,2,FALSE),""))</f>
        <v/>
      </c>
      <c r="H901" s="29">
        <v>8.9999999999999993E-3</v>
      </c>
      <c r="I901" s="29">
        <v>1E-3</v>
      </c>
      <c r="K901" s="21" t="str">
        <f>IF(E901="","",IFERROR(VLOOKUP(E901,REGRAS_CST!$A$2:$C$200,3,FALSE),""))</f>
        <v/>
      </c>
      <c r="L901" s="23" t="str">
        <f>IF($G901="", "", $G901*(1-$V901))</f>
        <v/>
      </c>
      <c r="M901" s="24" t="str">
        <f>IF(OR($L901="",$S901=""),"",$L901*$S901)</f>
        <v/>
      </c>
      <c r="N901" s="24" t="str">
        <f>IF(OR($L901="",$T901=""),"",$L901*$T901)</f>
        <v/>
      </c>
      <c r="O901" s="15" t="str">
        <f>IF(D901="","",
IF(AND(K901&lt;&gt;"SIM",V901&gt;0),"ERRO: % BC &gt; 0, mas NÃO permitida ❌",
IF(AND(K901="SIM",V901=0),"ATENÇÃO: BC permitida, mas % = 0 🔎",
"Base de cálculo aplicada corretamente ✅")))</f>
        <v/>
      </c>
      <c r="P901" s="31" t="str">
        <f>IF(D901="","",
IF(AND(Q901&lt;&gt;"SIM",U901&gt;0),"ERRO: % alíquota &gt; 0, mas NÃO permitida ❌",
IF(AND(Q901="SIM",U901=0),"ATENÇÃO: alíquota permitida, mas % = 0 🔎",
"Alíquota aplicada corretamente ✅")))</f>
        <v/>
      </c>
      <c r="Q901" s="8" t="str">
        <f>IF(E901="","",IFERROR(VLOOKUP(E901,REGRAS_CST!$A$2:$D$200,4,FALSE),""))</f>
        <v/>
      </c>
      <c r="S901" s="9">
        <f>IF($H901="","",$H901*(1-$U901))</f>
        <v>8.9999999999999993E-3</v>
      </c>
      <c r="T901" s="9">
        <f>IF($I901="","",$I901*(1-$U901))</f>
        <v>1E-3</v>
      </c>
      <c r="U901" s="16">
        <f>IFERROR(INDEX(BASE_CCLASSTRIB!$E:$E, MATCH(TEXT($D901,"000000"), BASE_CCLASSTRIB!$A:$A, 0))/100, 0)</f>
        <v>0</v>
      </c>
      <c r="V901" s="16">
        <f>IFERROR(INDEX(BASE_CCLASSTRIB!$F:$F, MATCH(TEXT($D901,"000000"), BASE_CCLASSTRIB!$A:$A, 0))/100, 0)</f>
        <v>0</v>
      </c>
    </row>
    <row r="902" spans="4:22" ht="32.25" customHeight="1">
      <c r="D902" s="39"/>
      <c r="E902" s="27" t="str">
        <f>IF(D902="","",LEFT(D902,3))</f>
        <v/>
      </c>
      <c r="F902" s="28" t="str">
        <f>IF(E902="","",IFERROR(VLOOKUP(E902,REGRAS_CST!$A$2:$B$200,2,FALSE),""))</f>
        <v/>
      </c>
      <c r="H902" s="29">
        <v>8.9999999999999993E-3</v>
      </c>
      <c r="I902" s="29">
        <v>1E-3</v>
      </c>
      <c r="K902" s="21" t="str">
        <f>IF(E902="","",IFERROR(VLOOKUP(E902,REGRAS_CST!$A$2:$C$200,3,FALSE),""))</f>
        <v/>
      </c>
      <c r="L902" s="23" t="str">
        <f>IF($G902="", "", $G902*(1-$V902))</f>
        <v/>
      </c>
      <c r="M902" s="24" t="str">
        <f>IF(OR($L902="",$S902=""),"",$L902*$S902)</f>
        <v/>
      </c>
      <c r="N902" s="24" t="str">
        <f>IF(OR($L902="",$T902=""),"",$L902*$T902)</f>
        <v/>
      </c>
      <c r="O902" s="15" t="str">
        <f>IF(D902="","",
IF(AND(K902&lt;&gt;"SIM",V902&gt;0),"ERRO: % BC &gt; 0, mas NÃO permitida ❌",
IF(AND(K902="SIM",V902=0),"ATENÇÃO: BC permitida, mas % = 0 🔎",
"Base de cálculo aplicada corretamente ✅")))</f>
        <v/>
      </c>
      <c r="P902" s="31" t="str">
        <f>IF(D902="","",
IF(AND(Q902&lt;&gt;"SIM",U902&gt;0),"ERRO: % alíquota &gt; 0, mas NÃO permitida ❌",
IF(AND(Q902="SIM",U902=0),"ATENÇÃO: alíquota permitida, mas % = 0 🔎",
"Alíquota aplicada corretamente ✅")))</f>
        <v/>
      </c>
      <c r="Q902" s="8" t="str">
        <f>IF(E902="","",IFERROR(VLOOKUP(E902,REGRAS_CST!$A$2:$D$200,4,FALSE),""))</f>
        <v/>
      </c>
      <c r="S902" s="9">
        <f>IF($H902="","",$H902*(1-$U902))</f>
        <v>8.9999999999999993E-3</v>
      </c>
      <c r="T902" s="9">
        <f>IF($I902="","",$I902*(1-$U902))</f>
        <v>1E-3</v>
      </c>
      <c r="U902" s="16">
        <f>IFERROR(INDEX(BASE_CCLASSTRIB!$E:$E, MATCH(TEXT($D902,"000000"), BASE_CCLASSTRIB!$A:$A, 0))/100, 0)</f>
        <v>0</v>
      </c>
      <c r="V902" s="16">
        <f>IFERROR(INDEX(BASE_CCLASSTRIB!$F:$F, MATCH(TEXT($D902,"000000"), BASE_CCLASSTRIB!$A:$A, 0))/100, 0)</f>
        <v>0</v>
      </c>
    </row>
    <row r="903" spans="4:22" ht="32.25" customHeight="1">
      <c r="D903" s="39"/>
      <c r="E903" s="27" t="str">
        <f>IF(D903="","",LEFT(D903,3))</f>
        <v/>
      </c>
      <c r="F903" s="28" t="str">
        <f>IF(E903="","",IFERROR(VLOOKUP(E903,REGRAS_CST!$A$2:$B$200,2,FALSE),""))</f>
        <v/>
      </c>
      <c r="H903" s="29">
        <v>8.9999999999999993E-3</v>
      </c>
      <c r="I903" s="29">
        <v>1E-3</v>
      </c>
      <c r="K903" s="21" t="str">
        <f>IF(E903="","",IFERROR(VLOOKUP(E903,REGRAS_CST!$A$2:$C$200,3,FALSE),""))</f>
        <v/>
      </c>
      <c r="L903" s="23" t="str">
        <f>IF($G903="", "", $G903*(1-$V903))</f>
        <v/>
      </c>
      <c r="M903" s="24" t="str">
        <f>IF(OR($L903="",$S903=""),"",$L903*$S903)</f>
        <v/>
      </c>
      <c r="N903" s="24" t="str">
        <f>IF(OR($L903="",$T903=""),"",$L903*$T903)</f>
        <v/>
      </c>
      <c r="O903" s="15" t="str">
        <f>IF(D903="","",
IF(AND(K903&lt;&gt;"SIM",V903&gt;0),"ERRO: % BC &gt; 0, mas NÃO permitida ❌",
IF(AND(K903="SIM",V903=0),"ATENÇÃO: BC permitida, mas % = 0 🔎",
"Base de cálculo aplicada corretamente ✅")))</f>
        <v/>
      </c>
      <c r="P903" s="31" t="str">
        <f>IF(D903="","",
IF(AND(Q903&lt;&gt;"SIM",U903&gt;0),"ERRO: % alíquota &gt; 0, mas NÃO permitida ❌",
IF(AND(Q903="SIM",U903=0),"ATENÇÃO: alíquota permitida, mas % = 0 🔎",
"Alíquota aplicada corretamente ✅")))</f>
        <v/>
      </c>
      <c r="Q903" s="8" t="str">
        <f>IF(E903="","",IFERROR(VLOOKUP(E903,REGRAS_CST!$A$2:$D$200,4,FALSE),""))</f>
        <v/>
      </c>
      <c r="S903" s="9">
        <f>IF($H903="","",$H903*(1-$U903))</f>
        <v>8.9999999999999993E-3</v>
      </c>
      <c r="T903" s="9">
        <f>IF($I903="","",$I903*(1-$U903))</f>
        <v>1E-3</v>
      </c>
      <c r="U903" s="16">
        <f>IFERROR(INDEX(BASE_CCLASSTRIB!$E:$E, MATCH(TEXT($D903,"000000"), BASE_CCLASSTRIB!$A:$A, 0))/100, 0)</f>
        <v>0</v>
      </c>
      <c r="V903" s="16">
        <f>IFERROR(INDEX(BASE_CCLASSTRIB!$F:$F, MATCH(TEXT($D903,"000000"), BASE_CCLASSTRIB!$A:$A, 0))/100, 0)</f>
        <v>0</v>
      </c>
    </row>
    <row r="904" spans="4:22" ht="32.25" customHeight="1">
      <c r="D904" s="39"/>
      <c r="E904" s="27" t="str">
        <f>IF(D904="","",LEFT(D904,3))</f>
        <v/>
      </c>
      <c r="F904" s="28" t="str">
        <f>IF(E904="","",IFERROR(VLOOKUP(E904,REGRAS_CST!$A$2:$B$200,2,FALSE),""))</f>
        <v/>
      </c>
      <c r="H904" s="29">
        <v>8.9999999999999993E-3</v>
      </c>
      <c r="I904" s="29">
        <v>1E-3</v>
      </c>
      <c r="K904" s="21" t="str">
        <f>IF(E904="","",IFERROR(VLOOKUP(E904,REGRAS_CST!$A$2:$C$200,3,FALSE),""))</f>
        <v/>
      </c>
      <c r="L904" s="23" t="str">
        <f>IF($G904="", "", $G904*(1-$V904))</f>
        <v/>
      </c>
      <c r="M904" s="24" t="str">
        <f>IF(OR($L904="",$S904=""),"",$L904*$S904)</f>
        <v/>
      </c>
      <c r="N904" s="24" t="str">
        <f>IF(OR($L904="",$T904=""),"",$L904*$T904)</f>
        <v/>
      </c>
      <c r="O904" s="15" t="str">
        <f>IF(D904="","",
IF(AND(K904&lt;&gt;"SIM",V904&gt;0),"ERRO: % BC &gt; 0, mas NÃO permitida ❌",
IF(AND(K904="SIM",V904=0),"ATENÇÃO: BC permitida, mas % = 0 🔎",
"Base de cálculo aplicada corretamente ✅")))</f>
        <v/>
      </c>
      <c r="P904" s="31" t="str">
        <f>IF(D904="","",
IF(AND(Q904&lt;&gt;"SIM",U904&gt;0),"ERRO: % alíquota &gt; 0, mas NÃO permitida ❌",
IF(AND(Q904="SIM",U904=0),"ATENÇÃO: alíquota permitida, mas % = 0 🔎",
"Alíquota aplicada corretamente ✅")))</f>
        <v/>
      </c>
      <c r="Q904" s="8" t="str">
        <f>IF(E904="","",IFERROR(VLOOKUP(E904,REGRAS_CST!$A$2:$D$200,4,FALSE),""))</f>
        <v/>
      </c>
      <c r="S904" s="9">
        <f>IF($H904="","",$H904*(1-$U904))</f>
        <v>8.9999999999999993E-3</v>
      </c>
      <c r="T904" s="9">
        <f>IF($I904="","",$I904*(1-$U904))</f>
        <v>1E-3</v>
      </c>
      <c r="U904" s="16">
        <f>IFERROR(INDEX(BASE_CCLASSTRIB!$E:$E, MATCH(TEXT($D904,"000000"), BASE_CCLASSTRIB!$A:$A, 0))/100, 0)</f>
        <v>0</v>
      </c>
      <c r="V904" s="16">
        <f>IFERROR(INDEX(BASE_CCLASSTRIB!$F:$F, MATCH(TEXT($D904,"000000"), BASE_CCLASSTRIB!$A:$A, 0))/100, 0)</f>
        <v>0</v>
      </c>
    </row>
    <row r="905" spans="4:22" ht="32.25" customHeight="1">
      <c r="D905" s="40"/>
      <c r="E905" s="27" t="str">
        <f>IF(D905="","",LEFT(D905,3))</f>
        <v/>
      </c>
      <c r="F905" s="28" t="str">
        <f>IF(E905="","",IFERROR(VLOOKUP(E905,REGRAS_CST!$A$2:$B$200,2,FALSE),""))</f>
        <v/>
      </c>
      <c r="H905" s="29">
        <v>8.9999999999999993E-3</v>
      </c>
      <c r="I905" s="29">
        <v>1E-3</v>
      </c>
      <c r="K905" s="21" t="str">
        <f>IF(E905="","",IFERROR(VLOOKUP(E905,REGRAS_CST!$A$2:$C$200,3,FALSE),""))</f>
        <v/>
      </c>
      <c r="L905" s="23" t="str">
        <f>IF($G905="", "", $G905*(1-$V905))</f>
        <v/>
      </c>
      <c r="M905" s="24" t="str">
        <f>IF(OR($L905="",$S905=""),"",$L905*$S905)</f>
        <v/>
      </c>
      <c r="N905" s="24" t="str">
        <f>IF(OR($L905="",$T905=""),"",$L905*$T905)</f>
        <v/>
      </c>
      <c r="O905" s="15" t="str">
        <f>IF(D905="","",
IF(AND(K905&lt;&gt;"SIM",V905&gt;0),"ERRO: % BC &gt; 0, mas NÃO permitida ❌",
IF(AND(K905="SIM",V905=0),"ATENÇÃO: BC permitida, mas % = 0 🔎",
"Base de cálculo aplicada corretamente ✅")))</f>
        <v/>
      </c>
      <c r="P905" s="31" t="str">
        <f>IF(D905="","",
IF(AND(Q905&lt;&gt;"SIM",U905&gt;0),"ERRO: % alíquota &gt; 0, mas NÃO permitida ❌",
IF(AND(Q905="SIM",U905=0),"ATENÇÃO: alíquota permitida, mas % = 0 🔎",
"Alíquota aplicada corretamente ✅")))</f>
        <v/>
      </c>
      <c r="Q905" s="8" t="str">
        <f>IF(E905="","",IFERROR(VLOOKUP(E905,REGRAS_CST!$A$2:$D$200,4,FALSE),""))</f>
        <v/>
      </c>
      <c r="S905" s="9">
        <f>IF($H905="","",$H905*(1-$U905))</f>
        <v>8.9999999999999993E-3</v>
      </c>
      <c r="T905" s="9">
        <f>IF($I905="","",$I905*(1-$U905))</f>
        <v>1E-3</v>
      </c>
      <c r="U905" s="16">
        <f>IFERROR(INDEX(BASE_CCLASSTRIB!$E:$E, MATCH(TEXT($D905,"000000"), BASE_CCLASSTRIB!$A:$A, 0))/100, 0)</f>
        <v>0</v>
      </c>
      <c r="V905" s="16">
        <f>IFERROR(INDEX(BASE_CCLASSTRIB!$F:$F, MATCH(TEXT($D905,"000000"), BASE_CCLASSTRIB!$A:$A, 0))/100, 0)</f>
        <v>0</v>
      </c>
    </row>
    <row r="906" spans="4:22" ht="32.25" customHeight="1">
      <c r="D906" s="40"/>
      <c r="E906" s="27" t="str">
        <f>IF(D906="","",LEFT(D906,3))</f>
        <v/>
      </c>
      <c r="F906" s="28" t="str">
        <f>IF(E906="","",IFERROR(VLOOKUP(E906,REGRAS_CST!$A$2:$B$200,2,FALSE),""))</f>
        <v/>
      </c>
      <c r="H906" s="29">
        <v>8.9999999999999993E-3</v>
      </c>
      <c r="I906" s="29">
        <v>1E-3</v>
      </c>
      <c r="K906" s="21" t="str">
        <f>IF(E906="","",IFERROR(VLOOKUP(E906,REGRAS_CST!$A$2:$C$200,3,FALSE),""))</f>
        <v/>
      </c>
      <c r="L906" s="23" t="str">
        <f>IF($G906="", "", $G906*(1-$V906))</f>
        <v/>
      </c>
      <c r="M906" s="24" t="str">
        <f>IF(OR($L906="",$S906=""),"",$L906*$S906)</f>
        <v/>
      </c>
      <c r="N906" s="24" t="str">
        <f>IF(OR($L906="",$T906=""),"",$L906*$T906)</f>
        <v/>
      </c>
      <c r="O906" s="15" t="str">
        <f>IF(D906="","",
IF(AND(K906&lt;&gt;"SIM",V906&gt;0),"ERRO: % BC &gt; 0, mas NÃO permitida ❌",
IF(AND(K906="SIM",V906=0),"ATENÇÃO: BC permitida, mas % = 0 🔎",
"Base de cálculo aplicada corretamente ✅")))</f>
        <v/>
      </c>
      <c r="P906" s="31" t="str">
        <f>IF(D906="","",
IF(AND(Q906&lt;&gt;"SIM",U906&gt;0),"ERRO: % alíquota &gt; 0, mas NÃO permitida ❌",
IF(AND(Q906="SIM",U906=0),"ATENÇÃO: alíquota permitida, mas % = 0 🔎",
"Alíquota aplicada corretamente ✅")))</f>
        <v/>
      </c>
      <c r="Q906" s="8" t="str">
        <f>IF(E906="","",IFERROR(VLOOKUP(E906,REGRAS_CST!$A$2:$D$200,4,FALSE),""))</f>
        <v/>
      </c>
      <c r="S906" s="9">
        <f>IF($H906="","",$H906*(1-$U906))</f>
        <v>8.9999999999999993E-3</v>
      </c>
      <c r="T906" s="9">
        <f>IF($I906="","",$I906*(1-$U906))</f>
        <v>1E-3</v>
      </c>
      <c r="U906" s="16">
        <f>IFERROR(INDEX(BASE_CCLASSTRIB!$E:$E, MATCH(TEXT($D906,"000000"), BASE_CCLASSTRIB!$A:$A, 0))/100, 0)</f>
        <v>0</v>
      </c>
      <c r="V906" s="16">
        <f>IFERROR(INDEX(BASE_CCLASSTRIB!$F:$F, MATCH(TEXT($D906,"000000"), BASE_CCLASSTRIB!$A:$A, 0))/100, 0)</f>
        <v>0</v>
      </c>
    </row>
    <row r="907" spans="4:22" ht="32.25" customHeight="1">
      <c r="D907" s="39"/>
      <c r="E907" s="27" t="str">
        <f>IF(D907="","",LEFT(D907,3))</f>
        <v/>
      </c>
      <c r="F907" s="28" t="str">
        <f>IF(E907="","",IFERROR(VLOOKUP(E907,REGRAS_CST!$A$2:$B$200,2,FALSE),""))</f>
        <v/>
      </c>
      <c r="H907" s="29">
        <v>8.9999999999999993E-3</v>
      </c>
      <c r="I907" s="29">
        <v>1E-3</v>
      </c>
      <c r="K907" s="21" t="str">
        <f>IF(E907="","",IFERROR(VLOOKUP(E907,REGRAS_CST!$A$2:$C$200,3,FALSE),""))</f>
        <v/>
      </c>
      <c r="L907" s="23" t="str">
        <f>IF($G907="", "", $G907*(1-$V907))</f>
        <v/>
      </c>
      <c r="M907" s="24" t="str">
        <f>IF(OR($L907="",$S907=""),"",$L907*$S907)</f>
        <v/>
      </c>
      <c r="N907" s="24" t="str">
        <f>IF(OR($L907="",$T907=""),"",$L907*$T907)</f>
        <v/>
      </c>
      <c r="O907" s="15" t="str">
        <f>IF(D907="","",
IF(AND(K907&lt;&gt;"SIM",V907&gt;0),"ERRO: % BC &gt; 0, mas NÃO permitida ❌",
IF(AND(K907="SIM",V907=0),"ATENÇÃO: BC permitida, mas % = 0 🔎",
"Base de cálculo aplicada corretamente ✅")))</f>
        <v/>
      </c>
      <c r="P907" s="31" t="str">
        <f>IF(D907="","",
IF(AND(Q907&lt;&gt;"SIM",U907&gt;0),"ERRO: % alíquota &gt; 0, mas NÃO permitida ❌",
IF(AND(Q907="SIM",U907=0),"ATENÇÃO: alíquota permitida, mas % = 0 🔎",
"Alíquota aplicada corretamente ✅")))</f>
        <v/>
      </c>
      <c r="Q907" s="8" t="str">
        <f>IF(E907="","",IFERROR(VLOOKUP(E907,REGRAS_CST!$A$2:$D$200,4,FALSE),""))</f>
        <v/>
      </c>
      <c r="S907" s="9">
        <f>IF($H907="","",$H907*(1-$U907))</f>
        <v>8.9999999999999993E-3</v>
      </c>
      <c r="T907" s="9">
        <f>IF($I907="","",$I907*(1-$U907))</f>
        <v>1E-3</v>
      </c>
      <c r="U907" s="16">
        <f>IFERROR(INDEX(BASE_CCLASSTRIB!$E:$E, MATCH(TEXT($D907,"000000"), BASE_CCLASSTRIB!$A:$A, 0))/100, 0)</f>
        <v>0</v>
      </c>
      <c r="V907" s="16">
        <f>IFERROR(INDEX(BASE_CCLASSTRIB!$F:$F, MATCH(TEXT($D907,"000000"), BASE_CCLASSTRIB!$A:$A, 0))/100, 0)</f>
        <v>0</v>
      </c>
    </row>
    <row r="908" spans="4:22" ht="32.25" customHeight="1">
      <c r="D908" s="40"/>
      <c r="E908" s="27" t="str">
        <f>IF(D908="","",LEFT(D908,3))</f>
        <v/>
      </c>
      <c r="F908" s="28" t="str">
        <f>IF(E908="","",IFERROR(VLOOKUP(E908,REGRAS_CST!$A$2:$B$200,2,FALSE),""))</f>
        <v/>
      </c>
      <c r="H908" s="29">
        <v>8.9999999999999993E-3</v>
      </c>
      <c r="I908" s="29">
        <v>1E-3</v>
      </c>
      <c r="K908" s="21" t="str">
        <f>IF(E908="","",IFERROR(VLOOKUP(E908,REGRAS_CST!$A$2:$C$200,3,FALSE),""))</f>
        <v/>
      </c>
      <c r="L908" s="23" t="str">
        <f>IF($G908="", "", $G908*(1-$V908))</f>
        <v/>
      </c>
      <c r="M908" s="24" t="str">
        <f>IF(OR($L908="",$S908=""),"",$L908*$S908)</f>
        <v/>
      </c>
      <c r="N908" s="24" t="str">
        <f>IF(OR($L908="",$T908=""),"",$L908*$T908)</f>
        <v/>
      </c>
      <c r="O908" s="15" t="str">
        <f>IF(D908="","",
IF(AND(K908&lt;&gt;"SIM",V908&gt;0),"ERRO: % BC &gt; 0, mas NÃO permitida ❌",
IF(AND(K908="SIM",V908=0),"ATENÇÃO: BC permitida, mas % = 0 🔎",
"Base de cálculo aplicada corretamente ✅")))</f>
        <v/>
      </c>
      <c r="P908" s="31" t="str">
        <f>IF(D908="","",
IF(AND(Q908&lt;&gt;"SIM",U908&gt;0),"ERRO: % alíquota &gt; 0, mas NÃO permitida ❌",
IF(AND(Q908="SIM",U908=0),"ATENÇÃO: alíquota permitida, mas % = 0 🔎",
"Alíquota aplicada corretamente ✅")))</f>
        <v/>
      </c>
      <c r="Q908" s="8" t="str">
        <f>IF(E908="","",IFERROR(VLOOKUP(E908,REGRAS_CST!$A$2:$D$200,4,FALSE),""))</f>
        <v/>
      </c>
      <c r="S908" s="9">
        <f>IF($H908="","",$H908*(1-$U908))</f>
        <v>8.9999999999999993E-3</v>
      </c>
      <c r="T908" s="9">
        <f>IF($I908="","",$I908*(1-$U908))</f>
        <v>1E-3</v>
      </c>
      <c r="U908" s="16">
        <f>IFERROR(INDEX(BASE_CCLASSTRIB!$E:$E, MATCH(TEXT($D908,"000000"), BASE_CCLASSTRIB!$A:$A, 0))/100, 0)</f>
        <v>0</v>
      </c>
      <c r="V908" s="16">
        <f>IFERROR(INDEX(BASE_CCLASSTRIB!$F:$F, MATCH(TEXT($D908,"000000"), BASE_CCLASSTRIB!$A:$A, 0))/100, 0)</f>
        <v>0</v>
      </c>
    </row>
    <row r="909" spans="4:22" ht="32.25" customHeight="1">
      <c r="D909" s="40"/>
      <c r="E909" s="27" t="str">
        <f>IF(D909="","",LEFT(D909,3))</f>
        <v/>
      </c>
      <c r="F909" s="28" t="str">
        <f>IF(E909="","",IFERROR(VLOOKUP(E909,REGRAS_CST!$A$2:$B$200,2,FALSE),""))</f>
        <v/>
      </c>
      <c r="H909" s="29">
        <v>8.9999999999999993E-3</v>
      </c>
      <c r="I909" s="29">
        <v>1E-3</v>
      </c>
      <c r="K909" s="21" t="str">
        <f>IF(E909="","",IFERROR(VLOOKUP(E909,REGRAS_CST!$A$2:$C$200,3,FALSE),""))</f>
        <v/>
      </c>
      <c r="L909" s="23" t="str">
        <f>IF($G909="", "", $G909*(1-$V909))</f>
        <v/>
      </c>
      <c r="M909" s="24" t="str">
        <f>IF(OR($L909="",$S909=""),"",$L909*$S909)</f>
        <v/>
      </c>
      <c r="N909" s="24" t="str">
        <f>IF(OR($L909="",$T909=""),"",$L909*$T909)</f>
        <v/>
      </c>
      <c r="O909" s="15" t="str">
        <f>IF(D909="","",
IF(AND(K909&lt;&gt;"SIM",V909&gt;0),"ERRO: % BC &gt; 0, mas NÃO permitida ❌",
IF(AND(K909="SIM",V909=0),"ATENÇÃO: BC permitida, mas % = 0 🔎",
"Base de cálculo aplicada corretamente ✅")))</f>
        <v/>
      </c>
      <c r="P909" s="31" t="str">
        <f>IF(D909="","",
IF(AND(Q909&lt;&gt;"SIM",U909&gt;0),"ERRO: % alíquota &gt; 0, mas NÃO permitida ❌",
IF(AND(Q909="SIM",U909=0),"ATENÇÃO: alíquota permitida, mas % = 0 🔎",
"Alíquota aplicada corretamente ✅")))</f>
        <v/>
      </c>
      <c r="Q909" s="8" t="str">
        <f>IF(E909="","",IFERROR(VLOOKUP(E909,REGRAS_CST!$A$2:$D$200,4,FALSE),""))</f>
        <v/>
      </c>
      <c r="S909" s="9">
        <f>IF($H909="","",$H909*(1-$U909))</f>
        <v>8.9999999999999993E-3</v>
      </c>
      <c r="T909" s="9">
        <f>IF($I909="","",$I909*(1-$U909))</f>
        <v>1E-3</v>
      </c>
      <c r="U909" s="16">
        <f>IFERROR(INDEX(BASE_CCLASSTRIB!$E:$E, MATCH(TEXT($D909,"000000"), BASE_CCLASSTRIB!$A:$A, 0))/100, 0)</f>
        <v>0</v>
      </c>
      <c r="V909" s="16">
        <f>IFERROR(INDEX(BASE_CCLASSTRIB!$F:$F, MATCH(TEXT($D909,"000000"), BASE_CCLASSTRIB!$A:$A, 0))/100, 0)</f>
        <v>0</v>
      </c>
    </row>
    <row r="910" spans="4:22" ht="32.25" customHeight="1">
      <c r="D910" s="39"/>
      <c r="E910" s="27" t="str">
        <f>IF(D910="","",LEFT(D910,3))</f>
        <v/>
      </c>
      <c r="F910" s="28" t="str">
        <f>IF(E910="","",IFERROR(VLOOKUP(E910,REGRAS_CST!$A$2:$B$200,2,FALSE),""))</f>
        <v/>
      </c>
      <c r="H910" s="29">
        <v>8.9999999999999993E-3</v>
      </c>
      <c r="I910" s="29">
        <v>1E-3</v>
      </c>
      <c r="K910" s="21" t="str">
        <f>IF(E910="","",IFERROR(VLOOKUP(E910,REGRAS_CST!$A$2:$C$200,3,FALSE),""))</f>
        <v/>
      </c>
      <c r="L910" s="23" t="str">
        <f>IF($G910="", "", $G910*(1-$V910))</f>
        <v/>
      </c>
      <c r="M910" s="24" t="str">
        <f>IF(OR($L910="",$S910=""),"",$L910*$S910)</f>
        <v/>
      </c>
      <c r="N910" s="24" t="str">
        <f>IF(OR($L910="",$T910=""),"",$L910*$T910)</f>
        <v/>
      </c>
      <c r="O910" s="15" t="str">
        <f>IF(D910="","",
IF(AND(K910&lt;&gt;"SIM",V910&gt;0),"ERRO: % BC &gt; 0, mas NÃO permitida ❌",
IF(AND(K910="SIM",V910=0),"ATENÇÃO: BC permitida, mas % = 0 🔎",
"Base de cálculo aplicada corretamente ✅")))</f>
        <v/>
      </c>
      <c r="P910" s="31" t="str">
        <f>IF(D910="","",
IF(AND(Q910&lt;&gt;"SIM",U910&gt;0),"ERRO: % alíquota &gt; 0, mas NÃO permitida ❌",
IF(AND(Q910="SIM",U910=0),"ATENÇÃO: alíquota permitida, mas % = 0 🔎",
"Alíquota aplicada corretamente ✅")))</f>
        <v/>
      </c>
      <c r="Q910" s="8" t="str">
        <f>IF(E910="","",IFERROR(VLOOKUP(E910,REGRAS_CST!$A$2:$D$200,4,FALSE),""))</f>
        <v/>
      </c>
      <c r="S910" s="9">
        <f>IF($H910="","",$H910*(1-$U910))</f>
        <v>8.9999999999999993E-3</v>
      </c>
      <c r="T910" s="9">
        <f>IF($I910="","",$I910*(1-$U910))</f>
        <v>1E-3</v>
      </c>
      <c r="U910" s="16">
        <f>IFERROR(INDEX(BASE_CCLASSTRIB!$E:$E, MATCH(TEXT($D910,"000000"), BASE_CCLASSTRIB!$A:$A, 0))/100, 0)</f>
        <v>0</v>
      </c>
      <c r="V910" s="16">
        <f>IFERROR(INDEX(BASE_CCLASSTRIB!$F:$F, MATCH(TEXT($D910,"000000"), BASE_CCLASSTRIB!$A:$A, 0))/100, 0)</f>
        <v>0</v>
      </c>
    </row>
    <row r="911" spans="4:22" ht="32.25" customHeight="1">
      <c r="D911" s="39"/>
      <c r="E911" s="27" t="str">
        <f>IF(D911="","",LEFT(D911,3))</f>
        <v/>
      </c>
      <c r="F911" s="28" t="str">
        <f>IF(E911="","",IFERROR(VLOOKUP(E911,REGRAS_CST!$A$2:$B$200,2,FALSE),""))</f>
        <v/>
      </c>
      <c r="H911" s="29">
        <v>8.9999999999999993E-3</v>
      </c>
      <c r="I911" s="29">
        <v>1E-3</v>
      </c>
      <c r="K911" s="21" t="str">
        <f>IF(E911="","",IFERROR(VLOOKUP(E911,REGRAS_CST!$A$2:$C$200,3,FALSE),""))</f>
        <v/>
      </c>
      <c r="L911" s="23" t="str">
        <f>IF($G911="", "", $G911*(1-$V911))</f>
        <v/>
      </c>
      <c r="M911" s="24" t="str">
        <f>IF(OR($L911="",$S911=""),"",$L911*$S911)</f>
        <v/>
      </c>
      <c r="N911" s="24" t="str">
        <f>IF(OR($L911="",$T911=""),"",$L911*$T911)</f>
        <v/>
      </c>
      <c r="O911" s="15" t="str">
        <f>IF(D911="","",
IF(AND(K911&lt;&gt;"SIM",V911&gt;0),"ERRO: % BC &gt; 0, mas NÃO permitida ❌",
IF(AND(K911="SIM",V911=0),"ATENÇÃO: BC permitida, mas % = 0 🔎",
"Base de cálculo aplicada corretamente ✅")))</f>
        <v/>
      </c>
      <c r="P911" s="31" t="str">
        <f>IF(D911="","",
IF(AND(Q911&lt;&gt;"SIM",U911&gt;0),"ERRO: % alíquota &gt; 0, mas NÃO permitida ❌",
IF(AND(Q911="SIM",U911=0),"ATENÇÃO: alíquota permitida, mas % = 0 🔎",
"Alíquota aplicada corretamente ✅")))</f>
        <v/>
      </c>
      <c r="Q911" s="8" t="str">
        <f>IF(E911="","",IFERROR(VLOOKUP(E911,REGRAS_CST!$A$2:$D$200,4,FALSE),""))</f>
        <v/>
      </c>
      <c r="S911" s="9">
        <f>IF($H911="","",$H911*(1-$U911))</f>
        <v>8.9999999999999993E-3</v>
      </c>
      <c r="T911" s="9">
        <f>IF($I911="","",$I911*(1-$U911))</f>
        <v>1E-3</v>
      </c>
      <c r="U911" s="16">
        <f>IFERROR(INDEX(BASE_CCLASSTRIB!$E:$E, MATCH(TEXT($D911,"000000"), BASE_CCLASSTRIB!$A:$A, 0))/100, 0)</f>
        <v>0</v>
      </c>
      <c r="V911" s="16">
        <f>IFERROR(INDEX(BASE_CCLASSTRIB!$F:$F, MATCH(TEXT($D911,"000000"), BASE_CCLASSTRIB!$A:$A, 0))/100, 0)</f>
        <v>0</v>
      </c>
    </row>
    <row r="912" spans="4:22" ht="32.25" customHeight="1">
      <c r="D912" s="39"/>
      <c r="E912" s="27" t="str">
        <f>IF(D912="","",LEFT(D912,3))</f>
        <v/>
      </c>
      <c r="F912" s="28" t="str">
        <f>IF(E912="","",IFERROR(VLOOKUP(E912,REGRAS_CST!$A$2:$B$200,2,FALSE),""))</f>
        <v/>
      </c>
      <c r="H912" s="29">
        <v>8.9999999999999993E-3</v>
      </c>
      <c r="I912" s="29">
        <v>1E-3</v>
      </c>
      <c r="K912" s="21" t="str">
        <f>IF(E912="","",IFERROR(VLOOKUP(E912,REGRAS_CST!$A$2:$C$200,3,FALSE),""))</f>
        <v/>
      </c>
      <c r="L912" s="23" t="str">
        <f>IF($G912="", "", $G912*(1-$V912))</f>
        <v/>
      </c>
      <c r="M912" s="24" t="str">
        <f>IF(OR($L912="",$S912=""),"",$L912*$S912)</f>
        <v/>
      </c>
      <c r="N912" s="24" t="str">
        <f>IF(OR($L912="",$T912=""),"",$L912*$T912)</f>
        <v/>
      </c>
      <c r="O912" s="15" t="str">
        <f>IF(D912="","",
IF(AND(K912&lt;&gt;"SIM",V912&gt;0),"ERRO: % BC &gt; 0, mas NÃO permitida ❌",
IF(AND(K912="SIM",V912=0),"ATENÇÃO: BC permitida, mas % = 0 🔎",
"Base de cálculo aplicada corretamente ✅")))</f>
        <v/>
      </c>
      <c r="P912" s="31" t="str">
        <f>IF(D912="","",
IF(AND(Q912&lt;&gt;"SIM",U912&gt;0),"ERRO: % alíquota &gt; 0, mas NÃO permitida ❌",
IF(AND(Q912="SIM",U912=0),"ATENÇÃO: alíquota permitida, mas % = 0 🔎",
"Alíquota aplicada corretamente ✅")))</f>
        <v/>
      </c>
      <c r="Q912" s="8" t="str">
        <f>IF(E912="","",IFERROR(VLOOKUP(E912,REGRAS_CST!$A$2:$D$200,4,FALSE),""))</f>
        <v/>
      </c>
      <c r="S912" s="9">
        <f>IF($H912="","",$H912*(1-$U912))</f>
        <v>8.9999999999999993E-3</v>
      </c>
      <c r="T912" s="9">
        <f>IF($I912="","",$I912*(1-$U912))</f>
        <v>1E-3</v>
      </c>
      <c r="U912" s="16">
        <f>IFERROR(INDEX(BASE_CCLASSTRIB!$E:$E, MATCH(TEXT($D912,"000000"), BASE_CCLASSTRIB!$A:$A, 0))/100, 0)</f>
        <v>0</v>
      </c>
      <c r="V912" s="16">
        <f>IFERROR(INDEX(BASE_CCLASSTRIB!$F:$F, MATCH(TEXT($D912,"000000"), BASE_CCLASSTRIB!$A:$A, 0))/100, 0)</f>
        <v>0</v>
      </c>
    </row>
    <row r="913" spans="4:22" ht="32.25" customHeight="1">
      <c r="D913" s="39"/>
      <c r="E913" s="27" t="str">
        <f>IF(D913="","",LEFT(D913,3))</f>
        <v/>
      </c>
      <c r="F913" s="28" t="str">
        <f>IF(E913="","",IFERROR(VLOOKUP(E913,REGRAS_CST!$A$2:$B$200,2,FALSE),""))</f>
        <v/>
      </c>
      <c r="H913" s="29">
        <v>8.9999999999999993E-3</v>
      </c>
      <c r="I913" s="29">
        <v>1E-3</v>
      </c>
      <c r="K913" s="21" t="str">
        <f>IF(E913="","",IFERROR(VLOOKUP(E913,REGRAS_CST!$A$2:$C$200,3,FALSE),""))</f>
        <v/>
      </c>
      <c r="L913" s="23" t="str">
        <f>IF($G913="", "", $G913*(1-$V913))</f>
        <v/>
      </c>
      <c r="M913" s="24" t="str">
        <f>IF(OR($L913="",$S913=""),"",$L913*$S913)</f>
        <v/>
      </c>
      <c r="N913" s="24" t="str">
        <f>IF(OR($L913="",$T913=""),"",$L913*$T913)</f>
        <v/>
      </c>
      <c r="O913" s="15" t="str">
        <f>IF(D913="","",
IF(AND(K913&lt;&gt;"SIM",V913&gt;0),"ERRO: % BC &gt; 0, mas NÃO permitida ❌",
IF(AND(K913="SIM",V913=0),"ATENÇÃO: BC permitida, mas % = 0 🔎",
"Base de cálculo aplicada corretamente ✅")))</f>
        <v/>
      </c>
      <c r="P913" s="31" t="str">
        <f>IF(D913="","",
IF(AND(Q913&lt;&gt;"SIM",U913&gt;0),"ERRO: % alíquota &gt; 0, mas NÃO permitida ❌",
IF(AND(Q913="SIM",U913=0),"ATENÇÃO: alíquota permitida, mas % = 0 🔎",
"Alíquota aplicada corretamente ✅")))</f>
        <v/>
      </c>
      <c r="Q913" s="8" t="str">
        <f>IF(E913="","",IFERROR(VLOOKUP(E913,REGRAS_CST!$A$2:$D$200,4,FALSE),""))</f>
        <v/>
      </c>
      <c r="S913" s="9">
        <f>IF($H913="","",$H913*(1-$U913))</f>
        <v>8.9999999999999993E-3</v>
      </c>
      <c r="T913" s="9">
        <f>IF($I913="","",$I913*(1-$U913))</f>
        <v>1E-3</v>
      </c>
      <c r="U913" s="16">
        <f>IFERROR(INDEX(BASE_CCLASSTRIB!$E:$E, MATCH(TEXT($D913,"000000"), BASE_CCLASSTRIB!$A:$A, 0))/100, 0)</f>
        <v>0</v>
      </c>
      <c r="V913" s="16">
        <f>IFERROR(INDEX(BASE_CCLASSTRIB!$F:$F, MATCH(TEXT($D913,"000000"), BASE_CCLASSTRIB!$A:$A, 0))/100, 0)</f>
        <v>0</v>
      </c>
    </row>
    <row r="914" spans="4:22" ht="32.25" customHeight="1">
      <c r="D914" s="40"/>
      <c r="E914" s="27" t="str">
        <f>IF(D914="","",LEFT(D914,3))</f>
        <v/>
      </c>
      <c r="F914" s="28" t="str">
        <f>IF(E914="","",IFERROR(VLOOKUP(E914,REGRAS_CST!$A$2:$B$200,2,FALSE),""))</f>
        <v/>
      </c>
      <c r="H914" s="29">
        <v>8.9999999999999993E-3</v>
      </c>
      <c r="I914" s="29">
        <v>1E-3</v>
      </c>
      <c r="K914" s="21" t="str">
        <f>IF(E914="","",IFERROR(VLOOKUP(E914,REGRAS_CST!$A$2:$C$200,3,FALSE),""))</f>
        <v/>
      </c>
      <c r="L914" s="23" t="str">
        <f>IF($G914="", "", $G914*(1-$V914))</f>
        <v/>
      </c>
      <c r="M914" s="24" t="str">
        <f>IF(OR($L914="",$S914=""),"",$L914*$S914)</f>
        <v/>
      </c>
      <c r="N914" s="24" t="str">
        <f>IF(OR($L914="",$T914=""),"",$L914*$T914)</f>
        <v/>
      </c>
      <c r="O914" s="15" t="str">
        <f>IF(D914="","",
IF(AND(K914&lt;&gt;"SIM",V914&gt;0),"ERRO: % BC &gt; 0, mas NÃO permitida ❌",
IF(AND(K914="SIM",V914=0),"ATENÇÃO: BC permitida, mas % = 0 🔎",
"Base de cálculo aplicada corretamente ✅")))</f>
        <v/>
      </c>
      <c r="P914" s="31" t="str">
        <f>IF(D914="","",
IF(AND(Q914&lt;&gt;"SIM",U914&gt;0),"ERRO: % alíquota &gt; 0, mas NÃO permitida ❌",
IF(AND(Q914="SIM",U914=0),"ATENÇÃO: alíquota permitida, mas % = 0 🔎",
"Alíquota aplicada corretamente ✅")))</f>
        <v/>
      </c>
      <c r="Q914" s="8" t="str">
        <f>IF(E914="","",IFERROR(VLOOKUP(E914,REGRAS_CST!$A$2:$D$200,4,FALSE),""))</f>
        <v/>
      </c>
      <c r="S914" s="9">
        <f>IF($H914="","",$H914*(1-$U914))</f>
        <v>8.9999999999999993E-3</v>
      </c>
      <c r="T914" s="9">
        <f>IF($I914="","",$I914*(1-$U914))</f>
        <v>1E-3</v>
      </c>
      <c r="U914" s="16">
        <f>IFERROR(INDEX(BASE_CCLASSTRIB!$E:$E, MATCH(TEXT($D914,"000000"), BASE_CCLASSTRIB!$A:$A, 0))/100, 0)</f>
        <v>0</v>
      </c>
      <c r="V914" s="16">
        <f>IFERROR(INDEX(BASE_CCLASSTRIB!$F:$F, MATCH(TEXT($D914,"000000"), BASE_CCLASSTRIB!$A:$A, 0))/100, 0)</f>
        <v>0</v>
      </c>
    </row>
    <row r="915" spans="4:22" ht="32.25" customHeight="1">
      <c r="D915" s="39"/>
      <c r="E915" s="27" t="str">
        <f>IF(D915="","",LEFT(D915,3))</f>
        <v/>
      </c>
      <c r="F915" s="28" t="str">
        <f>IF(E915="","",IFERROR(VLOOKUP(E915,REGRAS_CST!$A$2:$B$200,2,FALSE),""))</f>
        <v/>
      </c>
      <c r="H915" s="29">
        <v>8.9999999999999993E-3</v>
      </c>
      <c r="I915" s="29">
        <v>1E-3</v>
      </c>
      <c r="K915" s="21" t="str">
        <f>IF(E915="","",IFERROR(VLOOKUP(E915,REGRAS_CST!$A$2:$C$200,3,FALSE),""))</f>
        <v/>
      </c>
      <c r="L915" s="23" t="str">
        <f>IF($G915="", "", $G915*(1-$V915))</f>
        <v/>
      </c>
      <c r="M915" s="24" t="str">
        <f>IF(OR($L915="",$S915=""),"",$L915*$S915)</f>
        <v/>
      </c>
      <c r="N915" s="24" t="str">
        <f>IF(OR($L915="",$T915=""),"",$L915*$T915)</f>
        <v/>
      </c>
      <c r="O915" s="15" t="str">
        <f>IF(D915="","",
IF(AND(K915&lt;&gt;"SIM",V915&gt;0),"ERRO: % BC &gt; 0, mas NÃO permitida ❌",
IF(AND(K915="SIM",V915=0),"ATENÇÃO: BC permitida, mas % = 0 🔎",
"Base de cálculo aplicada corretamente ✅")))</f>
        <v/>
      </c>
      <c r="P915" s="31" t="str">
        <f>IF(D915="","",
IF(AND(Q915&lt;&gt;"SIM",U915&gt;0),"ERRO: % alíquota &gt; 0, mas NÃO permitida ❌",
IF(AND(Q915="SIM",U915=0),"ATENÇÃO: alíquota permitida, mas % = 0 🔎",
"Alíquota aplicada corretamente ✅")))</f>
        <v/>
      </c>
      <c r="Q915" s="8" t="str">
        <f>IF(E915="","",IFERROR(VLOOKUP(E915,REGRAS_CST!$A$2:$D$200,4,FALSE),""))</f>
        <v/>
      </c>
      <c r="S915" s="9">
        <f>IF($H915="","",$H915*(1-$U915))</f>
        <v>8.9999999999999993E-3</v>
      </c>
      <c r="T915" s="9">
        <f>IF($I915="","",$I915*(1-$U915))</f>
        <v>1E-3</v>
      </c>
      <c r="U915" s="16">
        <f>IFERROR(INDEX(BASE_CCLASSTRIB!$E:$E, MATCH(TEXT($D915,"000000"), BASE_CCLASSTRIB!$A:$A, 0))/100, 0)</f>
        <v>0</v>
      </c>
      <c r="V915" s="16">
        <f>IFERROR(INDEX(BASE_CCLASSTRIB!$F:$F, MATCH(TEXT($D915,"000000"), BASE_CCLASSTRIB!$A:$A, 0))/100, 0)</f>
        <v>0</v>
      </c>
    </row>
    <row r="916" spans="4:22" ht="32.25" customHeight="1">
      <c r="D916" s="39"/>
      <c r="E916" s="27" t="str">
        <f>IF(D916="","",LEFT(D916,3))</f>
        <v/>
      </c>
      <c r="F916" s="28" t="str">
        <f>IF(E916="","",IFERROR(VLOOKUP(E916,REGRAS_CST!$A$2:$B$200,2,FALSE),""))</f>
        <v/>
      </c>
      <c r="H916" s="29">
        <v>8.9999999999999993E-3</v>
      </c>
      <c r="I916" s="29">
        <v>1E-3</v>
      </c>
      <c r="K916" s="21" t="str">
        <f>IF(E916="","",IFERROR(VLOOKUP(E916,REGRAS_CST!$A$2:$C$200,3,FALSE),""))</f>
        <v/>
      </c>
      <c r="L916" s="23" t="str">
        <f>IF($G916="", "", $G916*(1-$V916))</f>
        <v/>
      </c>
      <c r="M916" s="24" t="str">
        <f>IF(OR($L916="",$S916=""),"",$L916*$S916)</f>
        <v/>
      </c>
      <c r="N916" s="24" t="str">
        <f>IF(OR($L916="",$T916=""),"",$L916*$T916)</f>
        <v/>
      </c>
      <c r="O916" s="15" t="str">
        <f>IF(D916="","",
IF(AND(K916&lt;&gt;"SIM",V916&gt;0),"ERRO: % BC &gt; 0, mas NÃO permitida ❌",
IF(AND(K916="SIM",V916=0),"ATENÇÃO: BC permitida, mas % = 0 🔎",
"Base de cálculo aplicada corretamente ✅")))</f>
        <v/>
      </c>
      <c r="P916" s="31" t="str">
        <f>IF(D916="","",
IF(AND(Q916&lt;&gt;"SIM",U916&gt;0),"ERRO: % alíquota &gt; 0, mas NÃO permitida ❌",
IF(AND(Q916="SIM",U916=0),"ATENÇÃO: alíquota permitida, mas % = 0 🔎",
"Alíquota aplicada corretamente ✅")))</f>
        <v/>
      </c>
      <c r="Q916" s="8" t="str">
        <f>IF(E916="","",IFERROR(VLOOKUP(E916,REGRAS_CST!$A$2:$D$200,4,FALSE),""))</f>
        <v/>
      </c>
      <c r="S916" s="9">
        <f>IF($H916="","",$H916*(1-$U916))</f>
        <v>8.9999999999999993E-3</v>
      </c>
      <c r="T916" s="9">
        <f>IF($I916="","",$I916*(1-$U916))</f>
        <v>1E-3</v>
      </c>
      <c r="U916" s="16">
        <f>IFERROR(INDEX(BASE_CCLASSTRIB!$E:$E, MATCH(TEXT($D916,"000000"), BASE_CCLASSTRIB!$A:$A, 0))/100, 0)</f>
        <v>0</v>
      </c>
      <c r="V916" s="16">
        <f>IFERROR(INDEX(BASE_CCLASSTRIB!$F:$F, MATCH(TEXT($D916,"000000"), BASE_CCLASSTRIB!$A:$A, 0))/100, 0)</f>
        <v>0</v>
      </c>
    </row>
    <row r="917" spans="4:22" ht="32.25" customHeight="1">
      <c r="D917" s="40"/>
      <c r="E917" s="27" t="str">
        <f>IF(D917="","",LEFT(D917,3))</f>
        <v/>
      </c>
      <c r="F917" s="28" t="str">
        <f>IF(E917="","",IFERROR(VLOOKUP(E917,REGRAS_CST!$A$2:$B$200,2,FALSE),""))</f>
        <v/>
      </c>
      <c r="H917" s="29">
        <v>8.9999999999999993E-3</v>
      </c>
      <c r="I917" s="29">
        <v>1E-3</v>
      </c>
      <c r="K917" s="21" t="str">
        <f>IF(E917="","",IFERROR(VLOOKUP(E917,REGRAS_CST!$A$2:$C$200,3,FALSE),""))</f>
        <v/>
      </c>
      <c r="L917" s="23" t="str">
        <f>IF($G917="", "", $G917*(1-$V917))</f>
        <v/>
      </c>
      <c r="M917" s="24" t="str">
        <f>IF(OR($L917="",$S917=""),"",$L917*$S917)</f>
        <v/>
      </c>
      <c r="N917" s="24" t="str">
        <f>IF(OR($L917="",$T917=""),"",$L917*$T917)</f>
        <v/>
      </c>
      <c r="O917" s="15" t="str">
        <f>IF(D917="","",
IF(AND(K917&lt;&gt;"SIM",V917&gt;0),"ERRO: % BC &gt; 0, mas NÃO permitida ❌",
IF(AND(K917="SIM",V917=0),"ATENÇÃO: BC permitida, mas % = 0 🔎",
"Base de cálculo aplicada corretamente ✅")))</f>
        <v/>
      </c>
      <c r="P917" s="31" t="str">
        <f>IF(D917="","",
IF(AND(Q917&lt;&gt;"SIM",U917&gt;0),"ERRO: % alíquota &gt; 0, mas NÃO permitida ❌",
IF(AND(Q917="SIM",U917=0),"ATENÇÃO: alíquota permitida, mas % = 0 🔎",
"Alíquota aplicada corretamente ✅")))</f>
        <v/>
      </c>
      <c r="Q917" s="8" t="str">
        <f>IF(E917="","",IFERROR(VLOOKUP(E917,REGRAS_CST!$A$2:$D$200,4,FALSE),""))</f>
        <v/>
      </c>
      <c r="S917" s="9">
        <f>IF($H917="","",$H917*(1-$U917))</f>
        <v>8.9999999999999993E-3</v>
      </c>
      <c r="T917" s="9">
        <f>IF($I917="","",$I917*(1-$U917))</f>
        <v>1E-3</v>
      </c>
      <c r="U917" s="16">
        <f>IFERROR(INDEX(BASE_CCLASSTRIB!$E:$E, MATCH(TEXT($D917,"000000"), BASE_CCLASSTRIB!$A:$A, 0))/100, 0)</f>
        <v>0</v>
      </c>
      <c r="V917" s="16">
        <f>IFERROR(INDEX(BASE_CCLASSTRIB!$F:$F, MATCH(TEXT($D917,"000000"), BASE_CCLASSTRIB!$A:$A, 0))/100, 0)</f>
        <v>0</v>
      </c>
    </row>
    <row r="918" spans="4:22" ht="32.25" customHeight="1">
      <c r="D918" s="40"/>
      <c r="E918" s="27" t="str">
        <f>IF(D918="","",LEFT(D918,3))</f>
        <v/>
      </c>
      <c r="F918" s="28" t="str">
        <f>IF(E918="","",IFERROR(VLOOKUP(E918,REGRAS_CST!$A$2:$B$200,2,FALSE),""))</f>
        <v/>
      </c>
      <c r="H918" s="29">
        <v>8.9999999999999993E-3</v>
      </c>
      <c r="I918" s="29">
        <v>1E-3</v>
      </c>
      <c r="K918" s="21" t="str">
        <f>IF(E918="","",IFERROR(VLOOKUP(E918,REGRAS_CST!$A$2:$C$200,3,FALSE),""))</f>
        <v/>
      </c>
      <c r="L918" s="23" t="str">
        <f>IF($G918="", "", $G918*(1-$V918))</f>
        <v/>
      </c>
      <c r="M918" s="24" t="str">
        <f>IF(OR($L918="",$S918=""),"",$L918*$S918)</f>
        <v/>
      </c>
      <c r="N918" s="24" t="str">
        <f>IF(OR($L918="",$T918=""),"",$L918*$T918)</f>
        <v/>
      </c>
      <c r="O918" s="15" t="str">
        <f>IF(D918="","",
IF(AND(K918&lt;&gt;"SIM",V918&gt;0),"ERRO: % BC &gt; 0, mas NÃO permitida ❌",
IF(AND(K918="SIM",V918=0),"ATENÇÃO: BC permitida, mas % = 0 🔎",
"Base de cálculo aplicada corretamente ✅")))</f>
        <v/>
      </c>
      <c r="P918" s="31" t="str">
        <f>IF(D918="","",
IF(AND(Q918&lt;&gt;"SIM",U918&gt;0),"ERRO: % alíquota &gt; 0, mas NÃO permitida ❌",
IF(AND(Q918="SIM",U918=0),"ATENÇÃO: alíquota permitida, mas % = 0 🔎",
"Alíquota aplicada corretamente ✅")))</f>
        <v/>
      </c>
      <c r="Q918" s="8" t="str">
        <f>IF(E918="","",IFERROR(VLOOKUP(E918,REGRAS_CST!$A$2:$D$200,4,FALSE),""))</f>
        <v/>
      </c>
      <c r="S918" s="9">
        <f>IF($H918="","",$H918*(1-$U918))</f>
        <v>8.9999999999999993E-3</v>
      </c>
      <c r="T918" s="9">
        <f>IF($I918="","",$I918*(1-$U918))</f>
        <v>1E-3</v>
      </c>
      <c r="U918" s="16">
        <f>IFERROR(INDEX(BASE_CCLASSTRIB!$E:$E, MATCH(TEXT($D918,"000000"), BASE_CCLASSTRIB!$A:$A, 0))/100, 0)</f>
        <v>0</v>
      </c>
      <c r="V918" s="16">
        <f>IFERROR(INDEX(BASE_CCLASSTRIB!$F:$F, MATCH(TEXT($D918,"000000"), BASE_CCLASSTRIB!$A:$A, 0))/100, 0)</f>
        <v>0</v>
      </c>
    </row>
    <row r="919" spans="4:22" ht="32.25" customHeight="1">
      <c r="D919" s="40"/>
      <c r="E919" s="27" t="str">
        <f>IF(D919="","",LEFT(D919,3))</f>
        <v/>
      </c>
      <c r="F919" s="28" t="str">
        <f>IF(E919="","",IFERROR(VLOOKUP(E919,REGRAS_CST!$A$2:$B$200,2,FALSE),""))</f>
        <v/>
      </c>
      <c r="H919" s="29">
        <v>8.9999999999999993E-3</v>
      </c>
      <c r="I919" s="29">
        <v>1E-3</v>
      </c>
      <c r="K919" s="21" t="str">
        <f>IF(E919="","",IFERROR(VLOOKUP(E919,REGRAS_CST!$A$2:$C$200,3,FALSE),""))</f>
        <v/>
      </c>
      <c r="L919" s="23" t="str">
        <f>IF($G919="", "", $G919*(1-$V919))</f>
        <v/>
      </c>
      <c r="M919" s="24" t="str">
        <f>IF(OR($L919="",$S919=""),"",$L919*$S919)</f>
        <v/>
      </c>
      <c r="N919" s="24" t="str">
        <f>IF(OR($L919="",$T919=""),"",$L919*$T919)</f>
        <v/>
      </c>
      <c r="O919" s="15" t="str">
        <f>IF(D919="","",
IF(AND(K919&lt;&gt;"SIM",V919&gt;0),"ERRO: % BC &gt; 0, mas NÃO permitida ❌",
IF(AND(K919="SIM",V919=0),"ATENÇÃO: BC permitida, mas % = 0 🔎",
"Base de cálculo aplicada corretamente ✅")))</f>
        <v/>
      </c>
      <c r="P919" s="31" t="str">
        <f>IF(D919="","",
IF(AND(Q919&lt;&gt;"SIM",U919&gt;0),"ERRO: % alíquota &gt; 0, mas NÃO permitida ❌",
IF(AND(Q919="SIM",U919=0),"ATENÇÃO: alíquota permitida, mas % = 0 🔎",
"Alíquota aplicada corretamente ✅")))</f>
        <v/>
      </c>
      <c r="Q919" s="8" t="str">
        <f>IF(E919="","",IFERROR(VLOOKUP(E919,REGRAS_CST!$A$2:$D$200,4,FALSE),""))</f>
        <v/>
      </c>
      <c r="S919" s="9">
        <f>IF($H919="","",$H919*(1-$U919))</f>
        <v>8.9999999999999993E-3</v>
      </c>
      <c r="T919" s="9">
        <f>IF($I919="","",$I919*(1-$U919))</f>
        <v>1E-3</v>
      </c>
      <c r="U919" s="16">
        <f>IFERROR(INDEX(BASE_CCLASSTRIB!$E:$E, MATCH(TEXT($D919,"000000"), BASE_CCLASSTRIB!$A:$A, 0))/100, 0)</f>
        <v>0</v>
      </c>
      <c r="V919" s="16">
        <f>IFERROR(INDEX(BASE_CCLASSTRIB!$F:$F, MATCH(TEXT($D919,"000000"), BASE_CCLASSTRIB!$A:$A, 0))/100, 0)</f>
        <v>0</v>
      </c>
    </row>
    <row r="920" spans="4:22" ht="32.25" customHeight="1">
      <c r="D920" s="40"/>
      <c r="E920" s="27" t="str">
        <f>IF(D920="","",LEFT(D920,3))</f>
        <v/>
      </c>
      <c r="F920" s="28" t="str">
        <f>IF(E920="","",IFERROR(VLOOKUP(E920,REGRAS_CST!$A$2:$B$200,2,FALSE),""))</f>
        <v/>
      </c>
      <c r="H920" s="29">
        <v>8.9999999999999993E-3</v>
      </c>
      <c r="I920" s="29">
        <v>1E-3</v>
      </c>
      <c r="K920" s="21" t="str">
        <f>IF(E920="","",IFERROR(VLOOKUP(E920,REGRAS_CST!$A$2:$C$200,3,FALSE),""))</f>
        <v/>
      </c>
      <c r="L920" s="23" t="str">
        <f>IF($G920="", "", $G920*(1-$V920))</f>
        <v/>
      </c>
      <c r="M920" s="24" t="str">
        <f>IF(OR($L920="",$S920=""),"",$L920*$S920)</f>
        <v/>
      </c>
      <c r="N920" s="24" t="str">
        <f>IF(OR($L920="",$T920=""),"",$L920*$T920)</f>
        <v/>
      </c>
      <c r="O920" s="15" t="str">
        <f>IF(D920="","",
IF(AND(K920&lt;&gt;"SIM",V920&gt;0),"ERRO: % BC &gt; 0, mas NÃO permitida ❌",
IF(AND(K920="SIM",V920=0),"ATENÇÃO: BC permitida, mas % = 0 🔎",
"Base de cálculo aplicada corretamente ✅")))</f>
        <v/>
      </c>
      <c r="P920" s="31" t="str">
        <f>IF(D920="","",
IF(AND(Q920&lt;&gt;"SIM",U920&gt;0),"ERRO: % alíquota &gt; 0, mas NÃO permitida ❌",
IF(AND(Q920="SIM",U920=0),"ATENÇÃO: alíquota permitida, mas % = 0 🔎",
"Alíquota aplicada corretamente ✅")))</f>
        <v/>
      </c>
      <c r="Q920" s="8" t="str">
        <f>IF(E920="","",IFERROR(VLOOKUP(E920,REGRAS_CST!$A$2:$D$200,4,FALSE),""))</f>
        <v/>
      </c>
      <c r="S920" s="9">
        <f>IF($H920="","",$H920*(1-$U920))</f>
        <v>8.9999999999999993E-3</v>
      </c>
      <c r="T920" s="9">
        <f>IF($I920="","",$I920*(1-$U920))</f>
        <v>1E-3</v>
      </c>
      <c r="U920" s="16">
        <f>IFERROR(INDEX(BASE_CCLASSTRIB!$E:$E, MATCH(TEXT($D920,"000000"), BASE_CCLASSTRIB!$A:$A, 0))/100, 0)</f>
        <v>0</v>
      </c>
      <c r="V920" s="16">
        <f>IFERROR(INDEX(BASE_CCLASSTRIB!$F:$F, MATCH(TEXT($D920,"000000"), BASE_CCLASSTRIB!$A:$A, 0))/100, 0)</f>
        <v>0</v>
      </c>
    </row>
    <row r="921" spans="4:22" ht="32.25" customHeight="1">
      <c r="D921" s="40"/>
      <c r="E921" s="27" t="str">
        <f>IF(D921="","",LEFT(D921,3))</f>
        <v/>
      </c>
      <c r="F921" s="28" t="str">
        <f>IF(E921="","",IFERROR(VLOOKUP(E921,REGRAS_CST!$A$2:$B$200,2,FALSE),""))</f>
        <v/>
      </c>
      <c r="H921" s="29">
        <v>8.9999999999999993E-3</v>
      </c>
      <c r="I921" s="29">
        <v>1E-3</v>
      </c>
      <c r="K921" s="21" t="str">
        <f>IF(E921="","",IFERROR(VLOOKUP(E921,REGRAS_CST!$A$2:$C$200,3,FALSE),""))</f>
        <v/>
      </c>
      <c r="L921" s="23" t="str">
        <f>IF($G921="", "", $G921*(1-$V921))</f>
        <v/>
      </c>
      <c r="M921" s="24" t="str">
        <f>IF(OR($L921="",$S921=""),"",$L921*$S921)</f>
        <v/>
      </c>
      <c r="N921" s="24" t="str">
        <f>IF(OR($L921="",$T921=""),"",$L921*$T921)</f>
        <v/>
      </c>
      <c r="O921" s="15" t="str">
        <f>IF(D921="","",
IF(AND(K921&lt;&gt;"SIM",V921&gt;0),"ERRO: % BC &gt; 0, mas NÃO permitida ❌",
IF(AND(K921="SIM",V921=0),"ATENÇÃO: BC permitida, mas % = 0 🔎",
"Base de cálculo aplicada corretamente ✅")))</f>
        <v/>
      </c>
      <c r="P921" s="31" t="str">
        <f>IF(D921="","",
IF(AND(Q921&lt;&gt;"SIM",U921&gt;0),"ERRO: % alíquota &gt; 0, mas NÃO permitida ❌",
IF(AND(Q921="SIM",U921=0),"ATENÇÃO: alíquota permitida, mas % = 0 🔎",
"Alíquota aplicada corretamente ✅")))</f>
        <v/>
      </c>
      <c r="Q921" s="8" t="str">
        <f>IF(E921="","",IFERROR(VLOOKUP(E921,REGRAS_CST!$A$2:$D$200,4,FALSE),""))</f>
        <v/>
      </c>
      <c r="S921" s="9">
        <f>IF($H921="","",$H921*(1-$U921))</f>
        <v>8.9999999999999993E-3</v>
      </c>
      <c r="T921" s="9">
        <f>IF($I921="","",$I921*(1-$U921))</f>
        <v>1E-3</v>
      </c>
      <c r="U921" s="16">
        <f>IFERROR(INDEX(BASE_CCLASSTRIB!$E:$E, MATCH(TEXT($D921,"000000"), BASE_CCLASSTRIB!$A:$A, 0))/100, 0)</f>
        <v>0</v>
      </c>
      <c r="V921" s="16">
        <f>IFERROR(INDEX(BASE_CCLASSTRIB!$F:$F, MATCH(TEXT($D921,"000000"), BASE_CCLASSTRIB!$A:$A, 0))/100, 0)</f>
        <v>0</v>
      </c>
    </row>
    <row r="922" spans="4:22" ht="32.25" customHeight="1">
      <c r="D922" s="39"/>
      <c r="E922" s="27" t="str">
        <f>IF(D922="","",LEFT(D922,3))</f>
        <v/>
      </c>
      <c r="F922" s="28" t="str">
        <f>IF(E922="","",IFERROR(VLOOKUP(E922,REGRAS_CST!$A$2:$B$200,2,FALSE),""))</f>
        <v/>
      </c>
      <c r="H922" s="29">
        <v>8.9999999999999993E-3</v>
      </c>
      <c r="I922" s="29">
        <v>1E-3</v>
      </c>
      <c r="K922" s="21" t="str">
        <f>IF(E922="","",IFERROR(VLOOKUP(E922,REGRAS_CST!$A$2:$C$200,3,FALSE),""))</f>
        <v/>
      </c>
      <c r="L922" s="23" t="str">
        <f>IF($G922="", "", $G922*(1-$V922))</f>
        <v/>
      </c>
      <c r="M922" s="24" t="str">
        <f>IF(OR($L922="",$S922=""),"",$L922*$S922)</f>
        <v/>
      </c>
      <c r="N922" s="24" t="str">
        <f>IF(OR($L922="",$T922=""),"",$L922*$T922)</f>
        <v/>
      </c>
      <c r="O922" s="15" t="str">
        <f>IF(D922="","",
IF(AND(K922&lt;&gt;"SIM",V922&gt;0),"ERRO: % BC &gt; 0, mas NÃO permitida ❌",
IF(AND(K922="SIM",V922=0),"ATENÇÃO: BC permitida, mas % = 0 🔎",
"Base de cálculo aplicada corretamente ✅")))</f>
        <v/>
      </c>
      <c r="P922" s="31" t="str">
        <f>IF(D922="","",
IF(AND(Q922&lt;&gt;"SIM",U922&gt;0),"ERRO: % alíquota &gt; 0, mas NÃO permitida ❌",
IF(AND(Q922="SIM",U922=0),"ATENÇÃO: alíquota permitida, mas % = 0 🔎",
"Alíquota aplicada corretamente ✅")))</f>
        <v/>
      </c>
      <c r="Q922" s="8" t="str">
        <f>IF(E922="","",IFERROR(VLOOKUP(E922,REGRAS_CST!$A$2:$D$200,4,FALSE),""))</f>
        <v/>
      </c>
      <c r="S922" s="9">
        <f>IF($H922="","",$H922*(1-$U922))</f>
        <v>8.9999999999999993E-3</v>
      </c>
      <c r="T922" s="9">
        <f>IF($I922="","",$I922*(1-$U922))</f>
        <v>1E-3</v>
      </c>
      <c r="U922" s="16">
        <f>IFERROR(INDEX(BASE_CCLASSTRIB!$E:$E, MATCH(TEXT($D922,"000000"), BASE_CCLASSTRIB!$A:$A, 0))/100, 0)</f>
        <v>0</v>
      </c>
      <c r="V922" s="16">
        <f>IFERROR(INDEX(BASE_CCLASSTRIB!$F:$F, MATCH(TEXT($D922,"000000"), BASE_CCLASSTRIB!$A:$A, 0))/100, 0)</f>
        <v>0</v>
      </c>
    </row>
    <row r="923" spans="4:22" ht="32.25" customHeight="1">
      <c r="D923" s="40"/>
      <c r="E923" s="27" t="str">
        <f>IF(D923="","",LEFT(D923,3))</f>
        <v/>
      </c>
      <c r="F923" s="28" t="str">
        <f>IF(E923="","",IFERROR(VLOOKUP(E923,REGRAS_CST!$A$2:$B$200,2,FALSE),""))</f>
        <v/>
      </c>
      <c r="H923" s="29">
        <v>8.9999999999999993E-3</v>
      </c>
      <c r="I923" s="29">
        <v>1E-3</v>
      </c>
      <c r="K923" s="21" t="str">
        <f>IF(E923="","",IFERROR(VLOOKUP(E923,REGRAS_CST!$A$2:$C$200,3,FALSE),""))</f>
        <v/>
      </c>
      <c r="L923" s="23" t="str">
        <f>IF($G923="", "", $G923*(1-$V923))</f>
        <v/>
      </c>
      <c r="M923" s="24" t="str">
        <f>IF(OR($L923="",$S923=""),"",$L923*$S923)</f>
        <v/>
      </c>
      <c r="N923" s="24" t="str">
        <f>IF(OR($L923="",$T923=""),"",$L923*$T923)</f>
        <v/>
      </c>
      <c r="O923" s="15" t="str">
        <f>IF(D923="","",
IF(AND(K923&lt;&gt;"SIM",V923&gt;0),"ERRO: % BC &gt; 0, mas NÃO permitida ❌",
IF(AND(K923="SIM",V923=0),"ATENÇÃO: BC permitida, mas % = 0 🔎",
"Base de cálculo aplicada corretamente ✅")))</f>
        <v/>
      </c>
      <c r="P923" s="31" t="str">
        <f>IF(D923="","",
IF(AND(Q923&lt;&gt;"SIM",U923&gt;0),"ERRO: % alíquota &gt; 0, mas NÃO permitida ❌",
IF(AND(Q923="SIM",U923=0),"ATENÇÃO: alíquota permitida, mas % = 0 🔎",
"Alíquota aplicada corretamente ✅")))</f>
        <v/>
      </c>
      <c r="Q923" s="8" t="str">
        <f>IF(E923="","",IFERROR(VLOOKUP(E923,REGRAS_CST!$A$2:$D$200,4,FALSE),""))</f>
        <v/>
      </c>
      <c r="S923" s="9">
        <f>IF($H923="","",$H923*(1-$U923))</f>
        <v>8.9999999999999993E-3</v>
      </c>
      <c r="T923" s="9">
        <f>IF($I923="","",$I923*(1-$U923))</f>
        <v>1E-3</v>
      </c>
      <c r="U923" s="16">
        <f>IFERROR(INDEX(BASE_CCLASSTRIB!$E:$E, MATCH(TEXT($D923,"000000"), BASE_CCLASSTRIB!$A:$A, 0))/100, 0)</f>
        <v>0</v>
      </c>
      <c r="V923" s="16">
        <f>IFERROR(INDEX(BASE_CCLASSTRIB!$F:$F, MATCH(TEXT($D923,"000000"), BASE_CCLASSTRIB!$A:$A, 0))/100, 0)</f>
        <v>0</v>
      </c>
    </row>
    <row r="924" spans="4:22" ht="32.25" customHeight="1">
      <c r="D924" s="40"/>
      <c r="E924" s="27" t="str">
        <f>IF(D924="","",LEFT(D924,3))</f>
        <v/>
      </c>
      <c r="F924" s="28" t="str">
        <f>IF(E924="","",IFERROR(VLOOKUP(E924,REGRAS_CST!$A$2:$B$200,2,FALSE),""))</f>
        <v/>
      </c>
      <c r="H924" s="29">
        <v>8.9999999999999993E-3</v>
      </c>
      <c r="I924" s="29">
        <v>1E-3</v>
      </c>
      <c r="K924" s="21" t="str">
        <f>IF(E924="","",IFERROR(VLOOKUP(E924,REGRAS_CST!$A$2:$C$200,3,FALSE),""))</f>
        <v/>
      </c>
      <c r="L924" s="23" t="str">
        <f>IF($G924="", "", $G924*(1-$V924))</f>
        <v/>
      </c>
      <c r="M924" s="24" t="str">
        <f>IF(OR($L924="",$S924=""),"",$L924*$S924)</f>
        <v/>
      </c>
      <c r="N924" s="24" t="str">
        <f>IF(OR($L924="",$T924=""),"",$L924*$T924)</f>
        <v/>
      </c>
      <c r="O924" s="15" t="str">
        <f>IF(D924="","",
IF(AND(K924&lt;&gt;"SIM",V924&gt;0),"ERRO: % BC &gt; 0, mas NÃO permitida ❌",
IF(AND(K924="SIM",V924=0),"ATENÇÃO: BC permitida, mas % = 0 🔎",
"Base de cálculo aplicada corretamente ✅")))</f>
        <v/>
      </c>
      <c r="P924" s="31" t="str">
        <f>IF(D924="","",
IF(AND(Q924&lt;&gt;"SIM",U924&gt;0),"ERRO: % alíquota &gt; 0, mas NÃO permitida ❌",
IF(AND(Q924="SIM",U924=0),"ATENÇÃO: alíquota permitida, mas % = 0 🔎",
"Alíquota aplicada corretamente ✅")))</f>
        <v/>
      </c>
      <c r="Q924" s="8" t="str">
        <f>IF(E924="","",IFERROR(VLOOKUP(E924,REGRAS_CST!$A$2:$D$200,4,FALSE),""))</f>
        <v/>
      </c>
      <c r="S924" s="9">
        <f>IF($H924="","",$H924*(1-$U924))</f>
        <v>8.9999999999999993E-3</v>
      </c>
      <c r="T924" s="9">
        <f>IF($I924="","",$I924*(1-$U924))</f>
        <v>1E-3</v>
      </c>
      <c r="U924" s="16">
        <f>IFERROR(INDEX(BASE_CCLASSTRIB!$E:$E, MATCH(TEXT($D924,"000000"), BASE_CCLASSTRIB!$A:$A, 0))/100, 0)</f>
        <v>0</v>
      </c>
      <c r="V924" s="16">
        <f>IFERROR(INDEX(BASE_CCLASSTRIB!$F:$F, MATCH(TEXT($D924,"000000"), BASE_CCLASSTRIB!$A:$A, 0))/100, 0)</f>
        <v>0</v>
      </c>
    </row>
    <row r="925" spans="4:22" ht="32.25" customHeight="1">
      <c r="D925" s="40"/>
      <c r="E925" s="27" t="str">
        <f>IF(D925="","",LEFT(D925,3))</f>
        <v/>
      </c>
      <c r="F925" s="28" t="str">
        <f>IF(E925="","",IFERROR(VLOOKUP(E925,REGRAS_CST!$A$2:$B$200,2,FALSE),""))</f>
        <v/>
      </c>
      <c r="H925" s="29">
        <v>8.9999999999999993E-3</v>
      </c>
      <c r="I925" s="29">
        <v>1E-3</v>
      </c>
      <c r="K925" s="21" t="str">
        <f>IF(E925="","",IFERROR(VLOOKUP(E925,REGRAS_CST!$A$2:$C$200,3,FALSE),""))</f>
        <v/>
      </c>
      <c r="L925" s="23" t="str">
        <f>IF($G925="", "", $G925*(1-$V925))</f>
        <v/>
      </c>
      <c r="M925" s="24" t="str">
        <f>IF(OR($L925="",$S925=""),"",$L925*$S925)</f>
        <v/>
      </c>
      <c r="N925" s="24" t="str">
        <f>IF(OR($L925="",$T925=""),"",$L925*$T925)</f>
        <v/>
      </c>
      <c r="O925" s="15" t="str">
        <f>IF(D925="","",
IF(AND(K925&lt;&gt;"SIM",V925&gt;0),"ERRO: % BC &gt; 0, mas NÃO permitida ❌",
IF(AND(K925="SIM",V925=0),"ATENÇÃO: BC permitida, mas % = 0 🔎",
"Base de cálculo aplicada corretamente ✅")))</f>
        <v/>
      </c>
      <c r="P925" s="31" t="str">
        <f>IF(D925="","",
IF(AND(Q925&lt;&gt;"SIM",U925&gt;0),"ERRO: % alíquota &gt; 0, mas NÃO permitida ❌",
IF(AND(Q925="SIM",U925=0),"ATENÇÃO: alíquota permitida, mas % = 0 🔎",
"Alíquota aplicada corretamente ✅")))</f>
        <v/>
      </c>
      <c r="Q925" s="8" t="str">
        <f>IF(E925="","",IFERROR(VLOOKUP(E925,REGRAS_CST!$A$2:$D$200,4,FALSE),""))</f>
        <v/>
      </c>
      <c r="S925" s="9">
        <f>IF($H925="","",$H925*(1-$U925))</f>
        <v>8.9999999999999993E-3</v>
      </c>
      <c r="T925" s="9">
        <f>IF($I925="","",$I925*(1-$U925))</f>
        <v>1E-3</v>
      </c>
      <c r="U925" s="16">
        <f>IFERROR(INDEX(BASE_CCLASSTRIB!$E:$E, MATCH(TEXT($D925,"000000"), BASE_CCLASSTRIB!$A:$A, 0))/100, 0)</f>
        <v>0</v>
      </c>
      <c r="V925" s="16">
        <f>IFERROR(INDEX(BASE_CCLASSTRIB!$F:$F, MATCH(TEXT($D925,"000000"), BASE_CCLASSTRIB!$A:$A, 0))/100, 0)</f>
        <v>0</v>
      </c>
    </row>
    <row r="926" spans="4:22" ht="32.25" customHeight="1">
      <c r="D926" s="40"/>
      <c r="E926" s="27" t="str">
        <f>IF(D926="","",LEFT(D926,3))</f>
        <v/>
      </c>
      <c r="F926" s="28" t="str">
        <f>IF(E926="","",IFERROR(VLOOKUP(E926,REGRAS_CST!$A$2:$B$200,2,FALSE),""))</f>
        <v/>
      </c>
      <c r="H926" s="29">
        <v>8.9999999999999993E-3</v>
      </c>
      <c r="I926" s="29">
        <v>1E-3</v>
      </c>
      <c r="K926" s="21" t="str">
        <f>IF(E926="","",IFERROR(VLOOKUP(E926,REGRAS_CST!$A$2:$C$200,3,FALSE),""))</f>
        <v/>
      </c>
      <c r="L926" s="23" t="str">
        <f>IF($G926="", "", $G926*(1-$V926))</f>
        <v/>
      </c>
      <c r="M926" s="24" t="str">
        <f>IF(OR($L926="",$S926=""),"",$L926*$S926)</f>
        <v/>
      </c>
      <c r="N926" s="24" t="str">
        <f>IF(OR($L926="",$T926=""),"",$L926*$T926)</f>
        <v/>
      </c>
      <c r="O926" s="15" t="str">
        <f>IF(D926="","",
IF(AND(K926&lt;&gt;"SIM",V926&gt;0),"ERRO: % BC &gt; 0, mas NÃO permitida ❌",
IF(AND(K926="SIM",V926=0),"ATENÇÃO: BC permitida, mas % = 0 🔎",
"Base de cálculo aplicada corretamente ✅")))</f>
        <v/>
      </c>
      <c r="P926" s="31" t="str">
        <f>IF(D926="","",
IF(AND(Q926&lt;&gt;"SIM",U926&gt;0),"ERRO: % alíquota &gt; 0, mas NÃO permitida ❌",
IF(AND(Q926="SIM",U926=0),"ATENÇÃO: alíquota permitida, mas % = 0 🔎",
"Alíquota aplicada corretamente ✅")))</f>
        <v/>
      </c>
      <c r="Q926" s="8" t="str">
        <f>IF(E926="","",IFERROR(VLOOKUP(E926,REGRAS_CST!$A$2:$D$200,4,FALSE),""))</f>
        <v/>
      </c>
      <c r="S926" s="9">
        <f>IF($H926="","",$H926*(1-$U926))</f>
        <v>8.9999999999999993E-3</v>
      </c>
      <c r="T926" s="9">
        <f>IF($I926="","",$I926*(1-$U926))</f>
        <v>1E-3</v>
      </c>
      <c r="U926" s="16">
        <f>IFERROR(INDEX(BASE_CCLASSTRIB!$E:$E, MATCH(TEXT($D926,"000000"), BASE_CCLASSTRIB!$A:$A, 0))/100, 0)</f>
        <v>0</v>
      </c>
      <c r="V926" s="16">
        <f>IFERROR(INDEX(BASE_CCLASSTRIB!$F:$F, MATCH(TEXT($D926,"000000"), BASE_CCLASSTRIB!$A:$A, 0))/100, 0)</f>
        <v>0</v>
      </c>
    </row>
    <row r="927" spans="4:22" ht="32.25" customHeight="1">
      <c r="D927" s="40"/>
      <c r="E927" s="27" t="str">
        <f>IF(D927="","",LEFT(D927,3))</f>
        <v/>
      </c>
      <c r="F927" s="28" t="str">
        <f>IF(E927="","",IFERROR(VLOOKUP(E927,REGRAS_CST!$A$2:$B$200,2,FALSE),""))</f>
        <v/>
      </c>
      <c r="H927" s="29">
        <v>8.9999999999999993E-3</v>
      </c>
      <c r="I927" s="29">
        <v>1E-3</v>
      </c>
      <c r="K927" s="21" t="str">
        <f>IF(E927="","",IFERROR(VLOOKUP(E927,REGRAS_CST!$A$2:$C$200,3,FALSE),""))</f>
        <v/>
      </c>
      <c r="L927" s="23" t="str">
        <f>IF($G927="", "", $G927*(1-$V927))</f>
        <v/>
      </c>
      <c r="M927" s="24" t="str">
        <f>IF(OR($L927="",$S927=""),"",$L927*$S927)</f>
        <v/>
      </c>
      <c r="N927" s="24" t="str">
        <f>IF(OR($L927="",$T927=""),"",$L927*$T927)</f>
        <v/>
      </c>
      <c r="O927" s="15" t="str">
        <f>IF(D927="","",
IF(AND(K927&lt;&gt;"SIM",V927&gt;0),"ERRO: % BC &gt; 0, mas NÃO permitida ❌",
IF(AND(K927="SIM",V927=0),"ATENÇÃO: BC permitida, mas % = 0 🔎",
"Base de cálculo aplicada corretamente ✅")))</f>
        <v/>
      </c>
      <c r="P927" s="31" t="str">
        <f>IF(D927="","",
IF(AND(Q927&lt;&gt;"SIM",U927&gt;0),"ERRO: % alíquota &gt; 0, mas NÃO permitida ❌",
IF(AND(Q927="SIM",U927=0),"ATENÇÃO: alíquota permitida, mas % = 0 🔎",
"Alíquota aplicada corretamente ✅")))</f>
        <v/>
      </c>
      <c r="Q927" s="8" t="str">
        <f>IF(E927="","",IFERROR(VLOOKUP(E927,REGRAS_CST!$A$2:$D$200,4,FALSE),""))</f>
        <v/>
      </c>
      <c r="S927" s="9">
        <f>IF($H927="","",$H927*(1-$U927))</f>
        <v>8.9999999999999993E-3</v>
      </c>
      <c r="T927" s="9">
        <f>IF($I927="","",$I927*(1-$U927))</f>
        <v>1E-3</v>
      </c>
      <c r="U927" s="16">
        <f>IFERROR(INDEX(BASE_CCLASSTRIB!$E:$E, MATCH(TEXT($D927,"000000"), BASE_CCLASSTRIB!$A:$A, 0))/100, 0)</f>
        <v>0</v>
      </c>
      <c r="V927" s="16">
        <f>IFERROR(INDEX(BASE_CCLASSTRIB!$F:$F, MATCH(TEXT($D927,"000000"), BASE_CCLASSTRIB!$A:$A, 0))/100, 0)</f>
        <v>0</v>
      </c>
    </row>
    <row r="928" spans="4:22" ht="32.25" customHeight="1">
      <c r="D928" s="40"/>
      <c r="E928" s="27" t="str">
        <f>IF(D928="","",LEFT(D928,3))</f>
        <v/>
      </c>
      <c r="F928" s="28" t="str">
        <f>IF(E928="","",IFERROR(VLOOKUP(E928,REGRAS_CST!$A$2:$B$200,2,FALSE),""))</f>
        <v/>
      </c>
      <c r="H928" s="29">
        <v>8.9999999999999993E-3</v>
      </c>
      <c r="I928" s="29">
        <v>1E-3</v>
      </c>
      <c r="K928" s="21" t="str">
        <f>IF(E928="","",IFERROR(VLOOKUP(E928,REGRAS_CST!$A$2:$C$200,3,FALSE),""))</f>
        <v/>
      </c>
      <c r="L928" s="23" t="str">
        <f>IF($G928="", "", $G928*(1-$V928))</f>
        <v/>
      </c>
      <c r="M928" s="24" t="str">
        <f>IF(OR($L928="",$S928=""),"",$L928*$S928)</f>
        <v/>
      </c>
      <c r="N928" s="24" t="str">
        <f>IF(OR($L928="",$T928=""),"",$L928*$T928)</f>
        <v/>
      </c>
      <c r="O928" s="15" t="str">
        <f>IF(D928="","",
IF(AND(K928&lt;&gt;"SIM",V928&gt;0),"ERRO: % BC &gt; 0, mas NÃO permitida ❌",
IF(AND(K928="SIM",V928=0),"ATENÇÃO: BC permitida, mas % = 0 🔎",
"Base de cálculo aplicada corretamente ✅")))</f>
        <v/>
      </c>
      <c r="P928" s="31" t="str">
        <f>IF(D928="","",
IF(AND(Q928&lt;&gt;"SIM",U928&gt;0),"ERRO: % alíquota &gt; 0, mas NÃO permitida ❌",
IF(AND(Q928="SIM",U928=0),"ATENÇÃO: alíquota permitida, mas % = 0 🔎",
"Alíquota aplicada corretamente ✅")))</f>
        <v/>
      </c>
      <c r="Q928" s="8" t="str">
        <f>IF(E928="","",IFERROR(VLOOKUP(E928,REGRAS_CST!$A$2:$D$200,4,FALSE),""))</f>
        <v/>
      </c>
      <c r="S928" s="9">
        <f>IF($H928="","",$H928*(1-$U928))</f>
        <v>8.9999999999999993E-3</v>
      </c>
      <c r="T928" s="9">
        <f>IF($I928="","",$I928*(1-$U928))</f>
        <v>1E-3</v>
      </c>
      <c r="U928" s="16">
        <f>IFERROR(INDEX(BASE_CCLASSTRIB!$E:$E, MATCH(TEXT($D928,"000000"), BASE_CCLASSTRIB!$A:$A, 0))/100, 0)</f>
        <v>0</v>
      </c>
      <c r="V928" s="16">
        <f>IFERROR(INDEX(BASE_CCLASSTRIB!$F:$F, MATCH(TEXT($D928,"000000"), BASE_CCLASSTRIB!$A:$A, 0))/100, 0)</f>
        <v>0</v>
      </c>
    </row>
    <row r="929" spans="4:22" ht="32.25" customHeight="1">
      <c r="D929" s="40"/>
      <c r="E929" s="27" t="str">
        <f>IF(D929="","",LEFT(D929,3))</f>
        <v/>
      </c>
      <c r="F929" s="28" t="str">
        <f>IF(E929="","",IFERROR(VLOOKUP(E929,REGRAS_CST!$A$2:$B$200,2,FALSE),""))</f>
        <v/>
      </c>
      <c r="H929" s="29">
        <v>8.9999999999999993E-3</v>
      </c>
      <c r="I929" s="29">
        <v>1E-3</v>
      </c>
      <c r="K929" s="21" t="str">
        <f>IF(E929="","",IFERROR(VLOOKUP(E929,REGRAS_CST!$A$2:$C$200,3,FALSE),""))</f>
        <v/>
      </c>
      <c r="L929" s="23" t="str">
        <f>IF($G929="", "", $G929*(1-$V929))</f>
        <v/>
      </c>
      <c r="M929" s="24" t="str">
        <f>IF(OR($L929="",$S929=""),"",$L929*$S929)</f>
        <v/>
      </c>
      <c r="N929" s="24" t="str">
        <f>IF(OR($L929="",$T929=""),"",$L929*$T929)</f>
        <v/>
      </c>
      <c r="O929" s="15" t="str">
        <f>IF(D929="","",
IF(AND(K929&lt;&gt;"SIM",V929&gt;0),"ERRO: % BC &gt; 0, mas NÃO permitida ❌",
IF(AND(K929="SIM",V929=0),"ATENÇÃO: BC permitida, mas % = 0 🔎",
"Base de cálculo aplicada corretamente ✅")))</f>
        <v/>
      </c>
      <c r="P929" s="31" t="str">
        <f>IF(D929="","",
IF(AND(Q929&lt;&gt;"SIM",U929&gt;0),"ERRO: % alíquota &gt; 0, mas NÃO permitida ❌",
IF(AND(Q929="SIM",U929=0),"ATENÇÃO: alíquota permitida, mas % = 0 🔎",
"Alíquota aplicada corretamente ✅")))</f>
        <v/>
      </c>
      <c r="Q929" s="8" t="str">
        <f>IF(E929="","",IFERROR(VLOOKUP(E929,REGRAS_CST!$A$2:$D$200,4,FALSE),""))</f>
        <v/>
      </c>
      <c r="S929" s="9">
        <f>IF($H929="","",$H929*(1-$U929))</f>
        <v>8.9999999999999993E-3</v>
      </c>
      <c r="T929" s="9">
        <f>IF($I929="","",$I929*(1-$U929))</f>
        <v>1E-3</v>
      </c>
      <c r="U929" s="16">
        <f>IFERROR(INDEX(BASE_CCLASSTRIB!$E:$E, MATCH(TEXT($D929,"000000"), BASE_CCLASSTRIB!$A:$A, 0))/100, 0)</f>
        <v>0</v>
      </c>
      <c r="V929" s="16">
        <f>IFERROR(INDEX(BASE_CCLASSTRIB!$F:$F, MATCH(TEXT($D929,"000000"), BASE_CCLASSTRIB!$A:$A, 0))/100, 0)</f>
        <v>0</v>
      </c>
    </row>
    <row r="930" spans="4:22" ht="32.25" customHeight="1">
      <c r="D930" s="40"/>
      <c r="E930" s="27" t="str">
        <f>IF(D930="","",LEFT(D930,3))</f>
        <v/>
      </c>
      <c r="F930" s="28" t="str">
        <f>IF(E930="","",IFERROR(VLOOKUP(E930,REGRAS_CST!$A$2:$B$200,2,FALSE),""))</f>
        <v/>
      </c>
      <c r="H930" s="29">
        <v>8.9999999999999993E-3</v>
      </c>
      <c r="I930" s="29">
        <v>1E-3</v>
      </c>
      <c r="K930" s="21" t="str">
        <f>IF(E930="","",IFERROR(VLOOKUP(E930,REGRAS_CST!$A$2:$C$200,3,FALSE),""))</f>
        <v/>
      </c>
      <c r="L930" s="23" t="str">
        <f>IF($G930="", "", $G930*(1-$V930))</f>
        <v/>
      </c>
      <c r="M930" s="24" t="str">
        <f>IF(OR($L930="",$S930=""),"",$L930*$S930)</f>
        <v/>
      </c>
      <c r="N930" s="24" t="str">
        <f>IF(OR($L930="",$T930=""),"",$L930*$T930)</f>
        <v/>
      </c>
      <c r="O930" s="15" t="str">
        <f>IF(D930="","",
IF(AND(K930&lt;&gt;"SIM",V930&gt;0),"ERRO: % BC &gt; 0, mas NÃO permitida ❌",
IF(AND(K930="SIM",V930=0),"ATENÇÃO: BC permitida, mas % = 0 🔎",
"Base de cálculo aplicada corretamente ✅")))</f>
        <v/>
      </c>
      <c r="P930" s="31" t="str">
        <f>IF(D930="","",
IF(AND(Q930&lt;&gt;"SIM",U930&gt;0),"ERRO: % alíquota &gt; 0, mas NÃO permitida ❌",
IF(AND(Q930="SIM",U930=0),"ATENÇÃO: alíquota permitida, mas % = 0 🔎",
"Alíquota aplicada corretamente ✅")))</f>
        <v/>
      </c>
      <c r="Q930" s="8" t="str">
        <f>IF(E930="","",IFERROR(VLOOKUP(E930,REGRAS_CST!$A$2:$D$200,4,FALSE),""))</f>
        <v/>
      </c>
      <c r="S930" s="9">
        <f>IF($H930="","",$H930*(1-$U930))</f>
        <v>8.9999999999999993E-3</v>
      </c>
      <c r="T930" s="9">
        <f>IF($I930="","",$I930*(1-$U930))</f>
        <v>1E-3</v>
      </c>
      <c r="U930" s="16">
        <f>IFERROR(INDEX(BASE_CCLASSTRIB!$E:$E, MATCH(TEXT($D930,"000000"), BASE_CCLASSTRIB!$A:$A, 0))/100, 0)</f>
        <v>0</v>
      </c>
      <c r="V930" s="16">
        <f>IFERROR(INDEX(BASE_CCLASSTRIB!$F:$F, MATCH(TEXT($D930,"000000"), BASE_CCLASSTRIB!$A:$A, 0))/100, 0)</f>
        <v>0</v>
      </c>
    </row>
    <row r="931" spans="4:22" ht="32.25" customHeight="1">
      <c r="D931" s="39"/>
      <c r="E931" s="27" t="str">
        <f>IF(D931="","",LEFT(D931,3))</f>
        <v/>
      </c>
      <c r="F931" s="28" t="str">
        <f>IF(E931="","",IFERROR(VLOOKUP(E931,REGRAS_CST!$A$2:$B$200,2,FALSE),""))</f>
        <v/>
      </c>
      <c r="H931" s="29">
        <v>8.9999999999999993E-3</v>
      </c>
      <c r="I931" s="29">
        <v>1E-3</v>
      </c>
      <c r="K931" s="21" t="str">
        <f>IF(E931="","",IFERROR(VLOOKUP(E931,REGRAS_CST!$A$2:$C$200,3,FALSE),""))</f>
        <v/>
      </c>
      <c r="L931" s="23" t="str">
        <f>IF($G931="", "", $G931*(1-$V931))</f>
        <v/>
      </c>
      <c r="M931" s="24" t="str">
        <f>IF(OR($L931="",$S931=""),"",$L931*$S931)</f>
        <v/>
      </c>
      <c r="N931" s="24" t="str">
        <f>IF(OR($L931="",$T931=""),"",$L931*$T931)</f>
        <v/>
      </c>
      <c r="O931" s="15" t="str">
        <f>IF(D931="","",
IF(AND(K931&lt;&gt;"SIM",V931&gt;0),"ERRO: % BC &gt; 0, mas NÃO permitida ❌",
IF(AND(K931="SIM",V931=0),"ATENÇÃO: BC permitida, mas % = 0 🔎",
"Base de cálculo aplicada corretamente ✅")))</f>
        <v/>
      </c>
      <c r="P931" s="31" t="str">
        <f>IF(D931="","",
IF(AND(Q931&lt;&gt;"SIM",U931&gt;0),"ERRO: % alíquota &gt; 0, mas NÃO permitida ❌",
IF(AND(Q931="SIM",U931=0),"ATENÇÃO: alíquota permitida, mas % = 0 🔎",
"Alíquota aplicada corretamente ✅")))</f>
        <v/>
      </c>
      <c r="Q931" s="8" t="str">
        <f>IF(E931="","",IFERROR(VLOOKUP(E931,REGRAS_CST!$A$2:$D$200,4,FALSE),""))</f>
        <v/>
      </c>
      <c r="S931" s="9">
        <f>IF($H931="","",$H931*(1-$U931))</f>
        <v>8.9999999999999993E-3</v>
      </c>
      <c r="T931" s="9">
        <f>IF($I931="","",$I931*(1-$U931))</f>
        <v>1E-3</v>
      </c>
      <c r="U931" s="16">
        <f>IFERROR(INDEX(BASE_CCLASSTRIB!$E:$E, MATCH(TEXT($D931,"000000"), BASE_CCLASSTRIB!$A:$A, 0))/100, 0)</f>
        <v>0</v>
      </c>
      <c r="V931" s="16">
        <f>IFERROR(INDEX(BASE_CCLASSTRIB!$F:$F, MATCH(TEXT($D931,"000000"), BASE_CCLASSTRIB!$A:$A, 0))/100, 0)</f>
        <v>0</v>
      </c>
    </row>
    <row r="932" spans="4:22" ht="32.25" customHeight="1">
      <c r="D932" s="39"/>
      <c r="E932" s="27" t="str">
        <f>IF(D932="","",LEFT(D932,3))</f>
        <v/>
      </c>
      <c r="F932" s="28" t="str">
        <f>IF(E932="","",IFERROR(VLOOKUP(E932,REGRAS_CST!$A$2:$B$200,2,FALSE),""))</f>
        <v/>
      </c>
      <c r="H932" s="29">
        <v>8.9999999999999993E-3</v>
      </c>
      <c r="I932" s="29">
        <v>1E-3</v>
      </c>
      <c r="K932" s="21" t="str">
        <f>IF(E932="","",IFERROR(VLOOKUP(E932,REGRAS_CST!$A$2:$C$200,3,FALSE),""))</f>
        <v/>
      </c>
      <c r="L932" s="23" t="str">
        <f>IF($G932="", "", $G932*(1-$V932))</f>
        <v/>
      </c>
      <c r="M932" s="24" t="str">
        <f>IF(OR($L932="",$S932=""),"",$L932*$S932)</f>
        <v/>
      </c>
      <c r="N932" s="24" t="str">
        <f>IF(OR($L932="",$T932=""),"",$L932*$T932)</f>
        <v/>
      </c>
      <c r="O932" s="15" t="str">
        <f>IF(D932="","",
IF(AND(K932&lt;&gt;"SIM",V932&gt;0),"ERRO: % BC &gt; 0, mas NÃO permitida ❌",
IF(AND(K932="SIM",V932=0),"ATENÇÃO: BC permitida, mas % = 0 🔎",
"Base de cálculo aplicada corretamente ✅")))</f>
        <v/>
      </c>
      <c r="P932" s="31" t="str">
        <f>IF(D932="","",
IF(AND(Q932&lt;&gt;"SIM",U932&gt;0),"ERRO: % alíquota &gt; 0, mas NÃO permitida ❌",
IF(AND(Q932="SIM",U932=0),"ATENÇÃO: alíquota permitida, mas % = 0 🔎",
"Alíquota aplicada corretamente ✅")))</f>
        <v/>
      </c>
      <c r="Q932" s="8" t="str">
        <f>IF(E932="","",IFERROR(VLOOKUP(E932,REGRAS_CST!$A$2:$D$200,4,FALSE),""))</f>
        <v/>
      </c>
      <c r="S932" s="9">
        <f>IF($H932="","",$H932*(1-$U932))</f>
        <v>8.9999999999999993E-3</v>
      </c>
      <c r="T932" s="9">
        <f>IF($I932="","",$I932*(1-$U932))</f>
        <v>1E-3</v>
      </c>
      <c r="U932" s="16">
        <f>IFERROR(INDEX(BASE_CCLASSTRIB!$E:$E, MATCH(TEXT($D932,"000000"), BASE_CCLASSTRIB!$A:$A, 0))/100, 0)</f>
        <v>0</v>
      </c>
      <c r="V932" s="16">
        <f>IFERROR(INDEX(BASE_CCLASSTRIB!$F:$F, MATCH(TEXT($D932,"000000"), BASE_CCLASSTRIB!$A:$A, 0))/100, 0)</f>
        <v>0</v>
      </c>
    </row>
    <row r="933" spans="4:22" ht="32.25" customHeight="1">
      <c r="D933" s="39"/>
      <c r="E933" s="27" t="str">
        <f>IF(D933="","",LEFT(D933,3))</f>
        <v/>
      </c>
      <c r="F933" s="28" t="str">
        <f>IF(E933="","",IFERROR(VLOOKUP(E933,REGRAS_CST!$A$2:$B$200,2,FALSE),""))</f>
        <v/>
      </c>
      <c r="H933" s="29">
        <v>8.9999999999999993E-3</v>
      </c>
      <c r="I933" s="29">
        <v>1E-3</v>
      </c>
      <c r="K933" s="21" t="str">
        <f>IF(E933="","",IFERROR(VLOOKUP(E933,REGRAS_CST!$A$2:$C$200,3,FALSE),""))</f>
        <v/>
      </c>
      <c r="L933" s="23" t="str">
        <f>IF($G933="", "", $G933*(1-$V933))</f>
        <v/>
      </c>
      <c r="M933" s="24" t="str">
        <f>IF(OR($L933="",$S933=""),"",$L933*$S933)</f>
        <v/>
      </c>
      <c r="N933" s="24" t="str">
        <f>IF(OR($L933="",$T933=""),"",$L933*$T933)</f>
        <v/>
      </c>
      <c r="O933" s="15" t="str">
        <f>IF(D933="","",
IF(AND(K933&lt;&gt;"SIM",V933&gt;0),"ERRO: % BC &gt; 0, mas NÃO permitida ❌",
IF(AND(K933="SIM",V933=0),"ATENÇÃO: BC permitida, mas % = 0 🔎",
"Base de cálculo aplicada corretamente ✅")))</f>
        <v/>
      </c>
      <c r="P933" s="31" t="str">
        <f>IF(D933="","",
IF(AND(Q933&lt;&gt;"SIM",U933&gt;0),"ERRO: % alíquota &gt; 0, mas NÃO permitida ❌",
IF(AND(Q933="SIM",U933=0),"ATENÇÃO: alíquota permitida, mas % = 0 🔎",
"Alíquota aplicada corretamente ✅")))</f>
        <v/>
      </c>
      <c r="Q933" s="8" t="str">
        <f>IF(E933="","",IFERROR(VLOOKUP(E933,REGRAS_CST!$A$2:$D$200,4,FALSE),""))</f>
        <v/>
      </c>
      <c r="S933" s="9">
        <f>IF($H933="","",$H933*(1-$U933))</f>
        <v>8.9999999999999993E-3</v>
      </c>
      <c r="T933" s="9">
        <f>IF($I933="","",$I933*(1-$U933))</f>
        <v>1E-3</v>
      </c>
      <c r="U933" s="16">
        <f>IFERROR(INDEX(BASE_CCLASSTRIB!$E:$E, MATCH(TEXT($D933,"000000"), BASE_CCLASSTRIB!$A:$A, 0))/100, 0)</f>
        <v>0</v>
      </c>
      <c r="V933" s="16">
        <f>IFERROR(INDEX(BASE_CCLASSTRIB!$F:$F, MATCH(TEXT($D933,"000000"), BASE_CCLASSTRIB!$A:$A, 0))/100, 0)</f>
        <v>0</v>
      </c>
    </row>
    <row r="934" spans="4:22" ht="32.25" customHeight="1">
      <c r="D934" s="39"/>
      <c r="E934" s="27" t="str">
        <f>IF(D934="","",LEFT(D934,3))</f>
        <v/>
      </c>
      <c r="F934" s="28" t="str">
        <f>IF(E934="","",IFERROR(VLOOKUP(E934,REGRAS_CST!$A$2:$B$200,2,FALSE),""))</f>
        <v/>
      </c>
      <c r="H934" s="29">
        <v>8.9999999999999993E-3</v>
      </c>
      <c r="I934" s="29">
        <v>1E-3</v>
      </c>
      <c r="K934" s="21" t="str">
        <f>IF(E934="","",IFERROR(VLOOKUP(E934,REGRAS_CST!$A$2:$C$200,3,FALSE),""))</f>
        <v/>
      </c>
      <c r="L934" s="23" t="str">
        <f>IF($G934="", "", $G934*(1-$V934))</f>
        <v/>
      </c>
      <c r="M934" s="24" t="str">
        <f>IF(OR($L934="",$S934=""),"",$L934*$S934)</f>
        <v/>
      </c>
      <c r="N934" s="24" t="str">
        <f>IF(OR($L934="",$T934=""),"",$L934*$T934)</f>
        <v/>
      </c>
      <c r="O934" s="15" t="str">
        <f>IF(D934="","",
IF(AND(K934&lt;&gt;"SIM",V934&gt;0),"ERRO: % BC &gt; 0, mas NÃO permitida ❌",
IF(AND(K934="SIM",V934=0),"ATENÇÃO: BC permitida, mas % = 0 🔎",
"Base de cálculo aplicada corretamente ✅")))</f>
        <v/>
      </c>
      <c r="P934" s="31" t="str">
        <f>IF(D934="","",
IF(AND(Q934&lt;&gt;"SIM",U934&gt;0),"ERRO: % alíquota &gt; 0, mas NÃO permitida ❌",
IF(AND(Q934="SIM",U934=0),"ATENÇÃO: alíquota permitida, mas % = 0 🔎",
"Alíquota aplicada corretamente ✅")))</f>
        <v/>
      </c>
      <c r="Q934" s="8" t="str">
        <f>IF(E934="","",IFERROR(VLOOKUP(E934,REGRAS_CST!$A$2:$D$200,4,FALSE),""))</f>
        <v/>
      </c>
      <c r="S934" s="9">
        <f>IF($H934="","",$H934*(1-$U934))</f>
        <v>8.9999999999999993E-3</v>
      </c>
      <c r="T934" s="9">
        <f>IF($I934="","",$I934*(1-$U934))</f>
        <v>1E-3</v>
      </c>
      <c r="U934" s="16">
        <f>IFERROR(INDEX(BASE_CCLASSTRIB!$E:$E, MATCH(TEXT($D934,"000000"), BASE_CCLASSTRIB!$A:$A, 0))/100, 0)</f>
        <v>0</v>
      </c>
      <c r="V934" s="16">
        <f>IFERROR(INDEX(BASE_CCLASSTRIB!$F:$F, MATCH(TEXT($D934,"000000"), BASE_CCLASSTRIB!$A:$A, 0))/100, 0)</f>
        <v>0</v>
      </c>
    </row>
    <row r="935" spans="4:22" ht="32.25" customHeight="1">
      <c r="D935" s="39"/>
      <c r="E935" s="27" t="str">
        <f>IF(D935="","",LEFT(D935,3))</f>
        <v/>
      </c>
      <c r="F935" s="28" t="str">
        <f>IF(E935="","",IFERROR(VLOOKUP(E935,REGRAS_CST!$A$2:$B$200,2,FALSE),""))</f>
        <v/>
      </c>
      <c r="H935" s="29">
        <v>8.9999999999999993E-3</v>
      </c>
      <c r="I935" s="29">
        <v>1E-3</v>
      </c>
      <c r="K935" s="21" t="str">
        <f>IF(E935="","",IFERROR(VLOOKUP(E935,REGRAS_CST!$A$2:$C$200,3,FALSE),""))</f>
        <v/>
      </c>
      <c r="L935" s="23" t="str">
        <f>IF($G935="", "", $G935*(1-$V935))</f>
        <v/>
      </c>
      <c r="M935" s="24" t="str">
        <f>IF(OR($L935="",$S935=""),"",$L935*$S935)</f>
        <v/>
      </c>
      <c r="N935" s="24" t="str">
        <f>IF(OR($L935="",$T935=""),"",$L935*$T935)</f>
        <v/>
      </c>
      <c r="O935" s="15" t="str">
        <f>IF(D935="","",
IF(AND(K935&lt;&gt;"SIM",V935&gt;0),"ERRO: % BC &gt; 0, mas NÃO permitida ❌",
IF(AND(K935="SIM",V935=0),"ATENÇÃO: BC permitida, mas % = 0 🔎",
"Base de cálculo aplicada corretamente ✅")))</f>
        <v/>
      </c>
      <c r="P935" s="31" t="str">
        <f>IF(D935="","",
IF(AND(Q935&lt;&gt;"SIM",U935&gt;0),"ERRO: % alíquota &gt; 0, mas NÃO permitida ❌",
IF(AND(Q935="SIM",U935=0),"ATENÇÃO: alíquota permitida, mas % = 0 🔎",
"Alíquota aplicada corretamente ✅")))</f>
        <v/>
      </c>
      <c r="Q935" s="8" t="str">
        <f>IF(E935="","",IFERROR(VLOOKUP(E935,REGRAS_CST!$A$2:$D$200,4,FALSE),""))</f>
        <v/>
      </c>
      <c r="S935" s="9">
        <f>IF($H935="","",$H935*(1-$U935))</f>
        <v>8.9999999999999993E-3</v>
      </c>
      <c r="T935" s="9">
        <f>IF($I935="","",$I935*(1-$U935))</f>
        <v>1E-3</v>
      </c>
      <c r="U935" s="16">
        <f>IFERROR(INDEX(BASE_CCLASSTRIB!$E:$E, MATCH(TEXT($D935,"000000"), BASE_CCLASSTRIB!$A:$A, 0))/100, 0)</f>
        <v>0</v>
      </c>
      <c r="V935" s="16">
        <f>IFERROR(INDEX(BASE_CCLASSTRIB!$F:$F, MATCH(TEXT($D935,"000000"), BASE_CCLASSTRIB!$A:$A, 0))/100, 0)</f>
        <v>0</v>
      </c>
    </row>
    <row r="936" spans="4:22" ht="32.25" customHeight="1">
      <c r="D936" s="39"/>
      <c r="E936" s="27" t="str">
        <f>IF(D936="","",LEFT(D936,3))</f>
        <v/>
      </c>
      <c r="F936" s="28" t="str">
        <f>IF(E936="","",IFERROR(VLOOKUP(E936,REGRAS_CST!$A$2:$B$200,2,FALSE),""))</f>
        <v/>
      </c>
      <c r="H936" s="29">
        <v>8.9999999999999993E-3</v>
      </c>
      <c r="I936" s="29">
        <v>1E-3</v>
      </c>
      <c r="K936" s="21" t="str">
        <f>IF(E936="","",IFERROR(VLOOKUP(E936,REGRAS_CST!$A$2:$C$200,3,FALSE),""))</f>
        <v/>
      </c>
      <c r="L936" s="23" t="str">
        <f>IF($G936="", "", $G936*(1-$V936))</f>
        <v/>
      </c>
      <c r="M936" s="24" t="str">
        <f>IF(OR($L936="",$S936=""),"",$L936*$S936)</f>
        <v/>
      </c>
      <c r="N936" s="24" t="str">
        <f>IF(OR($L936="",$T936=""),"",$L936*$T936)</f>
        <v/>
      </c>
      <c r="O936" s="15" t="str">
        <f>IF(D936="","",
IF(AND(K936&lt;&gt;"SIM",V936&gt;0),"ERRO: % BC &gt; 0, mas NÃO permitida ❌",
IF(AND(K936="SIM",V936=0),"ATENÇÃO: BC permitida, mas % = 0 🔎",
"Base de cálculo aplicada corretamente ✅")))</f>
        <v/>
      </c>
      <c r="P936" s="31" t="str">
        <f>IF(D936="","",
IF(AND(Q936&lt;&gt;"SIM",U936&gt;0),"ERRO: % alíquota &gt; 0, mas NÃO permitida ❌",
IF(AND(Q936="SIM",U936=0),"ATENÇÃO: alíquota permitida, mas % = 0 🔎",
"Alíquota aplicada corretamente ✅")))</f>
        <v/>
      </c>
      <c r="Q936" s="8" t="str">
        <f>IF(E936="","",IFERROR(VLOOKUP(E936,REGRAS_CST!$A$2:$D$200,4,FALSE),""))</f>
        <v/>
      </c>
      <c r="S936" s="9">
        <f>IF($H936="","",$H936*(1-$U936))</f>
        <v>8.9999999999999993E-3</v>
      </c>
      <c r="T936" s="9">
        <f>IF($I936="","",$I936*(1-$U936))</f>
        <v>1E-3</v>
      </c>
      <c r="U936" s="16">
        <f>IFERROR(INDEX(BASE_CCLASSTRIB!$E:$E, MATCH(TEXT($D936,"000000"), BASE_CCLASSTRIB!$A:$A, 0))/100, 0)</f>
        <v>0</v>
      </c>
      <c r="V936" s="16">
        <f>IFERROR(INDEX(BASE_CCLASSTRIB!$F:$F, MATCH(TEXT($D936,"000000"), BASE_CCLASSTRIB!$A:$A, 0))/100, 0)</f>
        <v>0</v>
      </c>
    </row>
    <row r="937" spans="4:22" ht="32.25" customHeight="1">
      <c r="D937" s="39"/>
      <c r="E937" s="27" t="str">
        <f>IF(D937="","",LEFT(D937,3))</f>
        <v/>
      </c>
      <c r="F937" s="28" t="str">
        <f>IF(E937="","",IFERROR(VLOOKUP(E937,REGRAS_CST!$A$2:$B$200,2,FALSE),""))</f>
        <v/>
      </c>
      <c r="H937" s="29">
        <v>8.9999999999999993E-3</v>
      </c>
      <c r="I937" s="29">
        <v>1E-3</v>
      </c>
      <c r="K937" s="21" t="str">
        <f>IF(E937="","",IFERROR(VLOOKUP(E937,REGRAS_CST!$A$2:$C$200,3,FALSE),""))</f>
        <v/>
      </c>
      <c r="L937" s="23" t="str">
        <f>IF($G937="", "", $G937*(1-$V937))</f>
        <v/>
      </c>
      <c r="M937" s="24" t="str">
        <f>IF(OR($L937="",$S937=""),"",$L937*$S937)</f>
        <v/>
      </c>
      <c r="N937" s="24" t="str">
        <f>IF(OR($L937="",$T937=""),"",$L937*$T937)</f>
        <v/>
      </c>
      <c r="O937" s="15" t="str">
        <f>IF(D937="","",
IF(AND(K937&lt;&gt;"SIM",V937&gt;0),"ERRO: % BC &gt; 0, mas NÃO permitida ❌",
IF(AND(K937="SIM",V937=0),"ATENÇÃO: BC permitida, mas % = 0 🔎",
"Base de cálculo aplicada corretamente ✅")))</f>
        <v/>
      </c>
      <c r="P937" s="31" t="str">
        <f>IF(D937="","",
IF(AND(Q937&lt;&gt;"SIM",U937&gt;0),"ERRO: % alíquota &gt; 0, mas NÃO permitida ❌",
IF(AND(Q937="SIM",U937=0),"ATENÇÃO: alíquota permitida, mas % = 0 🔎",
"Alíquota aplicada corretamente ✅")))</f>
        <v/>
      </c>
      <c r="Q937" s="8" t="str">
        <f>IF(E937="","",IFERROR(VLOOKUP(E937,REGRAS_CST!$A$2:$D$200,4,FALSE),""))</f>
        <v/>
      </c>
      <c r="S937" s="9">
        <f>IF($H937="","",$H937*(1-$U937))</f>
        <v>8.9999999999999993E-3</v>
      </c>
      <c r="T937" s="9">
        <f>IF($I937="","",$I937*(1-$U937))</f>
        <v>1E-3</v>
      </c>
      <c r="U937" s="16">
        <f>IFERROR(INDEX(BASE_CCLASSTRIB!$E:$E, MATCH(TEXT($D937,"000000"), BASE_CCLASSTRIB!$A:$A, 0))/100, 0)</f>
        <v>0</v>
      </c>
      <c r="V937" s="16">
        <f>IFERROR(INDEX(BASE_CCLASSTRIB!$F:$F, MATCH(TEXT($D937,"000000"), BASE_CCLASSTRIB!$A:$A, 0))/100, 0)</f>
        <v>0</v>
      </c>
    </row>
    <row r="938" spans="4:22" ht="32.25" customHeight="1">
      <c r="D938" s="39"/>
      <c r="E938" s="27" t="str">
        <f>IF(D938="","",LEFT(D938,3))</f>
        <v/>
      </c>
      <c r="F938" s="28" t="str">
        <f>IF(E938="","",IFERROR(VLOOKUP(E938,REGRAS_CST!$A$2:$B$200,2,FALSE),""))</f>
        <v/>
      </c>
      <c r="H938" s="29">
        <v>8.9999999999999993E-3</v>
      </c>
      <c r="I938" s="29">
        <v>1E-3</v>
      </c>
      <c r="K938" s="21" t="str">
        <f>IF(E938="","",IFERROR(VLOOKUP(E938,REGRAS_CST!$A$2:$C$200,3,FALSE),""))</f>
        <v/>
      </c>
      <c r="L938" s="23" t="str">
        <f>IF($G938="", "", $G938*(1-$V938))</f>
        <v/>
      </c>
      <c r="M938" s="24" t="str">
        <f>IF(OR($L938="",$S938=""),"",$L938*$S938)</f>
        <v/>
      </c>
      <c r="N938" s="24" t="str">
        <f>IF(OR($L938="",$T938=""),"",$L938*$T938)</f>
        <v/>
      </c>
      <c r="O938" s="15" t="str">
        <f>IF(D938="","",
IF(AND(K938&lt;&gt;"SIM",V938&gt;0),"ERRO: % BC &gt; 0, mas NÃO permitida ❌",
IF(AND(K938="SIM",V938=0),"ATENÇÃO: BC permitida, mas % = 0 🔎",
"Base de cálculo aplicada corretamente ✅")))</f>
        <v/>
      </c>
      <c r="P938" s="31" t="str">
        <f>IF(D938="","",
IF(AND(Q938&lt;&gt;"SIM",U938&gt;0),"ERRO: % alíquota &gt; 0, mas NÃO permitida ❌",
IF(AND(Q938="SIM",U938=0),"ATENÇÃO: alíquota permitida, mas % = 0 🔎",
"Alíquota aplicada corretamente ✅")))</f>
        <v/>
      </c>
      <c r="Q938" s="8" t="str">
        <f>IF(E938="","",IFERROR(VLOOKUP(E938,REGRAS_CST!$A$2:$D$200,4,FALSE),""))</f>
        <v/>
      </c>
      <c r="S938" s="9">
        <f>IF($H938="","",$H938*(1-$U938))</f>
        <v>8.9999999999999993E-3</v>
      </c>
      <c r="T938" s="9">
        <f>IF($I938="","",$I938*(1-$U938))</f>
        <v>1E-3</v>
      </c>
      <c r="U938" s="16">
        <f>IFERROR(INDEX(BASE_CCLASSTRIB!$E:$E, MATCH(TEXT($D938,"000000"), BASE_CCLASSTRIB!$A:$A, 0))/100, 0)</f>
        <v>0</v>
      </c>
      <c r="V938" s="16">
        <f>IFERROR(INDEX(BASE_CCLASSTRIB!$F:$F, MATCH(TEXT($D938,"000000"), BASE_CCLASSTRIB!$A:$A, 0))/100, 0)</f>
        <v>0</v>
      </c>
    </row>
    <row r="939" spans="4:22" ht="32.25" customHeight="1">
      <c r="D939" s="40"/>
      <c r="E939" s="27" t="str">
        <f>IF(D939="","",LEFT(D939,3))</f>
        <v/>
      </c>
      <c r="F939" s="28" t="str">
        <f>IF(E939="","",IFERROR(VLOOKUP(E939,REGRAS_CST!$A$2:$B$200,2,FALSE),""))</f>
        <v/>
      </c>
      <c r="H939" s="29">
        <v>8.9999999999999993E-3</v>
      </c>
      <c r="I939" s="29">
        <v>1E-3</v>
      </c>
      <c r="K939" s="21" t="str">
        <f>IF(E939="","",IFERROR(VLOOKUP(E939,REGRAS_CST!$A$2:$C$200,3,FALSE),""))</f>
        <v/>
      </c>
      <c r="L939" s="23" t="str">
        <f>IF($G939="", "", $G939*(1-$V939))</f>
        <v/>
      </c>
      <c r="M939" s="24" t="str">
        <f>IF(OR($L939="",$S939=""),"",$L939*$S939)</f>
        <v/>
      </c>
      <c r="N939" s="24" t="str">
        <f>IF(OR($L939="",$T939=""),"",$L939*$T939)</f>
        <v/>
      </c>
      <c r="O939" s="15" t="str">
        <f>IF(D939="","",
IF(AND(K939&lt;&gt;"SIM",V939&gt;0),"ERRO: % BC &gt; 0, mas NÃO permitida ❌",
IF(AND(K939="SIM",V939=0),"ATENÇÃO: BC permitida, mas % = 0 🔎",
"Base de cálculo aplicada corretamente ✅")))</f>
        <v/>
      </c>
      <c r="P939" s="31" t="str">
        <f>IF(D939="","",
IF(AND(Q939&lt;&gt;"SIM",U939&gt;0),"ERRO: % alíquota &gt; 0, mas NÃO permitida ❌",
IF(AND(Q939="SIM",U939=0),"ATENÇÃO: alíquota permitida, mas % = 0 🔎",
"Alíquota aplicada corretamente ✅")))</f>
        <v/>
      </c>
      <c r="Q939" s="8" t="str">
        <f>IF(E939="","",IFERROR(VLOOKUP(E939,REGRAS_CST!$A$2:$D$200,4,FALSE),""))</f>
        <v/>
      </c>
      <c r="S939" s="9">
        <f>IF($H939="","",$H939*(1-$U939))</f>
        <v>8.9999999999999993E-3</v>
      </c>
      <c r="T939" s="9">
        <f>IF($I939="","",$I939*(1-$U939))</f>
        <v>1E-3</v>
      </c>
      <c r="U939" s="16">
        <f>IFERROR(INDEX(BASE_CCLASSTRIB!$E:$E, MATCH(TEXT($D939,"000000"), BASE_CCLASSTRIB!$A:$A, 0))/100, 0)</f>
        <v>0</v>
      </c>
      <c r="V939" s="16">
        <f>IFERROR(INDEX(BASE_CCLASSTRIB!$F:$F, MATCH(TEXT($D939,"000000"), BASE_CCLASSTRIB!$A:$A, 0))/100, 0)</f>
        <v>0</v>
      </c>
    </row>
    <row r="940" spans="4:22" ht="32.25" customHeight="1">
      <c r="D940" s="39"/>
      <c r="E940" s="27" t="str">
        <f>IF(D940="","",LEFT(D940,3))</f>
        <v/>
      </c>
      <c r="F940" s="28" t="str">
        <f>IF(E940="","",IFERROR(VLOOKUP(E940,REGRAS_CST!$A$2:$B$200,2,FALSE),""))</f>
        <v/>
      </c>
      <c r="H940" s="29">
        <v>8.9999999999999993E-3</v>
      </c>
      <c r="I940" s="29">
        <v>1E-3</v>
      </c>
      <c r="K940" s="21" t="str">
        <f>IF(E940="","",IFERROR(VLOOKUP(E940,REGRAS_CST!$A$2:$C$200,3,FALSE),""))</f>
        <v/>
      </c>
      <c r="L940" s="23" t="str">
        <f>IF($G940="", "", $G940*(1-$V940))</f>
        <v/>
      </c>
      <c r="M940" s="24" t="str">
        <f>IF(OR($L940="",$S940=""),"",$L940*$S940)</f>
        <v/>
      </c>
      <c r="N940" s="24" t="str">
        <f>IF(OR($L940="",$T940=""),"",$L940*$T940)</f>
        <v/>
      </c>
      <c r="O940" s="15" t="str">
        <f>IF(D940="","",
IF(AND(K940&lt;&gt;"SIM",V940&gt;0),"ERRO: % BC &gt; 0, mas NÃO permitida ❌",
IF(AND(K940="SIM",V940=0),"ATENÇÃO: BC permitida, mas % = 0 🔎",
"Base de cálculo aplicada corretamente ✅")))</f>
        <v/>
      </c>
      <c r="P940" s="31" t="str">
        <f>IF(D940="","",
IF(AND(Q940&lt;&gt;"SIM",U940&gt;0),"ERRO: % alíquota &gt; 0, mas NÃO permitida ❌",
IF(AND(Q940="SIM",U940=0),"ATENÇÃO: alíquota permitida, mas % = 0 🔎",
"Alíquota aplicada corretamente ✅")))</f>
        <v/>
      </c>
      <c r="Q940" s="8" t="str">
        <f>IF(E940="","",IFERROR(VLOOKUP(E940,REGRAS_CST!$A$2:$D$200,4,FALSE),""))</f>
        <v/>
      </c>
      <c r="S940" s="9">
        <f>IF($H940="","",$H940*(1-$U940))</f>
        <v>8.9999999999999993E-3</v>
      </c>
      <c r="T940" s="9">
        <f>IF($I940="","",$I940*(1-$U940))</f>
        <v>1E-3</v>
      </c>
      <c r="U940" s="16">
        <f>IFERROR(INDEX(BASE_CCLASSTRIB!$E:$E, MATCH(TEXT($D940,"000000"), BASE_CCLASSTRIB!$A:$A, 0))/100, 0)</f>
        <v>0</v>
      </c>
      <c r="V940" s="16">
        <f>IFERROR(INDEX(BASE_CCLASSTRIB!$F:$F, MATCH(TEXT($D940,"000000"), BASE_CCLASSTRIB!$A:$A, 0))/100, 0)</f>
        <v>0</v>
      </c>
    </row>
    <row r="941" spans="4:22" ht="32.25" customHeight="1">
      <c r="D941" s="40"/>
      <c r="E941" s="27" t="str">
        <f>IF(D941="","",LEFT(D941,3))</f>
        <v/>
      </c>
      <c r="F941" s="28" t="str">
        <f>IF(E941="","",IFERROR(VLOOKUP(E941,REGRAS_CST!$A$2:$B$200,2,FALSE),""))</f>
        <v/>
      </c>
      <c r="H941" s="29">
        <v>8.9999999999999993E-3</v>
      </c>
      <c r="I941" s="29">
        <v>1E-3</v>
      </c>
      <c r="K941" s="21" t="str">
        <f>IF(E941="","",IFERROR(VLOOKUP(E941,REGRAS_CST!$A$2:$C$200,3,FALSE),""))</f>
        <v/>
      </c>
      <c r="L941" s="23" t="str">
        <f>IF($G941="", "", $G941*(1-$V941))</f>
        <v/>
      </c>
      <c r="M941" s="24" t="str">
        <f>IF(OR($L941="",$S941=""),"",$L941*$S941)</f>
        <v/>
      </c>
      <c r="N941" s="24" t="str">
        <f>IF(OR($L941="",$T941=""),"",$L941*$T941)</f>
        <v/>
      </c>
      <c r="O941" s="15" t="str">
        <f>IF(D941="","",
IF(AND(K941&lt;&gt;"SIM",V941&gt;0),"ERRO: % BC &gt; 0, mas NÃO permitida ❌",
IF(AND(K941="SIM",V941=0),"ATENÇÃO: BC permitida, mas % = 0 🔎",
"Base de cálculo aplicada corretamente ✅")))</f>
        <v/>
      </c>
      <c r="P941" s="31" t="str">
        <f>IF(D941="","",
IF(AND(Q941&lt;&gt;"SIM",U941&gt;0),"ERRO: % alíquota &gt; 0, mas NÃO permitida ❌",
IF(AND(Q941="SIM",U941=0),"ATENÇÃO: alíquota permitida, mas % = 0 🔎",
"Alíquota aplicada corretamente ✅")))</f>
        <v/>
      </c>
      <c r="Q941" s="8" t="str">
        <f>IF(E941="","",IFERROR(VLOOKUP(E941,REGRAS_CST!$A$2:$D$200,4,FALSE),""))</f>
        <v/>
      </c>
      <c r="S941" s="9">
        <f>IF($H941="","",$H941*(1-$U941))</f>
        <v>8.9999999999999993E-3</v>
      </c>
      <c r="T941" s="9">
        <f>IF($I941="","",$I941*(1-$U941))</f>
        <v>1E-3</v>
      </c>
      <c r="U941" s="16">
        <f>IFERROR(INDEX(BASE_CCLASSTRIB!$E:$E, MATCH(TEXT($D941,"000000"), BASE_CCLASSTRIB!$A:$A, 0))/100, 0)</f>
        <v>0</v>
      </c>
      <c r="V941" s="16">
        <f>IFERROR(INDEX(BASE_CCLASSTRIB!$F:$F, MATCH(TEXT($D941,"000000"), BASE_CCLASSTRIB!$A:$A, 0))/100, 0)</f>
        <v>0</v>
      </c>
    </row>
    <row r="942" spans="4:22" ht="32.25" customHeight="1">
      <c r="D942" s="40"/>
      <c r="E942" s="27" t="str">
        <f>IF(D942="","",LEFT(D942,3))</f>
        <v/>
      </c>
      <c r="F942" s="28" t="str">
        <f>IF(E942="","",IFERROR(VLOOKUP(E942,REGRAS_CST!$A$2:$B$200,2,FALSE),""))</f>
        <v/>
      </c>
      <c r="H942" s="29">
        <v>8.9999999999999993E-3</v>
      </c>
      <c r="I942" s="29">
        <v>1E-3</v>
      </c>
      <c r="K942" s="21" t="str">
        <f>IF(E942="","",IFERROR(VLOOKUP(E942,REGRAS_CST!$A$2:$C$200,3,FALSE),""))</f>
        <v/>
      </c>
      <c r="L942" s="23" t="str">
        <f>IF($G942="", "", $G942*(1-$V942))</f>
        <v/>
      </c>
      <c r="M942" s="24" t="str">
        <f>IF(OR($L942="",$S942=""),"",$L942*$S942)</f>
        <v/>
      </c>
      <c r="N942" s="24" t="str">
        <f>IF(OR($L942="",$T942=""),"",$L942*$T942)</f>
        <v/>
      </c>
      <c r="O942" s="15" t="str">
        <f>IF(D942="","",
IF(AND(K942&lt;&gt;"SIM",V942&gt;0),"ERRO: % BC &gt; 0, mas NÃO permitida ❌",
IF(AND(K942="SIM",V942=0),"ATENÇÃO: BC permitida, mas % = 0 🔎",
"Base de cálculo aplicada corretamente ✅")))</f>
        <v/>
      </c>
      <c r="P942" s="31" t="str">
        <f>IF(D942="","",
IF(AND(Q942&lt;&gt;"SIM",U942&gt;0),"ERRO: % alíquota &gt; 0, mas NÃO permitida ❌",
IF(AND(Q942="SIM",U942=0),"ATENÇÃO: alíquota permitida, mas % = 0 🔎",
"Alíquota aplicada corretamente ✅")))</f>
        <v/>
      </c>
      <c r="Q942" s="8" t="str">
        <f>IF(E942="","",IFERROR(VLOOKUP(E942,REGRAS_CST!$A$2:$D$200,4,FALSE),""))</f>
        <v/>
      </c>
      <c r="S942" s="9">
        <f>IF($H942="","",$H942*(1-$U942))</f>
        <v>8.9999999999999993E-3</v>
      </c>
      <c r="T942" s="9">
        <f>IF($I942="","",$I942*(1-$U942))</f>
        <v>1E-3</v>
      </c>
      <c r="U942" s="16">
        <f>IFERROR(INDEX(BASE_CCLASSTRIB!$E:$E, MATCH(TEXT($D942,"000000"), BASE_CCLASSTRIB!$A:$A, 0))/100, 0)</f>
        <v>0</v>
      </c>
      <c r="V942" s="16">
        <f>IFERROR(INDEX(BASE_CCLASSTRIB!$F:$F, MATCH(TEXT($D942,"000000"), BASE_CCLASSTRIB!$A:$A, 0))/100, 0)</f>
        <v>0</v>
      </c>
    </row>
    <row r="943" spans="4:22" ht="32.25" customHeight="1">
      <c r="D943" s="39"/>
      <c r="E943" s="27" t="str">
        <f>IF(D943="","",LEFT(D943,3))</f>
        <v/>
      </c>
      <c r="F943" s="28" t="str">
        <f>IF(E943="","",IFERROR(VLOOKUP(E943,REGRAS_CST!$A$2:$B$200,2,FALSE),""))</f>
        <v/>
      </c>
      <c r="H943" s="29">
        <v>8.9999999999999993E-3</v>
      </c>
      <c r="I943" s="29">
        <v>1E-3</v>
      </c>
      <c r="K943" s="21" t="str">
        <f>IF(E943="","",IFERROR(VLOOKUP(E943,REGRAS_CST!$A$2:$C$200,3,FALSE),""))</f>
        <v/>
      </c>
      <c r="L943" s="23" t="str">
        <f>IF($G943="", "", $G943*(1-$V943))</f>
        <v/>
      </c>
      <c r="M943" s="24" t="str">
        <f>IF(OR($L943="",$S943=""),"",$L943*$S943)</f>
        <v/>
      </c>
      <c r="N943" s="24" t="str">
        <f>IF(OR($L943="",$T943=""),"",$L943*$T943)</f>
        <v/>
      </c>
      <c r="O943" s="15" t="str">
        <f>IF(D943="","",
IF(AND(K943&lt;&gt;"SIM",V943&gt;0),"ERRO: % BC &gt; 0, mas NÃO permitida ❌",
IF(AND(K943="SIM",V943=0),"ATENÇÃO: BC permitida, mas % = 0 🔎",
"Base de cálculo aplicada corretamente ✅")))</f>
        <v/>
      </c>
      <c r="P943" s="31" t="str">
        <f>IF(D943="","",
IF(AND(Q943&lt;&gt;"SIM",U943&gt;0),"ERRO: % alíquota &gt; 0, mas NÃO permitida ❌",
IF(AND(Q943="SIM",U943=0),"ATENÇÃO: alíquota permitida, mas % = 0 🔎",
"Alíquota aplicada corretamente ✅")))</f>
        <v/>
      </c>
      <c r="Q943" s="8" t="str">
        <f>IF(E943="","",IFERROR(VLOOKUP(E943,REGRAS_CST!$A$2:$D$200,4,FALSE),""))</f>
        <v/>
      </c>
      <c r="S943" s="9">
        <f>IF($H943="","",$H943*(1-$U943))</f>
        <v>8.9999999999999993E-3</v>
      </c>
      <c r="T943" s="9">
        <f>IF($I943="","",$I943*(1-$U943))</f>
        <v>1E-3</v>
      </c>
      <c r="U943" s="16">
        <f>IFERROR(INDEX(BASE_CCLASSTRIB!$E:$E, MATCH(TEXT($D943,"000000"), BASE_CCLASSTRIB!$A:$A, 0))/100, 0)</f>
        <v>0</v>
      </c>
      <c r="V943" s="16">
        <f>IFERROR(INDEX(BASE_CCLASSTRIB!$F:$F, MATCH(TEXT($D943,"000000"), BASE_CCLASSTRIB!$A:$A, 0))/100, 0)</f>
        <v>0</v>
      </c>
    </row>
    <row r="944" spans="4:22" ht="32.25" customHeight="1">
      <c r="D944" s="40"/>
      <c r="E944" s="27" t="str">
        <f>IF(D944="","",LEFT(D944,3))</f>
        <v/>
      </c>
      <c r="F944" s="28" t="str">
        <f>IF(E944="","",IFERROR(VLOOKUP(E944,REGRAS_CST!$A$2:$B$200,2,FALSE),""))</f>
        <v/>
      </c>
      <c r="H944" s="29">
        <v>8.9999999999999993E-3</v>
      </c>
      <c r="I944" s="29">
        <v>1E-3</v>
      </c>
      <c r="K944" s="21" t="str">
        <f>IF(E944="","",IFERROR(VLOOKUP(E944,REGRAS_CST!$A$2:$C$200,3,FALSE),""))</f>
        <v/>
      </c>
      <c r="L944" s="23" t="str">
        <f>IF($G944="", "", $G944*(1-$V944))</f>
        <v/>
      </c>
      <c r="M944" s="24" t="str">
        <f>IF(OR($L944="",$S944=""),"",$L944*$S944)</f>
        <v/>
      </c>
      <c r="N944" s="24" t="str">
        <f>IF(OR($L944="",$T944=""),"",$L944*$T944)</f>
        <v/>
      </c>
      <c r="O944" s="15" t="str">
        <f>IF(D944="","",
IF(AND(K944&lt;&gt;"SIM",V944&gt;0),"ERRO: % BC &gt; 0, mas NÃO permitida ❌",
IF(AND(K944="SIM",V944=0),"ATENÇÃO: BC permitida, mas % = 0 🔎",
"Base de cálculo aplicada corretamente ✅")))</f>
        <v/>
      </c>
      <c r="P944" s="31" t="str">
        <f>IF(D944="","",
IF(AND(Q944&lt;&gt;"SIM",U944&gt;0),"ERRO: % alíquota &gt; 0, mas NÃO permitida ❌",
IF(AND(Q944="SIM",U944=0),"ATENÇÃO: alíquota permitida, mas % = 0 🔎",
"Alíquota aplicada corretamente ✅")))</f>
        <v/>
      </c>
      <c r="Q944" s="8" t="str">
        <f>IF(E944="","",IFERROR(VLOOKUP(E944,REGRAS_CST!$A$2:$D$200,4,FALSE),""))</f>
        <v/>
      </c>
      <c r="S944" s="9">
        <f>IF($H944="","",$H944*(1-$U944))</f>
        <v>8.9999999999999993E-3</v>
      </c>
      <c r="T944" s="9">
        <f>IF($I944="","",$I944*(1-$U944))</f>
        <v>1E-3</v>
      </c>
      <c r="U944" s="16">
        <f>IFERROR(INDEX(BASE_CCLASSTRIB!$E:$E, MATCH(TEXT($D944,"000000"), BASE_CCLASSTRIB!$A:$A, 0))/100, 0)</f>
        <v>0</v>
      </c>
      <c r="V944" s="16">
        <f>IFERROR(INDEX(BASE_CCLASSTRIB!$F:$F, MATCH(TEXT($D944,"000000"), BASE_CCLASSTRIB!$A:$A, 0))/100, 0)</f>
        <v>0</v>
      </c>
    </row>
    <row r="945" spans="4:22" ht="32.25" customHeight="1">
      <c r="D945" s="40"/>
      <c r="E945" s="27" t="str">
        <f>IF(D945="","",LEFT(D945,3))</f>
        <v/>
      </c>
      <c r="F945" s="28" t="str">
        <f>IF(E945="","",IFERROR(VLOOKUP(E945,REGRAS_CST!$A$2:$B$200,2,FALSE),""))</f>
        <v/>
      </c>
      <c r="H945" s="29">
        <v>8.9999999999999993E-3</v>
      </c>
      <c r="I945" s="29">
        <v>1E-3</v>
      </c>
      <c r="K945" s="21" t="str">
        <f>IF(E945="","",IFERROR(VLOOKUP(E945,REGRAS_CST!$A$2:$C$200,3,FALSE),""))</f>
        <v/>
      </c>
      <c r="L945" s="23" t="str">
        <f>IF($G945="", "", $G945*(1-$V945))</f>
        <v/>
      </c>
      <c r="M945" s="24" t="str">
        <f>IF(OR($L945="",$S945=""),"",$L945*$S945)</f>
        <v/>
      </c>
      <c r="N945" s="24" t="str">
        <f>IF(OR($L945="",$T945=""),"",$L945*$T945)</f>
        <v/>
      </c>
      <c r="O945" s="15" t="str">
        <f>IF(D945="","",
IF(AND(K945&lt;&gt;"SIM",V945&gt;0),"ERRO: % BC &gt; 0, mas NÃO permitida ❌",
IF(AND(K945="SIM",V945=0),"ATENÇÃO: BC permitida, mas % = 0 🔎",
"Base de cálculo aplicada corretamente ✅")))</f>
        <v/>
      </c>
      <c r="P945" s="31" t="str">
        <f>IF(D945="","",
IF(AND(Q945&lt;&gt;"SIM",U945&gt;0),"ERRO: % alíquota &gt; 0, mas NÃO permitida ❌",
IF(AND(Q945="SIM",U945=0),"ATENÇÃO: alíquota permitida, mas % = 0 🔎",
"Alíquota aplicada corretamente ✅")))</f>
        <v/>
      </c>
      <c r="Q945" s="8" t="str">
        <f>IF(E945="","",IFERROR(VLOOKUP(E945,REGRAS_CST!$A$2:$D$200,4,FALSE),""))</f>
        <v/>
      </c>
      <c r="S945" s="9">
        <f>IF($H945="","",$H945*(1-$U945))</f>
        <v>8.9999999999999993E-3</v>
      </c>
      <c r="T945" s="9">
        <f>IF($I945="","",$I945*(1-$U945))</f>
        <v>1E-3</v>
      </c>
      <c r="U945" s="16">
        <f>IFERROR(INDEX(BASE_CCLASSTRIB!$E:$E, MATCH(TEXT($D945,"000000"), BASE_CCLASSTRIB!$A:$A, 0))/100, 0)</f>
        <v>0</v>
      </c>
      <c r="V945" s="16">
        <f>IFERROR(INDEX(BASE_CCLASSTRIB!$F:$F, MATCH(TEXT($D945,"000000"), BASE_CCLASSTRIB!$A:$A, 0))/100, 0)</f>
        <v>0</v>
      </c>
    </row>
    <row r="946" spans="4:22" ht="32.25" customHeight="1">
      <c r="D946" s="40"/>
      <c r="E946" s="27" t="str">
        <f>IF(D946="","",LEFT(D946,3))</f>
        <v/>
      </c>
      <c r="F946" s="28" t="str">
        <f>IF(E946="","",IFERROR(VLOOKUP(E946,REGRAS_CST!$A$2:$B$200,2,FALSE),""))</f>
        <v/>
      </c>
      <c r="H946" s="29">
        <v>8.9999999999999993E-3</v>
      </c>
      <c r="I946" s="29">
        <v>1E-3</v>
      </c>
      <c r="K946" s="21" t="str">
        <f>IF(E946="","",IFERROR(VLOOKUP(E946,REGRAS_CST!$A$2:$C$200,3,FALSE),""))</f>
        <v/>
      </c>
      <c r="L946" s="23" t="str">
        <f>IF($G946="", "", $G946*(1-$V946))</f>
        <v/>
      </c>
      <c r="M946" s="24" t="str">
        <f>IF(OR($L946="",$S946=""),"",$L946*$S946)</f>
        <v/>
      </c>
      <c r="N946" s="24" t="str">
        <f>IF(OR($L946="",$T946=""),"",$L946*$T946)</f>
        <v/>
      </c>
      <c r="O946" s="15" t="str">
        <f>IF(D946="","",
IF(AND(K946&lt;&gt;"SIM",V946&gt;0),"ERRO: % BC &gt; 0, mas NÃO permitida ❌",
IF(AND(K946="SIM",V946=0),"ATENÇÃO: BC permitida, mas % = 0 🔎",
"Base de cálculo aplicada corretamente ✅")))</f>
        <v/>
      </c>
      <c r="P946" s="31" t="str">
        <f>IF(D946="","",
IF(AND(Q946&lt;&gt;"SIM",U946&gt;0),"ERRO: % alíquota &gt; 0, mas NÃO permitida ❌",
IF(AND(Q946="SIM",U946=0),"ATENÇÃO: alíquota permitida, mas % = 0 🔎",
"Alíquota aplicada corretamente ✅")))</f>
        <v/>
      </c>
      <c r="Q946" s="8" t="str">
        <f>IF(E946="","",IFERROR(VLOOKUP(E946,REGRAS_CST!$A$2:$D$200,4,FALSE),""))</f>
        <v/>
      </c>
      <c r="S946" s="9">
        <f>IF($H946="","",$H946*(1-$U946))</f>
        <v>8.9999999999999993E-3</v>
      </c>
      <c r="T946" s="9">
        <f>IF($I946="","",$I946*(1-$U946))</f>
        <v>1E-3</v>
      </c>
      <c r="U946" s="16">
        <f>IFERROR(INDEX(BASE_CCLASSTRIB!$E:$E, MATCH(TEXT($D946,"000000"), BASE_CCLASSTRIB!$A:$A, 0))/100, 0)</f>
        <v>0</v>
      </c>
      <c r="V946" s="16">
        <f>IFERROR(INDEX(BASE_CCLASSTRIB!$F:$F, MATCH(TEXT($D946,"000000"), BASE_CCLASSTRIB!$A:$A, 0))/100, 0)</f>
        <v>0</v>
      </c>
    </row>
    <row r="947" spans="4:22" ht="32.25" customHeight="1">
      <c r="D947" s="39"/>
      <c r="E947" s="27" t="str">
        <f>IF(D947="","",LEFT(D947,3))</f>
        <v/>
      </c>
      <c r="F947" s="28" t="str">
        <f>IF(E947="","",IFERROR(VLOOKUP(E947,REGRAS_CST!$A$2:$B$200,2,FALSE),""))</f>
        <v/>
      </c>
      <c r="H947" s="29">
        <v>8.9999999999999993E-3</v>
      </c>
      <c r="I947" s="29">
        <v>1E-3</v>
      </c>
      <c r="K947" s="21" t="str">
        <f>IF(E947="","",IFERROR(VLOOKUP(E947,REGRAS_CST!$A$2:$C$200,3,FALSE),""))</f>
        <v/>
      </c>
      <c r="L947" s="23" t="str">
        <f>IF($G947="", "", $G947*(1-$V947))</f>
        <v/>
      </c>
      <c r="M947" s="24" t="str">
        <f>IF(OR($L947="",$S947=""),"",$L947*$S947)</f>
        <v/>
      </c>
      <c r="N947" s="24" t="str">
        <f>IF(OR($L947="",$T947=""),"",$L947*$T947)</f>
        <v/>
      </c>
      <c r="O947" s="15" t="str">
        <f>IF(D947="","",
IF(AND(K947&lt;&gt;"SIM",V947&gt;0),"ERRO: % BC &gt; 0, mas NÃO permitida ❌",
IF(AND(K947="SIM",V947=0),"ATENÇÃO: BC permitida, mas % = 0 🔎",
"Base de cálculo aplicada corretamente ✅")))</f>
        <v/>
      </c>
      <c r="P947" s="31" t="str">
        <f>IF(D947="","",
IF(AND(Q947&lt;&gt;"SIM",U947&gt;0),"ERRO: % alíquota &gt; 0, mas NÃO permitida ❌",
IF(AND(Q947="SIM",U947=0),"ATENÇÃO: alíquota permitida, mas % = 0 🔎",
"Alíquota aplicada corretamente ✅")))</f>
        <v/>
      </c>
      <c r="Q947" s="8" t="str">
        <f>IF(E947="","",IFERROR(VLOOKUP(E947,REGRAS_CST!$A$2:$D$200,4,FALSE),""))</f>
        <v/>
      </c>
      <c r="S947" s="9">
        <f>IF($H947="","",$H947*(1-$U947))</f>
        <v>8.9999999999999993E-3</v>
      </c>
      <c r="T947" s="9">
        <f>IF($I947="","",$I947*(1-$U947))</f>
        <v>1E-3</v>
      </c>
      <c r="U947" s="16">
        <f>IFERROR(INDEX(BASE_CCLASSTRIB!$E:$E, MATCH(TEXT($D947,"000000"), BASE_CCLASSTRIB!$A:$A, 0))/100, 0)</f>
        <v>0</v>
      </c>
      <c r="V947" s="16">
        <f>IFERROR(INDEX(BASE_CCLASSTRIB!$F:$F, MATCH(TEXT($D947,"000000"), BASE_CCLASSTRIB!$A:$A, 0))/100, 0)</f>
        <v>0</v>
      </c>
    </row>
    <row r="948" spans="4:22" ht="32.25" customHeight="1">
      <c r="D948" s="39"/>
      <c r="E948" s="27" t="str">
        <f>IF(D948="","",LEFT(D948,3))</f>
        <v/>
      </c>
      <c r="F948" s="28" t="str">
        <f>IF(E948="","",IFERROR(VLOOKUP(E948,REGRAS_CST!$A$2:$B$200,2,FALSE),""))</f>
        <v/>
      </c>
      <c r="H948" s="29">
        <v>8.9999999999999993E-3</v>
      </c>
      <c r="I948" s="29">
        <v>1E-3</v>
      </c>
      <c r="K948" s="21" t="str">
        <f>IF(E948="","",IFERROR(VLOOKUP(E948,REGRAS_CST!$A$2:$C$200,3,FALSE),""))</f>
        <v/>
      </c>
      <c r="L948" s="23" t="str">
        <f>IF($G948="", "", $G948*(1-$V948))</f>
        <v/>
      </c>
      <c r="M948" s="24" t="str">
        <f>IF(OR($L948="",$S948=""),"",$L948*$S948)</f>
        <v/>
      </c>
      <c r="N948" s="24" t="str">
        <f>IF(OR($L948="",$T948=""),"",$L948*$T948)</f>
        <v/>
      </c>
      <c r="O948" s="15" t="str">
        <f>IF(D948="","",
IF(AND(K948&lt;&gt;"SIM",V948&gt;0),"ERRO: % BC &gt; 0, mas NÃO permitida ❌",
IF(AND(K948="SIM",V948=0),"ATENÇÃO: BC permitida, mas % = 0 🔎",
"Base de cálculo aplicada corretamente ✅")))</f>
        <v/>
      </c>
      <c r="P948" s="31" t="str">
        <f>IF(D948="","",
IF(AND(Q948&lt;&gt;"SIM",U948&gt;0),"ERRO: % alíquota &gt; 0, mas NÃO permitida ❌",
IF(AND(Q948="SIM",U948=0),"ATENÇÃO: alíquota permitida, mas % = 0 🔎",
"Alíquota aplicada corretamente ✅")))</f>
        <v/>
      </c>
      <c r="Q948" s="8" t="str">
        <f>IF(E948="","",IFERROR(VLOOKUP(E948,REGRAS_CST!$A$2:$D$200,4,FALSE),""))</f>
        <v/>
      </c>
      <c r="S948" s="9">
        <f>IF($H948="","",$H948*(1-$U948))</f>
        <v>8.9999999999999993E-3</v>
      </c>
      <c r="T948" s="9">
        <f>IF($I948="","",$I948*(1-$U948))</f>
        <v>1E-3</v>
      </c>
      <c r="U948" s="16">
        <f>IFERROR(INDEX(BASE_CCLASSTRIB!$E:$E, MATCH(TEXT($D948,"000000"), BASE_CCLASSTRIB!$A:$A, 0))/100, 0)</f>
        <v>0</v>
      </c>
      <c r="V948" s="16">
        <f>IFERROR(INDEX(BASE_CCLASSTRIB!$F:$F, MATCH(TEXT($D948,"000000"), BASE_CCLASSTRIB!$A:$A, 0))/100, 0)</f>
        <v>0</v>
      </c>
    </row>
    <row r="949" spans="4:22" ht="32.25" customHeight="1">
      <c r="D949" s="39"/>
      <c r="E949" s="27" t="str">
        <f>IF(D949="","",LEFT(D949,3))</f>
        <v/>
      </c>
      <c r="F949" s="28" t="str">
        <f>IF(E949="","",IFERROR(VLOOKUP(E949,REGRAS_CST!$A$2:$B$200,2,FALSE),""))</f>
        <v/>
      </c>
      <c r="H949" s="29">
        <v>8.9999999999999993E-3</v>
      </c>
      <c r="I949" s="29">
        <v>1E-3</v>
      </c>
      <c r="K949" s="21" t="str">
        <f>IF(E949="","",IFERROR(VLOOKUP(E949,REGRAS_CST!$A$2:$C$200,3,FALSE),""))</f>
        <v/>
      </c>
      <c r="L949" s="23" t="str">
        <f>IF($G949="", "", $G949*(1-$V949))</f>
        <v/>
      </c>
      <c r="M949" s="24" t="str">
        <f>IF(OR($L949="",$S949=""),"",$L949*$S949)</f>
        <v/>
      </c>
      <c r="N949" s="24" t="str">
        <f>IF(OR($L949="",$T949=""),"",$L949*$T949)</f>
        <v/>
      </c>
      <c r="O949" s="15" t="str">
        <f>IF(D949="","",
IF(AND(K949&lt;&gt;"SIM",V949&gt;0),"ERRO: % BC &gt; 0, mas NÃO permitida ❌",
IF(AND(K949="SIM",V949=0),"ATENÇÃO: BC permitida, mas % = 0 🔎",
"Base de cálculo aplicada corretamente ✅")))</f>
        <v/>
      </c>
      <c r="P949" s="31" t="str">
        <f>IF(D949="","",
IF(AND(Q949&lt;&gt;"SIM",U949&gt;0),"ERRO: % alíquota &gt; 0, mas NÃO permitida ❌",
IF(AND(Q949="SIM",U949=0),"ATENÇÃO: alíquota permitida, mas % = 0 🔎",
"Alíquota aplicada corretamente ✅")))</f>
        <v/>
      </c>
      <c r="Q949" s="8" t="str">
        <f>IF(E949="","",IFERROR(VLOOKUP(E949,REGRAS_CST!$A$2:$D$200,4,FALSE),""))</f>
        <v/>
      </c>
      <c r="S949" s="9">
        <f>IF($H949="","",$H949*(1-$U949))</f>
        <v>8.9999999999999993E-3</v>
      </c>
      <c r="T949" s="9">
        <f>IF($I949="","",$I949*(1-$U949))</f>
        <v>1E-3</v>
      </c>
      <c r="U949" s="16">
        <f>IFERROR(INDEX(BASE_CCLASSTRIB!$E:$E, MATCH(TEXT($D949,"000000"), BASE_CCLASSTRIB!$A:$A, 0))/100, 0)</f>
        <v>0</v>
      </c>
      <c r="V949" s="16">
        <f>IFERROR(INDEX(BASE_CCLASSTRIB!$F:$F, MATCH(TEXT($D949,"000000"), BASE_CCLASSTRIB!$A:$A, 0))/100, 0)</f>
        <v>0</v>
      </c>
    </row>
    <row r="950" spans="4:22" ht="32.25" customHeight="1">
      <c r="D950" s="40"/>
      <c r="E950" s="27" t="str">
        <f>IF(D950="","",LEFT(D950,3))</f>
        <v/>
      </c>
      <c r="F950" s="28" t="str">
        <f>IF(E950="","",IFERROR(VLOOKUP(E950,REGRAS_CST!$A$2:$B$200,2,FALSE),""))</f>
        <v/>
      </c>
      <c r="H950" s="29">
        <v>8.9999999999999993E-3</v>
      </c>
      <c r="I950" s="29">
        <v>1E-3</v>
      </c>
      <c r="K950" s="21" t="str">
        <f>IF(E950="","",IFERROR(VLOOKUP(E950,REGRAS_CST!$A$2:$C$200,3,FALSE),""))</f>
        <v/>
      </c>
      <c r="L950" s="23" t="str">
        <f>IF($G950="", "", $G950*(1-$V950))</f>
        <v/>
      </c>
      <c r="M950" s="24" t="str">
        <f>IF(OR($L950="",$S950=""),"",$L950*$S950)</f>
        <v/>
      </c>
      <c r="N950" s="24" t="str">
        <f>IF(OR($L950="",$T950=""),"",$L950*$T950)</f>
        <v/>
      </c>
      <c r="O950" s="15" t="str">
        <f>IF(D950="","",
IF(AND(K950&lt;&gt;"SIM",V950&gt;0),"ERRO: % BC &gt; 0, mas NÃO permitida ❌",
IF(AND(K950="SIM",V950=0),"ATENÇÃO: BC permitida, mas % = 0 🔎",
"Base de cálculo aplicada corretamente ✅")))</f>
        <v/>
      </c>
      <c r="P950" s="31" t="str">
        <f>IF(D950="","",
IF(AND(Q950&lt;&gt;"SIM",U950&gt;0),"ERRO: % alíquota &gt; 0, mas NÃO permitida ❌",
IF(AND(Q950="SIM",U950=0),"ATENÇÃO: alíquota permitida, mas % = 0 🔎",
"Alíquota aplicada corretamente ✅")))</f>
        <v/>
      </c>
      <c r="Q950" s="8" t="str">
        <f>IF(E950="","",IFERROR(VLOOKUP(E950,REGRAS_CST!$A$2:$D$200,4,FALSE),""))</f>
        <v/>
      </c>
      <c r="S950" s="9">
        <f>IF($H950="","",$H950*(1-$U950))</f>
        <v>8.9999999999999993E-3</v>
      </c>
      <c r="T950" s="9">
        <f>IF($I950="","",$I950*(1-$U950))</f>
        <v>1E-3</v>
      </c>
      <c r="U950" s="16">
        <f>IFERROR(INDEX(BASE_CCLASSTRIB!$E:$E, MATCH(TEXT($D950,"000000"), BASE_CCLASSTRIB!$A:$A, 0))/100, 0)</f>
        <v>0</v>
      </c>
      <c r="V950" s="16">
        <f>IFERROR(INDEX(BASE_CCLASSTRIB!$F:$F, MATCH(TEXT($D950,"000000"), BASE_CCLASSTRIB!$A:$A, 0))/100, 0)</f>
        <v>0</v>
      </c>
    </row>
    <row r="951" spans="4:22" ht="32.25" customHeight="1">
      <c r="D951" s="40"/>
      <c r="E951" s="27" t="str">
        <f>IF(D951="","",LEFT(D951,3))</f>
        <v/>
      </c>
      <c r="F951" s="28" t="str">
        <f>IF(E951="","",IFERROR(VLOOKUP(E951,REGRAS_CST!$A$2:$B$200,2,FALSE),""))</f>
        <v/>
      </c>
      <c r="H951" s="29">
        <v>8.9999999999999993E-3</v>
      </c>
      <c r="I951" s="29">
        <v>1E-3</v>
      </c>
      <c r="K951" s="21" t="str">
        <f>IF(E951="","",IFERROR(VLOOKUP(E951,REGRAS_CST!$A$2:$C$200,3,FALSE),""))</f>
        <v/>
      </c>
      <c r="L951" s="23" t="str">
        <f>IF($G951="", "", $G951*(1-$V951))</f>
        <v/>
      </c>
      <c r="M951" s="24" t="str">
        <f>IF(OR($L951="",$S951=""),"",$L951*$S951)</f>
        <v/>
      </c>
      <c r="N951" s="24" t="str">
        <f>IF(OR($L951="",$T951=""),"",$L951*$T951)</f>
        <v/>
      </c>
      <c r="O951" s="15" t="str">
        <f>IF(D951="","",
IF(AND(K951&lt;&gt;"SIM",V951&gt;0),"ERRO: % BC &gt; 0, mas NÃO permitida ❌",
IF(AND(K951="SIM",V951=0),"ATENÇÃO: BC permitida, mas % = 0 🔎",
"Base de cálculo aplicada corretamente ✅")))</f>
        <v/>
      </c>
      <c r="P951" s="31" t="str">
        <f>IF(D951="","",
IF(AND(Q951&lt;&gt;"SIM",U951&gt;0),"ERRO: % alíquota &gt; 0, mas NÃO permitida ❌",
IF(AND(Q951="SIM",U951=0),"ATENÇÃO: alíquota permitida, mas % = 0 🔎",
"Alíquota aplicada corretamente ✅")))</f>
        <v/>
      </c>
      <c r="Q951" s="8" t="str">
        <f>IF(E951="","",IFERROR(VLOOKUP(E951,REGRAS_CST!$A$2:$D$200,4,FALSE),""))</f>
        <v/>
      </c>
      <c r="S951" s="9">
        <f>IF($H951="","",$H951*(1-$U951))</f>
        <v>8.9999999999999993E-3</v>
      </c>
      <c r="T951" s="9">
        <f>IF($I951="","",$I951*(1-$U951))</f>
        <v>1E-3</v>
      </c>
      <c r="U951" s="16">
        <f>IFERROR(INDEX(BASE_CCLASSTRIB!$E:$E, MATCH(TEXT($D951,"000000"), BASE_CCLASSTRIB!$A:$A, 0))/100, 0)</f>
        <v>0</v>
      </c>
      <c r="V951" s="16">
        <f>IFERROR(INDEX(BASE_CCLASSTRIB!$F:$F, MATCH(TEXT($D951,"000000"), BASE_CCLASSTRIB!$A:$A, 0))/100, 0)</f>
        <v>0</v>
      </c>
    </row>
    <row r="952" spans="4:22" ht="32.25" customHeight="1">
      <c r="D952" s="39"/>
      <c r="E952" s="27" t="str">
        <f>IF(D952="","",LEFT(D952,3))</f>
        <v/>
      </c>
      <c r="F952" s="28" t="str">
        <f>IF(E952="","",IFERROR(VLOOKUP(E952,REGRAS_CST!$A$2:$B$200,2,FALSE),""))</f>
        <v/>
      </c>
      <c r="H952" s="29">
        <v>8.9999999999999993E-3</v>
      </c>
      <c r="I952" s="29">
        <v>1E-3</v>
      </c>
      <c r="K952" s="21" t="str">
        <f>IF(E952="","",IFERROR(VLOOKUP(E952,REGRAS_CST!$A$2:$C$200,3,FALSE),""))</f>
        <v/>
      </c>
      <c r="L952" s="23" t="str">
        <f>IF($G952="", "", $G952*(1-$V952))</f>
        <v/>
      </c>
      <c r="M952" s="24" t="str">
        <f>IF(OR($L952="",$S952=""),"",$L952*$S952)</f>
        <v/>
      </c>
      <c r="N952" s="24" t="str">
        <f>IF(OR($L952="",$T952=""),"",$L952*$T952)</f>
        <v/>
      </c>
      <c r="O952" s="15" t="str">
        <f>IF(D952="","",
IF(AND(K952&lt;&gt;"SIM",V952&gt;0),"ERRO: % BC &gt; 0, mas NÃO permitida ❌",
IF(AND(K952="SIM",V952=0),"ATENÇÃO: BC permitida, mas % = 0 🔎",
"Base de cálculo aplicada corretamente ✅")))</f>
        <v/>
      </c>
      <c r="P952" s="31" t="str">
        <f>IF(D952="","",
IF(AND(Q952&lt;&gt;"SIM",U952&gt;0),"ERRO: % alíquota &gt; 0, mas NÃO permitida ❌",
IF(AND(Q952="SIM",U952=0),"ATENÇÃO: alíquota permitida, mas % = 0 🔎",
"Alíquota aplicada corretamente ✅")))</f>
        <v/>
      </c>
      <c r="Q952" s="8" t="str">
        <f>IF(E952="","",IFERROR(VLOOKUP(E952,REGRAS_CST!$A$2:$D$200,4,FALSE),""))</f>
        <v/>
      </c>
      <c r="S952" s="9">
        <f>IF($H952="","",$H952*(1-$U952))</f>
        <v>8.9999999999999993E-3</v>
      </c>
      <c r="T952" s="9">
        <f>IF($I952="","",$I952*(1-$U952))</f>
        <v>1E-3</v>
      </c>
      <c r="U952" s="16">
        <f>IFERROR(INDEX(BASE_CCLASSTRIB!$E:$E, MATCH(TEXT($D952,"000000"), BASE_CCLASSTRIB!$A:$A, 0))/100, 0)</f>
        <v>0</v>
      </c>
      <c r="V952" s="16">
        <f>IFERROR(INDEX(BASE_CCLASSTRIB!$F:$F, MATCH(TEXT($D952,"000000"), BASE_CCLASSTRIB!$A:$A, 0))/100, 0)</f>
        <v>0</v>
      </c>
    </row>
    <row r="953" spans="4:22" ht="32.25" customHeight="1">
      <c r="D953" s="39"/>
      <c r="E953" s="27" t="str">
        <f>IF(D953="","",LEFT(D953,3))</f>
        <v/>
      </c>
      <c r="F953" s="28" t="str">
        <f>IF(E953="","",IFERROR(VLOOKUP(E953,REGRAS_CST!$A$2:$B$200,2,FALSE),""))</f>
        <v/>
      </c>
      <c r="H953" s="29">
        <v>8.9999999999999993E-3</v>
      </c>
      <c r="I953" s="29">
        <v>1E-3</v>
      </c>
      <c r="K953" s="21" t="str">
        <f>IF(E953="","",IFERROR(VLOOKUP(E953,REGRAS_CST!$A$2:$C$200,3,FALSE),""))</f>
        <v/>
      </c>
      <c r="L953" s="23" t="str">
        <f>IF($G953="", "", $G953*(1-$V953))</f>
        <v/>
      </c>
      <c r="M953" s="24" t="str">
        <f>IF(OR($L953="",$S953=""),"",$L953*$S953)</f>
        <v/>
      </c>
      <c r="N953" s="24" t="str">
        <f>IF(OR($L953="",$T953=""),"",$L953*$T953)</f>
        <v/>
      </c>
      <c r="O953" s="15" t="str">
        <f>IF(D953="","",
IF(AND(K953&lt;&gt;"SIM",V953&gt;0),"ERRO: % BC &gt; 0, mas NÃO permitida ❌",
IF(AND(K953="SIM",V953=0),"ATENÇÃO: BC permitida, mas % = 0 🔎",
"Base de cálculo aplicada corretamente ✅")))</f>
        <v/>
      </c>
      <c r="P953" s="31" t="str">
        <f>IF(D953="","",
IF(AND(Q953&lt;&gt;"SIM",U953&gt;0),"ERRO: % alíquota &gt; 0, mas NÃO permitida ❌",
IF(AND(Q953="SIM",U953=0),"ATENÇÃO: alíquota permitida, mas % = 0 🔎",
"Alíquota aplicada corretamente ✅")))</f>
        <v/>
      </c>
      <c r="Q953" s="8" t="str">
        <f>IF(E953="","",IFERROR(VLOOKUP(E953,REGRAS_CST!$A$2:$D$200,4,FALSE),""))</f>
        <v/>
      </c>
      <c r="S953" s="9">
        <f>IF($H953="","",$H953*(1-$U953))</f>
        <v>8.9999999999999993E-3</v>
      </c>
      <c r="T953" s="9">
        <f>IF($I953="","",$I953*(1-$U953))</f>
        <v>1E-3</v>
      </c>
      <c r="U953" s="16">
        <f>IFERROR(INDEX(BASE_CCLASSTRIB!$E:$E, MATCH(TEXT($D953,"000000"), BASE_CCLASSTRIB!$A:$A, 0))/100, 0)</f>
        <v>0</v>
      </c>
      <c r="V953" s="16">
        <f>IFERROR(INDEX(BASE_CCLASSTRIB!$F:$F, MATCH(TEXT($D953,"000000"), BASE_CCLASSTRIB!$A:$A, 0))/100, 0)</f>
        <v>0</v>
      </c>
    </row>
    <row r="954" spans="4:22" ht="32.25" customHeight="1">
      <c r="D954" s="39"/>
      <c r="E954" s="27" t="str">
        <f>IF(D954="","",LEFT(D954,3))</f>
        <v/>
      </c>
      <c r="F954" s="28" t="str">
        <f>IF(E954="","",IFERROR(VLOOKUP(E954,REGRAS_CST!$A$2:$B$200,2,FALSE),""))</f>
        <v/>
      </c>
      <c r="H954" s="29">
        <v>8.9999999999999993E-3</v>
      </c>
      <c r="I954" s="29">
        <v>1E-3</v>
      </c>
      <c r="K954" s="21" t="str">
        <f>IF(E954="","",IFERROR(VLOOKUP(E954,REGRAS_CST!$A$2:$C$200,3,FALSE),""))</f>
        <v/>
      </c>
      <c r="L954" s="23" t="str">
        <f>IF($G954="", "", $G954*(1-$V954))</f>
        <v/>
      </c>
      <c r="M954" s="24" t="str">
        <f>IF(OR($L954="",$S954=""),"",$L954*$S954)</f>
        <v/>
      </c>
      <c r="N954" s="24" t="str">
        <f>IF(OR($L954="",$T954=""),"",$L954*$T954)</f>
        <v/>
      </c>
      <c r="O954" s="15" t="str">
        <f>IF(D954="","",
IF(AND(K954&lt;&gt;"SIM",V954&gt;0),"ERRO: % BC &gt; 0, mas NÃO permitida ❌",
IF(AND(K954="SIM",V954=0),"ATENÇÃO: BC permitida, mas % = 0 🔎",
"Base de cálculo aplicada corretamente ✅")))</f>
        <v/>
      </c>
      <c r="P954" s="31" t="str">
        <f>IF(D954="","",
IF(AND(Q954&lt;&gt;"SIM",U954&gt;0),"ERRO: % alíquota &gt; 0, mas NÃO permitida ❌",
IF(AND(Q954="SIM",U954=0),"ATENÇÃO: alíquota permitida, mas % = 0 🔎",
"Alíquota aplicada corretamente ✅")))</f>
        <v/>
      </c>
      <c r="Q954" s="8" t="str">
        <f>IF(E954="","",IFERROR(VLOOKUP(E954,REGRAS_CST!$A$2:$D$200,4,FALSE),""))</f>
        <v/>
      </c>
      <c r="S954" s="9">
        <f>IF($H954="","",$H954*(1-$U954))</f>
        <v>8.9999999999999993E-3</v>
      </c>
      <c r="T954" s="9">
        <f>IF($I954="","",$I954*(1-$U954))</f>
        <v>1E-3</v>
      </c>
      <c r="U954" s="16">
        <f>IFERROR(INDEX(BASE_CCLASSTRIB!$E:$E, MATCH(TEXT($D954,"000000"), BASE_CCLASSTRIB!$A:$A, 0))/100, 0)</f>
        <v>0</v>
      </c>
      <c r="V954" s="16">
        <f>IFERROR(INDEX(BASE_CCLASSTRIB!$F:$F, MATCH(TEXT($D954,"000000"), BASE_CCLASSTRIB!$A:$A, 0))/100, 0)</f>
        <v>0</v>
      </c>
    </row>
    <row r="955" spans="4:22" ht="32.25" customHeight="1">
      <c r="D955" s="40"/>
      <c r="E955" s="27" t="str">
        <f>IF(D955="","",LEFT(D955,3))</f>
        <v/>
      </c>
      <c r="F955" s="28" t="str">
        <f>IF(E955="","",IFERROR(VLOOKUP(E955,REGRAS_CST!$A$2:$B$200,2,FALSE),""))</f>
        <v/>
      </c>
      <c r="H955" s="29">
        <v>8.9999999999999993E-3</v>
      </c>
      <c r="I955" s="29">
        <v>1E-3</v>
      </c>
      <c r="K955" s="21" t="str">
        <f>IF(E955="","",IFERROR(VLOOKUP(E955,REGRAS_CST!$A$2:$C$200,3,FALSE),""))</f>
        <v/>
      </c>
      <c r="L955" s="23" t="str">
        <f>IF($G955="", "", $G955*(1-$V955))</f>
        <v/>
      </c>
      <c r="M955" s="24" t="str">
        <f>IF(OR($L955="",$S955=""),"",$L955*$S955)</f>
        <v/>
      </c>
      <c r="N955" s="24" t="str">
        <f>IF(OR($L955="",$T955=""),"",$L955*$T955)</f>
        <v/>
      </c>
      <c r="O955" s="15" t="str">
        <f>IF(D955="","",
IF(AND(K955&lt;&gt;"SIM",V955&gt;0),"ERRO: % BC &gt; 0, mas NÃO permitida ❌",
IF(AND(K955="SIM",V955=0),"ATENÇÃO: BC permitida, mas % = 0 🔎",
"Base de cálculo aplicada corretamente ✅")))</f>
        <v/>
      </c>
      <c r="P955" s="31" t="str">
        <f>IF(D955="","",
IF(AND(Q955&lt;&gt;"SIM",U955&gt;0),"ERRO: % alíquota &gt; 0, mas NÃO permitida ❌",
IF(AND(Q955="SIM",U955=0),"ATENÇÃO: alíquota permitida, mas % = 0 🔎",
"Alíquota aplicada corretamente ✅")))</f>
        <v/>
      </c>
      <c r="Q955" s="8" t="str">
        <f>IF(E955="","",IFERROR(VLOOKUP(E955,REGRAS_CST!$A$2:$D$200,4,FALSE),""))</f>
        <v/>
      </c>
      <c r="S955" s="9">
        <f>IF($H955="","",$H955*(1-$U955))</f>
        <v>8.9999999999999993E-3</v>
      </c>
      <c r="T955" s="9">
        <f>IF($I955="","",$I955*(1-$U955))</f>
        <v>1E-3</v>
      </c>
      <c r="U955" s="16">
        <f>IFERROR(INDEX(BASE_CCLASSTRIB!$E:$E, MATCH(TEXT($D955,"000000"), BASE_CCLASSTRIB!$A:$A, 0))/100, 0)</f>
        <v>0</v>
      </c>
      <c r="V955" s="16">
        <f>IFERROR(INDEX(BASE_CCLASSTRIB!$F:$F, MATCH(TEXT($D955,"000000"), BASE_CCLASSTRIB!$A:$A, 0))/100, 0)</f>
        <v>0</v>
      </c>
    </row>
    <row r="956" spans="4:22" ht="32.25" customHeight="1">
      <c r="D956" s="39"/>
      <c r="E956" s="27" t="str">
        <f>IF(D956="","",LEFT(D956,3))</f>
        <v/>
      </c>
      <c r="F956" s="28" t="str">
        <f>IF(E956="","",IFERROR(VLOOKUP(E956,REGRAS_CST!$A$2:$B$200,2,FALSE),""))</f>
        <v/>
      </c>
      <c r="H956" s="29">
        <v>8.9999999999999993E-3</v>
      </c>
      <c r="I956" s="29">
        <v>1E-3</v>
      </c>
      <c r="K956" s="21" t="str">
        <f>IF(E956="","",IFERROR(VLOOKUP(E956,REGRAS_CST!$A$2:$C$200,3,FALSE),""))</f>
        <v/>
      </c>
      <c r="L956" s="23" t="str">
        <f>IF($G956="", "", $G956*(1-$V956))</f>
        <v/>
      </c>
      <c r="M956" s="24" t="str">
        <f>IF(OR($L956="",$S956=""),"",$L956*$S956)</f>
        <v/>
      </c>
      <c r="N956" s="24" t="str">
        <f>IF(OR($L956="",$T956=""),"",$L956*$T956)</f>
        <v/>
      </c>
      <c r="O956" s="15" t="str">
        <f>IF(D956="","",
IF(AND(K956&lt;&gt;"SIM",V956&gt;0),"ERRO: % BC &gt; 0, mas NÃO permitida ❌",
IF(AND(K956="SIM",V956=0),"ATENÇÃO: BC permitida, mas % = 0 🔎",
"Base de cálculo aplicada corretamente ✅")))</f>
        <v/>
      </c>
      <c r="P956" s="31" t="str">
        <f>IF(D956="","",
IF(AND(Q956&lt;&gt;"SIM",U956&gt;0),"ERRO: % alíquota &gt; 0, mas NÃO permitida ❌",
IF(AND(Q956="SIM",U956=0),"ATENÇÃO: alíquota permitida, mas % = 0 🔎",
"Alíquota aplicada corretamente ✅")))</f>
        <v/>
      </c>
      <c r="Q956" s="8" t="str">
        <f>IF(E956="","",IFERROR(VLOOKUP(E956,REGRAS_CST!$A$2:$D$200,4,FALSE),""))</f>
        <v/>
      </c>
      <c r="S956" s="9">
        <f>IF($H956="","",$H956*(1-$U956))</f>
        <v>8.9999999999999993E-3</v>
      </c>
      <c r="T956" s="9">
        <f>IF($I956="","",$I956*(1-$U956))</f>
        <v>1E-3</v>
      </c>
      <c r="U956" s="16">
        <f>IFERROR(INDEX(BASE_CCLASSTRIB!$E:$E, MATCH(TEXT($D956,"000000"), BASE_CCLASSTRIB!$A:$A, 0))/100, 0)</f>
        <v>0</v>
      </c>
      <c r="V956" s="16">
        <f>IFERROR(INDEX(BASE_CCLASSTRIB!$F:$F, MATCH(TEXT($D956,"000000"), BASE_CCLASSTRIB!$A:$A, 0))/100, 0)</f>
        <v>0</v>
      </c>
    </row>
    <row r="957" spans="4:22" ht="32.25" customHeight="1">
      <c r="D957" s="40"/>
      <c r="E957" s="27" t="str">
        <f>IF(D957="","",LEFT(D957,3))</f>
        <v/>
      </c>
      <c r="F957" s="28" t="str">
        <f>IF(E957="","",IFERROR(VLOOKUP(E957,REGRAS_CST!$A$2:$B$200,2,FALSE),""))</f>
        <v/>
      </c>
      <c r="H957" s="29">
        <v>8.9999999999999993E-3</v>
      </c>
      <c r="I957" s="29">
        <v>1E-3</v>
      </c>
      <c r="K957" s="21" t="str">
        <f>IF(E957="","",IFERROR(VLOOKUP(E957,REGRAS_CST!$A$2:$C$200,3,FALSE),""))</f>
        <v/>
      </c>
      <c r="L957" s="23" t="str">
        <f>IF($G957="", "", $G957*(1-$V957))</f>
        <v/>
      </c>
      <c r="M957" s="24" t="str">
        <f>IF(OR($L957="",$S957=""),"",$L957*$S957)</f>
        <v/>
      </c>
      <c r="N957" s="24" t="str">
        <f>IF(OR($L957="",$T957=""),"",$L957*$T957)</f>
        <v/>
      </c>
      <c r="O957" s="15" t="str">
        <f>IF(D957="","",
IF(AND(K957&lt;&gt;"SIM",V957&gt;0),"ERRO: % BC &gt; 0, mas NÃO permitida ❌",
IF(AND(K957="SIM",V957=0),"ATENÇÃO: BC permitida, mas % = 0 🔎",
"Base de cálculo aplicada corretamente ✅")))</f>
        <v/>
      </c>
      <c r="P957" s="31" t="str">
        <f>IF(D957="","",
IF(AND(Q957&lt;&gt;"SIM",U957&gt;0),"ERRO: % alíquota &gt; 0, mas NÃO permitida ❌",
IF(AND(Q957="SIM",U957=0),"ATENÇÃO: alíquota permitida, mas % = 0 🔎",
"Alíquota aplicada corretamente ✅")))</f>
        <v/>
      </c>
      <c r="Q957" s="8" t="str">
        <f>IF(E957="","",IFERROR(VLOOKUP(E957,REGRAS_CST!$A$2:$D$200,4,FALSE),""))</f>
        <v/>
      </c>
      <c r="S957" s="9">
        <f>IF($H957="","",$H957*(1-$U957))</f>
        <v>8.9999999999999993E-3</v>
      </c>
      <c r="T957" s="9">
        <f>IF($I957="","",$I957*(1-$U957))</f>
        <v>1E-3</v>
      </c>
      <c r="U957" s="16">
        <f>IFERROR(INDEX(BASE_CCLASSTRIB!$E:$E, MATCH(TEXT($D957,"000000"), BASE_CCLASSTRIB!$A:$A, 0))/100, 0)</f>
        <v>0</v>
      </c>
      <c r="V957" s="16">
        <f>IFERROR(INDEX(BASE_CCLASSTRIB!$F:$F, MATCH(TEXT($D957,"000000"), BASE_CCLASSTRIB!$A:$A, 0))/100, 0)</f>
        <v>0</v>
      </c>
    </row>
    <row r="958" spans="4:22" ht="32.25" customHeight="1">
      <c r="D958" s="39"/>
      <c r="E958" s="27" t="str">
        <f>IF(D958="","",LEFT(D958,3))</f>
        <v/>
      </c>
      <c r="F958" s="28" t="str">
        <f>IF(E958="","",IFERROR(VLOOKUP(E958,REGRAS_CST!$A$2:$B$200,2,FALSE),""))</f>
        <v/>
      </c>
      <c r="H958" s="29">
        <v>8.9999999999999993E-3</v>
      </c>
      <c r="I958" s="29">
        <v>1E-3</v>
      </c>
      <c r="K958" s="21" t="str">
        <f>IF(E958="","",IFERROR(VLOOKUP(E958,REGRAS_CST!$A$2:$C$200,3,FALSE),""))</f>
        <v/>
      </c>
      <c r="L958" s="23" t="str">
        <f>IF($G958="", "", $G958*(1-$V958))</f>
        <v/>
      </c>
      <c r="M958" s="24" t="str">
        <f>IF(OR($L958="",$S958=""),"",$L958*$S958)</f>
        <v/>
      </c>
      <c r="N958" s="24" t="str">
        <f>IF(OR($L958="",$T958=""),"",$L958*$T958)</f>
        <v/>
      </c>
      <c r="O958" s="15" t="str">
        <f>IF(D958="","",
IF(AND(K958&lt;&gt;"SIM",V958&gt;0),"ERRO: % BC &gt; 0, mas NÃO permitida ❌",
IF(AND(K958="SIM",V958=0),"ATENÇÃO: BC permitida, mas % = 0 🔎",
"Base de cálculo aplicada corretamente ✅")))</f>
        <v/>
      </c>
      <c r="P958" s="31" t="str">
        <f>IF(D958="","",
IF(AND(Q958&lt;&gt;"SIM",U958&gt;0),"ERRO: % alíquota &gt; 0, mas NÃO permitida ❌",
IF(AND(Q958="SIM",U958=0),"ATENÇÃO: alíquota permitida, mas % = 0 🔎",
"Alíquota aplicada corretamente ✅")))</f>
        <v/>
      </c>
      <c r="Q958" s="8" t="str">
        <f>IF(E958="","",IFERROR(VLOOKUP(E958,REGRAS_CST!$A$2:$D$200,4,FALSE),""))</f>
        <v/>
      </c>
      <c r="S958" s="9">
        <f>IF($H958="","",$H958*(1-$U958))</f>
        <v>8.9999999999999993E-3</v>
      </c>
      <c r="T958" s="9">
        <f>IF($I958="","",$I958*(1-$U958))</f>
        <v>1E-3</v>
      </c>
      <c r="U958" s="16">
        <f>IFERROR(INDEX(BASE_CCLASSTRIB!$E:$E, MATCH(TEXT($D958,"000000"), BASE_CCLASSTRIB!$A:$A, 0))/100, 0)</f>
        <v>0</v>
      </c>
      <c r="V958" s="16">
        <f>IFERROR(INDEX(BASE_CCLASSTRIB!$F:$F, MATCH(TEXT($D958,"000000"), BASE_CCLASSTRIB!$A:$A, 0))/100, 0)</f>
        <v>0</v>
      </c>
    </row>
    <row r="959" spans="4:22" ht="32.25" customHeight="1">
      <c r="D959" s="39"/>
      <c r="E959" s="27" t="str">
        <f>IF(D959="","",LEFT(D959,3))</f>
        <v/>
      </c>
      <c r="F959" s="28" t="str">
        <f>IF(E959="","",IFERROR(VLOOKUP(E959,REGRAS_CST!$A$2:$B$200,2,FALSE),""))</f>
        <v/>
      </c>
      <c r="H959" s="29">
        <v>8.9999999999999993E-3</v>
      </c>
      <c r="I959" s="29">
        <v>1E-3</v>
      </c>
      <c r="K959" s="21" t="str">
        <f>IF(E959="","",IFERROR(VLOOKUP(E959,REGRAS_CST!$A$2:$C$200,3,FALSE),""))</f>
        <v/>
      </c>
      <c r="L959" s="23" t="str">
        <f>IF($G959="", "", $G959*(1-$V959))</f>
        <v/>
      </c>
      <c r="M959" s="24" t="str">
        <f>IF(OR($L959="",$S959=""),"",$L959*$S959)</f>
        <v/>
      </c>
      <c r="N959" s="24" t="str">
        <f>IF(OR($L959="",$T959=""),"",$L959*$T959)</f>
        <v/>
      </c>
      <c r="O959" s="15" t="str">
        <f>IF(D959="","",
IF(AND(K959&lt;&gt;"SIM",V959&gt;0),"ERRO: % BC &gt; 0, mas NÃO permitida ❌",
IF(AND(K959="SIM",V959=0),"ATENÇÃO: BC permitida, mas % = 0 🔎",
"Base de cálculo aplicada corretamente ✅")))</f>
        <v/>
      </c>
      <c r="P959" s="31" t="str">
        <f>IF(D959="","",
IF(AND(Q959&lt;&gt;"SIM",U959&gt;0),"ERRO: % alíquota &gt; 0, mas NÃO permitida ❌",
IF(AND(Q959="SIM",U959=0),"ATENÇÃO: alíquota permitida, mas % = 0 🔎",
"Alíquota aplicada corretamente ✅")))</f>
        <v/>
      </c>
      <c r="Q959" s="8" t="str">
        <f>IF(E959="","",IFERROR(VLOOKUP(E959,REGRAS_CST!$A$2:$D$200,4,FALSE),""))</f>
        <v/>
      </c>
      <c r="S959" s="9">
        <f>IF($H959="","",$H959*(1-$U959))</f>
        <v>8.9999999999999993E-3</v>
      </c>
      <c r="T959" s="9">
        <f>IF($I959="","",$I959*(1-$U959))</f>
        <v>1E-3</v>
      </c>
      <c r="U959" s="16">
        <f>IFERROR(INDEX(BASE_CCLASSTRIB!$E:$E, MATCH(TEXT($D959,"000000"), BASE_CCLASSTRIB!$A:$A, 0))/100, 0)</f>
        <v>0</v>
      </c>
      <c r="V959" s="16">
        <f>IFERROR(INDEX(BASE_CCLASSTRIB!$F:$F, MATCH(TEXT($D959,"000000"), BASE_CCLASSTRIB!$A:$A, 0))/100, 0)</f>
        <v>0</v>
      </c>
    </row>
    <row r="960" spans="4:22" ht="32.25" customHeight="1">
      <c r="D960" s="39"/>
      <c r="E960" s="27" t="str">
        <f>IF(D960="","",LEFT(D960,3))</f>
        <v/>
      </c>
      <c r="F960" s="28" t="str">
        <f>IF(E960="","",IFERROR(VLOOKUP(E960,REGRAS_CST!$A$2:$B$200,2,FALSE),""))</f>
        <v/>
      </c>
      <c r="H960" s="29">
        <v>8.9999999999999993E-3</v>
      </c>
      <c r="I960" s="29">
        <v>1E-3</v>
      </c>
      <c r="K960" s="21" t="str">
        <f>IF(E960="","",IFERROR(VLOOKUP(E960,REGRAS_CST!$A$2:$C$200,3,FALSE),""))</f>
        <v/>
      </c>
      <c r="L960" s="23" t="str">
        <f>IF($G960="", "", $G960*(1-$V960))</f>
        <v/>
      </c>
      <c r="M960" s="24" t="str">
        <f>IF(OR($L960="",$S960=""),"",$L960*$S960)</f>
        <v/>
      </c>
      <c r="N960" s="24" t="str">
        <f>IF(OR($L960="",$T960=""),"",$L960*$T960)</f>
        <v/>
      </c>
      <c r="O960" s="15" t="str">
        <f>IF(D960="","",
IF(AND(K960&lt;&gt;"SIM",V960&gt;0),"ERRO: % BC &gt; 0, mas NÃO permitida ❌",
IF(AND(K960="SIM",V960=0),"ATENÇÃO: BC permitida, mas % = 0 🔎",
"Base de cálculo aplicada corretamente ✅")))</f>
        <v/>
      </c>
      <c r="P960" s="31" t="str">
        <f>IF(D960="","",
IF(AND(Q960&lt;&gt;"SIM",U960&gt;0),"ERRO: % alíquota &gt; 0, mas NÃO permitida ❌",
IF(AND(Q960="SIM",U960=0),"ATENÇÃO: alíquota permitida, mas % = 0 🔎",
"Alíquota aplicada corretamente ✅")))</f>
        <v/>
      </c>
      <c r="Q960" s="8" t="str">
        <f>IF(E960="","",IFERROR(VLOOKUP(E960,REGRAS_CST!$A$2:$D$200,4,FALSE),""))</f>
        <v/>
      </c>
      <c r="S960" s="9">
        <f>IF($H960="","",$H960*(1-$U960))</f>
        <v>8.9999999999999993E-3</v>
      </c>
      <c r="T960" s="9">
        <f>IF($I960="","",$I960*(1-$U960))</f>
        <v>1E-3</v>
      </c>
      <c r="U960" s="16">
        <f>IFERROR(INDEX(BASE_CCLASSTRIB!$E:$E, MATCH(TEXT($D960,"000000"), BASE_CCLASSTRIB!$A:$A, 0))/100, 0)</f>
        <v>0</v>
      </c>
      <c r="V960" s="16">
        <f>IFERROR(INDEX(BASE_CCLASSTRIB!$F:$F, MATCH(TEXT($D960,"000000"), BASE_CCLASSTRIB!$A:$A, 0))/100, 0)</f>
        <v>0</v>
      </c>
    </row>
    <row r="961" spans="4:22" ht="32.25" customHeight="1">
      <c r="D961" s="40"/>
      <c r="E961" s="27" t="str">
        <f>IF(D961="","",LEFT(D961,3))</f>
        <v/>
      </c>
      <c r="F961" s="28" t="str">
        <f>IF(E961="","",IFERROR(VLOOKUP(E961,REGRAS_CST!$A$2:$B$200,2,FALSE),""))</f>
        <v/>
      </c>
      <c r="H961" s="29">
        <v>8.9999999999999993E-3</v>
      </c>
      <c r="I961" s="29">
        <v>1E-3</v>
      </c>
      <c r="K961" s="21" t="str">
        <f>IF(E961="","",IFERROR(VLOOKUP(E961,REGRAS_CST!$A$2:$C$200,3,FALSE),""))</f>
        <v/>
      </c>
      <c r="L961" s="23" t="str">
        <f>IF($G961="", "", $G961*(1-$V961))</f>
        <v/>
      </c>
      <c r="M961" s="24" t="str">
        <f>IF(OR($L961="",$S961=""),"",$L961*$S961)</f>
        <v/>
      </c>
      <c r="N961" s="24" t="str">
        <f>IF(OR($L961="",$T961=""),"",$L961*$T961)</f>
        <v/>
      </c>
      <c r="O961" s="15" t="str">
        <f>IF(D961="","",
IF(AND(K961&lt;&gt;"SIM",V961&gt;0),"ERRO: % BC &gt; 0, mas NÃO permitida ❌",
IF(AND(K961="SIM",V961=0),"ATENÇÃO: BC permitida, mas % = 0 🔎",
"Base de cálculo aplicada corretamente ✅")))</f>
        <v/>
      </c>
      <c r="P961" s="31" t="str">
        <f>IF(D961="","",
IF(AND(Q961&lt;&gt;"SIM",U961&gt;0),"ERRO: % alíquota &gt; 0, mas NÃO permitida ❌",
IF(AND(Q961="SIM",U961=0),"ATENÇÃO: alíquota permitida, mas % = 0 🔎",
"Alíquota aplicada corretamente ✅")))</f>
        <v/>
      </c>
      <c r="Q961" s="8" t="str">
        <f>IF(E961="","",IFERROR(VLOOKUP(E961,REGRAS_CST!$A$2:$D$200,4,FALSE),""))</f>
        <v/>
      </c>
      <c r="S961" s="9">
        <f>IF($H961="","",$H961*(1-$U961))</f>
        <v>8.9999999999999993E-3</v>
      </c>
      <c r="T961" s="9">
        <f>IF($I961="","",$I961*(1-$U961))</f>
        <v>1E-3</v>
      </c>
      <c r="U961" s="16">
        <f>IFERROR(INDEX(BASE_CCLASSTRIB!$E:$E, MATCH(TEXT($D961,"000000"), BASE_CCLASSTRIB!$A:$A, 0))/100, 0)</f>
        <v>0</v>
      </c>
      <c r="V961" s="16">
        <f>IFERROR(INDEX(BASE_CCLASSTRIB!$F:$F, MATCH(TEXT($D961,"000000"), BASE_CCLASSTRIB!$A:$A, 0))/100, 0)</f>
        <v>0</v>
      </c>
    </row>
    <row r="962" spans="4:22" ht="32.25" customHeight="1">
      <c r="D962" s="40"/>
      <c r="E962" s="27" t="str">
        <f>IF(D962="","",LEFT(D962,3))</f>
        <v/>
      </c>
      <c r="F962" s="28" t="str">
        <f>IF(E962="","",IFERROR(VLOOKUP(E962,REGRAS_CST!$A$2:$B$200,2,FALSE),""))</f>
        <v/>
      </c>
      <c r="H962" s="29">
        <v>8.9999999999999993E-3</v>
      </c>
      <c r="I962" s="29">
        <v>1E-3</v>
      </c>
      <c r="K962" s="21" t="str">
        <f>IF(E962="","",IFERROR(VLOOKUP(E962,REGRAS_CST!$A$2:$C$200,3,FALSE),""))</f>
        <v/>
      </c>
      <c r="L962" s="23" t="str">
        <f>IF($G962="", "", $G962*(1-$V962))</f>
        <v/>
      </c>
      <c r="M962" s="24" t="str">
        <f>IF(OR($L962="",$S962=""),"",$L962*$S962)</f>
        <v/>
      </c>
      <c r="N962" s="24" t="str">
        <f>IF(OR($L962="",$T962=""),"",$L962*$T962)</f>
        <v/>
      </c>
      <c r="O962" s="15" t="str">
        <f>IF(D962="","",
IF(AND(K962&lt;&gt;"SIM",V962&gt;0),"ERRO: % BC &gt; 0, mas NÃO permitida ❌",
IF(AND(K962="SIM",V962=0),"ATENÇÃO: BC permitida, mas % = 0 🔎",
"Base de cálculo aplicada corretamente ✅")))</f>
        <v/>
      </c>
      <c r="P962" s="31" t="str">
        <f>IF(D962="","",
IF(AND(Q962&lt;&gt;"SIM",U962&gt;0),"ERRO: % alíquota &gt; 0, mas NÃO permitida ❌",
IF(AND(Q962="SIM",U962=0),"ATENÇÃO: alíquota permitida, mas % = 0 🔎",
"Alíquota aplicada corretamente ✅")))</f>
        <v/>
      </c>
      <c r="Q962" s="8" t="str">
        <f>IF(E962="","",IFERROR(VLOOKUP(E962,REGRAS_CST!$A$2:$D$200,4,FALSE),""))</f>
        <v/>
      </c>
      <c r="S962" s="9">
        <f>IF($H962="","",$H962*(1-$U962))</f>
        <v>8.9999999999999993E-3</v>
      </c>
      <c r="T962" s="9">
        <f>IF($I962="","",$I962*(1-$U962))</f>
        <v>1E-3</v>
      </c>
      <c r="U962" s="16">
        <f>IFERROR(INDEX(BASE_CCLASSTRIB!$E:$E, MATCH(TEXT($D962,"000000"), BASE_CCLASSTRIB!$A:$A, 0))/100, 0)</f>
        <v>0</v>
      </c>
      <c r="V962" s="16">
        <f>IFERROR(INDEX(BASE_CCLASSTRIB!$F:$F, MATCH(TEXT($D962,"000000"), BASE_CCLASSTRIB!$A:$A, 0))/100, 0)</f>
        <v>0</v>
      </c>
    </row>
    <row r="963" spans="4:22" ht="32.25" customHeight="1">
      <c r="D963" s="39"/>
      <c r="E963" s="27" t="str">
        <f>IF(D963="","",LEFT(D963,3))</f>
        <v/>
      </c>
      <c r="F963" s="28" t="str">
        <f>IF(E963="","",IFERROR(VLOOKUP(E963,REGRAS_CST!$A$2:$B$200,2,FALSE),""))</f>
        <v/>
      </c>
      <c r="H963" s="29">
        <v>8.9999999999999993E-3</v>
      </c>
      <c r="I963" s="29">
        <v>1E-3</v>
      </c>
      <c r="K963" s="21" t="str">
        <f>IF(E963="","",IFERROR(VLOOKUP(E963,REGRAS_CST!$A$2:$C$200,3,FALSE),""))</f>
        <v/>
      </c>
      <c r="L963" s="23" t="str">
        <f>IF($G963="", "", $G963*(1-$V963))</f>
        <v/>
      </c>
      <c r="M963" s="24" t="str">
        <f>IF(OR($L963="",$S963=""),"",$L963*$S963)</f>
        <v/>
      </c>
      <c r="N963" s="24" t="str">
        <f>IF(OR($L963="",$T963=""),"",$L963*$T963)</f>
        <v/>
      </c>
      <c r="O963" s="15" t="str">
        <f>IF(D963="","",
IF(AND(K963&lt;&gt;"SIM",V963&gt;0),"ERRO: % BC &gt; 0, mas NÃO permitida ❌",
IF(AND(K963="SIM",V963=0),"ATENÇÃO: BC permitida, mas % = 0 🔎",
"Base de cálculo aplicada corretamente ✅")))</f>
        <v/>
      </c>
      <c r="P963" s="31" t="str">
        <f>IF(D963="","",
IF(AND(Q963&lt;&gt;"SIM",U963&gt;0),"ERRO: % alíquota &gt; 0, mas NÃO permitida ❌",
IF(AND(Q963="SIM",U963=0),"ATENÇÃO: alíquota permitida, mas % = 0 🔎",
"Alíquota aplicada corretamente ✅")))</f>
        <v/>
      </c>
      <c r="Q963" s="8" t="str">
        <f>IF(E963="","",IFERROR(VLOOKUP(E963,REGRAS_CST!$A$2:$D$200,4,FALSE),""))</f>
        <v/>
      </c>
      <c r="S963" s="9">
        <f>IF($H963="","",$H963*(1-$U963))</f>
        <v>8.9999999999999993E-3</v>
      </c>
      <c r="T963" s="9">
        <f>IF($I963="","",$I963*(1-$U963))</f>
        <v>1E-3</v>
      </c>
      <c r="U963" s="16">
        <f>IFERROR(INDEX(BASE_CCLASSTRIB!$E:$E, MATCH(TEXT($D963,"000000"), BASE_CCLASSTRIB!$A:$A, 0))/100, 0)</f>
        <v>0</v>
      </c>
      <c r="V963" s="16">
        <f>IFERROR(INDEX(BASE_CCLASSTRIB!$F:$F, MATCH(TEXT($D963,"000000"), BASE_CCLASSTRIB!$A:$A, 0))/100, 0)</f>
        <v>0</v>
      </c>
    </row>
    <row r="964" spans="4:22" ht="32.25" customHeight="1">
      <c r="D964" s="40"/>
      <c r="E964" s="27" t="str">
        <f>IF(D964="","",LEFT(D964,3))</f>
        <v/>
      </c>
      <c r="F964" s="28" t="str">
        <f>IF(E964="","",IFERROR(VLOOKUP(E964,REGRAS_CST!$A$2:$B$200,2,FALSE),""))</f>
        <v/>
      </c>
      <c r="H964" s="29">
        <v>8.9999999999999993E-3</v>
      </c>
      <c r="I964" s="29">
        <v>1E-3</v>
      </c>
      <c r="K964" s="21" t="str">
        <f>IF(E964="","",IFERROR(VLOOKUP(E964,REGRAS_CST!$A$2:$C$200,3,FALSE),""))</f>
        <v/>
      </c>
      <c r="L964" s="23" t="str">
        <f>IF($G964="", "", $G964*(1-$V964))</f>
        <v/>
      </c>
      <c r="M964" s="24" t="str">
        <f>IF(OR($L964="",$S964=""),"",$L964*$S964)</f>
        <v/>
      </c>
      <c r="N964" s="24" t="str">
        <f>IF(OR($L964="",$T964=""),"",$L964*$T964)</f>
        <v/>
      </c>
      <c r="O964" s="15" t="str">
        <f>IF(D964="","",
IF(AND(K964&lt;&gt;"SIM",V964&gt;0),"ERRO: % BC &gt; 0, mas NÃO permitida ❌",
IF(AND(K964="SIM",V964=0),"ATENÇÃO: BC permitida, mas % = 0 🔎",
"Base de cálculo aplicada corretamente ✅")))</f>
        <v/>
      </c>
      <c r="P964" s="31" t="str">
        <f>IF(D964="","",
IF(AND(Q964&lt;&gt;"SIM",U964&gt;0),"ERRO: % alíquota &gt; 0, mas NÃO permitida ❌",
IF(AND(Q964="SIM",U964=0),"ATENÇÃO: alíquota permitida, mas % = 0 🔎",
"Alíquota aplicada corretamente ✅")))</f>
        <v/>
      </c>
      <c r="Q964" s="8" t="str">
        <f>IF(E964="","",IFERROR(VLOOKUP(E964,REGRAS_CST!$A$2:$D$200,4,FALSE),""))</f>
        <v/>
      </c>
      <c r="S964" s="9">
        <f>IF($H964="","",$H964*(1-$U964))</f>
        <v>8.9999999999999993E-3</v>
      </c>
      <c r="T964" s="9">
        <f>IF($I964="","",$I964*(1-$U964))</f>
        <v>1E-3</v>
      </c>
      <c r="U964" s="16">
        <f>IFERROR(INDEX(BASE_CCLASSTRIB!$E:$E, MATCH(TEXT($D964,"000000"), BASE_CCLASSTRIB!$A:$A, 0))/100, 0)</f>
        <v>0</v>
      </c>
      <c r="V964" s="16">
        <f>IFERROR(INDEX(BASE_CCLASSTRIB!$F:$F, MATCH(TEXT($D964,"000000"), BASE_CCLASSTRIB!$A:$A, 0))/100, 0)</f>
        <v>0</v>
      </c>
    </row>
    <row r="965" spans="4:22" ht="32.25" customHeight="1">
      <c r="D965" s="40"/>
      <c r="E965" s="27" t="str">
        <f>IF(D965="","",LEFT(D965,3))</f>
        <v/>
      </c>
      <c r="F965" s="28" t="str">
        <f>IF(E965="","",IFERROR(VLOOKUP(E965,REGRAS_CST!$A$2:$B$200,2,FALSE),""))</f>
        <v/>
      </c>
      <c r="H965" s="29">
        <v>8.9999999999999993E-3</v>
      </c>
      <c r="I965" s="29">
        <v>1E-3</v>
      </c>
      <c r="K965" s="21" t="str">
        <f>IF(E965="","",IFERROR(VLOOKUP(E965,REGRAS_CST!$A$2:$C$200,3,FALSE),""))</f>
        <v/>
      </c>
      <c r="L965" s="23" t="str">
        <f>IF($G965="", "", $G965*(1-$V965))</f>
        <v/>
      </c>
      <c r="M965" s="24" t="str">
        <f>IF(OR($L965="",$S965=""),"",$L965*$S965)</f>
        <v/>
      </c>
      <c r="N965" s="24" t="str">
        <f>IF(OR($L965="",$T965=""),"",$L965*$T965)</f>
        <v/>
      </c>
      <c r="O965" s="15" t="str">
        <f>IF(D965="","",
IF(AND(K965&lt;&gt;"SIM",V965&gt;0),"ERRO: % BC &gt; 0, mas NÃO permitida ❌",
IF(AND(K965="SIM",V965=0),"ATENÇÃO: BC permitida, mas % = 0 🔎",
"Base de cálculo aplicada corretamente ✅")))</f>
        <v/>
      </c>
      <c r="P965" s="31" t="str">
        <f>IF(D965="","",
IF(AND(Q965&lt;&gt;"SIM",U965&gt;0),"ERRO: % alíquota &gt; 0, mas NÃO permitida ❌",
IF(AND(Q965="SIM",U965=0),"ATENÇÃO: alíquota permitida, mas % = 0 🔎",
"Alíquota aplicada corretamente ✅")))</f>
        <v/>
      </c>
      <c r="Q965" s="8" t="str">
        <f>IF(E965="","",IFERROR(VLOOKUP(E965,REGRAS_CST!$A$2:$D$200,4,FALSE),""))</f>
        <v/>
      </c>
      <c r="S965" s="9">
        <f>IF($H965="","",$H965*(1-$U965))</f>
        <v>8.9999999999999993E-3</v>
      </c>
      <c r="T965" s="9">
        <f>IF($I965="","",$I965*(1-$U965))</f>
        <v>1E-3</v>
      </c>
      <c r="U965" s="16">
        <f>IFERROR(INDEX(BASE_CCLASSTRIB!$E:$E, MATCH(TEXT($D965,"000000"), BASE_CCLASSTRIB!$A:$A, 0))/100, 0)</f>
        <v>0</v>
      </c>
      <c r="V965" s="16">
        <f>IFERROR(INDEX(BASE_CCLASSTRIB!$F:$F, MATCH(TEXT($D965,"000000"), BASE_CCLASSTRIB!$A:$A, 0))/100, 0)</f>
        <v>0</v>
      </c>
    </row>
    <row r="966" spans="4:22" ht="32.25" customHeight="1">
      <c r="D966" s="40"/>
      <c r="E966" s="27" t="str">
        <f>IF(D966="","",LEFT(D966,3))</f>
        <v/>
      </c>
      <c r="F966" s="28" t="str">
        <f>IF(E966="","",IFERROR(VLOOKUP(E966,REGRAS_CST!$A$2:$B$200,2,FALSE),""))</f>
        <v/>
      </c>
      <c r="H966" s="29">
        <v>8.9999999999999993E-3</v>
      </c>
      <c r="I966" s="29">
        <v>1E-3</v>
      </c>
      <c r="K966" s="21" t="str">
        <f>IF(E966="","",IFERROR(VLOOKUP(E966,REGRAS_CST!$A$2:$C$200,3,FALSE),""))</f>
        <v/>
      </c>
      <c r="L966" s="23" t="str">
        <f>IF($G966="", "", $G966*(1-$V966))</f>
        <v/>
      </c>
      <c r="M966" s="24" t="str">
        <f>IF(OR($L966="",$S966=""),"",$L966*$S966)</f>
        <v/>
      </c>
      <c r="N966" s="24" t="str">
        <f>IF(OR($L966="",$T966=""),"",$L966*$T966)</f>
        <v/>
      </c>
      <c r="O966" s="15" t="str">
        <f>IF(D966="","",
IF(AND(K966&lt;&gt;"SIM",V966&gt;0),"ERRO: % BC &gt; 0, mas NÃO permitida ❌",
IF(AND(K966="SIM",V966=0),"ATENÇÃO: BC permitida, mas % = 0 🔎",
"Base de cálculo aplicada corretamente ✅")))</f>
        <v/>
      </c>
      <c r="P966" s="31" t="str">
        <f>IF(D966="","",
IF(AND(Q966&lt;&gt;"SIM",U966&gt;0),"ERRO: % alíquota &gt; 0, mas NÃO permitida ❌",
IF(AND(Q966="SIM",U966=0),"ATENÇÃO: alíquota permitida, mas % = 0 🔎",
"Alíquota aplicada corretamente ✅")))</f>
        <v/>
      </c>
      <c r="Q966" s="8" t="str">
        <f>IF(E966="","",IFERROR(VLOOKUP(E966,REGRAS_CST!$A$2:$D$200,4,FALSE),""))</f>
        <v/>
      </c>
      <c r="S966" s="9">
        <f>IF($H966="","",$H966*(1-$U966))</f>
        <v>8.9999999999999993E-3</v>
      </c>
      <c r="T966" s="9">
        <f>IF($I966="","",$I966*(1-$U966))</f>
        <v>1E-3</v>
      </c>
      <c r="U966" s="16">
        <f>IFERROR(INDEX(BASE_CCLASSTRIB!$E:$E, MATCH(TEXT($D966,"000000"), BASE_CCLASSTRIB!$A:$A, 0))/100, 0)</f>
        <v>0</v>
      </c>
      <c r="V966" s="16">
        <f>IFERROR(INDEX(BASE_CCLASSTRIB!$F:$F, MATCH(TEXT($D966,"000000"), BASE_CCLASSTRIB!$A:$A, 0))/100, 0)</f>
        <v>0</v>
      </c>
    </row>
    <row r="967" spans="4:22" ht="32.25" customHeight="1">
      <c r="D967" s="39"/>
      <c r="E967" s="27" t="str">
        <f>IF(D967="","",LEFT(D967,3))</f>
        <v/>
      </c>
      <c r="F967" s="28" t="str">
        <f>IF(E967="","",IFERROR(VLOOKUP(E967,REGRAS_CST!$A$2:$B$200,2,FALSE),""))</f>
        <v/>
      </c>
      <c r="H967" s="29">
        <v>8.9999999999999993E-3</v>
      </c>
      <c r="I967" s="29">
        <v>1E-3</v>
      </c>
      <c r="K967" s="21" t="str">
        <f>IF(E967="","",IFERROR(VLOOKUP(E967,REGRAS_CST!$A$2:$C$200,3,FALSE),""))</f>
        <v/>
      </c>
      <c r="L967" s="23" t="str">
        <f>IF($G967="", "", $G967*(1-$V967))</f>
        <v/>
      </c>
      <c r="M967" s="24" t="str">
        <f>IF(OR($L967="",$S967=""),"",$L967*$S967)</f>
        <v/>
      </c>
      <c r="N967" s="24" t="str">
        <f>IF(OR($L967="",$T967=""),"",$L967*$T967)</f>
        <v/>
      </c>
      <c r="O967" s="15" t="str">
        <f>IF(D967="","",
IF(AND(K967&lt;&gt;"SIM",V967&gt;0),"ERRO: % BC &gt; 0, mas NÃO permitida ❌",
IF(AND(K967="SIM",V967=0),"ATENÇÃO: BC permitida, mas % = 0 🔎",
"Base de cálculo aplicada corretamente ✅")))</f>
        <v/>
      </c>
      <c r="P967" s="31" t="str">
        <f>IF(D967="","",
IF(AND(Q967&lt;&gt;"SIM",U967&gt;0),"ERRO: % alíquota &gt; 0, mas NÃO permitida ❌",
IF(AND(Q967="SIM",U967=0),"ATENÇÃO: alíquota permitida, mas % = 0 🔎",
"Alíquota aplicada corretamente ✅")))</f>
        <v/>
      </c>
      <c r="Q967" s="8" t="str">
        <f>IF(E967="","",IFERROR(VLOOKUP(E967,REGRAS_CST!$A$2:$D$200,4,FALSE),""))</f>
        <v/>
      </c>
      <c r="S967" s="9">
        <f>IF($H967="","",$H967*(1-$U967))</f>
        <v>8.9999999999999993E-3</v>
      </c>
      <c r="T967" s="9">
        <f>IF($I967="","",$I967*(1-$U967))</f>
        <v>1E-3</v>
      </c>
      <c r="U967" s="16">
        <f>IFERROR(INDEX(BASE_CCLASSTRIB!$E:$E, MATCH(TEXT($D967,"000000"), BASE_CCLASSTRIB!$A:$A, 0))/100, 0)</f>
        <v>0</v>
      </c>
      <c r="V967" s="16">
        <f>IFERROR(INDEX(BASE_CCLASSTRIB!$F:$F, MATCH(TEXT($D967,"000000"), BASE_CCLASSTRIB!$A:$A, 0))/100, 0)</f>
        <v>0</v>
      </c>
    </row>
    <row r="968" spans="4:22" ht="32.25" customHeight="1">
      <c r="D968" s="40"/>
      <c r="E968" s="27" t="str">
        <f>IF(D968="","",LEFT(D968,3))</f>
        <v/>
      </c>
      <c r="F968" s="28" t="str">
        <f>IF(E968="","",IFERROR(VLOOKUP(E968,REGRAS_CST!$A$2:$B$200,2,FALSE),""))</f>
        <v/>
      </c>
      <c r="H968" s="29">
        <v>8.9999999999999993E-3</v>
      </c>
      <c r="I968" s="29">
        <v>1E-3</v>
      </c>
      <c r="K968" s="21" t="str">
        <f>IF(E968="","",IFERROR(VLOOKUP(E968,REGRAS_CST!$A$2:$C$200,3,FALSE),""))</f>
        <v/>
      </c>
      <c r="L968" s="23" t="str">
        <f>IF($G968="", "", $G968*(1-$V968))</f>
        <v/>
      </c>
      <c r="M968" s="24" t="str">
        <f>IF(OR($L968="",$S968=""),"",$L968*$S968)</f>
        <v/>
      </c>
      <c r="N968" s="24" t="str">
        <f>IF(OR($L968="",$T968=""),"",$L968*$T968)</f>
        <v/>
      </c>
      <c r="O968" s="15" t="str">
        <f>IF(D968="","",
IF(AND(K968&lt;&gt;"SIM",V968&gt;0),"ERRO: % BC &gt; 0, mas NÃO permitida ❌",
IF(AND(K968="SIM",V968=0),"ATENÇÃO: BC permitida, mas % = 0 🔎",
"Base de cálculo aplicada corretamente ✅")))</f>
        <v/>
      </c>
      <c r="P968" s="31" t="str">
        <f>IF(D968="","",
IF(AND(Q968&lt;&gt;"SIM",U968&gt;0),"ERRO: % alíquota &gt; 0, mas NÃO permitida ❌",
IF(AND(Q968="SIM",U968=0),"ATENÇÃO: alíquota permitida, mas % = 0 🔎",
"Alíquota aplicada corretamente ✅")))</f>
        <v/>
      </c>
      <c r="Q968" s="8" t="str">
        <f>IF(E968="","",IFERROR(VLOOKUP(E968,REGRAS_CST!$A$2:$D$200,4,FALSE),""))</f>
        <v/>
      </c>
      <c r="S968" s="9">
        <f>IF($H968="","",$H968*(1-$U968))</f>
        <v>8.9999999999999993E-3</v>
      </c>
      <c r="T968" s="9">
        <f>IF($I968="","",$I968*(1-$U968))</f>
        <v>1E-3</v>
      </c>
      <c r="U968" s="16">
        <f>IFERROR(INDEX(BASE_CCLASSTRIB!$E:$E, MATCH(TEXT($D968,"000000"), BASE_CCLASSTRIB!$A:$A, 0))/100, 0)</f>
        <v>0</v>
      </c>
      <c r="V968" s="16">
        <f>IFERROR(INDEX(BASE_CCLASSTRIB!$F:$F, MATCH(TEXT($D968,"000000"), BASE_CCLASSTRIB!$A:$A, 0))/100, 0)</f>
        <v>0</v>
      </c>
    </row>
    <row r="969" spans="4:22" ht="32.25" customHeight="1">
      <c r="D969" s="39"/>
      <c r="E969" s="27" t="str">
        <f>IF(D969="","",LEFT(D969,3))</f>
        <v/>
      </c>
      <c r="F969" s="28" t="str">
        <f>IF(E969="","",IFERROR(VLOOKUP(E969,REGRAS_CST!$A$2:$B$200,2,FALSE),""))</f>
        <v/>
      </c>
      <c r="H969" s="29">
        <v>8.9999999999999993E-3</v>
      </c>
      <c r="I969" s="29">
        <v>1E-3</v>
      </c>
      <c r="K969" s="21" t="str">
        <f>IF(E969="","",IFERROR(VLOOKUP(E969,REGRAS_CST!$A$2:$C$200,3,FALSE),""))</f>
        <v/>
      </c>
      <c r="L969" s="23" t="str">
        <f>IF($G969="", "", $G969*(1-$V969))</f>
        <v/>
      </c>
      <c r="M969" s="24" t="str">
        <f>IF(OR($L969="",$S969=""),"",$L969*$S969)</f>
        <v/>
      </c>
      <c r="N969" s="24" t="str">
        <f>IF(OR($L969="",$T969=""),"",$L969*$T969)</f>
        <v/>
      </c>
      <c r="O969" s="15" t="str">
        <f>IF(D969="","",
IF(AND(K969&lt;&gt;"SIM",V969&gt;0),"ERRO: % BC &gt; 0, mas NÃO permitida ❌",
IF(AND(K969="SIM",V969=0),"ATENÇÃO: BC permitida, mas % = 0 🔎",
"Base de cálculo aplicada corretamente ✅")))</f>
        <v/>
      </c>
      <c r="P969" s="31" t="str">
        <f>IF(D969="","",
IF(AND(Q969&lt;&gt;"SIM",U969&gt;0),"ERRO: % alíquota &gt; 0, mas NÃO permitida ❌",
IF(AND(Q969="SIM",U969=0),"ATENÇÃO: alíquota permitida, mas % = 0 🔎",
"Alíquota aplicada corretamente ✅")))</f>
        <v/>
      </c>
      <c r="Q969" s="8" t="str">
        <f>IF(E969="","",IFERROR(VLOOKUP(E969,REGRAS_CST!$A$2:$D$200,4,FALSE),""))</f>
        <v/>
      </c>
      <c r="S969" s="9">
        <f>IF($H969="","",$H969*(1-$U969))</f>
        <v>8.9999999999999993E-3</v>
      </c>
      <c r="T969" s="9">
        <f>IF($I969="","",$I969*(1-$U969))</f>
        <v>1E-3</v>
      </c>
      <c r="U969" s="16">
        <f>IFERROR(INDEX(BASE_CCLASSTRIB!$E:$E, MATCH(TEXT($D969,"000000"), BASE_CCLASSTRIB!$A:$A, 0))/100, 0)</f>
        <v>0</v>
      </c>
      <c r="V969" s="16">
        <f>IFERROR(INDEX(BASE_CCLASSTRIB!$F:$F, MATCH(TEXT($D969,"000000"), BASE_CCLASSTRIB!$A:$A, 0))/100, 0)</f>
        <v>0</v>
      </c>
    </row>
    <row r="970" spans="4:22" ht="32.25" customHeight="1">
      <c r="D970" s="39"/>
      <c r="E970" s="27" t="str">
        <f>IF(D970="","",LEFT(D970,3))</f>
        <v/>
      </c>
      <c r="F970" s="28" t="str">
        <f>IF(E970="","",IFERROR(VLOOKUP(E970,REGRAS_CST!$A$2:$B$200,2,FALSE),""))</f>
        <v/>
      </c>
      <c r="H970" s="29">
        <v>8.9999999999999993E-3</v>
      </c>
      <c r="I970" s="29">
        <v>1E-3</v>
      </c>
      <c r="K970" s="21" t="str">
        <f>IF(E970="","",IFERROR(VLOOKUP(E970,REGRAS_CST!$A$2:$C$200,3,FALSE),""))</f>
        <v/>
      </c>
      <c r="L970" s="23" t="str">
        <f>IF($G970="", "", $G970*(1-$V970))</f>
        <v/>
      </c>
      <c r="M970" s="24" t="str">
        <f>IF(OR($L970="",$S970=""),"",$L970*$S970)</f>
        <v/>
      </c>
      <c r="N970" s="24" t="str">
        <f>IF(OR($L970="",$T970=""),"",$L970*$T970)</f>
        <v/>
      </c>
      <c r="O970" s="15" t="str">
        <f>IF(D970="","",
IF(AND(K970&lt;&gt;"SIM",V970&gt;0),"ERRO: % BC &gt; 0, mas NÃO permitida ❌",
IF(AND(K970="SIM",V970=0),"ATENÇÃO: BC permitida, mas % = 0 🔎",
"Base de cálculo aplicada corretamente ✅")))</f>
        <v/>
      </c>
      <c r="P970" s="31" t="str">
        <f>IF(D970="","",
IF(AND(Q970&lt;&gt;"SIM",U970&gt;0),"ERRO: % alíquota &gt; 0, mas NÃO permitida ❌",
IF(AND(Q970="SIM",U970=0),"ATENÇÃO: alíquota permitida, mas % = 0 🔎",
"Alíquota aplicada corretamente ✅")))</f>
        <v/>
      </c>
      <c r="Q970" s="8" t="str">
        <f>IF(E970="","",IFERROR(VLOOKUP(E970,REGRAS_CST!$A$2:$D$200,4,FALSE),""))</f>
        <v/>
      </c>
      <c r="S970" s="9">
        <f>IF($H970="","",$H970*(1-$U970))</f>
        <v>8.9999999999999993E-3</v>
      </c>
      <c r="T970" s="9">
        <f>IF($I970="","",$I970*(1-$U970))</f>
        <v>1E-3</v>
      </c>
      <c r="U970" s="16">
        <f>IFERROR(INDEX(BASE_CCLASSTRIB!$E:$E, MATCH(TEXT($D970,"000000"), BASE_CCLASSTRIB!$A:$A, 0))/100, 0)</f>
        <v>0</v>
      </c>
      <c r="V970" s="16">
        <f>IFERROR(INDEX(BASE_CCLASSTRIB!$F:$F, MATCH(TEXT($D970,"000000"), BASE_CCLASSTRIB!$A:$A, 0))/100, 0)</f>
        <v>0</v>
      </c>
    </row>
    <row r="971" spans="4:22" ht="32.25" customHeight="1">
      <c r="D971" s="40"/>
      <c r="E971" s="27" t="str">
        <f>IF(D971="","",LEFT(D971,3))</f>
        <v/>
      </c>
      <c r="F971" s="28" t="str">
        <f>IF(E971="","",IFERROR(VLOOKUP(E971,REGRAS_CST!$A$2:$B$200,2,FALSE),""))</f>
        <v/>
      </c>
      <c r="H971" s="29">
        <v>8.9999999999999993E-3</v>
      </c>
      <c r="I971" s="29">
        <v>1E-3</v>
      </c>
      <c r="K971" s="21" t="str">
        <f>IF(E971="","",IFERROR(VLOOKUP(E971,REGRAS_CST!$A$2:$C$200,3,FALSE),""))</f>
        <v/>
      </c>
      <c r="L971" s="23" t="str">
        <f>IF($G971="", "", $G971*(1-$V971))</f>
        <v/>
      </c>
      <c r="M971" s="24" t="str">
        <f>IF(OR($L971="",$S971=""),"",$L971*$S971)</f>
        <v/>
      </c>
      <c r="N971" s="24" t="str">
        <f>IF(OR($L971="",$T971=""),"",$L971*$T971)</f>
        <v/>
      </c>
      <c r="O971" s="15" t="str">
        <f>IF(D971="","",
IF(AND(K971&lt;&gt;"SIM",V971&gt;0),"ERRO: % BC &gt; 0, mas NÃO permitida ❌",
IF(AND(K971="SIM",V971=0),"ATENÇÃO: BC permitida, mas % = 0 🔎",
"Base de cálculo aplicada corretamente ✅")))</f>
        <v/>
      </c>
      <c r="P971" s="31" t="str">
        <f>IF(D971="","",
IF(AND(Q971&lt;&gt;"SIM",U971&gt;0),"ERRO: % alíquota &gt; 0, mas NÃO permitida ❌",
IF(AND(Q971="SIM",U971=0),"ATENÇÃO: alíquota permitida, mas % = 0 🔎",
"Alíquota aplicada corretamente ✅")))</f>
        <v/>
      </c>
      <c r="Q971" s="8" t="str">
        <f>IF(E971="","",IFERROR(VLOOKUP(E971,REGRAS_CST!$A$2:$D$200,4,FALSE),""))</f>
        <v/>
      </c>
      <c r="S971" s="9">
        <f>IF($H971="","",$H971*(1-$U971))</f>
        <v>8.9999999999999993E-3</v>
      </c>
      <c r="T971" s="9">
        <f>IF($I971="","",$I971*(1-$U971))</f>
        <v>1E-3</v>
      </c>
      <c r="U971" s="16">
        <f>IFERROR(INDEX(BASE_CCLASSTRIB!$E:$E, MATCH(TEXT($D971,"000000"), BASE_CCLASSTRIB!$A:$A, 0))/100, 0)</f>
        <v>0</v>
      </c>
      <c r="V971" s="16">
        <f>IFERROR(INDEX(BASE_CCLASSTRIB!$F:$F, MATCH(TEXT($D971,"000000"), BASE_CCLASSTRIB!$A:$A, 0))/100, 0)</f>
        <v>0</v>
      </c>
    </row>
    <row r="972" spans="4:22" ht="32.25" customHeight="1">
      <c r="D972" s="40"/>
      <c r="E972" s="27" t="str">
        <f>IF(D972="","",LEFT(D972,3))</f>
        <v/>
      </c>
      <c r="F972" s="28" t="str">
        <f>IF(E972="","",IFERROR(VLOOKUP(E972,REGRAS_CST!$A$2:$B$200,2,FALSE),""))</f>
        <v/>
      </c>
      <c r="H972" s="29">
        <v>8.9999999999999993E-3</v>
      </c>
      <c r="I972" s="29">
        <v>1E-3</v>
      </c>
      <c r="K972" s="21" t="str">
        <f>IF(E972="","",IFERROR(VLOOKUP(E972,REGRAS_CST!$A$2:$C$200,3,FALSE),""))</f>
        <v/>
      </c>
      <c r="L972" s="23" t="str">
        <f>IF($G972="", "", $G972*(1-$V972))</f>
        <v/>
      </c>
      <c r="M972" s="24" t="str">
        <f>IF(OR($L972="",$S972=""),"",$L972*$S972)</f>
        <v/>
      </c>
      <c r="N972" s="24" t="str">
        <f>IF(OR($L972="",$T972=""),"",$L972*$T972)</f>
        <v/>
      </c>
      <c r="O972" s="15" t="str">
        <f>IF(D972="","",
IF(AND(K972&lt;&gt;"SIM",V972&gt;0),"ERRO: % BC &gt; 0, mas NÃO permitida ❌",
IF(AND(K972="SIM",V972=0),"ATENÇÃO: BC permitida, mas % = 0 🔎",
"Base de cálculo aplicada corretamente ✅")))</f>
        <v/>
      </c>
      <c r="P972" s="31" t="str">
        <f>IF(D972="","",
IF(AND(Q972&lt;&gt;"SIM",U972&gt;0),"ERRO: % alíquota &gt; 0, mas NÃO permitida ❌",
IF(AND(Q972="SIM",U972=0),"ATENÇÃO: alíquota permitida, mas % = 0 🔎",
"Alíquota aplicada corretamente ✅")))</f>
        <v/>
      </c>
      <c r="Q972" s="8" t="str">
        <f>IF(E972="","",IFERROR(VLOOKUP(E972,REGRAS_CST!$A$2:$D$200,4,FALSE),""))</f>
        <v/>
      </c>
      <c r="S972" s="9">
        <f>IF($H972="","",$H972*(1-$U972))</f>
        <v>8.9999999999999993E-3</v>
      </c>
      <c r="T972" s="9">
        <f>IF($I972="","",$I972*(1-$U972))</f>
        <v>1E-3</v>
      </c>
      <c r="U972" s="16">
        <f>IFERROR(INDEX(BASE_CCLASSTRIB!$E:$E, MATCH(TEXT($D972,"000000"), BASE_CCLASSTRIB!$A:$A, 0))/100, 0)</f>
        <v>0</v>
      </c>
      <c r="V972" s="16">
        <f>IFERROR(INDEX(BASE_CCLASSTRIB!$F:$F, MATCH(TEXT($D972,"000000"), BASE_CCLASSTRIB!$A:$A, 0))/100, 0)</f>
        <v>0</v>
      </c>
    </row>
    <row r="973" spans="4:22" ht="32.25" customHeight="1">
      <c r="D973" s="40"/>
      <c r="E973" s="27" t="str">
        <f>IF(D973="","",LEFT(D973,3))</f>
        <v/>
      </c>
      <c r="F973" s="28" t="str">
        <f>IF(E973="","",IFERROR(VLOOKUP(E973,REGRAS_CST!$A$2:$B$200,2,FALSE),""))</f>
        <v/>
      </c>
      <c r="H973" s="29">
        <v>8.9999999999999993E-3</v>
      </c>
      <c r="I973" s="29">
        <v>1E-3</v>
      </c>
      <c r="K973" s="21" t="str">
        <f>IF(E973="","",IFERROR(VLOOKUP(E973,REGRAS_CST!$A$2:$C$200,3,FALSE),""))</f>
        <v/>
      </c>
      <c r="L973" s="23" t="str">
        <f>IF($G973="", "", $G973*(1-$V973))</f>
        <v/>
      </c>
      <c r="M973" s="24" t="str">
        <f>IF(OR($L973="",$S973=""),"",$L973*$S973)</f>
        <v/>
      </c>
      <c r="N973" s="24" t="str">
        <f>IF(OR($L973="",$T973=""),"",$L973*$T973)</f>
        <v/>
      </c>
      <c r="O973" s="15" t="str">
        <f>IF(D973="","",
IF(AND(K973&lt;&gt;"SIM",V973&gt;0),"ERRO: % BC &gt; 0, mas NÃO permitida ❌",
IF(AND(K973="SIM",V973=0),"ATENÇÃO: BC permitida, mas % = 0 🔎",
"Base de cálculo aplicada corretamente ✅")))</f>
        <v/>
      </c>
      <c r="P973" s="31" t="str">
        <f>IF(D973="","",
IF(AND(Q973&lt;&gt;"SIM",U973&gt;0),"ERRO: % alíquota &gt; 0, mas NÃO permitida ❌",
IF(AND(Q973="SIM",U973=0),"ATENÇÃO: alíquota permitida, mas % = 0 🔎",
"Alíquota aplicada corretamente ✅")))</f>
        <v/>
      </c>
      <c r="Q973" s="8" t="str">
        <f>IF(E973="","",IFERROR(VLOOKUP(E973,REGRAS_CST!$A$2:$D$200,4,FALSE),""))</f>
        <v/>
      </c>
      <c r="S973" s="9">
        <f>IF($H973="","",$H973*(1-$U973))</f>
        <v>8.9999999999999993E-3</v>
      </c>
      <c r="T973" s="9">
        <f>IF($I973="","",$I973*(1-$U973))</f>
        <v>1E-3</v>
      </c>
      <c r="U973" s="16">
        <f>IFERROR(INDEX(BASE_CCLASSTRIB!$E:$E, MATCH(TEXT($D973,"000000"), BASE_CCLASSTRIB!$A:$A, 0))/100, 0)</f>
        <v>0</v>
      </c>
      <c r="V973" s="16">
        <f>IFERROR(INDEX(BASE_CCLASSTRIB!$F:$F, MATCH(TEXT($D973,"000000"), BASE_CCLASSTRIB!$A:$A, 0))/100, 0)</f>
        <v>0</v>
      </c>
    </row>
    <row r="974" spans="4:22" ht="32.25" customHeight="1">
      <c r="D974" s="39"/>
      <c r="E974" s="27" t="str">
        <f>IF(D974="","",LEFT(D974,3))</f>
        <v/>
      </c>
      <c r="F974" s="28" t="str">
        <f>IF(E974="","",IFERROR(VLOOKUP(E974,REGRAS_CST!$A$2:$B$200,2,FALSE),""))</f>
        <v/>
      </c>
      <c r="H974" s="29">
        <v>8.9999999999999993E-3</v>
      </c>
      <c r="I974" s="29">
        <v>1E-3</v>
      </c>
      <c r="K974" s="21" t="str">
        <f>IF(E974="","",IFERROR(VLOOKUP(E974,REGRAS_CST!$A$2:$C$200,3,FALSE),""))</f>
        <v/>
      </c>
      <c r="L974" s="23" t="str">
        <f>IF($G974="", "", $G974*(1-$V974))</f>
        <v/>
      </c>
      <c r="M974" s="24" t="str">
        <f>IF(OR($L974="",$S974=""),"",$L974*$S974)</f>
        <v/>
      </c>
      <c r="N974" s="24" t="str">
        <f>IF(OR($L974="",$T974=""),"",$L974*$T974)</f>
        <v/>
      </c>
      <c r="O974" s="15" t="str">
        <f>IF(D974="","",
IF(AND(K974&lt;&gt;"SIM",V974&gt;0),"ERRO: % BC &gt; 0, mas NÃO permitida ❌",
IF(AND(K974="SIM",V974=0),"ATENÇÃO: BC permitida, mas % = 0 🔎",
"Base de cálculo aplicada corretamente ✅")))</f>
        <v/>
      </c>
      <c r="P974" s="31" t="str">
        <f>IF(D974="","",
IF(AND(Q974&lt;&gt;"SIM",U974&gt;0),"ERRO: % alíquota &gt; 0, mas NÃO permitida ❌",
IF(AND(Q974="SIM",U974=0),"ATENÇÃO: alíquota permitida, mas % = 0 🔎",
"Alíquota aplicada corretamente ✅")))</f>
        <v/>
      </c>
      <c r="Q974" s="8" t="str">
        <f>IF(E974="","",IFERROR(VLOOKUP(E974,REGRAS_CST!$A$2:$D$200,4,FALSE),""))</f>
        <v/>
      </c>
      <c r="S974" s="9">
        <f>IF($H974="","",$H974*(1-$U974))</f>
        <v>8.9999999999999993E-3</v>
      </c>
      <c r="T974" s="9">
        <f>IF($I974="","",$I974*(1-$U974))</f>
        <v>1E-3</v>
      </c>
      <c r="U974" s="16">
        <f>IFERROR(INDEX(BASE_CCLASSTRIB!$E:$E, MATCH(TEXT($D974,"000000"), BASE_CCLASSTRIB!$A:$A, 0))/100, 0)</f>
        <v>0</v>
      </c>
      <c r="V974" s="16">
        <f>IFERROR(INDEX(BASE_CCLASSTRIB!$F:$F, MATCH(TEXT($D974,"000000"), BASE_CCLASSTRIB!$A:$A, 0))/100, 0)</f>
        <v>0</v>
      </c>
    </row>
    <row r="975" spans="4:22" ht="32.25" customHeight="1">
      <c r="D975" s="40"/>
      <c r="E975" s="27" t="str">
        <f>IF(D975="","",LEFT(D975,3))</f>
        <v/>
      </c>
      <c r="F975" s="28" t="str">
        <f>IF(E975="","",IFERROR(VLOOKUP(E975,REGRAS_CST!$A$2:$B$200,2,FALSE),""))</f>
        <v/>
      </c>
      <c r="H975" s="29">
        <v>8.9999999999999993E-3</v>
      </c>
      <c r="I975" s="29">
        <v>1E-3</v>
      </c>
      <c r="K975" s="21" t="str">
        <f>IF(E975="","",IFERROR(VLOOKUP(E975,REGRAS_CST!$A$2:$C$200,3,FALSE),""))</f>
        <v/>
      </c>
      <c r="L975" s="23" t="str">
        <f>IF($G975="", "", $G975*(1-$V975))</f>
        <v/>
      </c>
      <c r="M975" s="24" t="str">
        <f>IF(OR($L975="",$S975=""),"",$L975*$S975)</f>
        <v/>
      </c>
      <c r="N975" s="24" t="str">
        <f>IF(OR($L975="",$T975=""),"",$L975*$T975)</f>
        <v/>
      </c>
      <c r="O975" s="15" t="str">
        <f>IF(D975="","",
IF(AND(K975&lt;&gt;"SIM",V975&gt;0),"ERRO: % BC &gt; 0, mas NÃO permitida ❌",
IF(AND(K975="SIM",V975=0),"ATENÇÃO: BC permitida, mas % = 0 🔎",
"Base de cálculo aplicada corretamente ✅")))</f>
        <v/>
      </c>
      <c r="P975" s="31" t="str">
        <f>IF(D975="","",
IF(AND(Q975&lt;&gt;"SIM",U975&gt;0),"ERRO: % alíquota &gt; 0, mas NÃO permitida ❌",
IF(AND(Q975="SIM",U975=0),"ATENÇÃO: alíquota permitida, mas % = 0 🔎",
"Alíquota aplicada corretamente ✅")))</f>
        <v/>
      </c>
      <c r="Q975" s="8" t="str">
        <f>IF(E975="","",IFERROR(VLOOKUP(E975,REGRAS_CST!$A$2:$D$200,4,FALSE),""))</f>
        <v/>
      </c>
      <c r="S975" s="9">
        <f>IF($H975="","",$H975*(1-$U975))</f>
        <v>8.9999999999999993E-3</v>
      </c>
      <c r="T975" s="9">
        <f>IF($I975="","",$I975*(1-$U975))</f>
        <v>1E-3</v>
      </c>
      <c r="U975" s="16">
        <f>IFERROR(INDEX(BASE_CCLASSTRIB!$E:$E, MATCH(TEXT($D975,"000000"), BASE_CCLASSTRIB!$A:$A, 0))/100, 0)</f>
        <v>0</v>
      </c>
      <c r="V975" s="16">
        <f>IFERROR(INDEX(BASE_CCLASSTRIB!$F:$F, MATCH(TEXT($D975,"000000"), BASE_CCLASSTRIB!$A:$A, 0))/100, 0)</f>
        <v>0</v>
      </c>
    </row>
    <row r="976" spans="4:22" ht="32.25" customHeight="1">
      <c r="D976" s="39"/>
      <c r="E976" s="27" t="str">
        <f>IF(D976="","",LEFT(D976,3))</f>
        <v/>
      </c>
      <c r="F976" s="28" t="str">
        <f>IF(E976="","",IFERROR(VLOOKUP(E976,REGRAS_CST!$A$2:$B$200,2,FALSE),""))</f>
        <v/>
      </c>
      <c r="H976" s="29">
        <v>8.9999999999999993E-3</v>
      </c>
      <c r="I976" s="29">
        <v>1E-3</v>
      </c>
      <c r="K976" s="21" t="str">
        <f>IF(E976="","",IFERROR(VLOOKUP(E976,REGRAS_CST!$A$2:$C$200,3,FALSE),""))</f>
        <v/>
      </c>
      <c r="L976" s="23" t="str">
        <f>IF($G976="", "", $G976*(1-$V976))</f>
        <v/>
      </c>
      <c r="M976" s="24" t="str">
        <f>IF(OR($L976="",$S976=""),"",$L976*$S976)</f>
        <v/>
      </c>
      <c r="N976" s="24" t="str">
        <f>IF(OR($L976="",$T976=""),"",$L976*$T976)</f>
        <v/>
      </c>
      <c r="O976" s="15" t="str">
        <f>IF(D976="","",
IF(AND(K976&lt;&gt;"SIM",V976&gt;0),"ERRO: % BC &gt; 0, mas NÃO permitida ❌",
IF(AND(K976="SIM",V976=0),"ATENÇÃO: BC permitida, mas % = 0 🔎",
"Base de cálculo aplicada corretamente ✅")))</f>
        <v/>
      </c>
      <c r="P976" s="31" t="str">
        <f>IF(D976="","",
IF(AND(Q976&lt;&gt;"SIM",U976&gt;0),"ERRO: % alíquota &gt; 0, mas NÃO permitida ❌",
IF(AND(Q976="SIM",U976=0),"ATENÇÃO: alíquota permitida, mas % = 0 🔎",
"Alíquota aplicada corretamente ✅")))</f>
        <v/>
      </c>
      <c r="Q976" s="8" t="str">
        <f>IF(E976="","",IFERROR(VLOOKUP(E976,REGRAS_CST!$A$2:$D$200,4,FALSE),""))</f>
        <v/>
      </c>
      <c r="S976" s="9">
        <f>IF($H976="","",$H976*(1-$U976))</f>
        <v>8.9999999999999993E-3</v>
      </c>
      <c r="T976" s="9">
        <f>IF($I976="","",$I976*(1-$U976))</f>
        <v>1E-3</v>
      </c>
      <c r="U976" s="16">
        <f>IFERROR(INDEX(BASE_CCLASSTRIB!$E:$E, MATCH(TEXT($D976,"000000"), BASE_CCLASSTRIB!$A:$A, 0))/100, 0)</f>
        <v>0</v>
      </c>
      <c r="V976" s="16">
        <f>IFERROR(INDEX(BASE_CCLASSTRIB!$F:$F, MATCH(TEXT($D976,"000000"), BASE_CCLASSTRIB!$A:$A, 0))/100, 0)</f>
        <v>0</v>
      </c>
    </row>
    <row r="977" spans="4:22" ht="32.25" customHeight="1">
      <c r="D977" s="39"/>
      <c r="E977" s="27" t="str">
        <f>IF(D977="","",LEFT(D977,3))</f>
        <v/>
      </c>
      <c r="F977" s="28" t="str">
        <f>IF(E977="","",IFERROR(VLOOKUP(E977,REGRAS_CST!$A$2:$B$200,2,FALSE),""))</f>
        <v/>
      </c>
      <c r="H977" s="29">
        <v>8.9999999999999993E-3</v>
      </c>
      <c r="I977" s="29">
        <v>1E-3</v>
      </c>
      <c r="K977" s="21" t="str">
        <f>IF(E977="","",IFERROR(VLOOKUP(E977,REGRAS_CST!$A$2:$C$200,3,FALSE),""))</f>
        <v/>
      </c>
      <c r="L977" s="23" t="str">
        <f>IF($G977="", "", $G977*(1-$V977))</f>
        <v/>
      </c>
      <c r="M977" s="24" t="str">
        <f>IF(OR($L977="",$S977=""),"",$L977*$S977)</f>
        <v/>
      </c>
      <c r="N977" s="24" t="str">
        <f>IF(OR($L977="",$T977=""),"",$L977*$T977)</f>
        <v/>
      </c>
      <c r="O977" s="15" t="str">
        <f>IF(D977="","",
IF(AND(K977&lt;&gt;"SIM",V977&gt;0),"ERRO: % BC &gt; 0, mas NÃO permitida ❌",
IF(AND(K977="SIM",V977=0),"ATENÇÃO: BC permitida, mas % = 0 🔎",
"Base de cálculo aplicada corretamente ✅")))</f>
        <v/>
      </c>
      <c r="P977" s="31" t="str">
        <f>IF(D977="","",
IF(AND(Q977&lt;&gt;"SIM",U977&gt;0),"ERRO: % alíquota &gt; 0, mas NÃO permitida ❌",
IF(AND(Q977="SIM",U977=0),"ATENÇÃO: alíquota permitida, mas % = 0 🔎",
"Alíquota aplicada corretamente ✅")))</f>
        <v/>
      </c>
      <c r="Q977" s="8" t="str">
        <f>IF(E977="","",IFERROR(VLOOKUP(E977,REGRAS_CST!$A$2:$D$200,4,FALSE),""))</f>
        <v/>
      </c>
      <c r="S977" s="9">
        <f>IF($H977="","",$H977*(1-$U977))</f>
        <v>8.9999999999999993E-3</v>
      </c>
      <c r="T977" s="9">
        <f>IF($I977="","",$I977*(1-$U977))</f>
        <v>1E-3</v>
      </c>
      <c r="U977" s="16">
        <f>IFERROR(INDEX(BASE_CCLASSTRIB!$E:$E, MATCH(TEXT($D977,"000000"), BASE_CCLASSTRIB!$A:$A, 0))/100, 0)</f>
        <v>0</v>
      </c>
      <c r="V977" s="16">
        <f>IFERROR(INDEX(BASE_CCLASSTRIB!$F:$F, MATCH(TEXT($D977,"000000"), BASE_CCLASSTRIB!$A:$A, 0))/100, 0)</f>
        <v>0</v>
      </c>
    </row>
    <row r="978" spans="4:22" ht="32.25" customHeight="1">
      <c r="D978" s="39"/>
      <c r="E978" s="27" t="str">
        <f>IF(D978="","",LEFT(D978,3))</f>
        <v/>
      </c>
      <c r="F978" s="28" t="str">
        <f>IF(E978="","",IFERROR(VLOOKUP(E978,REGRAS_CST!$A$2:$B$200,2,FALSE),""))</f>
        <v/>
      </c>
      <c r="H978" s="29">
        <v>8.9999999999999993E-3</v>
      </c>
      <c r="I978" s="29">
        <v>1E-3</v>
      </c>
      <c r="K978" s="21" t="str">
        <f>IF(E978="","",IFERROR(VLOOKUP(E978,REGRAS_CST!$A$2:$C$200,3,FALSE),""))</f>
        <v/>
      </c>
      <c r="L978" s="23" t="str">
        <f>IF($G978="", "", $G978*(1-$V978))</f>
        <v/>
      </c>
      <c r="M978" s="24" t="str">
        <f>IF(OR($L978="",$S978=""),"",$L978*$S978)</f>
        <v/>
      </c>
      <c r="N978" s="24" t="str">
        <f>IF(OR($L978="",$T978=""),"",$L978*$T978)</f>
        <v/>
      </c>
      <c r="O978" s="15" t="str">
        <f>IF(D978="","",
IF(AND(K978&lt;&gt;"SIM",V978&gt;0),"ERRO: % BC &gt; 0, mas NÃO permitida ❌",
IF(AND(K978="SIM",V978=0),"ATENÇÃO: BC permitida, mas % = 0 🔎",
"Base de cálculo aplicada corretamente ✅")))</f>
        <v/>
      </c>
      <c r="P978" s="31" t="str">
        <f>IF(D978="","",
IF(AND(Q978&lt;&gt;"SIM",U978&gt;0),"ERRO: % alíquota &gt; 0, mas NÃO permitida ❌",
IF(AND(Q978="SIM",U978=0),"ATENÇÃO: alíquota permitida, mas % = 0 🔎",
"Alíquota aplicada corretamente ✅")))</f>
        <v/>
      </c>
      <c r="Q978" s="8" t="str">
        <f>IF(E978="","",IFERROR(VLOOKUP(E978,REGRAS_CST!$A$2:$D$200,4,FALSE),""))</f>
        <v/>
      </c>
      <c r="S978" s="9">
        <f>IF($H978="","",$H978*(1-$U978))</f>
        <v>8.9999999999999993E-3</v>
      </c>
      <c r="T978" s="9">
        <f>IF($I978="","",$I978*(1-$U978))</f>
        <v>1E-3</v>
      </c>
      <c r="U978" s="16">
        <f>IFERROR(INDEX(BASE_CCLASSTRIB!$E:$E, MATCH(TEXT($D978,"000000"), BASE_CCLASSTRIB!$A:$A, 0))/100, 0)</f>
        <v>0</v>
      </c>
      <c r="V978" s="16">
        <f>IFERROR(INDEX(BASE_CCLASSTRIB!$F:$F, MATCH(TEXT($D978,"000000"), BASE_CCLASSTRIB!$A:$A, 0))/100, 0)</f>
        <v>0</v>
      </c>
    </row>
    <row r="979" spans="4:22" ht="32.25" customHeight="1">
      <c r="D979" s="40"/>
      <c r="E979" s="27" t="str">
        <f>IF(D979="","",LEFT(D979,3))</f>
        <v/>
      </c>
      <c r="F979" s="28" t="str">
        <f>IF(E979="","",IFERROR(VLOOKUP(E979,REGRAS_CST!$A$2:$B$200,2,FALSE),""))</f>
        <v/>
      </c>
      <c r="H979" s="29">
        <v>8.9999999999999993E-3</v>
      </c>
      <c r="I979" s="29">
        <v>1E-3</v>
      </c>
      <c r="K979" s="21" t="str">
        <f>IF(E979="","",IFERROR(VLOOKUP(E979,REGRAS_CST!$A$2:$C$200,3,FALSE),""))</f>
        <v/>
      </c>
      <c r="L979" s="23" t="str">
        <f>IF($G979="", "", $G979*(1-$V979))</f>
        <v/>
      </c>
      <c r="M979" s="24" t="str">
        <f>IF(OR($L979="",$S979=""),"",$L979*$S979)</f>
        <v/>
      </c>
      <c r="N979" s="24" t="str">
        <f>IF(OR($L979="",$T979=""),"",$L979*$T979)</f>
        <v/>
      </c>
      <c r="O979" s="15" t="str">
        <f>IF(D979="","",
IF(AND(K979&lt;&gt;"SIM",V979&gt;0),"ERRO: % BC &gt; 0, mas NÃO permitida ❌",
IF(AND(K979="SIM",V979=0),"ATENÇÃO: BC permitida, mas % = 0 🔎",
"Base de cálculo aplicada corretamente ✅")))</f>
        <v/>
      </c>
      <c r="P979" s="31" t="str">
        <f>IF(D979="","",
IF(AND(Q979&lt;&gt;"SIM",U979&gt;0),"ERRO: % alíquota &gt; 0, mas NÃO permitida ❌",
IF(AND(Q979="SIM",U979=0),"ATENÇÃO: alíquota permitida, mas % = 0 🔎",
"Alíquota aplicada corretamente ✅")))</f>
        <v/>
      </c>
      <c r="Q979" s="8" t="str">
        <f>IF(E979="","",IFERROR(VLOOKUP(E979,REGRAS_CST!$A$2:$D$200,4,FALSE),""))</f>
        <v/>
      </c>
      <c r="S979" s="9">
        <f>IF($H979="","",$H979*(1-$U979))</f>
        <v>8.9999999999999993E-3</v>
      </c>
      <c r="T979" s="9">
        <f>IF($I979="","",$I979*(1-$U979))</f>
        <v>1E-3</v>
      </c>
      <c r="U979" s="16">
        <f>IFERROR(INDEX(BASE_CCLASSTRIB!$E:$E, MATCH(TEXT($D979,"000000"), BASE_CCLASSTRIB!$A:$A, 0))/100, 0)</f>
        <v>0</v>
      </c>
      <c r="V979" s="16">
        <f>IFERROR(INDEX(BASE_CCLASSTRIB!$F:$F, MATCH(TEXT($D979,"000000"), BASE_CCLASSTRIB!$A:$A, 0))/100, 0)</f>
        <v>0</v>
      </c>
    </row>
    <row r="980" spans="4:22" ht="32.25" customHeight="1">
      <c r="D980" s="40"/>
      <c r="E980" s="27" t="str">
        <f>IF(D980="","",LEFT(D980,3))</f>
        <v/>
      </c>
      <c r="F980" s="28" t="str">
        <f>IF(E980="","",IFERROR(VLOOKUP(E980,REGRAS_CST!$A$2:$B$200,2,FALSE),""))</f>
        <v/>
      </c>
      <c r="H980" s="29">
        <v>8.9999999999999993E-3</v>
      </c>
      <c r="I980" s="29">
        <v>1E-3</v>
      </c>
      <c r="K980" s="21" t="str">
        <f>IF(E980="","",IFERROR(VLOOKUP(E980,REGRAS_CST!$A$2:$C$200,3,FALSE),""))</f>
        <v/>
      </c>
      <c r="L980" s="23" t="str">
        <f>IF($G980="", "", $G980*(1-$V980))</f>
        <v/>
      </c>
      <c r="M980" s="24" t="str">
        <f>IF(OR($L980="",$S980=""),"",$L980*$S980)</f>
        <v/>
      </c>
      <c r="N980" s="24" t="str">
        <f>IF(OR($L980="",$T980=""),"",$L980*$T980)</f>
        <v/>
      </c>
      <c r="O980" s="15" t="str">
        <f>IF(D980="","",
IF(AND(K980&lt;&gt;"SIM",V980&gt;0),"ERRO: % BC &gt; 0, mas NÃO permitida ❌",
IF(AND(K980="SIM",V980=0),"ATENÇÃO: BC permitida, mas % = 0 🔎",
"Base de cálculo aplicada corretamente ✅")))</f>
        <v/>
      </c>
      <c r="P980" s="31" t="str">
        <f>IF(D980="","",
IF(AND(Q980&lt;&gt;"SIM",U980&gt;0),"ERRO: % alíquota &gt; 0, mas NÃO permitida ❌",
IF(AND(Q980="SIM",U980=0),"ATENÇÃO: alíquota permitida, mas % = 0 🔎",
"Alíquota aplicada corretamente ✅")))</f>
        <v/>
      </c>
      <c r="Q980" s="8" t="str">
        <f>IF(E980="","",IFERROR(VLOOKUP(E980,REGRAS_CST!$A$2:$D$200,4,FALSE),""))</f>
        <v/>
      </c>
      <c r="S980" s="9">
        <f>IF($H980="","",$H980*(1-$U980))</f>
        <v>8.9999999999999993E-3</v>
      </c>
      <c r="T980" s="9">
        <f>IF($I980="","",$I980*(1-$U980))</f>
        <v>1E-3</v>
      </c>
      <c r="U980" s="16">
        <f>IFERROR(INDEX(BASE_CCLASSTRIB!$E:$E, MATCH(TEXT($D980,"000000"), BASE_CCLASSTRIB!$A:$A, 0))/100, 0)</f>
        <v>0</v>
      </c>
      <c r="V980" s="16">
        <f>IFERROR(INDEX(BASE_CCLASSTRIB!$F:$F, MATCH(TEXT($D980,"000000"), BASE_CCLASSTRIB!$A:$A, 0))/100, 0)</f>
        <v>0</v>
      </c>
    </row>
    <row r="981" spans="4:22" ht="32.25" customHeight="1">
      <c r="D981" s="39"/>
      <c r="E981" s="27" t="str">
        <f>IF(D981="","",LEFT(D981,3))</f>
        <v/>
      </c>
      <c r="F981" s="28" t="str">
        <f>IF(E981="","",IFERROR(VLOOKUP(E981,REGRAS_CST!$A$2:$B$200,2,FALSE),""))</f>
        <v/>
      </c>
      <c r="H981" s="29">
        <v>8.9999999999999993E-3</v>
      </c>
      <c r="I981" s="29">
        <v>1E-3</v>
      </c>
      <c r="K981" s="21" t="str">
        <f>IF(E981="","",IFERROR(VLOOKUP(E981,REGRAS_CST!$A$2:$C$200,3,FALSE),""))</f>
        <v/>
      </c>
      <c r="L981" s="23" t="str">
        <f>IF($G981="", "", $G981*(1-$V981))</f>
        <v/>
      </c>
      <c r="M981" s="24" t="str">
        <f>IF(OR($L981="",$S981=""),"",$L981*$S981)</f>
        <v/>
      </c>
      <c r="N981" s="24" t="str">
        <f>IF(OR($L981="",$T981=""),"",$L981*$T981)</f>
        <v/>
      </c>
      <c r="O981" s="15" t="str">
        <f>IF(D981="","",
IF(AND(K981&lt;&gt;"SIM",V981&gt;0),"ERRO: % BC &gt; 0, mas NÃO permitida ❌",
IF(AND(K981="SIM",V981=0),"ATENÇÃO: BC permitida, mas % = 0 🔎",
"Base de cálculo aplicada corretamente ✅")))</f>
        <v/>
      </c>
      <c r="P981" s="31" t="str">
        <f>IF(D981="","",
IF(AND(Q981&lt;&gt;"SIM",U981&gt;0),"ERRO: % alíquota &gt; 0, mas NÃO permitida ❌",
IF(AND(Q981="SIM",U981=0),"ATENÇÃO: alíquota permitida, mas % = 0 🔎",
"Alíquota aplicada corretamente ✅")))</f>
        <v/>
      </c>
      <c r="Q981" s="8" t="str">
        <f>IF(E981="","",IFERROR(VLOOKUP(E981,REGRAS_CST!$A$2:$D$200,4,FALSE),""))</f>
        <v/>
      </c>
      <c r="S981" s="9">
        <f>IF($H981="","",$H981*(1-$U981))</f>
        <v>8.9999999999999993E-3</v>
      </c>
      <c r="T981" s="9">
        <f>IF($I981="","",$I981*(1-$U981))</f>
        <v>1E-3</v>
      </c>
      <c r="U981" s="16">
        <f>IFERROR(INDEX(BASE_CCLASSTRIB!$E:$E, MATCH(TEXT($D981,"000000"), BASE_CCLASSTRIB!$A:$A, 0))/100, 0)</f>
        <v>0</v>
      </c>
      <c r="V981" s="16">
        <f>IFERROR(INDEX(BASE_CCLASSTRIB!$F:$F, MATCH(TEXT($D981,"000000"), BASE_CCLASSTRIB!$A:$A, 0))/100, 0)</f>
        <v>0</v>
      </c>
    </row>
    <row r="982" spans="4:22" ht="32.25" customHeight="1">
      <c r="D982" s="39"/>
      <c r="E982" s="27" t="str">
        <f>IF(D982="","",LEFT(D982,3))</f>
        <v/>
      </c>
      <c r="F982" s="28" t="str">
        <f>IF(E982="","",IFERROR(VLOOKUP(E982,REGRAS_CST!$A$2:$B$200,2,FALSE),""))</f>
        <v/>
      </c>
      <c r="H982" s="29">
        <v>8.9999999999999993E-3</v>
      </c>
      <c r="I982" s="29">
        <v>1E-3</v>
      </c>
      <c r="K982" s="21" t="str">
        <f>IF(E982="","",IFERROR(VLOOKUP(E982,REGRAS_CST!$A$2:$C$200,3,FALSE),""))</f>
        <v/>
      </c>
      <c r="L982" s="23" t="str">
        <f>IF($G982="", "", $G982*(1-$V982))</f>
        <v/>
      </c>
      <c r="M982" s="24" t="str">
        <f>IF(OR($L982="",$S982=""),"",$L982*$S982)</f>
        <v/>
      </c>
      <c r="N982" s="24" t="str">
        <f>IF(OR($L982="",$T982=""),"",$L982*$T982)</f>
        <v/>
      </c>
      <c r="O982" s="15" t="str">
        <f>IF(D982="","",
IF(AND(K982&lt;&gt;"SIM",V982&gt;0),"ERRO: % BC &gt; 0, mas NÃO permitida ❌",
IF(AND(K982="SIM",V982=0),"ATENÇÃO: BC permitida, mas % = 0 🔎",
"Base de cálculo aplicada corretamente ✅")))</f>
        <v/>
      </c>
      <c r="P982" s="31" t="str">
        <f>IF(D982="","",
IF(AND(Q982&lt;&gt;"SIM",U982&gt;0),"ERRO: % alíquota &gt; 0, mas NÃO permitida ❌",
IF(AND(Q982="SIM",U982=0),"ATENÇÃO: alíquota permitida, mas % = 0 🔎",
"Alíquota aplicada corretamente ✅")))</f>
        <v/>
      </c>
      <c r="Q982" s="8" t="str">
        <f>IF(E982="","",IFERROR(VLOOKUP(E982,REGRAS_CST!$A$2:$D$200,4,FALSE),""))</f>
        <v/>
      </c>
      <c r="S982" s="9">
        <f>IF($H982="","",$H982*(1-$U982))</f>
        <v>8.9999999999999993E-3</v>
      </c>
      <c r="T982" s="9">
        <f>IF($I982="","",$I982*(1-$U982))</f>
        <v>1E-3</v>
      </c>
      <c r="U982" s="16">
        <f>IFERROR(INDEX(BASE_CCLASSTRIB!$E:$E, MATCH(TEXT($D982,"000000"), BASE_CCLASSTRIB!$A:$A, 0))/100, 0)</f>
        <v>0</v>
      </c>
      <c r="V982" s="16">
        <f>IFERROR(INDEX(BASE_CCLASSTRIB!$F:$F, MATCH(TEXT($D982,"000000"), BASE_CCLASSTRIB!$A:$A, 0))/100, 0)</f>
        <v>0</v>
      </c>
    </row>
    <row r="983" spans="4:22" ht="32.25" customHeight="1">
      <c r="D983" s="39"/>
      <c r="E983" s="27" t="str">
        <f>IF(D983="","",LEFT(D983,3))</f>
        <v/>
      </c>
      <c r="F983" s="28" t="str">
        <f>IF(E983="","",IFERROR(VLOOKUP(E983,REGRAS_CST!$A$2:$B$200,2,FALSE),""))</f>
        <v/>
      </c>
      <c r="H983" s="29">
        <v>8.9999999999999993E-3</v>
      </c>
      <c r="I983" s="29">
        <v>1E-3</v>
      </c>
      <c r="K983" s="21" t="str">
        <f>IF(E983="","",IFERROR(VLOOKUP(E983,REGRAS_CST!$A$2:$C$200,3,FALSE),""))</f>
        <v/>
      </c>
      <c r="L983" s="23" t="str">
        <f>IF($G983="", "", $G983*(1-$V983))</f>
        <v/>
      </c>
      <c r="M983" s="24" t="str">
        <f>IF(OR($L983="",$S983=""),"",$L983*$S983)</f>
        <v/>
      </c>
      <c r="N983" s="24" t="str">
        <f>IF(OR($L983="",$T983=""),"",$L983*$T983)</f>
        <v/>
      </c>
      <c r="O983" s="15" t="str">
        <f>IF(D983="","",
IF(AND(K983&lt;&gt;"SIM",V983&gt;0),"ERRO: % BC &gt; 0, mas NÃO permitida ❌",
IF(AND(K983="SIM",V983=0),"ATENÇÃO: BC permitida, mas % = 0 🔎",
"Base de cálculo aplicada corretamente ✅")))</f>
        <v/>
      </c>
      <c r="P983" s="31" t="str">
        <f>IF(D983="","",
IF(AND(Q983&lt;&gt;"SIM",U983&gt;0),"ERRO: % alíquota &gt; 0, mas NÃO permitida ❌",
IF(AND(Q983="SIM",U983=0),"ATENÇÃO: alíquota permitida, mas % = 0 🔎",
"Alíquota aplicada corretamente ✅")))</f>
        <v/>
      </c>
      <c r="Q983" s="8" t="str">
        <f>IF(E983="","",IFERROR(VLOOKUP(E983,REGRAS_CST!$A$2:$D$200,4,FALSE),""))</f>
        <v/>
      </c>
      <c r="S983" s="9">
        <f>IF($H983="","",$H983*(1-$U983))</f>
        <v>8.9999999999999993E-3</v>
      </c>
      <c r="T983" s="9">
        <f>IF($I983="","",$I983*(1-$U983))</f>
        <v>1E-3</v>
      </c>
      <c r="U983" s="16">
        <f>IFERROR(INDEX(BASE_CCLASSTRIB!$E:$E, MATCH(TEXT($D983,"000000"), BASE_CCLASSTRIB!$A:$A, 0))/100, 0)</f>
        <v>0</v>
      </c>
      <c r="V983" s="16">
        <f>IFERROR(INDEX(BASE_CCLASSTRIB!$F:$F, MATCH(TEXT($D983,"000000"), BASE_CCLASSTRIB!$A:$A, 0))/100, 0)</f>
        <v>0</v>
      </c>
    </row>
    <row r="984" spans="4:22" ht="32.25" customHeight="1">
      <c r="D984" s="39"/>
      <c r="E984" s="27" t="str">
        <f>IF(D984="","",LEFT(D984,3))</f>
        <v/>
      </c>
      <c r="F984" s="28" t="str">
        <f>IF(E984="","",IFERROR(VLOOKUP(E984,REGRAS_CST!$A$2:$B$200,2,FALSE),""))</f>
        <v/>
      </c>
      <c r="H984" s="29">
        <v>8.9999999999999993E-3</v>
      </c>
      <c r="I984" s="29">
        <v>1E-3</v>
      </c>
      <c r="K984" s="21" t="str">
        <f>IF(E984="","",IFERROR(VLOOKUP(E984,REGRAS_CST!$A$2:$C$200,3,FALSE),""))</f>
        <v/>
      </c>
      <c r="L984" s="23" t="str">
        <f>IF($G984="", "", $G984*(1-$V984))</f>
        <v/>
      </c>
      <c r="M984" s="24" t="str">
        <f>IF(OR($L984="",$S984=""),"",$L984*$S984)</f>
        <v/>
      </c>
      <c r="N984" s="24" t="str">
        <f>IF(OR($L984="",$T984=""),"",$L984*$T984)</f>
        <v/>
      </c>
      <c r="O984" s="15" t="str">
        <f>IF(D984="","",
IF(AND(K984&lt;&gt;"SIM",V984&gt;0),"ERRO: % BC &gt; 0, mas NÃO permitida ❌",
IF(AND(K984="SIM",V984=0),"ATENÇÃO: BC permitida, mas % = 0 🔎",
"Base de cálculo aplicada corretamente ✅")))</f>
        <v/>
      </c>
      <c r="P984" s="31" t="str">
        <f>IF(D984="","",
IF(AND(Q984&lt;&gt;"SIM",U984&gt;0),"ERRO: % alíquota &gt; 0, mas NÃO permitida ❌",
IF(AND(Q984="SIM",U984=0),"ATENÇÃO: alíquota permitida, mas % = 0 🔎",
"Alíquota aplicada corretamente ✅")))</f>
        <v/>
      </c>
      <c r="Q984" s="8" t="str">
        <f>IF(E984="","",IFERROR(VLOOKUP(E984,REGRAS_CST!$A$2:$D$200,4,FALSE),""))</f>
        <v/>
      </c>
      <c r="S984" s="9">
        <f>IF($H984="","",$H984*(1-$U984))</f>
        <v>8.9999999999999993E-3</v>
      </c>
      <c r="T984" s="9">
        <f>IF($I984="","",$I984*(1-$U984))</f>
        <v>1E-3</v>
      </c>
      <c r="U984" s="16">
        <f>IFERROR(INDEX(BASE_CCLASSTRIB!$E:$E, MATCH(TEXT($D984,"000000"), BASE_CCLASSTRIB!$A:$A, 0))/100, 0)</f>
        <v>0</v>
      </c>
      <c r="V984" s="16">
        <f>IFERROR(INDEX(BASE_CCLASSTRIB!$F:$F, MATCH(TEXT($D984,"000000"), BASE_CCLASSTRIB!$A:$A, 0))/100, 0)</f>
        <v>0</v>
      </c>
    </row>
    <row r="985" spans="4:22" ht="32.25" customHeight="1">
      <c r="D985" s="40"/>
      <c r="E985" s="27" t="str">
        <f>IF(D985="","",LEFT(D985,3))</f>
        <v/>
      </c>
      <c r="F985" s="28" t="str">
        <f>IF(E985="","",IFERROR(VLOOKUP(E985,REGRAS_CST!$A$2:$B$200,2,FALSE),""))</f>
        <v/>
      </c>
      <c r="H985" s="29">
        <v>8.9999999999999993E-3</v>
      </c>
      <c r="I985" s="29">
        <v>1E-3</v>
      </c>
      <c r="K985" s="21" t="str">
        <f>IF(E985="","",IFERROR(VLOOKUP(E985,REGRAS_CST!$A$2:$C$200,3,FALSE),""))</f>
        <v/>
      </c>
      <c r="L985" s="23" t="str">
        <f>IF($G985="", "", $G985*(1-$V985))</f>
        <v/>
      </c>
      <c r="M985" s="24" t="str">
        <f>IF(OR($L985="",$S985=""),"",$L985*$S985)</f>
        <v/>
      </c>
      <c r="N985" s="24" t="str">
        <f>IF(OR($L985="",$T985=""),"",$L985*$T985)</f>
        <v/>
      </c>
      <c r="O985" s="15" t="str">
        <f>IF(D985="","",
IF(AND(K985&lt;&gt;"SIM",V985&gt;0),"ERRO: % BC &gt; 0, mas NÃO permitida ❌",
IF(AND(K985="SIM",V985=0),"ATENÇÃO: BC permitida, mas % = 0 🔎",
"Base de cálculo aplicada corretamente ✅")))</f>
        <v/>
      </c>
      <c r="P985" s="31" t="str">
        <f>IF(D985="","",
IF(AND(Q985&lt;&gt;"SIM",U985&gt;0),"ERRO: % alíquota &gt; 0, mas NÃO permitida ❌",
IF(AND(Q985="SIM",U985=0),"ATENÇÃO: alíquota permitida, mas % = 0 🔎",
"Alíquota aplicada corretamente ✅")))</f>
        <v/>
      </c>
      <c r="Q985" s="8" t="str">
        <f>IF(E985="","",IFERROR(VLOOKUP(E985,REGRAS_CST!$A$2:$D$200,4,FALSE),""))</f>
        <v/>
      </c>
      <c r="S985" s="9">
        <f>IF($H985="","",$H985*(1-$U985))</f>
        <v>8.9999999999999993E-3</v>
      </c>
      <c r="T985" s="9">
        <f>IF($I985="","",$I985*(1-$U985))</f>
        <v>1E-3</v>
      </c>
      <c r="U985" s="16">
        <f>IFERROR(INDEX(BASE_CCLASSTRIB!$E:$E, MATCH(TEXT($D985,"000000"), BASE_CCLASSTRIB!$A:$A, 0))/100, 0)</f>
        <v>0</v>
      </c>
      <c r="V985" s="16">
        <f>IFERROR(INDEX(BASE_CCLASSTRIB!$F:$F, MATCH(TEXT($D985,"000000"), BASE_CCLASSTRIB!$A:$A, 0))/100, 0)</f>
        <v>0</v>
      </c>
    </row>
    <row r="986" spans="4:22" ht="32.25" customHeight="1">
      <c r="D986" s="39"/>
      <c r="E986" s="27" t="str">
        <f>IF(D986="","",LEFT(D986,3))</f>
        <v/>
      </c>
      <c r="F986" s="28" t="str">
        <f>IF(E986="","",IFERROR(VLOOKUP(E986,REGRAS_CST!$A$2:$B$200,2,FALSE),""))</f>
        <v/>
      </c>
      <c r="H986" s="29">
        <v>8.9999999999999993E-3</v>
      </c>
      <c r="I986" s="29">
        <v>1E-3</v>
      </c>
      <c r="K986" s="21" t="str">
        <f>IF(E986="","",IFERROR(VLOOKUP(E986,REGRAS_CST!$A$2:$C$200,3,FALSE),""))</f>
        <v/>
      </c>
      <c r="L986" s="23" t="str">
        <f>IF($G986="", "", $G986*(1-$V986))</f>
        <v/>
      </c>
      <c r="M986" s="24" t="str">
        <f>IF(OR($L986="",$S986=""),"",$L986*$S986)</f>
        <v/>
      </c>
      <c r="N986" s="24" t="str">
        <f>IF(OR($L986="",$T986=""),"",$L986*$T986)</f>
        <v/>
      </c>
      <c r="O986" s="15" t="str">
        <f>IF(D986="","",
IF(AND(K986&lt;&gt;"SIM",V986&gt;0),"ERRO: % BC &gt; 0, mas NÃO permitida ❌",
IF(AND(K986="SIM",V986=0),"ATENÇÃO: BC permitida, mas % = 0 🔎",
"Base de cálculo aplicada corretamente ✅")))</f>
        <v/>
      </c>
      <c r="P986" s="31" t="str">
        <f>IF(D986="","",
IF(AND(Q986&lt;&gt;"SIM",U986&gt;0),"ERRO: % alíquota &gt; 0, mas NÃO permitida ❌",
IF(AND(Q986="SIM",U986=0),"ATENÇÃO: alíquota permitida, mas % = 0 🔎",
"Alíquota aplicada corretamente ✅")))</f>
        <v/>
      </c>
      <c r="Q986" s="8" t="str">
        <f>IF(E986="","",IFERROR(VLOOKUP(E986,REGRAS_CST!$A$2:$D$200,4,FALSE),""))</f>
        <v/>
      </c>
      <c r="S986" s="9">
        <f>IF($H986="","",$H986*(1-$U986))</f>
        <v>8.9999999999999993E-3</v>
      </c>
      <c r="T986" s="9">
        <f>IF($I986="","",$I986*(1-$U986))</f>
        <v>1E-3</v>
      </c>
      <c r="U986" s="16">
        <f>IFERROR(INDEX(BASE_CCLASSTRIB!$E:$E, MATCH(TEXT($D986,"000000"), BASE_CCLASSTRIB!$A:$A, 0))/100, 0)</f>
        <v>0</v>
      </c>
      <c r="V986" s="16">
        <f>IFERROR(INDEX(BASE_CCLASSTRIB!$F:$F, MATCH(TEXT($D986,"000000"), BASE_CCLASSTRIB!$A:$A, 0))/100, 0)</f>
        <v>0</v>
      </c>
    </row>
    <row r="987" spans="4:22" ht="32.25" customHeight="1">
      <c r="D987" s="40"/>
      <c r="E987" s="27" t="str">
        <f>IF(D987="","",LEFT(D987,3))</f>
        <v/>
      </c>
      <c r="F987" s="28" t="str">
        <f>IF(E987="","",IFERROR(VLOOKUP(E987,REGRAS_CST!$A$2:$B$200,2,FALSE),""))</f>
        <v/>
      </c>
      <c r="H987" s="29">
        <v>8.9999999999999993E-3</v>
      </c>
      <c r="I987" s="29">
        <v>1E-3</v>
      </c>
      <c r="K987" s="21" t="str">
        <f>IF(E987="","",IFERROR(VLOOKUP(E987,REGRAS_CST!$A$2:$C$200,3,FALSE),""))</f>
        <v/>
      </c>
      <c r="L987" s="23" t="str">
        <f>IF($G987="", "", $G987*(1-$V987))</f>
        <v/>
      </c>
      <c r="M987" s="24" t="str">
        <f>IF(OR($L987="",$S987=""),"",$L987*$S987)</f>
        <v/>
      </c>
      <c r="N987" s="24" t="str">
        <f>IF(OR($L987="",$T987=""),"",$L987*$T987)</f>
        <v/>
      </c>
      <c r="O987" s="15" t="str">
        <f>IF(D987="","",
IF(AND(K987&lt;&gt;"SIM",V987&gt;0),"ERRO: % BC &gt; 0, mas NÃO permitida ❌",
IF(AND(K987="SIM",V987=0),"ATENÇÃO: BC permitida, mas % = 0 🔎",
"Base de cálculo aplicada corretamente ✅")))</f>
        <v/>
      </c>
      <c r="P987" s="31" t="str">
        <f>IF(D987="","",
IF(AND(Q987&lt;&gt;"SIM",U987&gt;0),"ERRO: % alíquota &gt; 0, mas NÃO permitida ❌",
IF(AND(Q987="SIM",U987=0),"ATENÇÃO: alíquota permitida, mas % = 0 🔎",
"Alíquota aplicada corretamente ✅")))</f>
        <v/>
      </c>
      <c r="Q987" s="8" t="str">
        <f>IF(E987="","",IFERROR(VLOOKUP(E987,REGRAS_CST!$A$2:$D$200,4,FALSE),""))</f>
        <v/>
      </c>
      <c r="S987" s="9">
        <f>IF($H987="","",$H987*(1-$U987))</f>
        <v>8.9999999999999993E-3</v>
      </c>
      <c r="T987" s="9">
        <f>IF($I987="","",$I987*(1-$U987))</f>
        <v>1E-3</v>
      </c>
      <c r="U987" s="16">
        <f>IFERROR(INDEX(BASE_CCLASSTRIB!$E:$E, MATCH(TEXT($D987,"000000"), BASE_CCLASSTRIB!$A:$A, 0))/100, 0)</f>
        <v>0</v>
      </c>
      <c r="V987" s="16">
        <f>IFERROR(INDEX(BASE_CCLASSTRIB!$F:$F, MATCH(TEXT($D987,"000000"), BASE_CCLASSTRIB!$A:$A, 0))/100, 0)</f>
        <v>0</v>
      </c>
    </row>
    <row r="988" spans="4:22" ht="32.25" customHeight="1">
      <c r="D988" s="39"/>
      <c r="E988" s="27" t="str">
        <f>IF(D988="","",LEFT(D988,3))</f>
        <v/>
      </c>
      <c r="F988" s="28" t="str">
        <f>IF(E988="","",IFERROR(VLOOKUP(E988,REGRAS_CST!$A$2:$B$200,2,FALSE),""))</f>
        <v/>
      </c>
      <c r="H988" s="29">
        <v>8.9999999999999993E-3</v>
      </c>
      <c r="I988" s="29">
        <v>1E-3</v>
      </c>
      <c r="K988" s="21" t="str">
        <f>IF(E988="","",IFERROR(VLOOKUP(E988,REGRAS_CST!$A$2:$C$200,3,FALSE),""))</f>
        <v/>
      </c>
      <c r="L988" s="23" t="str">
        <f>IF($G988="", "", $G988*(1-$V988))</f>
        <v/>
      </c>
      <c r="M988" s="24" t="str">
        <f>IF(OR($L988="",$S988=""),"",$L988*$S988)</f>
        <v/>
      </c>
      <c r="N988" s="24" t="str">
        <f>IF(OR($L988="",$T988=""),"",$L988*$T988)</f>
        <v/>
      </c>
      <c r="O988" s="15" t="str">
        <f>IF(D988="","",
IF(AND(K988&lt;&gt;"SIM",V988&gt;0),"ERRO: % BC &gt; 0, mas NÃO permitida ❌",
IF(AND(K988="SIM",V988=0),"ATENÇÃO: BC permitida, mas % = 0 🔎",
"Base de cálculo aplicada corretamente ✅")))</f>
        <v/>
      </c>
      <c r="P988" s="31" t="str">
        <f>IF(D988="","",
IF(AND(Q988&lt;&gt;"SIM",U988&gt;0),"ERRO: % alíquota &gt; 0, mas NÃO permitida ❌",
IF(AND(Q988="SIM",U988=0),"ATENÇÃO: alíquota permitida, mas % = 0 🔎",
"Alíquota aplicada corretamente ✅")))</f>
        <v/>
      </c>
      <c r="Q988" s="8" t="str">
        <f>IF(E988="","",IFERROR(VLOOKUP(E988,REGRAS_CST!$A$2:$D$200,4,FALSE),""))</f>
        <v/>
      </c>
      <c r="S988" s="9">
        <f>IF($H988="","",$H988*(1-$U988))</f>
        <v>8.9999999999999993E-3</v>
      </c>
      <c r="T988" s="9">
        <f>IF($I988="","",$I988*(1-$U988))</f>
        <v>1E-3</v>
      </c>
      <c r="U988" s="16">
        <f>IFERROR(INDEX(BASE_CCLASSTRIB!$E:$E, MATCH(TEXT($D988,"000000"), BASE_CCLASSTRIB!$A:$A, 0))/100, 0)</f>
        <v>0</v>
      </c>
      <c r="V988" s="16">
        <f>IFERROR(INDEX(BASE_CCLASSTRIB!$F:$F, MATCH(TEXT($D988,"000000"), BASE_CCLASSTRIB!$A:$A, 0))/100, 0)</f>
        <v>0</v>
      </c>
    </row>
    <row r="989" spans="4:22" ht="32.25" customHeight="1">
      <c r="D989" s="39"/>
      <c r="E989" s="27" t="str">
        <f>IF(D989="","",LEFT(D989,3))</f>
        <v/>
      </c>
      <c r="F989" s="28" t="str">
        <f>IF(E989="","",IFERROR(VLOOKUP(E989,REGRAS_CST!$A$2:$B$200,2,FALSE),""))</f>
        <v/>
      </c>
      <c r="H989" s="29">
        <v>8.9999999999999993E-3</v>
      </c>
      <c r="I989" s="29">
        <v>1E-3</v>
      </c>
      <c r="K989" s="21" t="str">
        <f>IF(E989="","",IFERROR(VLOOKUP(E989,REGRAS_CST!$A$2:$C$200,3,FALSE),""))</f>
        <v/>
      </c>
      <c r="L989" s="23" t="str">
        <f>IF($G989="", "", $G989*(1-$V989))</f>
        <v/>
      </c>
      <c r="M989" s="24" t="str">
        <f>IF(OR($L989="",$S989=""),"",$L989*$S989)</f>
        <v/>
      </c>
      <c r="N989" s="24" t="str">
        <f>IF(OR($L989="",$T989=""),"",$L989*$T989)</f>
        <v/>
      </c>
      <c r="O989" s="15" t="str">
        <f>IF(D989="","",
IF(AND(K989&lt;&gt;"SIM",V989&gt;0),"ERRO: % BC &gt; 0, mas NÃO permitida ❌",
IF(AND(K989="SIM",V989=0),"ATENÇÃO: BC permitida, mas % = 0 🔎",
"Base de cálculo aplicada corretamente ✅")))</f>
        <v/>
      </c>
      <c r="P989" s="31" t="str">
        <f>IF(D989="","",
IF(AND(Q989&lt;&gt;"SIM",U989&gt;0),"ERRO: % alíquota &gt; 0, mas NÃO permitida ❌",
IF(AND(Q989="SIM",U989=0),"ATENÇÃO: alíquota permitida, mas % = 0 🔎",
"Alíquota aplicada corretamente ✅")))</f>
        <v/>
      </c>
      <c r="Q989" s="8" t="str">
        <f>IF(E989="","",IFERROR(VLOOKUP(E989,REGRAS_CST!$A$2:$D$200,4,FALSE),""))</f>
        <v/>
      </c>
      <c r="S989" s="9">
        <f>IF($H989="","",$H989*(1-$U989))</f>
        <v>8.9999999999999993E-3</v>
      </c>
      <c r="T989" s="9">
        <f>IF($I989="","",$I989*(1-$U989))</f>
        <v>1E-3</v>
      </c>
      <c r="U989" s="16">
        <f>IFERROR(INDEX(BASE_CCLASSTRIB!$E:$E, MATCH(TEXT($D989,"000000"), BASE_CCLASSTRIB!$A:$A, 0))/100, 0)</f>
        <v>0</v>
      </c>
      <c r="V989" s="16">
        <f>IFERROR(INDEX(BASE_CCLASSTRIB!$F:$F, MATCH(TEXT($D989,"000000"), BASE_CCLASSTRIB!$A:$A, 0))/100, 0)</f>
        <v>0</v>
      </c>
    </row>
    <row r="990" spans="4:22" ht="32.25" customHeight="1">
      <c r="D990" s="39"/>
      <c r="E990" s="27" t="str">
        <f>IF(D990="","",LEFT(D990,3))</f>
        <v/>
      </c>
      <c r="F990" s="28" t="str">
        <f>IF(E990="","",IFERROR(VLOOKUP(E990,REGRAS_CST!$A$2:$B$200,2,FALSE),""))</f>
        <v/>
      </c>
      <c r="H990" s="29">
        <v>8.9999999999999993E-3</v>
      </c>
      <c r="I990" s="29">
        <v>1E-3</v>
      </c>
      <c r="K990" s="21" t="str">
        <f>IF(E990="","",IFERROR(VLOOKUP(E990,REGRAS_CST!$A$2:$C$200,3,FALSE),""))</f>
        <v/>
      </c>
      <c r="L990" s="23" t="str">
        <f>IF($G990="", "", $G990*(1-$V990))</f>
        <v/>
      </c>
      <c r="M990" s="24" t="str">
        <f>IF(OR($L990="",$S990=""),"",$L990*$S990)</f>
        <v/>
      </c>
      <c r="N990" s="24" t="str">
        <f>IF(OR($L990="",$T990=""),"",$L990*$T990)</f>
        <v/>
      </c>
      <c r="O990" s="15" t="str">
        <f>IF(D990="","",
IF(AND(K990&lt;&gt;"SIM",V990&gt;0),"ERRO: % BC &gt; 0, mas NÃO permitida ❌",
IF(AND(K990="SIM",V990=0),"ATENÇÃO: BC permitida, mas % = 0 🔎",
"Base de cálculo aplicada corretamente ✅")))</f>
        <v/>
      </c>
      <c r="P990" s="31" t="str">
        <f>IF(D990="","",
IF(AND(Q990&lt;&gt;"SIM",U990&gt;0),"ERRO: % alíquota &gt; 0, mas NÃO permitida ❌",
IF(AND(Q990="SIM",U990=0),"ATENÇÃO: alíquota permitida, mas % = 0 🔎",
"Alíquota aplicada corretamente ✅")))</f>
        <v/>
      </c>
      <c r="Q990" s="8" t="str">
        <f>IF(E990="","",IFERROR(VLOOKUP(E990,REGRAS_CST!$A$2:$D$200,4,FALSE),""))</f>
        <v/>
      </c>
      <c r="S990" s="9">
        <f>IF($H990="","",$H990*(1-$U990))</f>
        <v>8.9999999999999993E-3</v>
      </c>
      <c r="T990" s="9">
        <f>IF($I990="","",$I990*(1-$U990))</f>
        <v>1E-3</v>
      </c>
      <c r="U990" s="16">
        <f>IFERROR(INDEX(BASE_CCLASSTRIB!$E:$E, MATCH(TEXT($D990,"000000"), BASE_CCLASSTRIB!$A:$A, 0))/100, 0)</f>
        <v>0</v>
      </c>
      <c r="V990" s="16">
        <f>IFERROR(INDEX(BASE_CCLASSTRIB!$F:$F, MATCH(TEXT($D990,"000000"), BASE_CCLASSTRIB!$A:$A, 0))/100, 0)</f>
        <v>0</v>
      </c>
    </row>
    <row r="991" spans="4:22" ht="32.25" customHeight="1">
      <c r="D991" s="40"/>
      <c r="E991" s="27" t="str">
        <f>IF(D991="","",LEFT(D991,3))</f>
        <v/>
      </c>
      <c r="F991" s="28" t="str">
        <f>IF(E991="","",IFERROR(VLOOKUP(E991,REGRAS_CST!$A$2:$B$200,2,FALSE),""))</f>
        <v/>
      </c>
      <c r="H991" s="29">
        <v>8.9999999999999993E-3</v>
      </c>
      <c r="I991" s="29">
        <v>1E-3</v>
      </c>
      <c r="K991" s="21" t="str">
        <f>IF(E991="","",IFERROR(VLOOKUP(E991,REGRAS_CST!$A$2:$C$200,3,FALSE),""))</f>
        <v/>
      </c>
      <c r="L991" s="23" t="str">
        <f>IF($G991="", "", $G991*(1-$V991))</f>
        <v/>
      </c>
      <c r="M991" s="24" t="str">
        <f>IF(OR($L991="",$S991=""),"",$L991*$S991)</f>
        <v/>
      </c>
      <c r="N991" s="24" t="str">
        <f>IF(OR($L991="",$T991=""),"",$L991*$T991)</f>
        <v/>
      </c>
      <c r="O991" s="15" t="str">
        <f>IF(D991="","",
IF(AND(K991&lt;&gt;"SIM",V991&gt;0),"ERRO: % BC &gt; 0, mas NÃO permitida ❌",
IF(AND(K991="SIM",V991=0),"ATENÇÃO: BC permitida, mas % = 0 🔎",
"Base de cálculo aplicada corretamente ✅")))</f>
        <v/>
      </c>
      <c r="P991" s="31" t="str">
        <f>IF(D991="","",
IF(AND(Q991&lt;&gt;"SIM",U991&gt;0),"ERRO: % alíquota &gt; 0, mas NÃO permitida ❌",
IF(AND(Q991="SIM",U991=0),"ATENÇÃO: alíquota permitida, mas % = 0 🔎",
"Alíquota aplicada corretamente ✅")))</f>
        <v/>
      </c>
      <c r="Q991" s="8" t="str">
        <f>IF(E991="","",IFERROR(VLOOKUP(E991,REGRAS_CST!$A$2:$D$200,4,FALSE),""))</f>
        <v/>
      </c>
      <c r="S991" s="9">
        <f>IF($H991="","",$H991*(1-$U991))</f>
        <v>8.9999999999999993E-3</v>
      </c>
      <c r="T991" s="9">
        <f>IF($I991="","",$I991*(1-$U991))</f>
        <v>1E-3</v>
      </c>
      <c r="U991" s="16">
        <f>IFERROR(INDEX(BASE_CCLASSTRIB!$E:$E, MATCH(TEXT($D991,"000000"), BASE_CCLASSTRIB!$A:$A, 0))/100, 0)</f>
        <v>0</v>
      </c>
      <c r="V991" s="16">
        <f>IFERROR(INDEX(BASE_CCLASSTRIB!$F:$F, MATCH(TEXT($D991,"000000"), BASE_CCLASSTRIB!$A:$A, 0))/100, 0)</f>
        <v>0</v>
      </c>
    </row>
    <row r="992" spans="4:22" ht="32.25" customHeight="1">
      <c r="D992" s="39"/>
      <c r="E992" s="27" t="str">
        <f>IF(D992="","",LEFT(D992,3))</f>
        <v/>
      </c>
      <c r="F992" s="28" t="str">
        <f>IF(E992="","",IFERROR(VLOOKUP(E992,REGRAS_CST!$A$2:$B$200,2,FALSE),""))</f>
        <v/>
      </c>
      <c r="H992" s="29">
        <v>8.9999999999999993E-3</v>
      </c>
      <c r="I992" s="29">
        <v>1E-3</v>
      </c>
      <c r="K992" s="21" t="str">
        <f>IF(E992="","",IFERROR(VLOOKUP(E992,REGRAS_CST!$A$2:$C$200,3,FALSE),""))</f>
        <v/>
      </c>
      <c r="L992" s="23" t="str">
        <f>IF($G992="", "", $G992*(1-$V992))</f>
        <v/>
      </c>
      <c r="M992" s="24" t="str">
        <f>IF(OR($L992="",$S992=""),"",$L992*$S992)</f>
        <v/>
      </c>
      <c r="N992" s="24" t="str">
        <f>IF(OR($L992="",$T992=""),"",$L992*$T992)</f>
        <v/>
      </c>
      <c r="O992" s="15" t="str">
        <f>IF(D992="","",
IF(AND(K992&lt;&gt;"SIM",V992&gt;0),"ERRO: % BC &gt; 0, mas NÃO permitida ❌",
IF(AND(K992="SIM",V992=0),"ATENÇÃO: BC permitida, mas % = 0 🔎",
"Base de cálculo aplicada corretamente ✅")))</f>
        <v/>
      </c>
      <c r="P992" s="31" t="str">
        <f>IF(D992="","",
IF(AND(Q992&lt;&gt;"SIM",U992&gt;0),"ERRO: % alíquota &gt; 0, mas NÃO permitida ❌",
IF(AND(Q992="SIM",U992=0),"ATENÇÃO: alíquota permitida, mas % = 0 🔎",
"Alíquota aplicada corretamente ✅")))</f>
        <v/>
      </c>
      <c r="Q992" s="8" t="str">
        <f>IF(E992="","",IFERROR(VLOOKUP(E992,REGRAS_CST!$A$2:$D$200,4,FALSE),""))</f>
        <v/>
      </c>
      <c r="S992" s="9">
        <f>IF($H992="","",$H992*(1-$U992))</f>
        <v>8.9999999999999993E-3</v>
      </c>
      <c r="T992" s="9">
        <f>IF($I992="","",$I992*(1-$U992))</f>
        <v>1E-3</v>
      </c>
      <c r="U992" s="16">
        <f>IFERROR(INDEX(BASE_CCLASSTRIB!$E:$E, MATCH(TEXT($D992,"000000"), BASE_CCLASSTRIB!$A:$A, 0))/100, 0)</f>
        <v>0</v>
      </c>
      <c r="V992" s="16">
        <f>IFERROR(INDEX(BASE_CCLASSTRIB!$F:$F, MATCH(TEXT($D992,"000000"), BASE_CCLASSTRIB!$A:$A, 0))/100, 0)</f>
        <v>0</v>
      </c>
    </row>
    <row r="993" spans="4:22" ht="32.25" customHeight="1">
      <c r="D993" s="39"/>
      <c r="E993" s="27" t="str">
        <f>IF(D993="","",LEFT(D993,3))</f>
        <v/>
      </c>
      <c r="F993" s="28" t="str">
        <f>IF(E993="","",IFERROR(VLOOKUP(E993,REGRAS_CST!$A$2:$B$200,2,FALSE),""))</f>
        <v/>
      </c>
      <c r="H993" s="29">
        <v>8.9999999999999993E-3</v>
      </c>
      <c r="I993" s="29">
        <v>1E-3</v>
      </c>
      <c r="K993" s="21" t="str">
        <f>IF(E993="","",IFERROR(VLOOKUP(E993,REGRAS_CST!$A$2:$C$200,3,FALSE),""))</f>
        <v/>
      </c>
      <c r="L993" s="23" t="str">
        <f>IF($G993="", "", $G993*(1-$V993))</f>
        <v/>
      </c>
      <c r="M993" s="24" t="str">
        <f>IF(OR($L993="",$S993=""),"",$L993*$S993)</f>
        <v/>
      </c>
      <c r="N993" s="24" t="str">
        <f>IF(OR($L993="",$T993=""),"",$L993*$T993)</f>
        <v/>
      </c>
      <c r="O993" s="15" t="str">
        <f>IF(D993="","",
IF(AND(K993&lt;&gt;"SIM",V993&gt;0),"ERRO: % BC &gt; 0, mas NÃO permitida ❌",
IF(AND(K993="SIM",V993=0),"ATENÇÃO: BC permitida, mas % = 0 🔎",
"Base de cálculo aplicada corretamente ✅")))</f>
        <v/>
      </c>
      <c r="P993" s="31" t="str">
        <f>IF(D993="","",
IF(AND(Q993&lt;&gt;"SIM",U993&gt;0),"ERRO: % alíquota &gt; 0, mas NÃO permitida ❌",
IF(AND(Q993="SIM",U993=0),"ATENÇÃO: alíquota permitida, mas % = 0 🔎",
"Alíquota aplicada corretamente ✅")))</f>
        <v/>
      </c>
      <c r="Q993" s="8" t="str">
        <f>IF(E993="","",IFERROR(VLOOKUP(E993,REGRAS_CST!$A$2:$D$200,4,FALSE),""))</f>
        <v/>
      </c>
      <c r="S993" s="9">
        <f>IF($H993="","",$H993*(1-$U993))</f>
        <v>8.9999999999999993E-3</v>
      </c>
      <c r="T993" s="9">
        <f>IF($I993="","",$I993*(1-$U993))</f>
        <v>1E-3</v>
      </c>
      <c r="U993" s="16">
        <f>IFERROR(INDEX(BASE_CCLASSTRIB!$E:$E, MATCH(TEXT($D993,"000000"), BASE_CCLASSTRIB!$A:$A, 0))/100, 0)</f>
        <v>0</v>
      </c>
      <c r="V993" s="16">
        <f>IFERROR(INDEX(BASE_CCLASSTRIB!$F:$F, MATCH(TEXT($D993,"000000"), BASE_CCLASSTRIB!$A:$A, 0))/100, 0)</f>
        <v>0</v>
      </c>
    </row>
    <row r="994" spans="4:22" ht="32.25" customHeight="1">
      <c r="D994" s="39"/>
      <c r="E994" s="27" t="str">
        <f>IF(D994="","",LEFT(D994,3))</f>
        <v/>
      </c>
      <c r="F994" s="28" t="str">
        <f>IF(E994="","",IFERROR(VLOOKUP(E994,REGRAS_CST!$A$2:$B$200,2,FALSE),""))</f>
        <v/>
      </c>
      <c r="H994" s="29">
        <v>8.9999999999999993E-3</v>
      </c>
      <c r="I994" s="29">
        <v>1E-3</v>
      </c>
      <c r="K994" s="21" t="str">
        <f>IF(E994="","",IFERROR(VLOOKUP(E994,REGRAS_CST!$A$2:$C$200,3,FALSE),""))</f>
        <v/>
      </c>
      <c r="L994" s="23" t="str">
        <f>IF($G994="", "", $G994*(1-$V994))</f>
        <v/>
      </c>
      <c r="M994" s="24" t="str">
        <f>IF(OR($L994="",$S994=""),"",$L994*$S994)</f>
        <v/>
      </c>
      <c r="N994" s="24" t="str">
        <f>IF(OR($L994="",$T994=""),"",$L994*$T994)</f>
        <v/>
      </c>
      <c r="O994" s="15" t="str">
        <f>IF(D994="","",
IF(AND(K994&lt;&gt;"SIM",V994&gt;0),"ERRO: % BC &gt; 0, mas NÃO permitida ❌",
IF(AND(K994="SIM",V994=0),"ATENÇÃO: BC permitida, mas % = 0 🔎",
"Base de cálculo aplicada corretamente ✅")))</f>
        <v/>
      </c>
      <c r="P994" s="31" t="str">
        <f>IF(D994="","",
IF(AND(Q994&lt;&gt;"SIM",U994&gt;0),"ERRO: % alíquota &gt; 0, mas NÃO permitida ❌",
IF(AND(Q994="SIM",U994=0),"ATENÇÃO: alíquota permitida, mas % = 0 🔎",
"Alíquota aplicada corretamente ✅")))</f>
        <v/>
      </c>
      <c r="Q994" s="8" t="str">
        <f>IF(E994="","",IFERROR(VLOOKUP(E994,REGRAS_CST!$A$2:$D$200,4,FALSE),""))</f>
        <v/>
      </c>
      <c r="S994" s="9">
        <f>IF($H994="","",$H994*(1-$U994))</f>
        <v>8.9999999999999993E-3</v>
      </c>
      <c r="T994" s="9">
        <f>IF($I994="","",$I994*(1-$U994))</f>
        <v>1E-3</v>
      </c>
      <c r="U994" s="16">
        <f>IFERROR(INDEX(BASE_CCLASSTRIB!$E:$E, MATCH(TEXT($D994,"000000"), BASE_CCLASSTRIB!$A:$A, 0))/100, 0)</f>
        <v>0</v>
      </c>
      <c r="V994" s="16">
        <f>IFERROR(INDEX(BASE_CCLASSTRIB!$F:$F, MATCH(TEXT($D994,"000000"), BASE_CCLASSTRIB!$A:$A, 0))/100, 0)</f>
        <v>0</v>
      </c>
    </row>
    <row r="995" spans="4:22" ht="32.25" customHeight="1">
      <c r="D995" s="39"/>
      <c r="E995" s="27" t="str">
        <f>IF(D995="","",LEFT(D995,3))</f>
        <v/>
      </c>
      <c r="F995" s="28" t="str">
        <f>IF(E995="","",IFERROR(VLOOKUP(E995,REGRAS_CST!$A$2:$B$200,2,FALSE),""))</f>
        <v/>
      </c>
      <c r="H995" s="29">
        <v>8.9999999999999993E-3</v>
      </c>
      <c r="I995" s="29">
        <v>1E-3</v>
      </c>
      <c r="K995" s="21" t="str">
        <f>IF(E995="","",IFERROR(VLOOKUP(E995,REGRAS_CST!$A$2:$C$200,3,FALSE),""))</f>
        <v/>
      </c>
      <c r="L995" s="23" t="str">
        <f>IF($G995="", "", $G995*(1-$V995))</f>
        <v/>
      </c>
      <c r="M995" s="24" t="str">
        <f>IF(OR($L995="",$S995=""),"",$L995*$S995)</f>
        <v/>
      </c>
      <c r="N995" s="24" t="str">
        <f>IF(OR($L995="",$T995=""),"",$L995*$T995)</f>
        <v/>
      </c>
      <c r="O995" s="15" t="str">
        <f>IF(D995="","",
IF(AND(K995&lt;&gt;"SIM",V995&gt;0),"ERRO: % BC &gt; 0, mas NÃO permitida ❌",
IF(AND(K995="SIM",V995=0),"ATENÇÃO: BC permitida, mas % = 0 🔎",
"Base de cálculo aplicada corretamente ✅")))</f>
        <v/>
      </c>
      <c r="P995" s="31" t="str">
        <f>IF(D995="","",
IF(AND(Q995&lt;&gt;"SIM",U995&gt;0),"ERRO: % alíquota &gt; 0, mas NÃO permitida ❌",
IF(AND(Q995="SIM",U995=0),"ATENÇÃO: alíquota permitida, mas % = 0 🔎",
"Alíquota aplicada corretamente ✅")))</f>
        <v/>
      </c>
      <c r="Q995" s="8" t="str">
        <f>IF(E995="","",IFERROR(VLOOKUP(E995,REGRAS_CST!$A$2:$D$200,4,FALSE),""))</f>
        <v/>
      </c>
      <c r="S995" s="9">
        <f>IF($H995="","",$H995*(1-$U995))</f>
        <v>8.9999999999999993E-3</v>
      </c>
      <c r="T995" s="9">
        <f>IF($I995="","",$I995*(1-$U995))</f>
        <v>1E-3</v>
      </c>
      <c r="U995" s="16">
        <f>IFERROR(INDEX(BASE_CCLASSTRIB!$E:$E, MATCH(TEXT($D995,"000000"), BASE_CCLASSTRIB!$A:$A, 0))/100, 0)</f>
        <v>0</v>
      </c>
      <c r="V995" s="16">
        <f>IFERROR(INDEX(BASE_CCLASSTRIB!$F:$F, MATCH(TEXT($D995,"000000"), BASE_CCLASSTRIB!$A:$A, 0))/100, 0)</f>
        <v>0</v>
      </c>
    </row>
    <row r="996" spans="4:22" ht="32.25" customHeight="1">
      <c r="D996" s="39"/>
      <c r="E996" s="27" t="str">
        <f>IF(D996="","",LEFT(D996,3))</f>
        <v/>
      </c>
      <c r="F996" s="28" t="str">
        <f>IF(E996="","",IFERROR(VLOOKUP(E996,REGRAS_CST!$A$2:$B$200,2,FALSE),""))</f>
        <v/>
      </c>
      <c r="H996" s="29">
        <v>8.9999999999999993E-3</v>
      </c>
      <c r="I996" s="29">
        <v>1E-3</v>
      </c>
      <c r="K996" s="21" t="str">
        <f>IF(E996="","",IFERROR(VLOOKUP(E996,REGRAS_CST!$A$2:$C$200,3,FALSE),""))</f>
        <v/>
      </c>
      <c r="L996" s="23" t="str">
        <f>IF($G996="", "", $G996*(1-$V996))</f>
        <v/>
      </c>
      <c r="M996" s="24" t="str">
        <f>IF(OR($L996="",$S996=""),"",$L996*$S996)</f>
        <v/>
      </c>
      <c r="N996" s="24" t="str">
        <f>IF(OR($L996="",$T996=""),"",$L996*$T996)</f>
        <v/>
      </c>
      <c r="O996" s="15" t="str">
        <f>IF(D996="","",
IF(AND(K996&lt;&gt;"SIM",V996&gt;0),"ERRO: % BC &gt; 0, mas NÃO permitida ❌",
IF(AND(K996="SIM",V996=0),"ATENÇÃO: BC permitida, mas % = 0 🔎",
"Base de cálculo aplicada corretamente ✅")))</f>
        <v/>
      </c>
      <c r="P996" s="31" t="str">
        <f>IF(D996="","",
IF(AND(Q996&lt;&gt;"SIM",U996&gt;0),"ERRO: % alíquota &gt; 0, mas NÃO permitida ❌",
IF(AND(Q996="SIM",U996=0),"ATENÇÃO: alíquota permitida, mas % = 0 🔎",
"Alíquota aplicada corretamente ✅")))</f>
        <v/>
      </c>
      <c r="Q996" s="8" t="str">
        <f>IF(E996="","",IFERROR(VLOOKUP(E996,REGRAS_CST!$A$2:$D$200,4,FALSE),""))</f>
        <v/>
      </c>
      <c r="S996" s="9">
        <f>IF($H996="","",$H996*(1-$U996))</f>
        <v>8.9999999999999993E-3</v>
      </c>
      <c r="T996" s="9">
        <f>IF($I996="","",$I996*(1-$U996))</f>
        <v>1E-3</v>
      </c>
      <c r="U996" s="16">
        <f>IFERROR(INDEX(BASE_CCLASSTRIB!$E:$E, MATCH(TEXT($D996,"000000"), BASE_CCLASSTRIB!$A:$A, 0))/100, 0)</f>
        <v>0</v>
      </c>
      <c r="V996" s="16">
        <f>IFERROR(INDEX(BASE_CCLASSTRIB!$F:$F, MATCH(TEXT($D996,"000000"), BASE_CCLASSTRIB!$A:$A, 0))/100, 0)</f>
        <v>0</v>
      </c>
    </row>
    <row r="997" spans="4:22" ht="32.25" customHeight="1">
      <c r="D997" s="39"/>
      <c r="E997" s="27" t="str">
        <f>IF(D997="","",LEFT(D997,3))</f>
        <v/>
      </c>
      <c r="F997" s="28" t="str">
        <f>IF(E997="","",IFERROR(VLOOKUP(E997,REGRAS_CST!$A$2:$B$200,2,FALSE),""))</f>
        <v/>
      </c>
      <c r="H997" s="29">
        <v>8.9999999999999993E-3</v>
      </c>
      <c r="I997" s="29">
        <v>1E-3</v>
      </c>
      <c r="K997" s="21" t="str">
        <f>IF(E997="","",IFERROR(VLOOKUP(E997,REGRAS_CST!$A$2:$C$200,3,FALSE),""))</f>
        <v/>
      </c>
      <c r="L997" s="23" t="str">
        <f>IF($G997="", "", $G997*(1-$V997))</f>
        <v/>
      </c>
      <c r="M997" s="24" t="str">
        <f>IF(OR($L997="",$S997=""),"",$L997*$S997)</f>
        <v/>
      </c>
      <c r="N997" s="24" t="str">
        <f>IF(OR($L997="",$T997=""),"",$L997*$T997)</f>
        <v/>
      </c>
      <c r="O997" s="15" t="str">
        <f>IF(D997="","",
IF(AND(K997&lt;&gt;"SIM",V997&gt;0),"ERRO: % BC &gt; 0, mas NÃO permitida ❌",
IF(AND(K997="SIM",V997=0),"ATENÇÃO: BC permitida, mas % = 0 🔎",
"Base de cálculo aplicada corretamente ✅")))</f>
        <v/>
      </c>
      <c r="P997" s="31" t="str">
        <f>IF(D997="","",
IF(AND(Q997&lt;&gt;"SIM",U997&gt;0),"ERRO: % alíquota &gt; 0, mas NÃO permitida ❌",
IF(AND(Q997="SIM",U997=0),"ATENÇÃO: alíquota permitida, mas % = 0 🔎",
"Alíquota aplicada corretamente ✅")))</f>
        <v/>
      </c>
      <c r="Q997" s="8" t="str">
        <f>IF(E997="","",IFERROR(VLOOKUP(E997,REGRAS_CST!$A$2:$D$200,4,FALSE),""))</f>
        <v/>
      </c>
      <c r="S997" s="9">
        <f>IF($H997="","",$H997*(1-$U997))</f>
        <v>8.9999999999999993E-3</v>
      </c>
      <c r="T997" s="9">
        <f>IF($I997="","",$I997*(1-$U997))</f>
        <v>1E-3</v>
      </c>
      <c r="U997" s="16">
        <f>IFERROR(INDEX(BASE_CCLASSTRIB!$E:$E, MATCH(TEXT($D997,"000000"), BASE_CCLASSTRIB!$A:$A, 0))/100, 0)</f>
        <v>0</v>
      </c>
      <c r="V997" s="16">
        <f>IFERROR(INDEX(BASE_CCLASSTRIB!$F:$F, MATCH(TEXT($D997,"000000"), BASE_CCLASSTRIB!$A:$A, 0))/100, 0)</f>
        <v>0</v>
      </c>
    </row>
    <row r="998" spans="4:22" ht="32.25" customHeight="1">
      <c r="D998" s="39"/>
      <c r="E998" s="27" t="str">
        <f>IF(D998="","",LEFT(D998,3))</f>
        <v/>
      </c>
      <c r="F998" s="28" t="str">
        <f>IF(E998="","",IFERROR(VLOOKUP(E998,REGRAS_CST!$A$2:$B$200,2,FALSE),""))</f>
        <v/>
      </c>
      <c r="H998" s="29">
        <v>8.9999999999999993E-3</v>
      </c>
      <c r="I998" s="29">
        <v>1E-3</v>
      </c>
      <c r="K998" s="21" t="str">
        <f>IF(E998="","",IFERROR(VLOOKUP(E998,REGRAS_CST!$A$2:$C$200,3,FALSE),""))</f>
        <v/>
      </c>
      <c r="L998" s="23" t="str">
        <f>IF($G998="", "", $G998*(1-$V998))</f>
        <v/>
      </c>
      <c r="M998" s="24" t="str">
        <f>IF(OR($L998="",$S998=""),"",$L998*$S998)</f>
        <v/>
      </c>
      <c r="N998" s="24" t="str">
        <f>IF(OR($L998="",$T998=""),"",$L998*$T998)</f>
        <v/>
      </c>
      <c r="O998" s="15" t="str">
        <f>IF(D998="","",
IF(AND(K998&lt;&gt;"SIM",V998&gt;0),"ERRO: % BC &gt; 0, mas NÃO permitida ❌",
IF(AND(K998="SIM",V998=0),"ATENÇÃO: BC permitida, mas % = 0 🔎",
"Base de cálculo aplicada corretamente ✅")))</f>
        <v/>
      </c>
      <c r="P998" s="31" t="str">
        <f>IF(D998="","",
IF(AND(Q998&lt;&gt;"SIM",U998&gt;0),"ERRO: % alíquota &gt; 0, mas NÃO permitida ❌",
IF(AND(Q998="SIM",U998=0),"ATENÇÃO: alíquota permitida, mas % = 0 🔎",
"Alíquota aplicada corretamente ✅")))</f>
        <v/>
      </c>
      <c r="Q998" s="8" t="str">
        <f>IF(E998="","",IFERROR(VLOOKUP(E998,REGRAS_CST!$A$2:$D$200,4,FALSE),""))</f>
        <v/>
      </c>
      <c r="S998" s="9">
        <f>IF($H998="","",$H998*(1-$U998))</f>
        <v>8.9999999999999993E-3</v>
      </c>
      <c r="T998" s="9">
        <f>IF($I998="","",$I998*(1-$U998))</f>
        <v>1E-3</v>
      </c>
      <c r="U998" s="16">
        <f>IFERROR(INDEX(BASE_CCLASSTRIB!$E:$E, MATCH(TEXT($D998,"000000"), BASE_CCLASSTRIB!$A:$A, 0))/100, 0)</f>
        <v>0</v>
      </c>
      <c r="V998" s="16">
        <f>IFERROR(INDEX(BASE_CCLASSTRIB!$F:$F, MATCH(TEXT($D998,"000000"), BASE_CCLASSTRIB!$A:$A, 0))/100, 0)</f>
        <v>0</v>
      </c>
    </row>
    <row r="999" spans="4:22" ht="32.25" customHeight="1">
      <c r="D999" s="40"/>
      <c r="E999" s="27" t="str">
        <f>IF(D999="","",LEFT(D999,3))</f>
        <v/>
      </c>
      <c r="F999" s="28" t="str">
        <f>IF(E999="","",IFERROR(VLOOKUP(E999,REGRAS_CST!$A$2:$B$200,2,FALSE),""))</f>
        <v/>
      </c>
      <c r="H999" s="29">
        <v>8.9999999999999993E-3</v>
      </c>
      <c r="I999" s="29">
        <v>1E-3</v>
      </c>
      <c r="K999" s="21" t="str">
        <f>IF(E999="","",IFERROR(VLOOKUP(E999,REGRAS_CST!$A$2:$C$200,3,FALSE),""))</f>
        <v/>
      </c>
      <c r="L999" s="23" t="str">
        <f>IF($G999="", "", $G999*(1-$V999))</f>
        <v/>
      </c>
      <c r="M999" s="24" t="str">
        <f>IF(OR($L999="",$S999=""),"",$L999*$S999)</f>
        <v/>
      </c>
      <c r="N999" s="24" t="str">
        <f>IF(OR($L999="",$T999=""),"",$L999*$T999)</f>
        <v/>
      </c>
      <c r="O999" s="15" t="str">
        <f>IF(D999="","",
IF(AND(K999&lt;&gt;"SIM",V999&gt;0),"ERRO: % BC &gt; 0, mas NÃO permitida ❌",
IF(AND(K999="SIM",V999=0),"ATENÇÃO: BC permitida, mas % = 0 🔎",
"Base de cálculo aplicada corretamente ✅")))</f>
        <v/>
      </c>
      <c r="P999" s="31" t="str">
        <f>IF(D999="","",
IF(AND(Q999&lt;&gt;"SIM",U999&gt;0),"ERRO: % alíquota &gt; 0, mas NÃO permitida ❌",
IF(AND(Q999="SIM",U999=0),"ATENÇÃO: alíquota permitida, mas % = 0 🔎",
"Alíquota aplicada corretamente ✅")))</f>
        <v/>
      </c>
      <c r="Q999" s="8" t="str">
        <f>IF(E999="","",IFERROR(VLOOKUP(E999,REGRAS_CST!$A$2:$D$200,4,FALSE),""))</f>
        <v/>
      </c>
      <c r="S999" s="9">
        <f>IF($H999="","",$H999*(1-$U999))</f>
        <v>8.9999999999999993E-3</v>
      </c>
      <c r="T999" s="9">
        <f>IF($I999="","",$I999*(1-$U999))</f>
        <v>1E-3</v>
      </c>
      <c r="U999" s="16">
        <f>IFERROR(INDEX(BASE_CCLASSTRIB!$E:$E, MATCH(TEXT($D999,"000000"), BASE_CCLASSTRIB!$A:$A, 0))/100, 0)</f>
        <v>0</v>
      </c>
      <c r="V999" s="16">
        <f>IFERROR(INDEX(BASE_CCLASSTRIB!$F:$F, MATCH(TEXT($D999,"000000"), BASE_CCLASSTRIB!$A:$A, 0))/100, 0)</f>
        <v>0</v>
      </c>
    </row>
    <row r="1000" spans="4:22" ht="32.25" customHeight="1">
      <c r="D1000" s="40"/>
      <c r="E1000" s="27" t="str">
        <f>IF(D1000="","",LEFT(D1000,3))</f>
        <v/>
      </c>
      <c r="F1000" s="28" t="str">
        <f>IF(E1000="","",IFERROR(VLOOKUP(E1000,REGRAS_CST!$A$2:$B$200,2,FALSE),""))</f>
        <v/>
      </c>
      <c r="H1000" s="29">
        <v>8.9999999999999993E-3</v>
      </c>
      <c r="I1000" s="29">
        <v>1E-3</v>
      </c>
      <c r="K1000" s="21" t="str">
        <f>IF(E1000="","",IFERROR(VLOOKUP(E1000,REGRAS_CST!$A$2:$C$200,3,FALSE),""))</f>
        <v/>
      </c>
      <c r="L1000" s="23" t="str">
        <f>IF($G1000="", "", $G1000*(1-$V1000))</f>
        <v/>
      </c>
      <c r="M1000" s="24" t="str">
        <f>IF(OR($L1000="",$S1000=""),"",$L1000*$S1000)</f>
        <v/>
      </c>
      <c r="N1000" s="24" t="str">
        <f>IF(OR($L1000="",$T1000=""),"",$L1000*$T1000)</f>
        <v/>
      </c>
      <c r="O1000" s="15" t="str">
        <f>IF(D1000="","",
IF(AND(K1000&lt;&gt;"SIM",V1000&gt;0),"ERRO: % BC &gt; 0, mas NÃO permitida ❌",
IF(AND(K1000="SIM",V1000=0),"ATENÇÃO: BC permitida, mas % = 0 🔎",
"Base de cálculo aplicada corretamente ✅")))</f>
        <v/>
      </c>
      <c r="P1000" s="31" t="str">
        <f>IF(D1000="","",
IF(AND(Q1000&lt;&gt;"SIM",U1000&gt;0),"ERRO: % alíquota &gt; 0, mas NÃO permitida ❌",
IF(AND(Q1000="SIM",U1000=0),"ATENÇÃO: alíquota permitida, mas % = 0 🔎",
"Alíquota aplicada corretamente ✅")))</f>
        <v/>
      </c>
      <c r="Q1000" s="8" t="str">
        <f>IF(E1000="","",IFERROR(VLOOKUP(E1000,REGRAS_CST!$A$2:$D$200,4,FALSE),""))</f>
        <v/>
      </c>
      <c r="S1000" s="9">
        <f>IF($H1000="","",$H1000*(1-$U1000))</f>
        <v>8.9999999999999993E-3</v>
      </c>
      <c r="T1000" s="9">
        <f>IF($I1000="","",$I1000*(1-$U1000))</f>
        <v>1E-3</v>
      </c>
      <c r="U1000" s="16">
        <f>IFERROR(INDEX(BASE_CCLASSTRIB!$E:$E, MATCH(TEXT($D1000,"000000"), BASE_CCLASSTRIB!$A:$A, 0))/100, 0)</f>
        <v>0</v>
      </c>
      <c r="V1000" s="16">
        <f>IFERROR(INDEX(BASE_CCLASSTRIB!$F:$F, MATCH(TEXT($D1000,"000000"), BASE_CCLASSTRIB!$A:$A, 0))/100, 0)</f>
        <v>0</v>
      </c>
    </row>
    <row r="1001" spans="4:22" ht="32.25" customHeight="1">
      <c r="D1001" s="40"/>
      <c r="E1001" s="27" t="str">
        <f>IF(D1001="","",LEFT(D1001,3))</f>
        <v/>
      </c>
      <c r="F1001" s="28" t="str">
        <f>IF(E1001="","",IFERROR(VLOOKUP(E1001,REGRAS_CST!$A$2:$B$200,2,FALSE),""))</f>
        <v/>
      </c>
      <c r="H1001" s="29">
        <v>8.9999999999999993E-3</v>
      </c>
      <c r="I1001" s="29">
        <v>1E-3</v>
      </c>
      <c r="K1001" s="21" t="str">
        <f>IF(E1001="","",IFERROR(VLOOKUP(E1001,REGRAS_CST!$A$2:$C$200,3,FALSE),""))</f>
        <v/>
      </c>
      <c r="L1001" s="23" t="str">
        <f>IF($G1001="", "", $G1001*(1-$V1001))</f>
        <v/>
      </c>
      <c r="M1001" s="24" t="str">
        <f>IF(OR($L1001="",$S1001=""),"",$L1001*$S1001)</f>
        <v/>
      </c>
      <c r="N1001" s="24" t="str">
        <f>IF(OR($L1001="",$T1001=""),"",$L1001*$T1001)</f>
        <v/>
      </c>
      <c r="O1001" s="15" t="str">
        <f>IF(D1001="","",
IF(AND(K1001&lt;&gt;"SIM",V1001&gt;0),"ERRO: % BC &gt; 0, mas NÃO permitida ❌",
IF(AND(K1001="SIM",V1001=0),"ATENÇÃO: BC permitida, mas % = 0 🔎",
"Base de cálculo aplicada corretamente ✅")))</f>
        <v/>
      </c>
      <c r="P1001" s="31" t="str">
        <f>IF(D1001="","",
IF(AND(Q1001&lt;&gt;"SIM",U1001&gt;0),"ERRO: % alíquota &gt; 0, mas NÃO permitida ❌",
IF(AND(Q1001="SIM",U1001=0),"ATENÇÃO: alíquota permitida, mas % = 0 🔎",
"Alíquota aplicada corretamente ✅")))</f>
        <v/>
      </c>
      <c r="Q1001" s="8" t="str">
        <f>IF(E1001="","",IFERROR(VLOOKUP(E1001,REGRAS_CST!$A$2:$D$200,4,FALSE),""))</f>
        <v/>
      </c>
      <c r="S1001" s="9">
        <f>IF($H1001="","",$H1001*(1-$U1001))</f>
        <v>8.9999999999999993E-3</v>
      </c>
      <c r="T1001" s="9">
        <f>IF($I1001="","",$I1001*(1-$U1001))</f>
        <v>1E-3</v>
      </c>
      <c r="U1001" s="16">
        <f>IFERROR(INDEX(BASE_CCLASSTRIB!$E:$E, MATCH(TEXT($D1001,"000000"), BASE_CCLASSTRIB!$A:$A, 0))/100, 0)</f>
        <v>0</v>
      </c>
      <c r="V1001" s="16">
        <f>IFERROR(INDEX(BASE_CCLASSTRIB!$F:$F, MATCH(TEXT($D1001,"000000"), BASE_CCLASSTRIB!$A:$A, 0))/100, 0)</f>
        <v>0</v>
      </c>
    </row>
    <row r="1002" spans="4:22" ht="32.25" customHeight="1">
      <c r="D1002" s="40"/>
      <c r="E1002" s="27" t="str">
        <f>IF(D1002="","",LEFT(D1002,3))</f>
        <v/>
      </c>
      <c r="F1002" s="28" t="str">
        <f>IF(E1002="","",IFERROR(VLOOKUP(E1002,REGRAS_CST!$A$2:$B$200,2,FALSE),""))</f>
        <v/>
      </c>
      <c r="H1002" s="29">
        <v>8.9999999999999993E-3</v>
      </c>
      <c r="I1002" s="29">
        <v>1E-3</v>
      </c>
      <c r="K1002" s="21" t="str">
        <f>IF(E1002="","",IFERROR(VLOOKUP(E1002,REGRAS_CST!$A$2:$C$200,3,FALSE),""))</f>
        <v/>
      </c>
      <c r="L1002" s="23" t="str">
        <f>IF($G1002="", "", $G1002*(1-$V1002))</f>
        <v/>
      </c>
      <c r="M1002" s="24" t="str">
        <f>IF(OR($L1002="",$S1002=""),"",$L1002*$S1002)</f>
        <v/>
      </c>
      <c r="N1002" s="24" t="str">
        <f>IF(OR($L1002="",$T1002=""),"",$L1002*$T1002)</f>
        <v/>
      </c>
      <c r="O1002" s="15" t="str">
        <f>IF(D1002="","",
IF(AND(K1002&lt;&gt;"SIM",V1002&gt;0),"ERRO: % BC &gt; 0, mas NÃO permitida ❌",
IF(AND(K1002="SIM",V1002=0),"ATENÇÃO: BC permitida, mas % = 0 🔎",
"Base de cálculo aplicada corretamente ✅")))</f>
        <v/>
      </c>
      <c r="P1002" s="31" t="str">
        <f>IF(D1002="","",
IF(AND(Q1002&lt;&gt;"SIM",U1002&gt;0),"ERRO: % alíquota &gt; 0, mas NÃO permitida ❌",
IF(AND(Q1002="SIM",U1002=0),"ATENÇÃO: alíquota permitida, mas % = 0 🔎",
"Alíquota aplicada corretamente ✅")))</f>
        <v/>
      </c>
      <c r="Q1002" s="8" t="str">
        <f>IF(E1002="","",IFERROR(VLOOKUP(E1002,REGRAS_CST!$A$2:$D$200,4,FALSE),""))</f>
        <v/>
      </c>
      <c r="S1002" s="9">
        <f>IF($H1002="","",$H1002*(1-$U1002))</f>
        <v>8.9999999999999993E-3</v>
      </c>
      <c r="T1002" s="9">
        <f>IF($I1002="","",$I1002*(1-$U1002))</f>
        <v>1E-3</v>
      </c>
      <c r="U1002" s="16">
        <f>IFERROR(INDEX(BASE_CCLASSTRIB!$E:$E, MATCH(TEXT($D1002,"000000"), BASE_CCLASSTRIB!$A:$A, 0))/100, 0)</f>
        <v>0</v>
      </c>
      <c r="V1002" s="16">
        <f>IFERROR(INDEX(BASE_CCLASSTRIB!$F:$F, MATCH(TEXT($D1002,"000000"), BASE_CCLASSTRIB!$A:$A, 0))/100, 0)</f>
        <v>0</v>
      </c>
    </row>
    <row r="1003" spans="4:22" ht="32.25" customHeight="1">
      <c r="D1003" s="40"/>
      <c r="E1003" s="27" t="str">
        <f>IF(D1003="","",LEFT(D1003,3))</f>
        <v/>
      </c>
      <c r="F1003" s="28" t="str">
        <f>IF(E1003="","",IFERROR(VLOOKUP(E1003,REGRAS_CST!$A$2:$B$200,2,FALSE),""))</f>
        <v/>
      </c>
      <c r="H1003" s="29">
        <v>8.9999999999999993E-3</v>
      </c>
      <c r="I1003" s="29">
        <v>1E-3</v>
      </c>
      <c r="K1003" s="21" t="str">
        <f>IF(E1003="","",IFERROR(VLOOKUP(E1003,REGRAS_CST!$A$2:$C$200,3,FALSE),""))</f>
        <v/>
      </c>
      <c r="L1003" s="23" t="str">
        <f>IF($G1003="", "", $G1003*(1-$V1003))</f>
        <v/>
      </c>
      <c r="M1003" s="24" t="str">
        <f>IF(OR($L1003="",$S1003=""),"",$L1003*$S1003)</f>
        <v/>
      </c>
      <c r="N1003" s="24" t="str">
        <f>IF(OR($L1003="",$T1003=""),"",$L1003*$T1003)</f>
        <v/>
      </c>
      <c r="O1003" s="15" t="str">
        <f>IF(D1003="","",
IF(AND(K1003&lt;&gt;"SIM",V1003&gt;0),"ERRO: % BC &gt; 0, mas NÃO permitida ❌",
IF(AND(K1003="SIM",V1003=0),"ATENÇÃO: BC permitida, mas % = 0 🔎",
"Base de cálculo aplicada corretamente ✅")))</f>
        <v/>
      </c>
      <c r="P1003" s="31" t="str">
        <f>IF(D1003="","",
IF(AND(Q1003&lt;&gt;"SIM",U1003&gt;0),"ERRO: % alíquota &gt; 0, mas NÃO permitida ❌",
IF(AND(Q1003="SIM",U1003=0),"ATENÇÃO: alíquota permitida, mas % = 0 🔎",
"Alíquota aplicada corretamente ✅")))</f>
        <v/>
      </c>
      <c r="Q1003" s="8" t="str">
        <f>IF(E1003="","",IFERROR(VLOOKUP(E1003,REGRAS_CST!$A$2:$D$200,4,FALSE),""))</f>
        <v/>
      </c>
      <c r="S1003" s="9">
        <f>IF($H1003="","",$H1003*(1-$U1003))</f>
        <v>8.9999999999999993E-3</v>
      </c>
      <c r="T1003" s="9">
        <f>IF($I1003="","",$I1003*(1-$U1003))</f>
        <v>1E-3</v>
      </c>
      <c r="U1003" s="16">
        <f>IFERROR(INDEX(BASE_CCLASSTRIB!$E:$E, MATCH(TEXT($D1003,"000000"), BASE_CCLASSTRIB!$A:$A, 0))/100, 0)</f>
        <v>0</v>
      </c>
      <c r="V1003" s="16">
        <f>IFERROR(INDEX(BASE_CCLASSTRIB!$F:$F, MATCH(TEXT($D1003,"000000"), BASE_CCLASSTRIB!$A:$A, 0))/100, 0)</f>
        <v>0</v>
      </c>
    </row>
    <row r="1004" spans="4:22" ht="32.25" customHeight="1">
      <c r="D1004" s="40"/>
      <c r="E1004" s="27" t="str">
        <f>IF(D1004="","",LEFT(D1004,3))</f>
        <v/>
      </c>
      <c r="F1004" s="28" t="str">
        <f>IF(E1004="","",IFERROR(VLOOKUP(E1004,REGRAS_CST!$A$2:$B$200,2,FALSE),""))</f>
        <v/>
      </c>
      <c r="H1004" s="29">
        <v>8.9999999999999993E-3</v>
      </c>
      <c r="I1004" s="29">
        <v>1E-3</v>
      </c>
      <c r="K1004" s="21" t="str">
        <f>IF(E1004="","",IFERROR(VLOOKUP(E1004,REGRAS_CST!$A$2:$C$200,3,FALSE),""))</f>
        <v/>
      </c>
      <c r="L1004" s="23" t="str">
        <f>IF($G1004="", "", $G1004*(1-$V1004))</f>
        <v/>
      </c>
      <c r="M1004" s="24" t="str">
        <f>IF(OR($L1004="",$S1004=""),"",$L1004*$S1004)</f>
        <v/>
      </c>
      <c r="N1004" s="24" t="str">
        <f>IF(OR($L1004="",$T1004=""),"",$L1004*$T1004)</f>
        <v/>
      </c>
      <c r="O1004" s="15" t="str">
        <f>IF(D1004="","",
IF(AND(K1004&lt;&gt;"SIM",V1004&gt;0),"ERRO: % BC &gt; 0, mas NÃO permitida ❌",
IF(AND(K1004="SIM",V1004=0),"ATENÇÃO: BC permitida, mas % = 0 🔎",
"Base de cálculo aplicada corretamente ✅")))</f>
        <v/>
      </c>
      <c r="P1004" s="31" t="str">
        <f>IF(D1004="","",
IF(AND(Q1004&lt;&gt;"SIM",U1004&gt;0),"ERRO: % alíquota &gt; 0, mas NÃO permitida ❌",
IF(AND(Q1004="SIM",U1004=0),"ATENÇÃO: alíquota permitida, mas % = 0 🔎",
"Alíquota aplicada corretamente ✅")))</f>
        <v/>
      </c>
      <c r="Q1004" s="8" t="str">
        <f>IF(E1004="","",IFERROR(VLOOKUP(E1004,REGRAS_CST!$A$2:$D$200,4,FALSE),""))</f>
        <v/>
      </c>
      <c r="S1004" s="9">
        <f>IF($H1004="","",$H1004*(1-$U1004))</f>
        <v>8.9999999999999993E-3</v>
      </c>
      <c r="T1004" s="9">
        <f>IF($I1004="","",$I1004*(1-$U1004))</f>
        <v>1E-3</v>
      </c>
      <c r="U1004" s="16">
        <f>IFERROR(INDEX(BASE_CCLASSTRIB!$E:$E, MATCH(TEXT($D1004,"000000"), BASE_CCLASSTRIB!$A:$A, 0))/100, 0)</f>
        <v>0</v>
      </c>
      <c r="V1004" s="16">
        <f>IFERROR(INDEX(BASE_CCLASSTRIB!$F:$F, MATCH(TEXT($D1004,"000000"), BASE_CCLASSTRIB!$A:$A, 0))/100, 0)</f>
        <v>0</v>
      </c>
    </row>
    <row r="1005" spans="4:22" ht="32.25" customHeight="1">
      <c r="D1005" s="39"/>
      <c r="E1005" s="27" t="str">
        <f>IF(D1005="","",LEFT(D1005,3))</f>
        <v/>
      </c>
      <c r="F1005" s="28" t="str">
        <f>IF(E1005="","",IFERROR(VLOOKUP(E1005,REGRAS_CST!$A$2:$B$200,2,FALSE),""))</f>
        <v/>
      </c>
      <c r="H1005" s="29">
        <v>8.9999999999999993E-3</v>
      </c>
      <c r="I1005" s="29">
        <v>1E-3</v>
      </c>
      <c r="K1005" s="21" t="str">
        <f>IF(E1005="","",IFERROR(VLOOKUP(E1005,REGRAS_CST!$A$2:$C$200,3,FALSE),""))</f>
        <v/>
      </c>
      <c r="L1005" s="23" t="str">
        <f>IF($G1005="", "", $G1005*(1-$V1005))</f>
        <v/>
      </c>
      <c r="M1005" s="24" t="str">
        <f>IF(OR($L1005="",$S1005=""),"",$L1005*$S1005)</f>
        <v/>
      </c>
      <c r="N1005" s="24" t="str">
        <f>IF(OR($L1005="",$T1005=""),"",$L1005*$T1005)</f>
        <v/>
      </c>
      <c r="O1005" s="15" t="str">
        <f>IF(D1005="","",
IF(AND(K1005&lt;&gt;"SIM",V1005&gt;0),"ERRO: % BC &gt; 0, mas NÃO permitida ❌",
IF(AND(K1005="SIM",V1005=0),"ATENÇÃO: BC permitida, mas % = 0 🔎",
"Base de cálculo aplicada corretamente ✅")))</f>
        <v/>
      </c>
      <c r="P1005" s="31" t="str">
        <f>IF(D1005="","",
IF(AND(Q1005&lt;&gt;"SIM",U1005&gt;0),"ERRO: % alíquota &gt; 0, mas NÃO permitida ❌",
IF(AND(Q1005="SIM",U1005=0),"ATENÇÃO: alíquota permitida, mas % = 0 🔎",
"Alíquota aplicada corretamente ✅")))</f>
        <v/>
      </c>
      <c r="Q1005" s="8" t="str">
        <f>IF(E1005="","",IFERROR(VLOOKUP(E1005,REGRAS_CST!$A$2:$D$200,4,FALSE),""))</f>
        <v/>
      </c>
      <c r="S1005" s="9">
        <f>IF($H1005="","",$H1005*(1-$U1005))</f>
        <v>8.9999999999999993E-3</v>
      </c>
      <c r="T1005" s="9">
        <f>IF($I1005="","",$I1005*(1-$U1005))</f>
        <v>1E-3</v>
      </c>
      <c r="U1005" s="16">
        <f>IFERROR(INDEX(BASE_CCLASSTRIB!$E:$E, MATCH(TEXT($D1005,"000000"), BASE_CCLASSTRIB!$A:$A, 0))/100, 0)</f>
        <v>0</v>
      </c>
      <c r="V1005" s="16">
        <f>IFERROR(INDEX(BASE_CCLASSTRIB!$F:$F, MATCH(TEXT($D1005,"000000"), BASE_CCLASSTRIB!$A:$A, 0))/100, 0)</f>
        <v>0</v>
      </c>
    </row>
    <row r="1006" spans="4:22" ht="32.25" customHeight="1">
      <c r="D1006" s="40"/>
      <c r="E1006" s="27" t="str">
        <f>IF(D1006="","",LEFT(D1006,3))</f>
        <v/>
      </c>
      <c r="F1006" s="28" t="str">
        <f>IF(E1006="","",IFERROR(VLOOKUP(E1006,REGRAS_CST!$A$2:$B$200,2,FALSE),""))</f>
        <v/>
      </c>
      <c r="H1006" s="29">
        <v>8.9999999999999993E-3</v>
      </c>
      <c r="I1006" s="29">
        <v>1E-3</v>
      </c>
      <c r="K1006" s="21" t="str">
        <f>IF(E1006="","",IFERROR(VLOOKUP(E1006,REGRAS_CST!$A$2:$C$200,3,FALSE),""))</f>
        <v/>
      </c>
      <c r="L1006" s="23" t="str">
        <f>IF($G1006="", "", $G1006*(1-$V1006))</f>
        <v/>
      </c>
      <c r="M1006" s="24" t="str">
        <f>IF(OR($L1006="",$S1006=""),"",$L1006*$S1006)</f>
        <v/>
      </c>
      <c r="N1006" s="24" t="str">
        <f>IF(OR($L1006="",$T1006=""),"",$L1006*$T1006)</f>
        <v/>
      </c>
      <c r="O1006" s="15" t="str">
        <f>IF(D1006="","",
IF(AND(K1006&lt;&gt;"SIM",V1006&gt;0),"ERRO: % BC &gt; 0, mas NÃO permitida ❌",
IF(AND(K1006="SIM",V1006=0),"ATENÇÃO: BC permitida, mas % = 0 🔎",
"Base de cálculo aplicada corretamente ✅")))</f>
        <v/>
      </c>
      <c r="P1006" s="31" t="str">
        <f>IF(D1006="","",
IF(AND(Q1006&lt;&gt;"SIM",U1006&gt;0),"ERRO: % alíquota &gt; 0, mas NÃO permitida ❌",
IF(AND(Q1006="SIM",U1006=0),"ATENÇÃO: alíquota permitida, mas % = 0 🔎",
"Alíquota aplicada corretamente ✅")))</f>
        <v/>
      </c>
      <c r="Q1006" s="8" t="str">
        <f>IF(E1006="","",IFERROR(VLOOKUP(E1006,REGRAS_CST!$A$2:$D$200,4,FALSE),""))</f>
        <v/>
      </c>
      <c r="S1006" s="9">
        <f>IF($H1006="","",$H1006*(1-$U1006))</f>
        <v>8.9999999999999993E-3</v>
      </c>
      <c r="T1006" s="9">
        <f>IF($I1006="","",$I1006*(1-$U1006))</f>
        <v>1E-3</v>
      </c>
      <c r="U1006" s="16">
        <f>IFERROR(INDEX(BASE_CCLASSTRIB!$E:$E, MATCH(TEXT($D1006,"000000"), BASE_CCLASSTRIB!$A:$A, 0))/100, 0)</f>
        <v>0</v>
      </c>
      <c r="V1006" s="16">
        <f>IFERROR(INDEX(BASE_CCLASSTRIB!$F:$F, MATCH(TEXT($D1006,"000000"), BASE_CCLASSTRIB!$A:$A, 0))/100, 0)</f>
        <v>0</v>
      </c>
    </row>
    <row r="1007" spans="4:22" ht="32.25" customHeight="1">
      <c r="D1007" s="40"/>
      <c r="E1007" s="27" t="str">
        <f>IF(D1007="","",LEFT(D1007,3))</f>
        <v/>
      </c>
      <c r="F1007" s="28" t="str">
        <f>IF(E1007="","",IFERROR(VLOOKUP(E1007,REGRAS_CST!$A$2:$B$200,2,FALSE),""))</f>
        <v/>
      </c>
      <c r="H1007" s="29">
        <v>8.9999999999999993E-3</v>
      </c>
      <c r="I1007" s="29">
        <v>1E-3</v>
      </c>
      <c r="K1007" s="21" t="str">
        <f>IF(E1007="","",IFERROR(VLOOKUP(E1007,REGRAS_CST!$A$2:$C$200,3,FALSE),""))</f>
        <v/>
      </c>
      <c r="L1007" s="23" t="str">
        <f>IF($G1007="", "", $G1007*(1-$V1007))</f>
        <v/>
      </c>
      <c r="M1007" s="24" t="str">
        <f>IF(OR($L1007="",$S1007=""),"",$L1007*$S1007)</f>
        <v/>
      </c>
      <c r="N1007" s="24" t="str">
        <f>IF(OR($L1007="",$T1007=""),"",$L1007*$T1007)</f>
        <v/>
      </c>
      <c r="O1007" s="15" t="str">
        <f>IF(D1007="","",
IF(AND(K1007&lt;&gt;"SIM",V1007&gt;0),"ERRO: % BC &gt; 0, mas NÃO permitida ❌",
IF(AND(K1007="SIM",V1007=0),"ATENÇÃO: BC permitida, mas % = 0 🔎",
"Base de cálculo aplicada corretamente ✅")))</f>
        <v/>
      </c>
      <c r="P1007" s="31" t="str">
        <f>IF(D1007="","",
IF(AND(Q1007&lt;&gt;"SIM",U1007&gt;0),"ERRO: % alíquota &gt; 0, mas NÃO permitida ❌",
IF(AND(Q1007="SIM",U1007=0),"ATENÇÃO: alíquota permitida, mas % = 0 🔎",
"Alíquota aplicada corretamente ✅")))</f>
        <v/>
      </c>
      <c r="Q1007" s="8" t="str">
        <f>IF(E1007="","",IFERROR(VLOOKUP(E1007,REGRAS_CST!$A$2:$D$200,4,FALSE),""))</f>
        <v/>
      </c>
      <c r="S1007" s="9">
        <f>IF($H1007="","",$H1007*(1-$U1007))</f>
        <v>8.9999999999999993E-3</v>
      </c>
      <c r="T1007" s="9">
        <f>IF($I1007="","",$I1007*(1-$U1007))</f>
        <v>1E-3</v>
      </c>
      <c r="U1007" s="16">
        <f>IFERROR(INDEX(BASE_CCLASSTRIB!$E:$E, MATCH(TEXT($D1007,"000000"), BASE_CCLASSTRIB!$A:$A, 0))/100, 0)</f>
        <v>0</v>
      </c>
      <c r="V1007" s="16">
        <f>IFERROR(INDEX(BASE_CCLASSTRIB!$F:$F, MATCH(TEXT($D1007,"000000"), BASE_CCLASSTRIB!$A:$A, 0))/100, 0)</f>
        <v>0</v>
      </c>
    </row>
    <row r="1008" spans="4:22" ht="32.25" customHeight="1">
      <c r="D1008" s="39"/>
      <c r="E1008" s="27" t="str">
        <f>IF(D1008="","",LEFT(D1008,3))</f>
        <v/>
      </c>
      <c r="F1008" s="28" t="str">
        <f>IF(E1008="","",IFERROR(VLOOKUP(E1008,REGRAS_CST!$A$2:$B$200,2,FALSE),""))</f>
        <v/>
      </c>
      <c r="H1008" s="29">
        <v>8.9999999999999993E-3</v>
      </c>
      <c r="I1008" s="29">
        <v>1E-3</v>
      </c>
      <c r="K1008" s="21" t="str">
        <f>IF(E1008="","",IFERROR(VLOOKUP(E1008,REGRAS_CST!$A$2:$C$200,3,FALSE),""))</f>
        <v/>
      </c>
      <c r="L1008" s="23" t="str">
        <f>IF($G1008="", "", $G1008*(1-$V1008))</f>
        <v/>
      </c>
      <c r="M1008" s="24" t="str">
        <f>IF(OR($L1008="",$S1008=""),"",$L1008*$S1008)</f>
        <v/>
      </c>
      <c r="N1008" s="24" t="str">
        <f>IF(OR($L1008="",$T1008=""),"",$L1008*$T1008)</f>
        <v/>
      </c>
      <c r="O1008" s="15" t="str">
        <f>IF(D1008="","",
IF(AND(K1008&lt;&gt;"SIM",V1008&gt;0),"ERRO: % BC &gt; 0, mas NÃO permitida ❌",
IF(AND(K1008="SIM",V1008=0),"ATENÇÃO: BC permitida, mas % = 0 🔎",
"Base de cálculo aplicada corretamente ✅")))</f>
        <v/>
      </c>
      <c r="P1008" s="31" t="str">
        <f>IF(D1008="","",
IF(AND(Q1008&lt;&gt;"SIM",U1008&gt;0),"ERRO: % alíquota &gt; 0, mas NÃO permitida ❌",
IF(AND(Q1008="SIM",U1008=0),"ATENÇÃO: alíquota permitida, mas % = 0 🔎",
"Alíquota aplicada corretamente ✅")))</f>
        <v/>
      </c>
      <c r="Q1008" s="8" t="str">
        <f>IF(E1008="","",IFERROR(VLOOKUP(E1008,REGRAS_CST!$A$2:$D$200,4,FALSE),""))</f>
        <v/>
      </c>
      <c r="S1008" s="9">
        <f>IF($H1008="","",$H1008*(1-$U1008))</f>
        <v>8.9999999999999993E-3</v>
      </c>
      <c r="T1008" s="9">
        <f>IF($I1008="","",$I1008*(1-$U1008))</f>
        <v>1E-3</v>
      </c>
      <c r="U1008" s="16">
        <f>IFERROR(INDEX(BASE_CCLASSTRIB!$E:$E, MATCH(TEXT($D1008,"000000"), BASE_CCLASSTRIB!$A:$A, 0))/100, 0)</f>
        <v>0</v>
      </c>
      <c r="V1008" s="16">
        <f>IFERROR(INDEX(BASE_CCLASSTRIB!$F:$F, MATCH(TEXT($D1008,"000000"), BASE_CCLASSTRIB!$A:$A, 0))/100, 0)</f>
        <v>0</v>
      </c>
    </row>
    <row r="1009" spans="4:22" ht="32.25" customHeight="1">
      <c r="D1009" s="39"/>
      <c r="E1009" s="27" t="str">
        <f>IF(D1009="","",LEFT(D1009,3))</f>
        <v/>
      </c>
      <c r="F1009" s="28" t="str">
        <f>IF(E1009="","",IFERROR(VLOOKUP(E1009,REGRAS_CST!$A$2:$B$200,2,FALSE),""))</f>
        <v/>
      </c>
      <c r="H1009" s="29">
        <v>8.9999999999999993E-3</v>
      </c>
      <c r="I1009" s="29">
        <v>1E-3</v>
      </c>
      <c r="K1009" s="21" t="str">
        <f>IF(E1009="","",IFERROR(VLOOKUP(E1009,REGRAS_CST!$A$2:$C$200,3,FALSE),""))</f>
        <v/>
      </c>
      <c r="L1009" s="23" t="str">
        <f>IF($G1009="", "", $G1009*(1-$V1009))</f>
        <v/>
      </c>
      <c r="M1009" s="24" t="str">
        <f>IF(OR($L1009="",$S1009=""),"",$L1009*$S1009)</f>
        <v/>
      </c>
      <c r="N1009" s="24" t="str">
        <f>IF(OR($L1009="",$T1009=""),"",$L1009*$T1009)</f>
        <v/>
      </c>
      <c r="O1009" s="15" t="str">
        <f>IF(D1009="","",
IF(AND(K1009&lt;&gt;"SIM",V1009&gt;0),"ERRO: % BC &gt; 0, mas NÃO permitida ❌",
IF(AND(K1009="SIM",V1009=0),"ATENÇÃO: BC permitida, mas % = 0 🔎",
"Base de cálculo aplicada corretamente ✅")))</f>
        <v/>
      </c>
      <c r="P1009" s="31" t="str">
        <f>IF(D1009="","",
IF(AND(Q1009&lt;&gt;"SIM",U1009&gt;0),"ERRO: % alíquota &gt; 0, mas NÃO permitida ❌",
IF(AND(Q1009="SIM",U1009=0),"ATENÇÃO: alíquota permitida, mas % = 0 🔎",
"Alíquota aplicada corretamente ✅")))</f>
        <v/>
      </c>
      <c r="Q1009" s="8" t="str">
        <f>IF(E1009="","",IFERROR(VLOOKUP(E1009,REGRAS_CST!$A$2:$D$200,4,FALSE),""))</f>
        <v/>
      </c>
      <c r="S1009" s="9">
        <f>IF($H1009="","",$H1009*(1-$U1009))</f>
        <v>8.9999999999999993E-3</v>
      </c>
      <c r="T1009" s="9">
        <f>IF($I1009="","",$I1009*(1-$U1009))</f>
        <v>1E-3</v>
      </c>
      <c r="U1009" s="16">
        <f>IFERROR(INDEX(BASE_CCLASSTRIB!$E:$E, MATCH(TEXT($D1009,"000000"), BASE_CCLASSTRIB!$A:$A, 0))/100, 0)</f>
        <v>0</v>
      </c>
      <c r="V1009" s="16">
        <f>IFERROR(INDEX(BASE_CCLASSTRIB!$F:$F, MATCH(TEXT($D1009,"000000"), BASE_CCLASSTRIB!$A:$A, 0))/100, 0)</f>
        <v>0</v>
      </c>
    </row>
    <row r="1010" spans="4:22" ht="32.25" customHeight="1">
      <c r="D1010" s="39"/>
      <c r="E1010" s="27" t="str">
        <f>IF(D1010="","",LEFT(D1010,3))</f>
        <v/>
      </c>
      <c r="F1010" s="28" t="str">
        <f>IF(E1010="","",IFERROR(VLOOKUP(E1010,REGRAS_CST!$A$2:$B$200,2,FALSE),""))</f>
        <v/>
      </c>
      <c r="H1010" s="29">
        <v>8.9999999999999993E-3</v>
      </c>
      <c r="I1010" s="29">
        <v>1E-3</v>
      </c>
      <c r="K1010" s="21" t="str">
        <f>IF(E1010="","",IFERROR(VLOOKUP(E1010,REGRAS_CST!$A$2:$C$200,3,FALSE),""))</f>
        <v/>
      </c>
      <c r="L1010" s="23" t="str">
        <f>IF($G1010="", "", $G1010*(1-$V1010))</f>
        <v/>
      </c>
      <c r="M1010" s="24" t="str">
        <f>IF(OR($L1010="",$S1010=""),"",$L1010*$S1010)</f>
        <v/>
      </c>
      <c r="N1010" s="24" t="str">
        <f>IF(OR($L1010="",$T1010=""),"",$L1010*$T1010)</f>
        <v/>
      </c>
      <c r="O1010" s="15" t="str">
        <f>IF(D1010="","",
IF(AND(K1010&lt;&gt;"SIM",V1010&gt;0),"ERRO: % BC &gt; 0, mas NÃO permitida ❌",
IF(AND(K1010="SIM",V1010=0),"ATENÇÃO: BC permitida, mas % = 0 🔎",
"Base de cálculo aplicada corretamente ✅")))</f>
        <v/>
      </c>
      <c r="P1010" s="31" t="str">
        <f>IF(D1010="","",
IF(AND(Q1010&lt;&gt;"SIM",U1010&gt;0),"ERRO: % alíquota &gt; 0, mas NÃO permitida ❌",
IF(AND(Q1010="SIM",U1010=0),"ATENÇÃO: alíquota permitida, mas % = 0 🔎",
"Alíquota aplicada corretamente ✅")))</f>
        <v/>
      </c>
      <c r="Q1010" s="8" t="str">
        <f>IF(E1010="","",IFERROR(VLOOKUP(E1010,REGRAS_CST!$A$2:$D$200,4,FALSE),""))</f>
        <v/>
      </c>
      <c r="S1010" s="9">
        <f>IF($H1010="","",$H1010*(1-$U1010))</f>
        <v>8.9999999999999993E-3</v>
      </c>
      <c r="T1010" s="9">
        <f>IF($I1010="","",$I1010*(1-$U1010))</f>
        <v>1E-3</v>
      </c>
      <c r="U1010" s="16">
        <f>IFERROR(INDEX(BASE_CCLASSTRIB!$E:$E, MATCH(TEXT($D1010,"000000"), BASE_CCLASSTRIB!$A:$A, 0))/100, 0)</f>
        <v>0</v>
      </c>
      <c r="V1010" s="16">
        <f>IFERROR(INDEX(BASE_CCLASSTRIB!$F:$F, MATCH(TEXT($D1010,"000000"), BASE_CCLASSTRIB!$A:$A, 0))/100, 0)</f>
        <v>0</v>
      </c>
    </row>
    <row r="1011" spans="4:22" ht="32.25" customHeight="1">
      <c r="D1011" s="39"/>
      <c r="E1011" s="27" t="str">
        <f>IF(D1011="","",LEFT(D1011,3))</f>
        <v/>
      </c>
      <c r="F1011" s="28" t="str">
        <f>IF(E1011="","",IFERROR(VLOOKUP(E1011,REGRAS_CST!$A$2:$B$200,2,FALSE),""))</f>
        <v/>
      </c>
      <c r="H1011" s="29">
        <v>8.9999999999999993E-3</v>
      </c>
      <c r="I1011" s="29">
        <v>1E-3</v>
      </c>
      <c r="K1011" s="21" t="str">
        <f>IF(E1011="","",IFERROR(VLOOKUP(E1011,REGRAS_CST!$A$2:$C$200,3,FALSE),""))</f>
        <v/>
      </c>
      <c r="L1011" s="23" t="str">
        <f>IF($G1011="", "", $G1011*(1-$V1011))</f>
        <v/>
      </c>
      <c r="M1011" s="24" t="str">
        <f>IF(OR($L1011="",$S1011=""),"",$L1011*$S1011)</f>
        <v/>
      </c>
      <c r="N1011" s="24" t="str">
        <f>IF(OR($L1011="",$T1011=""),"",$L1011*$T1011)</f>
        <v/>
      </c>
      <c r="O1011" s="15" t="str">
        <f>IF(D1011="","",
IF(AND(K1011&lt;&gt;"SIM",V1011&gt;0),"ERRO: % BC &gt; 0, mas NÃO permitida ❌",
IF(AND(K1011="SIM",V1011=0),"ATENÇÃO: BC permitida, mas % = 0 🔎",
"Base de cálculo aplicada corretamente ✅")))</f>
        <v/>
      </c>
      <c r="P1011" s="31" t="str">
        <f>IF(D1011="","",
IF(AND(Q1011&lt;&gt;"SIM",U1011&gt;0),"ERRO: % alíquota &gt; 0, mas NÃO permitida ❌",
IF(AND(Q1011="SIM",U1011=0),"ATENÇÃO: alíquota permitida, mas % = 0 🔎",
"Alíquota aplicada corretamente ✅")))</f>
        <v/>
      </c>
      <c r="Q1011" s="8" t="str">
        <f>IF(E1011="","",IFERROR(VLOOKUP(E1011,REGRAS_CST!$A$2:$D$200,4,FALSE),""))</f>
        <v/>
      </c>
      <c r="S1011" s="9">
        <f>IF($H1011="","",$H1011*(1-$U1011))</f>
        <v>8.9999999999999993E-3</v>
      </c>
      <c r="T1011" s="9">
        <f>IF($I1011="","",$I1011*(1-$U1011))</f>
        <v>1E-3</v>
      </c>
      <c r="U1011" s="16">
        <f>IFERROR(INDEX(BASE_CCLASSTRIB!$E:$E, MATCH(TEXT($D1011,"000000"), BASE_CCLASSTRIB!$A:$A, 0))/100, 0)</f>
        <v>0</v>
      </c>
      <c r="V1011" s="16">
        <f>IFERROR(INDEX(BASE_CCLASSTRIB!$F:$F, MATCH(TEXT($D1011,"000000"), BASE_CCLASSTRIB!$A:$A, 0))/100, 0)</f>
        <v>0</v>
      </c>
    </row>
    <row r="1012" spans="4:22" ht="32.25" customHeight="1">
      <c r="D1012" s="39"/>
      <c r="E1012" s="27" t="str">
        <f>IF(D1012="","",LEFT(D1012,3))</f>
        <v/>
      </c>
      <c r="F1012" s="28" t="str">
        <f>IF(E1012="","",IFERROR(VLOOKUP(E1012,REGRAS_CST!$A$2:$B$200,2,FALSE),""))</f>
        <v/>
      </c>
      <c r="H1012" s="29">
        <v>8.9999999999999993E-3</v>
      </c>
      <c r="I1012" s="29">
        <v>1E-3</v>
      </c>
      <c r="K1012" s="21" t="str">
        <f>IF(E1012="","",IFERROR(VLOOKUP(E1012,REGRAS_CST!$A$2:$C$200,3,FALSE),""))</f>
        <v/>
      </c>
      <c r="L1012" s="23" t="str">
        <f>IF($G1012="", "", $G1012*(1-$V1012))</f>
        <v/>
      </c>
      <c r="M1012" s="24" t="str">
        <f>IF(OR($L1012="",$S1012=""),"",$L1012*$S1012)</f>
        <v/>
      </c>
      <c r="N1012" s="24" t="str">
        <f>IF(OR($L1012="",$T1012=""),"",$L1012*$T1012)</f>
        <v/>
      </c>
      <c r="O1012" s="15" t="str">
        <f>IF(D1012="","",
IF(AND(K1012&lt;&gt;"SIM",V1012&gt;0),"ERRO: % BC &gt; 0, mas NÃO permitida ❌",
IF(AND(K1012="SIM",V1012=0),"ATENÇÃO: BC permitida, mas % = 0 🔎",
"Base de cálculo aplicada corretamente ✅")))</f>
        <v/>
      </c>
      <c r="P1012" s="31" t="str">
        <f>IF(D1012="","",
IF(AND(Q1012&lt;&gt;"SIM",U1012&gt;0),"ERRO: % alíquota &gt; 0, mas NÃO permitida ❌",
IF(AND(Q1012="SIM",U1012=0),"ATENÇÃO: alíquota permitida, mas % = 0 🔎",
"Alíquota aplicada corretamente ✅")))</f>
        <v/>
      </c>
      <c r="Q1012" s="8" t="str">
        <f>IF(E1012="","",IFERROR(VLOOKUP(E1012,REGRAS_CST!$A$2:$D$200,4,FALSE),""))</f>
        <v/>
      </c>
      <c r="S1012" s="9">
        <f>IF($H1012="","",$H1012*(1-$U1012))</f>
        <v>8.9999999999999993E-3</v>
      </c>
      <c r="T1012" s="9">
        <f>IF($I1012="","",$I1012*(1-$U1012))</f>
        <v>1E-3</v>
      </c>
      <c r="U1012" s="16">
        <f>IFERROR(INDEX(BASE_CCLASSTRIB!$E:$E, MATCH(TEXT($D1012,"000000"), BASE_CCLASSTRIB!$A:$A, 0))/100, 0)</f>
        <v>0</v>
      </c>
      <c r="V1012" s="16">
        <f>IFERROR(INDEX(BASE_CCLASSTRIB!$F:$F, MATCH(TEXT($D1012,"000000"), BASE_CCLASSTRIB!$A:$A, 0))/100, 0)</f>
        <v>0</v>
      </c>
    </row>
    <row r="1013" spans="4:22" ht="32.25" customHeight="1">
      <c r="D1013" s="39"/>
      <c r="E1013" s="27" t="str">
        <f>IF(D1013="","",LEFT(D1013,3))</f>
        <v/>
      </c>
      <c r="F1013" s="28" t="str">
        <f>IF(E1013="","",IFERROR(VLOOKUP(E1013,REGRAS_CST!$A$2:$B$200,2,FALSE),""))</f>
        <v/>
      </c>
      <c r="H1013" s="29">
        <v>8.9999999999999993E-3</v>
      </c>
      <c r="I1013" s="29">
        <v>1E-3</v>
      </c>
      <c r="K1013" s="21" t="str">
        <f>IF(E1013="","",IFERROR(VLOOKUP(E1013,REGRAS_CST!$A$2:$C$200,3,FALSE),""))</f>
        <v/>
      </c>
      <c r="L1013" s="23" t="str">
        <f>IF($G1013="", "", $G1013*(1-$V1013))</f>
        <v/>
      </c>
      <c r="M1013" s="24" t="str">
        <f>IF(OR($L1013="",$S1013=""),"",$L1013*$S1013)</f>
        <v/>
      </c>
      <c r="N1013" s="24" t="str">
        <f>IF(OR($L1013="",$T1013=""),"",$L1013*$T1013)</f>
        <v/>
      </c>
      <c r="O1013" s="15" t="str">
        <f>IF(D1013="","",
IF(AND(K1013&lt;&gt;"SIM",V1013&gt;0),"ERRO: % BC &gt; 0, mas NÃO permitida ❌",
IF(AND(K1013="SIM",V1013=0),"ATENÇÃO: BC permitida, mas % = 0 🔎",
"Base de cálculo aplicada corretamente ✅")))</f>
        <v/>
      </c>
      <c r="P1013" s="31" t="str">
        <f>IF(D1013="","",
IF(AND(Q1013&lt;&gt;"SIM",U1013&gt;0),"ERRO: % alíquota &gt; 0, mas NÃO permitida ❌",
IF(AND(Q1013="SIM",U1013=0),"ATENÇÃO: alíquota permitida, mas % = 0 🔎",
"Alíquota aplicada corretamente ✅")))</f>
        <v/>
      </c>
      <c r="Q1013" s="8" t="str">
        <f>IF(E1013="","",IFERROR(VLOOKUP(E1013,REGRAS_CST!$A$2:$D$200,4,FALSE),""))</f>
        <v/>
      </c>
      <c r="S1013" s="9">
        <f>IF($H1013="","",$H1013*(1-$U1013))</f>
        <v>8.9999999999999993E-3</v>
      </c>
      <c r="T1013" s="9">
        <f>IF($I1013="","",$I1013*(1-$U1013))</f>
        <v>1E-3</v>
      </c>
      <c r="U1013" s="16">
        <f>IFERROR(INDEX(BASE_CCLASSTRIB!$E:$E, MATCH(TEXT($D1013,"000000"), BASE_CCLASSTRIB!$A:$A, 0))/100, 0)</f>
        <v>0</v>
      </c>
      <c r="V1013" s="16">
        <f>IFERROR(INDEX(BASE_CCLASSTRIB!$F:$F, MATCH(TEXT($D1013,"000000"), BASE_CCLASSTRIB!$A:$A, 0))/100, 0)</f>
        <v>0</v>
      </c>
    </row>
    <row r="1014" spans="4:22" ht="32.25" customHeight="1">
      <c r="D1014" s="40"/>
      <c r="E1014" s="27" t="str">
        <f>IF(D1014="","",LEFT(D1014,3))</f>
        <v/>
      </c>
      <c r="F1014" s="28" t="str">
        <f>IF(E1014="","",IFERROR(VLOOKUP(E1014,REGRAS_CST!$A$2:$B$200,2,FALSE),""))</f>
        <v/>
      </c>
      <c r="H1014" s="29">
        <v>8.9999999999999993E-3</v>
      </c>
      <c r="I1014" s="29">
        <v>1E-3</v>
      </c>
      <c r="K1014" s="21" t="str">
        <f>IF(E1014="","",IFERROR(VLOOKUP(E1014,REGRAS_CST!$A$2:$C$200,3,FALSE),""))</f>
        <v/>
      </c>
      <c r="L1014" s="23" t="str">
        <f>IF($G1014="", "", $G1014*(1-$V1014))</f>
        <v/>
      </c>
      <c r="M1014" s="24" t="str">
        <f>IF(OR($L1014="",$S1014=""),"",$L1014*$S1014)</f>
        <v/>
      </c>
      <c r="N1014" s="24" t="str">
        <f>IF(OR($L1014="",$T1014=""),"",$L1014*$T1014)</f>
        <v/>
      </c>
      <c r="O1014" s="15" t="str">
        <f>IF(D1014="","",
IF(AND(K1014&lt;&gt;"SIM",V1014&gt;0),"ERRO: % BC &gt; 0, mas NÃO permitida ❌",
IF(AND(K1014="SIM",V1014=0),"ATENÇÃO: BC permitida, mas % = 0 🔎",
"Base de cálculo aplicada corretamente ✅")))</f>
        <v/>
      </c>
      <c r="P1014" s="31" t="str">
        <f>IF(D1014="","",
IF(AND(Q1014&lt;&gt;"SIM",U1014&gt;0),"ERRO: % alíquota &gt; 0, mas NÃO permitida ❌",
IF(AND(Q1014="SIM",U1014=0),"ATENÇÃO: alíquota permitida, mas % = 0 🔎",
"Alíquota aplicada corretamente ✅")))</f>
        <v/>
      </c>
      <c r="Q1014" s="8" t="str">
        <f>IF(E1014="","",IFERROR(VLOOKUP(E1014,REGRAS_CST!$A$2:$D$200,4,FALSE),""))</f>
        <v/>
      </c>
      <c r="S1014" s="9">
        <f>IF($H1014="","",$H1014*(1-$U1014))</f>
        <v>8.9999999999999993E-3</v>
      </c>
      <c r="T1014" s="9">
        <f>IF($I1014="","",$I1014*(1-$U1014))</f>
        <v>1E-3</v>
      </c>
      <c r="U1014" s="16">
        <f>IFERROR(INDEX(BASE_CCLASSTRIB!$E:$E, MATCH(TEXT($D1014,"000000"), BASE_CCLASSTRIB!$A:$A, 0))/100, 0)</f>
        <v>0</v>
      </c>
      <c r="V1014" s="16">
        <f>IFERROR(INDEX(BASE_CCLASSTRIB!$F:$F, MATCH(TEXT($D1014,"000000"), BASE_CCLASSTRIB!$A:$A, 0))/100, 0)</f>
        <v>0</v>
      </c>
    </row>
    <row r="1015" spans="4:22" ht="32.25" customHeight="1">
      <c r="D1015" s="39"/>
      <c r="E1015" s="27" t="str">
        <f>IF(D1015="","",LEFT(D1015,3))</f>
        <v/>
      </c>
      <c r="F1015" s="28" t="str">
        <f>IF(E1015="","",IFERROR(VLOOKUP(E1015,REGRAS_CST!$A$2:$B$200,2,FALSE),""))</f>
        <v/>
      </c>
      <c r="H1015" s="29">
        <v>8.9999999999999993E-3</v>
      </c>
      <c r="I1015" s="29">
        <v>1E-3</v>
      </c>
      <c r="K1015" s="21" t="str">
        <f>IF(E1015="","",IFERROR(VLOOKUP(E1015,REGRAS_CST!$A$2:$C$200,3,FALSE),""))</f>
        <v/>
      </c>
      <c r="L1015" s="23" t="str">
        <f>IF($G1015="", "", $G1015*(1-$V1015))</f>
        <v/>
      </c>
      <c r="M1015" s="24" t="str">
        <f>IF(OR($L1015="",$S1015=""),"",$L1015*$S1015)</f>
        <v/>
      </c>
      <c r="N1015" s="24" t="str">
        <f>IF(OR($L1015="",$T1015=""),"",$L1015*$T1015)</f>
        <v/>
      </c>
      <c r="O1015" s="15" t="str">
        <f>IF(D1015="","",
IF(AND(K1015&lt;&gt;"SIM",V1015&gt;0),"ERRO: % BC &gt; 0, mas NÃO permitida ❌",
IF(AND(K1015="SIM",V1015=0),"ATENÇÃO: BC permitida, mas % = 0 🔎",
"Base de cálculo aplicada corretamente ✅")))</f>
        <v/>
      </c>
      <c r="P1015" s="31" t="str">
        <f>IF(D1015="","",
IF(AND(Q1015&lt;&gt;"SIM",U1015&gt;0),"ERRO: % alíquota &gt; 0, mas NÃO permitida ❌",
IF(AND(Q1015="SIM",U1015=0),"ATENÇÃO: alíquota permitida, mas % = 0 🔎",
"Alíquota aplicada corretamente ✅")))</f>
        <v/>
      </c>
      <c r="Q1015" s="8" t="str">
        <f>IF(E1015="","",IFERROR(VLOOKUP(E1015,REGRAS_CST!$A$2:$D$200,4,FALSE),""))</f>
        <v/>
      </c>
      <c r="S1015" s="9">
        <f>IF($H1015="","",$H1015*(1-$U1015))</f>
        <v>8.9999999999999993E-3</v>
      </c>
      <c r="T1015" s="9">
        <f>IF($I1015="","",$I1015*(1-$U1015))</f>
        <v>1E-3</v>
      </c>
      <c r="U1015" s="16">
        <f>IFERROR(INDEX(BASE_CCLASSTRIB!$E:$E, MATCH(TEXT($D1015,"000000"), BASE_CCLASSTRIB!$A:$A, 0))/100, 0)</f>
        <v>0</v>
      </c>
      <c r="V1015" s="16">
        <f>IFERROR(INDEX(BASE_CCLASSTRIB!$F:$F, MATCH(TEXT($D1015,"000000"), BASE_CCLASSTRIB!$A:$A, 0))/100, 0)</f>
        <v>0</v>
      </c>
    </row>
    <row r="1016" spans="4:22" ht="32.25" customHeight="1">
      <c r="D1016" s="39"/>
      <c r="E1016" s="27" t="str">
        <f>IF(D1016="","",LEFT(D1016,3))</f>
        <v/>
      </c>
      <c r="F1016" s="28" t="str">
        <f>IF(E1016="","",IFERROR(VLOOKUP(E1016,REGRAS_CST!$A$2:$B$200,2,FALSE),""))</f>
        <v/>
      </c>
      <c r="H1016" s="29">
        <v>8.9999999999999993E-3</v>
      </c>
      <c r="I1016" s="29">
        <v>1E-3</v>
      </c>
      <c r="K1016" s="21" t="str">
        <f>IF(E1016="","",IFERROR(VLOOKUP(E1016,REGRAS_CST!$A$2:$C$200,3,FALSE),""))</f>
        <v/>
      </c>
      <c r="L1016" s="23" t="str">
        <f>IF($G1016="", "", $G1016*(1-$V1016))</f>
        <v/>
      </c>
      <c r="M1016" s="24" t="str">
        <f>IF(OR($L1016="",$S1016=""),"",$L1016*$S1016)</f>
        <v/>
      </c>
      <c r="N1016" s="24" t="str">
        <f>IF(OR($L1016="",$T1016=""),"",$L1016*$T1016)</f>
        <v/>
      </c>
      <c r="O1016" s="15" t="str">
        <f>IF(D1016="","",
IF(AND(K1016&lt;&gt;"SIM",V1016&gt;0),"ERRO: % BC &gt; 0, mas NÃO permitida ❌",
IF(AND(K1016="SIM",V1016=0),"ATENÇÃO: BC permitida, mas % = 0 🔎",
"Base de cálculo aplicada corretamente ✅")))</f>
        <v/>
      </c>
      <c r="P1016" s="31" t="str">
        <f>IF(D1016="","",
IF(AND(Q1016&lt;&gt;"SIM",U1016&gt;0),"ERRO: % alíquota &gt; 0, mas NÃO permitida ❌",
IF(AND(Q1016="SIM",U1016=0),"ATENÇÃO: alíquota permitida, mas % = 0 🔎",
"Alíquota aplicada corretamente ✅")))</f>
        <v/>
      </c>
      <c r="Q1016" s="8" t="str">
        <f>IF(E1016="","",IFERROR(VLOOKUP(E1016,REGRAS_CST!$A$2:$D$200,4,FALSE),""))</f>
        <v/>
      </c>
      <c r="S1016" s="9">
        <f>IF($H1016="","",$H1016*(1-$U1016))</f>
        <v>8.9999999999999993E-3</v>
      </c>
      <c r="T1016" s="9">
        <f>IF($I1016="","",$I1016*(1-$U1016))</f>
        <v>1E-3</v>
      </c>
      <c r="U1016" s="16">
        <f>IFERROR(INDEX(BASE_CCLASSTRIB!$E:$E, MATCH(TEXT($D1016,"000000"), BASE_CCLASSTRIB!$A:$A, 0))/100, 0)</f>
        <v>0</v>
      </c>
      <c r="V1016" s="16">
        <f>IFERROR(INDEX(BASE_CCLASSTRIB!$F:$F, MATCH(TEXT($D1016,"000000"), BASE_CCLASSTRIB!$A:$A, 0))/100, 0)</f>
        <v>0</v>
      </c>
    </row>
    <row r="1017" spans="4:22" ht="32.25" customHeight="1">
      <c r="D1017" s="39"/>
      <c r="E1017" s="27" t="str">
        <f>IF(D1017="","",LEFT(D1017,3))</f>
        <v/>
      </c>
      <c r="F1017" s="28" t="str">
        <f>IF(E1017="","",IFERROR(VLOOKUP(E1017,REGRAS_CST!$A$2:$B$200,2,FALSE),""))</f>
        <v/>
      </c>
      <c r="H1017" s="29">
        <v>8.9999999999999993E-3</v>
      </c>
      <c r="I1017" s="29">
        <v>1E-3</v>
      </c>
      <c r="K1017" s="21" t="str">
        <f>IF(E1017="","",IFERROR(VLOOKUP(E1017,REGRAS_CST!$A$2:$C$200,3,FALSE),""))</f>
        <v/>
      </c>
      <c r="L1017" s="23" t="str">
        <f>IF($G1017="", "", $G1017*(1-$V1017))</f>
        <v/>
      </c>
      <c r="M1017" s="24" t="str">
        <f>IF(OR($L1017="",$S1017=""),"",$L1017*$S1017)</f>
        <v/>
      </c>
      <c r="N1017" s="24" t="str">
        <f>IF(OR($L1017="",$T1017=""),"",$L1017*$T1017)</f>
        <v/>
      </c>
      <c r="O1017" s="15" t="str">
        <f>IF(D1017="","",
IF(AND(K1017&lt;&gt;"SIM",V1017&gt;0),"ERRO: % BC &gt; 0, mas NÃO permitida ❌",
IF(AND(K1017="SIM",V1017=0),"ATENÇÃO: BC permitida, mas % = 0 🔎",
"Base de cálculo aplicada corretamente ✅")))</f>
        <v/>
      </c>
      <c r="P1017" s="31" t="str">
        <f>IF(D1017="","",
IF(AND(Q1017&lt;&gt;"SIM",U1017&gt;0),"ERRO: % alíquota &gt; 0, mas NÃO permitida ❌",
IF(AND(Q1017="SIM",U1017=0),"ATENÇÃO: alíquota permitida, mas % = 0 🔎",
"Alíquota aplicada corretamente ✅")))</f>
        <v/>
      </c>
      <c r="Q1017" s="8" t="str">
        <f>IF(E1017="","",IFERROR(VLOOKUP(E1017,REGRAS_CST!$A$2:$D$200,4,FALSE),""))</f>
        <v/>
      </c>
      <c r="S1017" s="9">
        <f>IF($H1017="","",$H1017*(1-$U1017))</f>
        <v>8.9999999999999993E-3</v>
      </c>
      <c r="T1017" s="9">
        <f>IF($I1017="","",$I1017*(1-$U1017))</f>
        <v>1E-3</v>
      </c>
      <c r="U1017" s="16">
        <f>IFERROR(INDEX(BASE_CCLASSTRIB!$E:$E, MATCH(TEXT($D1017,"000000"), BASE_CCLASSTRIB!$A:$A, 0))/100, 0)</f>
        <v>0</v>
      </c>
      <c r="V1017" s="16">
        <f>IFERROR(INDEX(BASE_CCLASSTRIB!$F:$F, MATCH(TEXT($D1017,"000000"), BASE_CCLASSTRIB!$A:$A, 0))/100, 0)</f>
        <v>0</v>
      </c>
    </row>
    <row r="1018" spans="4:22" ht="32.25" customHeight="1">
      <c r="D1018" s="40"/>
      <c r="E1018" s="27" t="str">
        <f>IF(D1018="","",LEFT(D1018,3))</f>
        <v/>
      </c>
      <c r="F1018" s="28" t="str">
        <f>IF(E1018="","",IFERROR(VLOOKUP(E1018,REGRAS_CST!$A$2:$B$200,2,FALSE),""))</f>
        <v/>
      </c>
      <c r="H1018" s="29">
        <v>8.9999999999999993E-3</v>
      </c>
      <c r="I1018" s="29">
        <v>1E-3</v>
      </c>
      <c r="K1018" s="21" t="str">
        <f>IF(E1018="","",IFERROR(VLOOKUP(E1018,REGRAS_CST!$A$2:$C$200,3,FALSE),""))</f>
        <v/>
      </c>
      <c r="L1018" s="23" t="str">
        <f>IF($G1018="", "", $G1018*(1-$V1018))</f>
        <v/>
      </c>
      <c r="M1018" s="24" t="str">
        <f>IF(OR($L1018="",$S1018=""),"",$L1018*$S1018)</f>
        <v/>
      </c>
      <c r="N1018" s="24" t="str">
        <f>IF(OR($L1018="",$T1018=""),"",$L1018*$T1018)</f>
        <v/>
      </c>
      <c r="O1018" s="15" t="str">
        <f>IF(D1018="","",
IF(AND(K1018&lt;&gt;"SIM",V1018&gt;0),"ERRO: % BC &gt; 0, mas NÃO permitida ❌",
IF(AND(K1018="SIM",V1018=0),"ATENÇÃO: BC permitida, mas % = 0 🔎",
"Base de cálculo aplicada corretamente ✅")))</f>
        <v/>
      </c>
      <c r="P1018" s="31" t="str">
        <f>IF(D1018="","",
IF(AND(Q1018&lt;&gt;"SIM",U1018&gt;0),"ERRO: % alíquota &gt; 0, mas NÃO permitida ❌",
IF(AND(Q1018="SIM",U1018=0),"ATENÇÃO: alíquota permitida, mas % = 0 🔎",
"Alíquota aplicada corretamente ✅")))</f>
        <v/>
      </c>
      <c r="Q1018" s="8" t="str">
        <f>IF(E1018="","",IFERROR(VLOOKUP(E1018,REGRAS_CST!$A$2:$D$200,4,FALSE),""))</f>
        <v/>
      </c>
      <c r="S1018" s="9">
        <f>IF($H1018="","",$H1018*(1-$U1018))</f>
        <v>8.9999999999999993E-3</v>
      </c>
      <c r="T1018" s="9">
        <f>IF($I1018="","",$I1018*(1-$U1018))</f>
        <v>1E-3</v>
      </c>
      <c r="U1018" s="16">
        <f>IFERROR(INDEX(BASE_CCLASSTRIB!$E:$E, MATCH(TEXT($D1018,"000000"), BASE_CCLASSTRIB!$A:$A, 0))/100, 0)</f>
        <v>0</v>
      </c>
      <c r="V1018" s="16">
        <f>IFERROR(INDEX(BASE_CCLASSTRIB!$F:$F, MATCH(TEXT($D1018,"000000"), BASE_CCLASSTRIB!$A:$A, 0))/100, 0)</f>
        <v>0</v>
      </c>
    </row>
    <row r="1019" spans="4:22" ht="32.25" customHeight="1">
      <c r="D1019" s="40"/>
      <c r="E1019" s="27" t="str">
        <f>IF(D1019="","",LEFT(D1019,3))</f>
        <v/>
      </c>
      <c r="F1019" s="28" t="str">
        <f>IF(E1019="","",IFERROR(VLOOKUP(E1019,REGRAS_CST!$A$2:$B$200,2,FALSE),""))</f>
        <v/>
      </c>
      <c r="H1019" s="29">
        <v>8.9999999999999993E-3</v>
      </c>
      <c r="I1019" s="29">
        <v>1E-3</v>
      </c>
      <c r="K1019" s="21" t="str">
        <f>IF(E1019="","",IFERROR(VLOOKUP(E1019,REGRAS_CST!$A$2:$C$200,3,FALSE),""))</f>
        <v/>
      </c>
      <c r="L1019" s="23" t="str">
        <f>IF($G1019="", "", $G1019*(1-$V1019))</f>
        <v/>
      </c>
      <c r="M1019" s="24" t="str">
        <f>IF(OR($L1019="",$S1019=""),"",$L1019*$S1019)</f>
        <v/>
      </c>
      <c r="N1019" s="24" t="str">
        <f>IF(OR($L1019="",$T1019=""),"",$L1019*$T1019)</f>
        <v/>
      </c>
      <c r="O1019" s="15" t="str">
        <f>IF(D1019="","",
IF(AND(K1019&lt;&gt;"SIM",V1019&gt;0),"ERRO: % BC &gt; 0, mas NÃO permitida ❌",
IF(AND(K1019="SIM",V1019=0),"ATENÇÃO: BC permitida, mas % = 0 🔎",
"Base de cálculo aplicada corretamente ✅")))</f>
        <v/>
      </c>
      <c r="P1019" s="31" t="str">
        <f>IF(D1019="","",
IF(AND(Q1019&lt;&gt;"SIM",U1019&gt;0),"ERRO: % alíquota &gt; 0, mas NÃO permitida ❌",
IF(AND(Q1019="SIM",U1019=0),"ATENÇÃO: alíquota permitida, mas % = 0 🔎",
"Alíquota aplicada corretamente ✅")))</f>
        <v/>
      </c>
      <c r="Q1019" s="8" t="str">
        <f>IF(E1019="","",IFERROR(VLOOKUP(E1019,REGRAS_CST!$A$2:$D$200,4,FALSE),""))</f>
        <v/>
      </c>
      <c r="S1019" s="9">
        <f>IF($H1019="","",$H1019*(1-$U1019))</f>
        <v>8.9999999999999993E-3</v>
      </c>
      <c r="T1019" s="9">
        <f>IF($I1019="","",$I1019*(1-$U1019))</f>
        <v>1E-3</v>
      </c>
      <c r="U1019" s="16">
        <f>IFERROR(INDEX(BASE_CCLASSTRIB!$E:$E, MATCH(TEXT($D1019,"000000"), BASE_CCLASSTRIB!$A:$A, 0))/100, 0)</f>
        <v>0</v>
      </c>
      <c r="V1019" s="16">
        <f>IFERROR(INDEX(BASE_CCLASSTRIB!$F:$F, MATCH(TEXT($D1019,"000000"), BASE_CCLASSTRIB!$A:$A, 0))/100, 0)</f>
        <v>0</v>
      </c>
    </row>
    <row r="1020" spans="4:22" ht="32.25" customHeight="1">
      <c r="D1020" s="39"/>
      <c r="E1020" s="27" t="str">
        <f>IF(D1020="","",LEFT(D1020,3))</f>
        <v/>
      </c>
      <c r="F1020" s="28" t="str">
        <f>IF(E1020="","",IFERROR(VLOOKUP(E1020,REGRAS_CST!$A$2:$B$200,2,FALSE),""))</f>
        <v/>
      </c>
      <c r="H1020" s="29">
        <v>8.9999999999999993E-3</v>
      </c>
      <c r="I1020" s="29">
        <v>1E-3</v>
      </c>
      <c r="K1020" s="21" t="str">
        <f>IF(E1020="","",IFERROR(VLOOKUP(E1020,REGRAS_CST!$A$2:$C$200,3,FALSE),""))</f>
        <v/>
      </c>
      <c r="L1020" s="23" t="str">
        <f>IF($G1020="", "", $G1020*(1-$V1020))</f>
        <v/>
      </c>
      <c r="M1020" s="24" t="str">
        <f>IF(OR($L1020="",$S1020=""),"",$L1020*$S1020)</f>
        <v/>
      </c>
      <c r="N1020" s="24" t="str">
        <f>IF(OR($L1020="",$T1020=""),"",$L1020*$T1020)</f>
        <v/>
      </c>
      <c r="O1020" s="15" t="str">
        <f>IF(D1020="","",
IF(AND(K1020&lt;&gt;"SIM",V1020&gt;0),"ERRO: % BC &gt; 0, mas NÃO permitida ❌",
IF(AND(K1020="SIM",V1020=0),"ATENÇÃO: BC permitida, mas % = 0 🔎",
"Base de cálculo aplicada corretamente ✅")))</f>
        <v/>
      </c>
      <c r="P1020" s="31" t="str">
        <f>IF(D1020="","",
IF(AND(Q1020&lt;&gt;"SIM",U1020&gt;0),"ERRO: % alíquota &gt; 0, mas NÃO permitida ❌",
IF(AND(Q1020="SIM",U1020=0),"ATENÇÃO: alíquota permitida, mas % = 0 🔎",
"Alíquota aplicada corretamente ✅")))</f>
        <v/>
      </c>
      <c r="Q1020" s="8" t="str">
        <f>IF(E1020="","",IFERROR(VLOOKUP(E1020,REGRAS_CST!$A$2:$D$200,4,FALSE),""))</f>
        <v/>
      </c>
      <c r="S1020" s="9">
        <f>IF($H1020="","",$H1020*(1-$U1020))</f>
        <v>8.9999999999999993E-3</v>
      </c>
      <c r="T1020" s="9">
        <f>IF($I1020="","",$I1020*(1-$U1020))</f>
        <v>1E-3</v>
      </c>
      <c r="U1020" s="16">
        <f>IFERROR(INDEX(BASE_CCLASSTRIB!$E:$E, MATCH(TEXT($D1020,"000000"), BASE_CCLASSTRIB!$A:$A, 0))/100, 0)</f>
        <v>0</v>
      </c>
      <c r="V1020" s="16">
        <f>IFERROR(INDEX(BASE_CCLASSTRIB!$F:$F, MATCH(TEXT($D1020,"000000"), BASE_CCLASSTRIB!$A:$A, 0))/100, 0)</f>
        <v>0</v>
      </c>
    </row>
    <row r="1021" spans="4:22" ht="32.25" customHeight="1">
      <c r="D1021" s="39"/>
      <c r="E1021" s="27" t="str">
        <f>IF(D1021="","",LEFT(D1021,3))</f>
        <v/>
      </c>
      <c r="F1021" s="28" t="str">
        <f>IF(E1021="","",IFERROR(VLOOKUP(E1021,REGRAS_CST!$A$2:$B$200,2,FALSE),""))</f>
        <v/>
      </c>
      <c r="H1021" s="29">
        <v>8.9999999999999993E-3</v>
      </c>
      <c r="I1021" s="29">
        <v>1E-3</v>
      </c>
      <c r="K1021" s="21" t="str">
        <f>IF(E1021="","",IFERROR(VLOOKUP(E1021,REGRAS_CST!$A$2:$C$200,3,FALSE),""))</f>
        <v/>
      </c>
      <c r="L1021" s="23" t="str">
        <f>IF($G1021="", "", $G1021*(1-$V1021))</f>
        <v/>
      </c>
      <c r="M1021" s="24" t="str">
        <f>IF(OR($L1021="",$S1021=""),"",$L1021*$S1021)</f>
        <v/>
      </c>
      <c r="N1021" s="24" t="str">
        <f>IF(OR($L1021="",$T1021=""),"",$L1021*$T1021)</f>
        <v/>
      </c>
      <c r="O1021" s="15" t="str">
        <f>IF(D1021="","",
IF(AND(K1021&lt;&gt;"SIM",V1021&gt;0),"ERRO: % BC &gt; 0, mas NÃO permitida ❌",
IF(AND(K1021="SIM",V1021=0),"ATENÇÃO: BC permitida, mas % = 0 🔎",
"Base de cálculo aplicada corretamente ✅")))</f>
        <v/>
      </c>
      <c r="P1021" s="31" t="str">
        <f>IF(D1021="","",
IF(AND(Q1021&lt;&gt;"SIM",U1021&gt;0),"ERRO: % alíquota &gt; 0, mas NÃO permitida ❌",
IF(AND(Q1021="SIM",U1021=0),"ATENÇÃO: alíquota permitida, mas % = 0 🔎",
"Alíquota aplicada corretamente ✅")))</f>
        <v/>
      </c>
      <c r="Q1021" s="8" t="str">
        <f>IF(E1021="","",IFERROR(VLOOKUP(E1021,REGRAS_CST!$A$2:$D$200,4,FALSE),""))</f>
        <v/>
      </c>
      <c r="S1021" s="9">
        <f>IF($H1021="","",$H1021*(1-$U1021))</f>
        <v>8.9999999999999993E-3</v>
      </c>
      <c r="T1021" s="9">
        <f>IF($I1021="","",$I1021*(1-$U1021))</f>
        <v>1E-3</v>
      </c>
      <c r="U1021" s="16">
        <f>IFERROR(INDEX(BASE_CCLASSTRIB!$E:$E, MATCH(TEXT($D1021,"000000"), BASE_CCLASSTRIB!$A:$A, 0))/100, 0)</f>
        <v>0</v>
      </c>
      <c r="V1021" s="16">
        <f>IFERROR(INDEX(BASE_CCLASSTRIB!$F:$F, MATCH(TEXT($D1021,"000000"), BASE_CCLASSTRIB!$A:$A, 0))/100, 0)</f>
        <v>0</v>
      </c>
    </row>
    <row r="1022" spans="4:22" ht="32.25" customHeight="1">
      <c r="D1022" s="39"/>
      <c r="E1022" s="27" t="str">
        <f>IF(D1022="","",LEFT(D1022,3))</f>
        <v/>
      </c>
      <c r="F1022" s="28" t="str">
        <f>IF(E1022="","",IFERROR(VLOOKUP(E1022,REGRAS_CST!$A$2:$B$200,2,FALSE),""))</f>
        <v/>
      </c>
      <c r="H1022" s="29">
        <v>8.9999999999999993E-3</v>
      </c>
      <c r="I1022" s="29">
        <v>1E-3</v>
      </c>
      <c r="K1022" s="21" t="str">
        <f>IF(E1022="","",IFERROR(VLOOKUP(E1022,REGRAS_CST!$A$2:$C$200,3,FALSE),""))</f>
        <v/>
      </c>
      <c r="L1022" s="23" t="str">
        <f>IF($G1022="", "", $G1022*(1-$V1022))</f>
        <v/>
      </c>
      <c r="M1022" s="24" t="str">
        <f>IF(OR($L1022="",$S1022=""),"",$L1022*$S1022)</f>
        <v/>
      </c>
      <c r="N1022" s="24" t="str">
        <f>IF(OR($L1022="",$T1022=""),"",$L1022*$T1022)</f>
        <v/>
      </c>
      <c r="O1022" s="15" t="str">
        <f>IF(D1022="","",
IF(AND(K1022&lt;&gt;"SIM",V1022&gt;0),"ERRO: % BC &gt; 0, mas NÃO permitida ❌",
IF(AND(K1022="SIM",V1022=0),"ATENÇÃO: BC permitida, mas % = 0 🔎",
"Base de cálculo aplicada corretamente ✅")))</f>
        <v/>
      </c>
      <c r="P1022" s="31" t="str">
        <f>IF(D1022="","",
IF(AND(Q1022&lt;&gt;"SIM",U1022&gt;0),"ERRO: % alíquota &gt; 0, mas NÃO permitida ❌",
IF(AND(Q1022="SIM",U1022=0),"ATENÇÃO: alíquota permitida, mas % = 0 🔎",
"Alíquota aplicada corretamente ✅")))</f>
        <v/>
      </c>
      <c r="Q1022" s="8" t="str">
        <f>IF(E1022="","",IFERROR(VLOOKUP(E1022,REGRAS_CST!$A$2:$D$200,4,FALSE),""))</f>
        <v/>
      </c>
      <c r="S1022" s="9">
        <f>IF($H1022="","",$H1022*(1-$U1022))</f>
        <v>8.9999999999999993E-3</v>
      </c>
      <c r="T1022" s="9">
        <f>IF($I1022="","",$I1022*(1-$U1022))</f>
        <v>1E-3</v>
      </c>
      <c r="U1022" s="16">
        <f>IFERROR(INDEX(BASE_CCLASSTRIB!$E:$E, MATCH(TEXT($D1022,"000000"), BASE_CCLASSTRIB!$A:$A, 0))/100, 0)</f>
        <v>0</v>
      </c>
      <c r="V1022" s="16">
        <f>IFERROR(INDEX(BASE_CCLASSTRIB!$F:$F, MATCH(TEXT($D1022,"000000"), BASE_CCLASSTRIB!$A:$A, 0))/100, 0)</f>
        <v>0</v>
      </c>
    </row>
    <row r="1023" spans="4:22" ht="32.25" customHeight="1">
      <c r="D1023" s="39"/>
      <c r="E1023" s="27" t="str">
        <f>IF(D1023="","",LEFT(D1023,3))</f>
        <v/>
      </c>
      <c r="F1023" s="28" t="str">
        <f>IF(E1023="","",IFERROR(VLOOKUP(E1023,REGRAS_CST!$A$2:$B$200,2,FALSE),""))</f>
        <v/>
      </c>
      <c r="H1023" s="29">
        <v>8.9999999999999993E-3</v>
      </c>
      <c r="I1023" s="29">
        <v>1E-3</v>
      </c>
      <c r="K1023" s="21" t="str">
        <f>IF(E1023="","",IFERROR(VLOOKUP(E1023,REGRAS_CST!$A$2:$C$200,3,FALSE),""))</f>
        <v/>
      </c>
      <c r="L1023" s="23" t="str">
        <f>IF($G1023="", "", $G1023*(1-$V1023))</f>
        <v/>
      </c>
      <c r="M1023" s="24" t="str">
        <f>IF(OR($L1023="",$S1023=""),"",$L1023*$S1023)</f>
        <v/>
      </c>
      <c r="N1023" s="24" t="str">
        <f>IF(OR($L1023="",$T1023=""),"",$L1023*$T1023)</f>
        <v/>
      </c>
      <c r="O1023" s="15" t="str">
        <f>IF(D1023="","",
IF(AND(K1023&lt;&gt;"SIM",V1023&gt;0),"ERRO: % BC &gt; 0, mas NÃO permitida ❌",
IF(AND(K1023="SIM",V1023=0),"ATENÇÃO: BC permitida, mas % = 0 🔎",
"Base de cálculo aplicada corretamente ✅")))</f>
        <v/>
      </c>
      <c r="P1023" s="31" t="str">
        <f>IF(D1023="","",
IF(AND(Q1023&lt;&gt;"SIM",U1023&gt;0),"ERRO: % alíquota &gt; 0, mas NÃO permitida ❌",
IF(AND(Q1023="SIM",U1023=0),"ATENÇÃO: alíquota permitida, mas % = 0 🔎",
"Alíquota aplicada corretamente ✅")))</f>
        <v/>
      </c>
      <c r="Q1023" s="8" t="str">
        <f>IF(E1023="","",IFERROR(VLOOKUP(E1023,REGRAS_CST!$A$2:$D$200,4,FALSE),""))</f>
        <v/>
      </c>
      <c r="S1023" s="9">
        <f>IF($H1023="","",$H1023*(1-$U1023))</f>
        <v>8.9999999999999993E-3</v>
      </c>
      <c r="T1023" s="9">
        <f>IF($I1023="","",$I1023*(1-$U1023))</f>
        <v>1E-3</v>
      </c>
      <c r="U1023" s="16">
        <f>IFERROR(INDEX(BASE_CCLASSTRIB!$E:$E, MATCH(TEXT($D1023,"000000"), BASE_CCLASSTRIB!$A:$A, 0))/100, 0)</f>
        <v>0</v>
      </c>
      <c r="V1023" s="16">
        <f>IFERROR(INDEX(BASE_CCLASSTRIB!$F:$F, MATCH(TEXT($D1023,"000000"), BASE_CCLASSTRIB!$A:$A, 0))/100, 0)</f>
        <v>0</v>
      </c>
    </row>
    <row r="1024" spans="4:22" ht="32.25" customHeight="1">
      <c r="D1024" s="39"/>
      <c r="E1024" s="27" t="str">
        <f>IF(D1024="","",LEFT(D1024,3))</f>
        <v/>
      </c>
      <c r="F1024" s="28" t="str">
        <f>IF(E1024="","",IFERROR(VLOOKUP(E1024,REGRAS_CST!$A$2:$B$200,2,FALSE),""))</f>
        <v/>
      </c>
      <c r="H1024" s="29">
        <v>8.9999999999999993E-3</v>
      </c>
      <c r="I1024" s="29">
        <v>1E-3</v>
      </c>
      <c r="K1024" s="21" t="str">
        <f>IF(E1024="","",IFERROR(VLOOKUP(E1024,REGRAS_CST!$A$2:$C$200,3,FALSE),""))</f>
        <v/>
      </c>
      <c r="L1024" s="23" t="str">
        <f>IF($G1024="", "", $G1024*(1-$V1024))</f>
        <v/>
      </c>
      <c r="M1024" s="24" t="str">
        <f>IF(OR($L1024="",$S1024=""),"",$L1024*$S1024)</f>
        <v/>
      </c>
      <c r="N1024" s="24" t="str">
        <f>IF(OR($L1024="",$T1024=""),"",$L1024*$T1024)</f>
        <v/>
      </c>
      <c r="O1024" s="15" t="str">
        <f>IF(D1024="","",
IF(AND(K1024&lt;&gt;"SIM",V1024&gt;0),"ERRO: % BC &gt; 0, mas NÃO permitida ❌",
IF(AND(K1024="SIM",V1024=0),"ATENÇÃO: BC permitida, mas % = 0 🔎",
"Base de cálculo aplicada corretamente ✅")))</f>
        <v/>
      </c>
      <c r="P1024" s="31" t="str">
        <f>IF(D1024="","",
IF(AND(Q1024&lt;&gt;"SIM",U1024&gt;0),"ERRO: % alíquota &gt; 0, mas NÃO permitida ❌",
IF(AND(Q1024="SIM",U1024=0),"ATENÇÃO: alíquota permitida, mas % = 0 🔎",
"Alíquota aplicada corretamente ✅")))</f>
        <v/>
      </c>
      <c r="Q1024" s="8" t="str">
        <f>IF(E1024="","",IFERROR(VLOOKUP(E1024,REGRAS_CST!$A$2:$D$200,4,FALSE),""))</f>
        <v/>
      </c>
      <c r="S1024" s="9">
        <f>IF($H1024="","",$H1024*(1-$U1024))</f>
        <v>8.9999999999999993E-3</v>
      </c>
      <c r="T1024" s="9">
        <f>IF($I1024="","",$I1024*(1-$U1024))</f>
        <v>1E-3</v>
      </c>
      <c r="U1024" s="16">
        <f>IFERROR(INDEX(BASE_CCLASSTRIB!$E:$E, MATCH(TEXT($D1024,"000000"), BASE_CCLASSTRIB!$A:$A, 0))/100, 0)</f>
        <v>0</v>
      </c>
      <c r="V1024" s="16">
        <f>IFERROR(INDEX(BASE_CCLASSTRIB!$F:$F, MATCH(TEXT($D1024,"000000"), BASE_CCLASSTRIB!$A:$A, 0))/100, 0)</f>
        <v>0</v>
      </c>
    </row>
    <row r="1025" spans="4:22" ht="32.25" customHeight="1">
      <c r="D1025" s="39"/>
      <c r="E1025" s="27" t="str">
        <f>IF(D1025="","",LEFT(D1025,3))</f>
        <v/>
      </c>
      <c r="F1025" s="28" t="str">
        <f>IF(E1025="","",IFERROR(VLOOKUP(E1025,REGRAS_CST!$A$2:$B$200,2,FALSE),""))</f>
        <v/>
      </c>
      <c r="H1025" s="29">
        <v>8.9999999999999993E-3</v>
      </c>
      <c r="I1025" s="29">
        <v>1E-3</v>
      </c>
      <c r="K1025" s="21" t="str">
        <f>IF(E1025="","",IFERROR(VLOOKUP(E1025,REGRAS_CST!$A$2:$C$200,3,FALSE),""))</f>
        <v/>
      </c>
      <c r="L1025" s="23" t="str">
        <f>IF($G1025="", "", $G1025*(1-$V1025))</f>
        <v/>
      </c>
      <c r="M1025" s="24" t="str">
        <f>IF(OR($L1025="",$S1025=""),"",$L1025*$S1025)</f>
        <v/>
      </c>
      <c r="N1025" s="24" t="str">
        <f>IF(OR($L1025="",$T1025=""),"",$L1025*$T1025)</f>
        <v/>
      </c>
      <c r="O1025" s="15" t="str">
        <f>IF(D1025="","",
IF(AND(K1025&lt;&gt;"SIM",V1025&gt;0),"ERRO: % BC &gt; 0, mas NÃO permitida ❌",
IF(AND(K1025="SIM",V1025=0),"ATENÇÃO: BC permitida, mas % = 0 🔎",
"Base de cálculo aplicada corretamente ✅")))</f>
        <v/>
      </c>
      <c r="P1025" s="31" t="str">
        <f>IF(D1025="","",
IF(AND(Q1025&lt;&gt;"SIM",U1025&gt;0),"ERRO: % alíquota &gt; 0, mas NÃO permitida ❌",
IF(AND(Q1025="SIM",U1025=0),"ATENÇÃO: alíquota permitida, mas % = 0 🔎",
"Alíquota aplicada corretamente ✅")))</f>
        <v/>
      </c>
      <c r="Q1025" s="8" t="str">
        <f>IF(E1025="","",IFERROR(VLOOKUP(E1025,REGRAS_CST!$A$2:$D$200,4,FALSE),""))</f>
        <v/>
      </c>
      <c r="S1025" s="9">
        <f>IF($H1025="","",$H1025*(1-$U1025))</f>
        <v>8.9999999999999993E-3</v>
      </c>
      <c r="T1025" s="9">
        <f>IF($I1025="","",$I1025*(1-$U1025))</f>
        <v>1E-3</v>
      </c>
      <c r="U1025" s="16">
        <f>IFERROR(INDEX(BASE_CCLASSTRIB!$E:$E, MATCH(TEXT($D1025,"000000"), BASE_CCLASSTRIB!$A:$A, 0))/100, 0)</f>
        <v>0</v>
      </c>
      <c r="V1025" s="16">
        <f>IFERROR(INDEX(BASE_CCLASSTRIB!$F:$F, MATCH(TEXT($D1025,"000000"), BASE_CCLASSTRIB!$A:$A, 0))/100, 0)</f>
        <v>0</v>
      </c>
    </row>
    <row r="1026" spans="4:22" ht="32.25" customHeight="1">
      <c r="D1026" s="40"/>
      <c r="E1026" s="27" t="str">
        <f>IF(D1026="","",LEFT(D1026,3))</f>
        <v/>
      </c>
      <c r="F1026" s="28" t="str">
        <f>IF(E1026="","",IFERROR(VLOOKUP(E1026,REGRAS_CST!$A$2:$B$200,2,FALSE),""))</f>
        <v/>
      </c>
      <c r="H1026" s="29">
        <v>8.9999999999999993E-3</v>
      </c>
      <c r="I1026" s="29">
        <v>1E-3</v>
      </c>
      <c r="K1026" s="21" t="str">
        <f>IF(E1026="","",IFERROR(VLOOKUP(E1026,REGRAS_CST!$A$2:$C$200,3,FALSE),""))</f>
        <v/>
      </c>
      <c r="L1026" s="23" t="str">
        <f>IF($G1026="", "", $G1026*(1-$V1026))</f>
        <v/>
      </c>
      <c r="M1026" s="24" t="str">
        <f>IF(OR($L1026="",$S1026=""),"",$L1026*$S1026)</f>
        <v/>
      </c>
      <c r="N1026" s="24" t="str">
        <f>IF(OR($L1026="",$T1026=""),"",$L1026*$T1026)</f>
        <v/>
      </c>
      <c r="O1026" s="15" t="str">
        <f>IF(D1026="","",
IF(AND(K1026&lt;&gt;"SIM",V1026&gt;0),"ERRO: % BC &gt; 0, mas NÃO permitida ❌",
IF(AND(K1026="SIM",V1026=0),"ATENÇÃO: BC permitida, mas % = 0 🔎",
"Base de cálculo aplicada corretamente ✅")))</f>
        <v/>
      </c>
      <c r="P1026" s="31" t="str">
        <f>IF(D1026="","",
IF(AND(Q1026&lt;&gt;"SIM",U1026&gt;0),"ERRO: % alíquota &gt; 0, mas NÃO permitida ❌",
IF(AND(Q1026="SIM",U1026=0),"ATENÇÃO: alíquota permitida, mas % = 0 🔎",
"Alíquota aplicada corretamente ✅")))</f>
        <v/>
      </c>
      <c r="Q1026" s="8" t="str">
        <f>IF(E1026="","",IFERROR(VLOOKUP(E1026,REGRAS_CST!$A$2:$D$200,4,FALSE),""))</f>
        <v/>
      </c>
      <c r="S1026" s="9">
        <f>IF($H1026="","",$H1026*(1-$U1026))</f>
        <v>8.9999999999999993E-3</v>
      </c>
      <c r="T1026" s="9">
        <f>IF($I1026="","",$I1026*(1-$U1026))</f>
        <v>1E-3</v>
      </c>
      <c r="U1026" s="16">
        <f>IFERROR(INDEX(BASE_CCLASSTRIB!$E:$E, MATCH(TEXT($D1026,"000000"), BASE_CCLASSTRIB!$A:$A, 0))/100, 0)</f>
        <v>0</v>
      </c>
      <c r="V1026" s="16">
        <f>IFERROR(INDEX(BASE_CCLASSTRIB!$F:$F, MATCH(TEXT($D1026,"000000"), BASE_CCLASSTRIB!$A:$A, 0))/100, 0)</f>
        <v>0</v>
      </c>
    </row>
    <row r="1027" spans="4:22" ht="32.25" customHeight="1">
      <c r="D1027" s="40"/>
      <c r="E1027" s="27" t="str">
        <f>IF(D1027="","",LEFT(D1027,3))</f>
        <v/>
      </c>
      <c r="F1027" s="28" t="str">
        <f>IF(E1027="","",IFERROR(VLOOKUP(E1027,REGRAS_CST!$A$2:$B$200,2,FALSE),""))</f>
        <v/>
      </c>
      <c r="H1027" s="29">
        <v>8.9999999999999993E-3</v>
      </c>
      <c r="I1027" s="29">
        <v>1E-3</v>
      </c>
      <c r="K1027" s="21" t="str">
        <f>IF(E1027="","",IFERROR(VLOOKUP(E1027,REGRAS_CST!$A$2:$C$200,3,FALSE),""))</f>
        <v/>
      </c>
      <c r="L1027" s="23" t="str">
        <f>IF($G1027="", "", $G1027*(1-$V1027))</f>
        <v/>
      </c>
      <c r="M1027" s="24" t="str">
        <f>IF(OR($L1027="",$S1027=""),"",$L1027*$S1027)</f>
        <v/>
      </c>
      <c r="N1027" s="24" t="str">
        <f>IF(OR($L1027="",$T1027=""),"",$L1027*$T1027)</f>
        <v/>
      </c>
      <c r="O1027" s="15" t="str">
        <f>IF(D1027="","",
IF(AND(K1027&lt;&gt;"SIM",V1027&gt;0),"ERRO: % BC &gt; 0, mas NÃO permitida ❌",
IF(AND(K1027="SIM",V1027=0),"ATENÇÃO: BC permitida, mas % = 0 🔎",
"Base de cálculo aplicada corretamente ✅")))</f>
        <v/>
      </c>
      <c r="P1027" s="31" t="str">
        <f>IF(D1027="","",
IF(AND(Q1027&lt;&gt;"SIM",U1027&gt;0),"ERRO: % alíquota &gt; 0, mas NÃO permitida ❌",
IF(AND(Q1027="SIM",U1027=0),"ATENÇÃO: alíquota permitida, mas % = 0 🔎",
"Alíquota aplicada corretamente ✅")))</f>
        <v/>
      </c>
      <c r="Q1027" s="8" t="str">
        <f>IF(E1027="","",IFERROR(VLOOKUP(E1027,REGRAS_CST!$A$2:$D$200,4,FALSE),""))</f>
        <v/>
      </c>
      <c r="S1027" s="9">
        <f>IF($H1027="","",$H1027*(1-$U1027))</f>
        <v>8.9999999999999993E-3</v>
      </c>
      <c r="T1027" s="9">
        <f>IF($I1027="","",$I1027*(1-$U1027))</f>
        <v>1E-3</v>
      </c>
      <c r="U1027" s="16">
        <f>IFERROR(INDEX(BASE_CCLASSTRIB!$E:$E, MATCH(TEXT($D1027,"000000"), BASE_CCLASSTRIB!$A:$A, 0))/100, 0)</f>
        <v>0</v>
      </c>
      <c r="V1027" s="16">
        <f>IFERROR(INDEX(BASE_CCLASSTRIB!$F:$F, MATCH(TEXT($D1027,"000000"), BASE_CCLASSTRIB!$A:$A, 0))/100, 0)</f>
        <v>0</v>
      </c>
    </row>
    <row r="1028" spans="4:22" ht="32.25" customHeight="1">
      <c r="D1028" s="39"/>
      <c r="E1028" s="27" t="str">
        <f>IF(D1028="","",LEFT(D1028,3))</f>
        <v/>
      </c>
      <c r="F1028" s="28" t="str">
        <f>IF(E1028="","",IFERROR(VLOOKUP(E1028,REGRAS_CST!$A$2:$B$200,2,FALSE),""))</f>
        <v/>
      </c>
      <c r="H1028" s="29">
        <v>8.9999999999999993E-3</v>
      </c>
      <c r="I1028" s="29">
        <v>1E-3</v>
      </c>
      <c r="K1028" s="21" t="str">
        <f>IF(E1028="","",IFERROR(VLOOKUP(E1028,REGRAS_CST!$A$2:$C$200,3,FALSE),""))</f>
        <v/>
      </c>
      <c r="L1028" s="23" t="str">
        <f>IF($G1028="", "", $G1028*(1-$V1028))</f>
        <v/>
      </c>
      <c r="M1028" s="24" t="str">
        <f>IF(OR($L1028="",$S1028=""),"",$L1028*$S1028)</f>
        <v/>
      </c>
      <c r="N1028" s="24" t="str">
        <f>IF(OR($L1028="",$T1028=""),"",$L1028*$T1028)</f>
        <v/>
      </c>
      <c r="O1028" s="15" t="str">
        <f>IF(D1028="","",
IF(AND(K1028&lt;&gt;"SIM",V1028&gt;0),"ERRO: % BC &gt; 0, mas NÃO permitida ❌",
IF(AND(K1028="SIM",V1028=0),"ATENÇÃO: BC permitida, mas % = 0 🔎",
"Base de cálculo aplicada corretamente ✅")))</f>
        <v/>
      </c>
      <c r="P1028" s="31" t="str">
        <f>IF(D1028="","",
IF(AND(Q1028&lt;&gt;"SIM",U1028&gt;0),"ERRO: % alíquota &gt; 0, mas NÃO permitida ❌",
IF(AND(Q1028="SIM",U1028=0),"ATENÇÃO: alíquota permitida, mas % = 0 🔎",
"Alíquota aplicada corretamente ✅")))</f>
        <v/>
      </c>
      <c r="Q1028" s="8" t="str">
        <f>IF(E1028="","",IFERROR(VLOOKUP(E1028,REGRAS_CST!$A$2:$D$200,4,FALSE),""))</f>
        <v/>
      </c>
      <c r="S1028" s="9">
        <f>IF($H1028="","",$H1028*(1-$U1028))</f>
        <v>8.9999999999999993E-3</v>
      </c>
      <c r="T1028" s="9">
        <f>IF($I1028="","",$I1028*(1-$U1028))</f>
        <v>1E-3</v>
      </c>
      <c r="U1028" s="16">
        <f>IFERROR(INDEX(BASE_CCLASSTRIB!$E:$E, MATCH(TEXT($D1028,"000000"), BASE_CCLASSTRIB!$A:$A, 0))/100, 0)</f>
        <v>0</v>
      </c>
      <c r="V1028" s="16">
        <f>IFERROR(INDEX(BASE_CCLASSTRIB!$F:$F, MATCH(TEXT($D1028,"000000"), BASE_CCLASSTRIB!$A:$A, 0))/100, 0)</f>
        <v>0</v>
      </c>
    </row>
    <row r="1029" spans="4:22" ht="32.25" customHeight="1">
      <c r="D1029" s="40"/>
      <c r="E1029" s="27" t="str">
        <f>IF(D1029="","",LEFT(D1029,3))</f>
        <v/>
      </c>
      <c r="F1029" s="28" t="str">
        <f>IF(E1029="","",IFERROR(VLOOKUP(E1029,REGRAS_CST!$A$2:$B$200,2,FALSE),""))</f>
        <v/>
      </c>
      <c r="H1029" s="29">
        <v>8.9999999999999993E-3</v>
      </c>
      <c r="I1029" s="29">
        <v>1E-3</v>
      </c>
      <c r="K1029" s="21" t="str">
        <f>IF(E1029="","",IFERROR(VLOOKUP(E1029,REGRAS_CST!$A$2:$C$200,3,FALSE),""))</f>
        <v/>
      </c>
      <c r="L1029" s="23" t="str">
        <f>IF($G1029="", "", $G1029*(1-$V1029))</f>
        <v/>
      </c>
      <c r="M1029" s="24" t="str">
        <f>IF(OR($L1029="",$S1029=""),"",$L1029*$S1029)</f>
        <v/>
      </c>
      <c r="N1029" s="24" t="str">
        <f>IF(OR($L1029="",$T1029=""),"",$L1029*$T1029)</f>
        <v/>
      </c>
      <c r="O1029" s="15" t="str">
        <f>IF(D1029="","",
IF(AND(K1029&lt;&gt;"SIM",V1029&gt;0),"ERRO: % BC &gt; 0, mas NÃO permitida ❌",
IF(AND(K1029="SIM",V1029=0),"ATENÇÃO: BC permitida, mas % = 0 🔎",
"Base de cálculo aplicada corretamente ✅")))</f>
        <v/>
      </c>
      <c r="P1029" s="31" t="str">
        <f>IF(D1029="","",
IF(AND(Q1029&lt;&gt;"SIM",U1029&gt;0),"ERRO: % alíquota &gt; 0, mas NÃO permitida ❌",
IF(AND(Q1029="SIM",U1029=0),"ATENÇÃO: alíquota permitida, mas % = 0 🔎",
"Alíquota aplicada corretamente ✅")))</f>
        <v/>
      </c>
      <c r="Q1029" s="8" t="str">
        <f>IF(E1029="","",IFERROR(VLOOKUP(E1029,REGRAS_CST!$A$2:$D$200,4,FALSE),""))</f>
        <v/>
      </c>
      <c r="S1029" s="9">
        <f>IF($H1029="","",$H1029*(1-$U1029))</f>
        <v>8.9999999999999993E-3</v>
      </c>
      <c r="T1029" s="9">
        <f>IF($I1029="","",$I1029*(1-$U1029))</f>
        <v>1E-3</v>
      </c>
      <c r="U1029" s="16">
        <f>IFERROR(INDEX(BASE_CCLASSTRIB!$E:$E, MATCH(TEXT($D1029,"000000"), BASE_CCLASSTRIB!$A:$A, 0))/100, 0)</f>
        <v>0</v>
      </c>
      <c r="V1029" s="16">
        <f>IFERROR(INDEX(BASE_CCLASSTRIB!$F:$F, MATCH(TEXT($D1029,"000000"), BASE_CCLASSTRIB!$A:$A, 0))/100, 0)</f>
        <v>0</v>
      </c>
    </row>
    <row r="1030" spans="4:22" ht="32.25" customHeight="1">
      <c r="D1030" s="40"/>
      <c r="E1030" s="27" t="str">
        <f>IF(D1030="","",LEFT(D1030,3))</f>
        <v/>
      </c>
      <c r="F1030" s="28" t="str">
        <f>IF(E1030="","",IFERROR(VLOOKUP(E1030,REGRAS_CST!$A$2:$B$200,2,FALSE),""))</f>
        <v/>
      </c>
      <c r="H1030" s="29">
        <v>8.9999999999999993E-3</v>
      </c>
      <c r="I1030" s="29">
        <v>1E-3</v>
      </c>
      <c r="K1030" s="21" t="str">
        <f>IF(E1030="","",IFERROR(VLOOKUP(E1030,REGRAS_CST!$A$2:$C$200,3,FALSE),""))</f>
        <v/>
      </c>
      <c r="L1030" s="23" t="str">
        <f>IF($G1030="", "", $G1030*(1-$V1030))</f>
        <v/>
      </c>
      <c r="M1030" s="24" t="str">
        <f>IF(OR($L1030="",$S1030=""),"",$L1030*$S1030)</f>
        <v/>
      </c>
      <c r="N1030" s="24" t="str">
        <f>IF(OR($L1030="",$T1030=""),"",$L1030*$T1030)</f>
        <v/>
      </c>
      <c r="O1030" s="15" t="str">
        <f>IF(D1030="","",
IF(AND(K1030&lt;&gt;"SIM",V1030&gt;0),"ERRO: % BC &gt; 0, mas NÃO permitida ❌",
IF(AND(K1030="SIM",V1030=0),"ATENÇÃO: BC permitida, mas % = 0 🔎",
"Base de cálculo aplicada corretamente ✅")))</f>
        <v/>
      </c>
      <c r="P1030" s="31" t="str">
        <f>IF(D1030="","",
IF(AND(Q1030&lt;&gt;"SIM",U1030&gt;0),"ERRO: % alíquota &gt; 0, mas NÃO permitida ❌",
IF(AND(Q1030="SIM",U1030=0),"ATENÇÃO: alíquota permitida, mas % = 0 🔎",
"Alíquota aplicada corretamente ✅")))</f>
        <v/>
      </c>
      <c r="Q1030" s="8" t="str">
        <f>IF(E1030="","",IFERROR(VLOOKUP(E1030,REGRAS_CST!$A$2:$D$200,4,FALSE),""))</f>
        <v/>
      </c>
      <c r="S1030" s="9">
        <f>IF($H1030="","",$H1030*(1-$U1030))</f>
        <v>8.9999999999999993E-3</v>
      </c>
      <c r="T1030" s="9">
        <f>IF($I1030="","",$I1030*(1-$U1030))</f>
        <v>1E-3</v>
      </c>
      <c r="U1030" s="16">
        <f>IFERROR(INDEX(BASE_CCLASSTRIB!$E:$E, MATCH(TEXT($D1030,"000000"), BASE_CCLASSTRIB!$A:$A, 0))/100, 0)</f>
        <v>0</v>
      </c>
      <c r="V1030" s="16">
        <f>IFERROR(INDEX(BASE_CCLASSTRIB!$F:$F, MATCH(TEXT($D1030,"000000"), BASE_CCLASSTRIB!$A:$A, 0))/100, 0)</f>
        <v>0</v>
      </c>
    </row>
    <row r="1031" spans="4:22" ht="32.25" customHeight="1">
      <c r="D1031" s="39"/>
      <c r="E1031" s="27" t="str">
        <f>IF(D1031="","",LEFT(D1031,3))</f>
        <v/>
      </c>
      <c r="F1031" s="28" t="str">
        <f>IF(E1031="","",IFERROR(VLOOKUP(E1031,REGRAS_CST!$A$2:$B$200,2,FALSE),""))</f>
        <v/>
      </c>
      <c r="H1031" s="29">
        <v>8.9999999999999993E-3</v>
      </c>
      <c r="I1031" s="29">
        <v>1E-3</v>
      </c>
      <c r="K1031" s="21" t="str">
        <f>IF(E1031="","",IFERROR(VLOOKUP(E1031,REGRAS_CST!$A$2:$C$200,3,FALSE),""))</f>
        <v/>
      </c>
      <c r="L1031" s="23" t="str">
        <f>IF($G1031="", "", $G1031*(1-$V1031))</f>
        <v/>
      </c>
      <c r="M1031" s="24" t="str">
        <f>IF(OR($L1031="",$S1031=""),"",$L1031*$S1031)</f>
        <v/>
      </c>
      <c r="N1031" s="24" t="str">
        <f>IF(OR($L1031="",$T1031=""),"",$L1031*$T1031)</f>
        <v/>
      </c>
      <c r="O1031" s="15" t="str">
        <f>IF(D1031="","",
IF(AND(K1031&lt;&gt;"SIM",V1031&gt;0),"ERRO: % BC &gt; 0, mas NÃO permitida ❌",
IF(AND(K1031="SIM",V1031=0),"ATENÇÃO: BC permitida, mas % = 0 🔎",
"Base de cálculo aplicada corretamente ✅")))</f>
        <v/>
      </c>
      <c r="P1031" s="31" t="str">
        <f>IF(D1031="","",
IF(AND(Q1031&lt;&gt;"SIM",U1031&gt;0),"ERRO: % alíquota &gt; 0, mas NÃO permitida ❌",
IF(AND(Q1031="SIM",U1031=0),"ATENÇÃO: alíquota permitida, mas % = 0 🔎",
"Alíquota aplicada corretamente ✅")))</f>
        <v/>
      </c>
      <c r="Q1031" s="8" t="str">
        <f>IF(E1031="","",IFERROR(VLOOKUP(E1031,REGRAS_CST!$A$2:$D$200,4,FALSE),""))</f>
        <v/>
      </c>
      <c r="S1031" s="9">
        <f>IF($H1031="","",$H1031*(1-$U1031))</f>
        <v>8.9999999999999993E-3</v>
      </c>
      <c r="T1031" s="9">
        <f>IF($I1031="","",$I1031*(1-$U1031))</f>
        <v>1E-3</v>
      </c>
      <c r="U1031" s="16">
        <f>IFERROR(INDEX(BASE_CCLASSTRIB!$E:$E, MATCH(TEXT($D1031,"000000"), BASE_CCLASSTRIB!$A:$A, 0))/100, 0)</f>
        <v>0</v>
      </c>
      <c r="V1031" s="16">
        <f>IFERROR(INDEX(BASE_CCLASSTRIB!$F:$F, MATCH(TEXT($D1031,"000000"), BASE_CCLASSTRIB!$A:$A, 0))/100, 0)</f>
        <v>0</v>
      </c>
    </row>
    <row r="1032" spans="4:22" ht="32.25" customHeight="1">
      <c r="D1032" s="39"/>
      <c r="E1032" s="27" t="str">
        <f>IF(D1032="","",LEFT(D1032,3))</f>
        <v/>
      </c>
      <c r="F1032" s="28" t="str">
        <f>IF(E1032="","",IFERROR(VLOOKUP(E1032,REGRAS_CST!$A$2:$B$200,2,FALSE),""))</f>
        <v/>
      </c>
      <c r="H1032" s="29">
        <v>8.9999999999999993E-3</v>
      </c>
      <c r="I1032" s="29">
        <v>1E-3</v>
      </c>
      <c r="K1032" s="21" t="str">
        <f>IF(E1032="","",IFERROR(VLOOKUP(E1032,REGRAS_CST!$A$2:$C$200,3,FALSE),""))</f>
        <v/>
      </c>
      <c r="L1032" s="23" t="str">
        <f>IF($G1032="", "", $G1032*(1-$V1032))</f>
        <v/>
      </c>
      <c r="M1032" s="24" t="str">
        <f>IF(OR($L1032="",$S1032=""),"",$L1032*$S1032)</f>
        <v/>
      </c>
      <c r="N1032" s="24" t="str">
        <f>IF(OR($L1032="",$T1032=""),"",$L1032*$T1032)</f>
        <v/>
      </c>
      <c r="O1032" s="15" t="str">
        <f>IF(D1032="","",
IF(AND(K1032&lt;&gt;"SIM",V1032&gt;0),"ERRO: % BC &gt; 0, mas NÃO permitida ❌",
IF(AND(K1032="SIM",V1032=0),"ATENÇÃO: BC permitida, mas % = 0 🔎",
"Base de cálculo aplicada corretamente ✅")))</f>
        <v/>
      </c>
      <c r="P1032" s="31" t="str">
        <f>IF(D1032="","",
IF(AND(Q1032&lt;&gt;"SIM",U1032&gt;0),"ERRO: % alíquota &gt; 0, mas NÃO permitida ❌",
IF(AND(Q1032="SIM",U1032=0),"ATENÇÃO: alíquota permitida, mas % = 0 🔎",
"Alíquota aplicada corretamente ✅")))</f>
        <v/>
      </c>
      <c r="Q1032" s="8" t="str">
        <f>IF(E1032="","",IFERROR(VLOOKUP(E1032,REGRAS_CST!$A$2:$D$200,4,FALSE),""))</f>
        <v/>
      </c>
      <c r="S1032" s="9">
        <f>IF($H1032="","",$H1032*(1-$U1032))</f>
        <v>8.9999999999999993E-3</v>
      </c>
      <c r="T1032" s="9">
        <f>IF($I1032="","",$I1032*(1-$U1032))</f>
        <v>1E-3</v>
      </c>
      <c r="U1032" s="16">
        <f>IFERROR(INDEX(BASE_CCLASSTRIB!$E:$E, MATCH(TEXT($D1032,"000000"), BASE_CCLASSTRIB!$A:$A, 0))/100, 0)</f>
        <v>0</v>
      </c>
      <c r="V1032" s="16">
        <f>IFERROR(INDEX(BASE_CCLASSTRIB!$F:$F, MATCH(TEXT($D1032,"000000"), BASE_CCLASSTRIB!$A:$A, 0))/100, 0)</f>
        <v>0</v>
      </c>
    </row>
    <row r="1033" spans="4:22" ht="32.25" customHeight="1">
      <c r="D1033" s="40"/>
      <c r="E1033" s="27" t="str">
        <f>IF(D1033="","",LEFT(D1033,3))</f>
        <v/>
      </c>
      <c r="F1033" s="28" t="str">
        <f>IF(E1033="","",IFERROR(VLOOKUP(E1033,REGRAS_CST!$A$2:$B$200,2,FALSE),""))</f>
        <v/>
      </c>
      <c r="H1033" s="29">
        <v>8.9999999999999993E-3</v>
      </c>
      <c r="I1033" s="29">
        <v>1E-3</v>
      </c>
      <c r="K1033" s="21" t="str">
        <f>IF(E1033="","",IFERROR(VLOOKUP(E1033,REGRAS_CST!$A$2:$C$200,3,FALSE),""))</f>
        <v/>
      </c>
      <c r="L1033" s="23" t="str">
        <f>IF($G1033="", "", $G1033*(1-$V1033))</f>
        <v/>
      </c>
      <c r="M1033" s="24" t="str">
        <f>IF(OR($L1033="",$S1033=""),"",$L1033*$S1033)</f>
        <v/>
      </c>
      <c r="N1033" s="24" t="str">
        <f>IF(OR($L1033="",$T1033=""),"",$L1033*$T1033)</f>
        <v/>
      </c>
      <c r="O1033" s="15" t="str">
        <f>IF(D1033="","",
IF(AND(K1033&lt;&gt;"SIM",V1033&gt;0),"ERRO: % BC &gt; 0, mas NÃO permitida ❌",
IF(AND(K1033="SIM",V1033=0),"ATENÇÃO: BC permitida, mas % = 0 🔎",
"Base de cálculo aplicada corretamente ✅")))</f>
        <v/>
      </c>
      <c r="P1033" s="31" t="str">
        <f>IF(D1033="","",
IF(AND(Q1033&lt;&gt;"SIM",U1033&gt;0),"ERRO: % alíquota &gt; 0, mas NÃO permitida ❌",
IF(AND(Q1033="SIM",U1033=0),"ATENÇÃO: alíquota permitida, mas % = 0 🔎",
"Alíquota aplicada corretamente ✅")))</f>
        <v/>
      </c>
      <c r="Q1033" s="8" t="str">
        <f>IF(E1033="","",IFERROR(VLOOKUP(E1033,REGRAS_CST!$A$2:$D$200,4,FALSE),""))</f>
        <v/>
      </c>
      <c r="S1033" s="9">
        <f>IF($H1033="","",$H1033*(1-$U1033))</f>
        <v>8.9999999999999993E-3</v>
      </c>
      <c r="T1033" s="9">
        <f>IF($I1033="","",$I1033*(1-$U1033))</f>
        <v>1E-3</v>
      </c>
      <c r="U1033" s="16">
        <f>IFERROR(INDEX(BASE_CCLASSTRIB!$E:$E, MATCH(TEXT($D1033,"000000"), BASE_CCLASSTRIB!$A:$A, 0))/100, 0)</f>
        <v>0</v>
      </c>
      <c r="V1033" s="16">
        <f>IFERROR(INDEX(BASE_CCLASSTRIB!$F:$F, MATCH(TEXT($D1033,"000000"), BASE_CCLASSTRIB!$A:$A, 0))/100, 0)</f>
        <v>0</v>
      </c>
    </row>
    <row r="1034" spans="4:22" ht="32.25" customHeight="1">
      <c r="D1034" s="39"/>
      <c r="E1034" s="27" t="str">
        <f>IF(D1034="","",LEFT(D1034,3))</f>
        <v/>
      </c>
      <c r="F1034" s="28" t="str">
        <f>IF(E1034="","",IFERROR(VLOOKUP(E1034,REGRAS_CST!$A$2:$B$200,2,FALSE),""))</f>
        <v/>
      </c>
      <c r="H1034" s="29">
        <v>8.9999999999999993E-3</v>
      </c>
      <c r="I1034" s="29">
        <v>1E-3</v>
      </c>
      <c r="K1034" s="21" t="str">
        <f>IF(E1034="","",IFERROR(VLOOKUP(E1034,REGRAS_CST!$A$2:$C$200,3,FALSE),""))</f>
        <v/>
      </c>
      <c r="L1034" s="23" t="str">
        <f>IF($G1034="", "", $G1034*(1-$V1034))</f>
        <v/>
      </c>
      <c r="M1034" s="24" t="str">
        <f>IF(OR($L1034="",$S1034=""),"",$L1034*$S1034)</f>
        <v/>
      </c>
      <c r="N1034" s="24" t="str">
        <f>IF(OR($L1034="",$T1034=""),"",$L1034*$T1034)</f>
        <v/>
      </c>
      <c r="O1034" s="15" t="str">
        <f>IF(D1034="","",
IF(AND(K1034&lt;&gt;"SIM",V1034&gt;0),"ERRO: % BC &gt; 0, mas NÃO permitida ❌",
IF(AND(K1034="SIM",V1034=0),"ATENÇÃO: BC permitida, mas % = 0 🔎",
"Base de cálculo aplicada corretamente ✅")))</f>
        <v/>
      </c>
      <c r="P1034" s="31" t="str">
        <f>IF(D1034="","",
IF(AND(Q1034&lt;&gt;"SIM",U1034&gt;0),"ERRO: % alíquota &gt; 0, mas NÃO permitida ❌",
IF(AND(Q1034="SIM",U1034=0),"ATENÇÃO: alíquota permitida, mas % = 0 🔎",
"Alíquota aplicada corretamente ✅")))</f>
        <v/>
      </c>
      <c r="Q1034" s="8" t="str">
        <f>IF(E1034="","",IFERROR(VLOOKUP(E1034,REGRAS_CST!$A$2:$D$200,4,FALSE),""))</f>
        <v/>
      </c>
      <c r="S1034" s="9">
        <f>IF($H1034="","",$H1034*(1-$U1034))</f>
        <v>8.9999999999999993E-3</v>
      </c>
      <c r="T1034" s="9">
        <f>IF($I1034="","",$I1034*(1-$U1034))</f>
        <v>1E-3</v>
      </c>
      <c r="U1034" s="16">
        <f>IFERROR(INDEX(BASE_CCLASSTRIB!$E:$E, MATCH(TEXT($D1034,"000000"), BASE_CCLASSTRIB!$A:$A, 0))/100, 0)</f>
        <v>0</v>
      </c>
      <c r="V1034" s="16">
        <f>IFERROR(INDEX(BASE_CCLASSTRIB!$F:$F, MATCH(TEXT($D1034,"000000"), BASE_CCLASSTRIB!$A:$A, 0))/100, 0)</f>
        <v>0</v>
      </c>
    </row>
    <row r="1035" spans="4:22" ht="32.25" customHeight="1">
      <c r="D1035" s="40"/>
      <c r="E1035" s="27" t="str">
        <f>IF(D1035="","",LEFT(D1035,3))</f>
        <v/>
      </c>
      <c r="F1035" s="28" t="str">
        <f>IF(E1035="","",IFERROR(VLOOKUP(E1035,REGRAS_CST!$A$2:$B$200,2,FALSE),""))</f>
        <v/>
      </c>
      <c r="H1035" s="29">
        <v>8.9999999999999993E-3</v>
      </c>
      <c r="I1035" s="29">
        <v>1E-3</v>
      </c>
      <c r="K1035" s="21" t="str">
        <f>IF(E1035="","",IFERROR(VLOOKUP(E1035,REGRAS_CST!$A$2:$C$200,3,FALSE),""))</f>
        <v/>
      </c>
      <c r="L1035" s="23" t="str">
        <f>IF($G1035="", "", $G1035*(1-$V1035))</f>
        <v/>
      </c>
      <c r="M1035" s="24" t="str">
        <f>IF(OR($L1035="",$S1035=""),"",$L1035*$S1035)</f>
        <v/>
      </c>
      <c r="N1035" s="24" t="str">
        <f>IF(OR($L1035="",$T1035=""),"",$L1035*$T1035)</f>
        <v/>
      </c>
      <c r="O1035" s="15" t="str">
        <f>IF(D1035="","",
IF(AND(K1035&lt;&gt;"SIM",V1035&gt;0),"ERRO: % BC &gt; 0, mas NÃO permitida ❌",
IF(AND(K1035="SIM",V1035=0),"ATENÇÃO: BC permitida, mas % = 0 🔎",
"Base de cálculo aplicada corretamente ✅")))</f>
        <v/>
      </c>
      <c r="P1035" s="31" t="str">
        <f>IF(D1035="","",
IF(AND(Q1035&lt;&gt;"SIM",U1035&gt;0),"ERRO: % alíquota &gt; 0, mas NÃO permitida ❌",
IF(AND(Q1035="SIM",U1035=0),"ATENÇÃO: alíquota permitida, mas % = 0 🔎",
"Alíquota aplicada corretamente ✅")))</f>
        <v/>
      </c>
      <c r="Q1035" s="8" t="str">
        <f>IF(E1035="","",IFERROR(VLOOKUP(E1035,REGRAS_CST!$A$2:$D$200,4,FALSE),""))</f>
        <v/>
      </c>
      <c r="S1035" s="9">
        <f>IF($H1035="","",$H1035*(1-$U1035))</f>
        <v>8.9999999999999993E-3</v>
      </c>
      <c r="T1035" s="9">
        <f>IF($I1035="","",$I1035*(1-$U1035))</f>
        <v>1E-3</v>
      </c>
      <c r="U1035" s="16">
        <f>IFERROR(INDEX(BASE_CCLASSTRIB!$E:$E, MATCH(TEXT($D1035,"000000"), BASE_CCLASSTRIB!$A:$A, 0))/100, 0)</f>
        <v>0</v>
      </c>
      <c r="V1035" s="16">
        <f>IFERROR(INDEX(BASE_CCLASSTRIB!$F:$F, MATCH(TEXT($D1035,"000000"), BASE_CCLASSTRIB!$A:$A, 0))/100, 0)</f>
        <v>0</v>
      </c>
    </row>
    <row r="1036" spans="4:22" ht="32.25" customHeight="1">
      <c r="D1036" s="39"/>
      <c r="E1036" s="27" t="str">
        <f>IF(D1036="","",LEFT(D1036,3))</f>
        <v/>
      </c>
      <c r="F1036" s="28" t="str">
        <f>IF(E1036="","",IFERROR(VLOOKUP(E1036,REGRAS_CST!$A$2:$B$200,2,FALSE),""))</f>
        <v/>
      </c>
      <c r="H1036" s="29">
        <v>8.9999999999999993E-3</v>
      </c>
      <c r="I1036" s="29">
        <v>1E-3</v>
      </c>
      <c r="K1036" s="21" t="str">
        <f>IF(E1036="","",IFERROR(VLOOKUP(E1036,REGRAS_CST!$A$2:$C$200,3,FALSE),""))</f>
        <v/>
      </c>
      <c r="L1036" s="23" t="str">
        <f>IF($G1036="", "", $G1036*(1-$V1036))</f>
        <v/>
      </c>
      <c r="M1036" s="24" t="str">
        <f>IF(OR($L1036="",$S1036=""),"",$L1036*$S1036)</f>
        <v/>
      </c>
      <c r="N1036" s="24" t="str">
        <f>IF(OR($L1036="",$T1036=""),"",$L1036*$T1036)</f>
        <v/>
      </c>
      <c r="O1036" s="15" t="str">
        <f>IF(D1036="","",
IF(AND(K1036&lt;&gt;"SIM",V1036&gt;0),"ERRO: % BC &gt; 0, mas NÃO permitida ❌",
IF(AND(K1036="SIM",V1036=0),"ATENÇÃO: BC permitida, mas % = 0 🔎",
"Base de cálculo aplicada corretamente ✅")))</f>
        <v/>
      </c>
      <c r="P1036" s="31" t="str">
        <f>IF(D1036="","",
IF(AND(Q1036&lt;&gt;"SIM",U1036&gt;0),"ERRO: % alíquota &gt; 0, mas NÃO permitida ❌",
IF(AND(Q1036="SIM",U1036=0),"ATENÇÃO: alíquota permitida, mas % = 0 🔎",
"Alíquota aplicada corretamente ✅")))</f>
        <v/>
      </c>
      <c r="Q1036" s="8" t="str">
        <f>IF(E1036="","",IFERROR(VLOOKUP(E1036,REGRAS_CST!$A$2:$D$200,4,FALSE),""))</f>
        <v/>
      </c>
      <c r="S1036" s="9">
        <f>IF($H1036="","",$H1036*(1-$U1036))</f>
        <v>8.9999999999999993E-3</v>
      </c>
      <c r="T1036" s="9">
        <f>IF($I1036="","",$I1036*(1-$U1036))</f>
        <v>1E-3</v>
      </c>
      <c r="U1036" s="16">
        <f>IFERROR(INDEX(BASE_CCLASSTRIB!$E:$E, MATCH(TEXT($D1036,"000000"), BASE_CCLASSTRIB!$A:$A, 0))/100, 0)</f>
        <v>0</v>
      </c>
      <c r="V1036" s="16">
        <f>IFERROR(INDEX(BASE_CCLASSTRIB!$F:$F, MATCH(TEXT($D1036,"000000"), BASE_CCLASSTRIB!$A:$A, 0))/100, 0)</f>
        <v>0</v>
      </c>
    </row>
    <row r="1037" spans="4:22" ht="32.25" customHeight="1">
      <c r="D1037" s="39"/>
      <c r="E1037" s="27" t="str">
        <f>IF(D1037="","",LEFT(D1037,3))</f>
        <v/>
      </c>
      <c r="F1037" s="28" t="str">
        <f>IF(E1037="","",IFERROR(VLOOKUP(E1037,REGRAS_CST!$A$2:$B$200,2,FALSE),""))</f>
        <v/>
      </c>
      <c r="H1037" s="29">
        <v>8.9999999999999993E-3</v>
      </c>
      <c r="I1037" s="29">
        <v>1E-3</v>
      </c>
      <c r="K1037" s="21" t="str">
        <f>IF(E1037="","",IFERROR(VLOOKUP(E1037,REGRAS_CST!$A$2:$C$200,3,FALSE),""))</f>
        <v/>
      </c>
      <c r="L1037" s="23" t="str">
        <f>IF($G1037="", "", $G1037*(1-$V1037))</f>
        <v/>
      </c>
      <c r="M1037" s="24" t="str">
        <f>IF(OR($L1037="",$S1037=""),"",$L1037*$S1037)</f>
        <v/>
      </c>
      <c r="N1037" s="24" t="str">
        <f>IF(OR($L1037="",$T1037=""),"",$L1037*$T1037)</f>
        <v/>
      </c>
      <c r="O1037" s="15" t="str">
        <f>IF(D1037="","",
IF(AND(K1037&lt;&gt;"SIM",V1037&gt;0),"ERRO: % BC &gt; 0, mas NÃO permitida ❌",
IF(AND(K1037="SIM",V1037=0),"ATENÇÃO: BC permitida, mas % = 0 🔎",
"Base de cálculo aplicada corretamente ✅")))</f>
        <v/>
      </c>
      <c r="P1037" s="31" t="str">
        <f>IF(D1037="","",
IF(AND(Q1037&lt;&gt;"SIM",U1037&gt;0),"ERRO: % alíquota &gt; 0, mas NÃO permitida ❌",
IF(AND(Q1037="SIM",U1037=0),"ATENÇÃO: alíquota permitida, mas % = 0 🔎",
"Alíquota aplicada corretamente ✅")))</f>
        <v/>
      </c>
      <c r="Q1037" s="8" t="str">
        <f>IF(E1037="","",IFERROR(VLOOKUP(E1037,REGRAS_CST!$A$2:$D$200,4,FALSE),""))</f>
        <v/>
      </c>
      <c r="S1037" s="9">
        <f>IF($H1037="","",$H1037*(1-$U1037))</f>
        <v>8.9999999999999993E-3</v>
      </c>
      <c r="T1037" s="9">
        <f>IF($I1037="","",$I1037*(1-$U1037))</f>
        <v>1E-3</v>
      </c>
      <c r="U1037" s="16">
        <f>IFERROR(INDEX(BASE_CCLASSTRIB!$E:$E, MATCH(TEXT($D1037,"000000"), BASE_CCLASSTRIB!$A:$A, 0))/100, 0)</f>
        <v>0</v>
      </c>
      <c r="V1037" s="16">
        <f>IFERROR(INDEX(BASE_CCLASSTRIB!$F:$F, MATCH(TEXT($D1037,"000000"), BASE_CCLASSTRIB!$A:$A, 0))/100, 0)</f>
        <v>0</v>
      </c>
    </row>
    <row r="1038" spans="4:22" ht="32.25" customHeight="1">
      <c r="D1038" s="40"/>
      <c r="E1038" s="27" t="str">
        <f>IF(D1038="","",LEFT(D1038,3))</f>
        <v/>
      </c>
      <c r="F1038" s="28" t="str">
        <f>IF(E1038="","",IFERROR(VLOOKUP(E1038,REGRAS_CST!$A$2:$B$200,2,FALSE),""))</f>
        <v/>
      </c>
      <c r="H1038" s="29">
        <v>8.9999999999999993E-3</v>
      </c>
      <c r="I1038" s="29">
        <v>1E-3</v>
      </c>
      <c r="K1038" s="21" t="str">
        <f>IF(E1038="","",IFERROR(VLOOKUP(E1038,REGRAS_CST!$A$2:$C$200,3,FALSE),""))</f>
        <v/>
      </c>
      <c r="L1038" s="23" t="str">
        <f>IF($G1038="", "", $G1038*(1-$V1038))</f>
        <v/>
      </c>
      <c r="M1038" s="24" t="str">
        <f>IF(OR($L1038="",$S1038=""),"",$L1038*$S1038)</f>
        <v/>
      </c>
      <c r="N1038" s="24" t="str">
        <f>IF(OR($L1038="",$T1038=""),"",$L1038*$T1038)</f>
        <v/>
      </c>
      <c r="O1038" s="15" t="str">
        <f>IF(D1038="","",
IF(AND(K1038&lt;&gt;"SIM",V1038&gt;0),"ERRO: % BC &gt; 0, mas NÃO permitida ❌",
IF(AND(K1038="SIM",V1038=0),"ATENÇÃO: BC permitida, mas % = 0 🔎",
"Base de cálculo aplicada corretamente ✅")))</f>
        <v/>
      </c>
      <c r="P1038" s="31" t="str">
        <f>IF(D1038="","",
IF(AND(Q1038&lt;&gt;"SIM",U1038&gt;0),"ERRO: % alíquota &gt; 0, mas NÃO permitida ❌",
IF(AND(Q1038="SIM",U1038=0),"ATENÇÃO: alíquota permitida, mas % = 0 🔎",
"Alíquota aplicada corretamente ✅")))</f>
        <v/>
      </c>
      <c r="Q1038" s="8" t="str">
        <f>IF(E1038="","",IFERROR(VLOOKUP(E1038,REGRAS_CST!$A$2:$D$200,4,FALSE),""))</f>
        <v/>
      </c>
      <c r="S1038" s="9">
        <f>IF($H1038="","",$H1038*(1-$U1038))</f>
        <v>8.9999999999999993E-3</v>
      </c>
      <c r="T1038" s="9">
        <f>IF($I1038="","",$I1038*(1-$U1038))</f>
        <v>1E-3</v>
      </c>
      <c r="U1038" s="16">
        <f>IFERROR(INDEX(BASE_CCLASSTRIB!$E:$E, MATCH(TEXT($D1038,"000000"), BASE_CCLASSTRIB!$A:$A, 0))/100, 0)</f>
        <v>0</v>
      </c>
      <c r="V1038" s="16">
        <f>IFERROR(INDEX(BASE_CCLASSTRIB!$F:$F, MATCH(TEXT($D1038,"000000"), BASE_CCLASSTRIB!$A:$A, 0))/100, 0)</f>
        <v>0</v>
      </c>
    </row>
    <row r="1039" spans="4:22" ht="32.25" customHeight="1">
      <c r="D1039" s="40"/>
      <c r="E1039" s="27" t="str">
        <f>IF(D1039="","",LEFT(D1039,3))</f>
        <v/>
      </c>
      <c r="F1039" s="28" t="str">
        <f>IF(E1039="","",IFERROR(VLOOKUP(E1039,REGRAS_CST!$A$2:$B$200,2,FALSE),""))</f>
        <v/>
      </c>
      <c r="H1039" s="29">
        <v>8.9999999999999993E-3</v>
      </c>
      <c r="I1039" s="29">
        <v>1E-3</v>
      </c>
      <c r="K1039" s="21" t="str">
        <f>IF(E1039="","",IFERROR(VLOOKUP(E1039,REGRAS_CST!$A$2:$C$200,3,FALSE),""))</f>
        <v/>
      </c>
      <c r="L1039" s="23" t="str">
        <f>IF($G1039="", "", $G1039*(1-$V1039))</f>
        <v/>
      </c>
      <c r="M1039" s="24" t="str">
        <f>IF(OR($L1039="",$S1039=""),"",$L1039*$S1039)</f>
        <v/>
      </c>
      <c r="N1039" s="24" t="str">
        <f>IF(OR($L1039="",$T1039=""),"",$L1039*$T1039)</f>
        <v/>
      </c>
      <c r="O1039" s="15" t="str">
        <f>IF(D1039="","",
IF(AND(K1039&lt;&gt;"SIM",V1039&gt;0),"ERRO: % BC &gt; 0, mas NÃO permitida ❌",
IF(AND(K1039="SIM",V1039=0),"ATENÇÃO: BC permitida, mas % = 0 🔎",
"Base de cálculo aplicada corretamente ✅")))</f>
        <v/>
      </c>
      <c r="P1039" s="31" t="str">
        <f>IF(D1039="","",
IF(AND(Q1039&lt;&gt;"SIM",U1039&gt;0),"ERRO: % alíquota &gt; 0, mas NÃO permitida ❌",
IF(AND(Q1039="SIM",U1039=0),"ATENÇÃO: alíquota permitida, mas % = 0 🔎",
"Alíquota aplicada corretamente ✅")))</f>
        <v/>
      </c>
      <c r="Q1039" s="8" t="str">
        <f>IF(E1039="","",IFERROR(VLOOKUP(E1039,REGRAS_CST!$A$2:$D$200,4,FALSE),""))</f>
        <v/>
      </c>
      <c r="S1039" s="9">
        <f>IF($H1039="","",$H1039*(1-$U1039))</f>
        <v>8.9999999999999993E-3</v>
      </c>
      <c r="T1039" s="9">
        <f>IF($I1039="","",$I1039*(1-$U1039))</f>
        <v>1E-3</v>
      </c>
      <c r="U1039" s="16">
        <f>IFERROR(INDEX(BASE_CCLASSTRIB!$E:$E, MATCH(TEXT($D1039,"000000"), BASE_CCLASSTRIB!$A:$A, 0))/100, 0)</f>
        <v>0</v>
      </c>
      <c r="V1039" s="16">
        <f>IFERROR(INDEX(BASE_CCLASSTRIB!$F:$F, MATCH(TEXT($D1039,"000000"), BASE_CCLASSTRIB!$A:$A, 0))/100, 0)</f>
        <v>0</v>
      </c>
    </row>
    <row r="1040" spans="4:22" ht="32.25" customHeight="1">
      <c r="D1040" s="40"/>
      <c r="E1040" s="27" t="str">
        <f>IF(D1040="","",LEFT(D1040,3))</f>
        <v/>
      </c>
      <c r="F1040" s="28" t="str">
        <f>IF(E1040="","",IFERROR(VLOOKUP(E1040,REGRAS_CST!$A$2:$B$200,2,FALSE),""))</f>
        <v/>
      </c>
      <c r="H1040" s="29">
        <v>8.9999999999999993E-3</v>
      </c>
      <c r="I1040" s="29">
        <v>1E-3</v>
      </c>
      <c r="K1040" s="21" t="str">
        <f>IF(E1040="","",IFERROR(VLOOKUP(E1040,REGRAS_CST!$A$2:$C$200,3,FALSE),""))</f>
        <v/>
      </c>
      <c r="L1040" s="23" t="str">
        <f>IF($G1040="", "", $G1040*(1-$V1040))</f>
        <v/>
      </c>
      <c r="M1040" s="24" t="str">
        <f>IF(OR($L1040="",$S1040=""),"",$L1040*$S1040)</f>
        <v/>
      </c>
      <c r="N1040" s="24" t="str">
        <f>IF(OR($L1040="",$T1040=""),"",$L1040*$T1040)</f>
        <v/>
      </c>
      <c r="O1040" s="15" t="str">
        <f>IF(D1040="","",
IF(AND(K1040&lt;&gt;"SIM",V1040&gt;0),"ERRO: % BC &gt; 0, mas NÃO permitida ❌",
IF(AND(K1040="SIM",V1040=0),"ATENÇÃO: BC permitida, mas % = 0 🔎",
"Base de cálculo aplicada corretamente ✅")))</f>
        <v/>
      </c>
      <c r="P1040" s="31" t="str">
        <f>IF(D1040="","",
IF(AND(Q1040&lt;&gt;"SIM",U1040&gt;0),"ERRO: % alíquota &gt; 0, mas NÃO permitida ❌",
IF(AND(Q1040="SIM",U1040=0),"ATENÇÃO: alíquota permitida, mas % = 0 🔎",
"Alíquota aplicada corretamente ✅")))</f>
        <v/>
      </c>
      <c r="Q1040" s="8" t="str">
        <f>IF(E1040="","",IFERROR(VLOOKUP(E1040,REGRAS_CST!$A$2:$D$200,4,FALSE),""))</f>
        <v/>
      </c>
      <c r="S1040" s="9">
        <f>IF($H1040="","",$H1040*(1-$U1040))</f>
        <v>8.9999999999999993E-3</v>
      </c>
      <c r="T1040" s="9">
        <f>IF($I1040="","",$I1040*(1-$U1040))</f>
        <v>1E-3</v>
      </c>
      <c r="U1040" s="16">
        <f>IFERROR(INDEX(BASE_CCLASSTRIB!$E:$E, MATCH(TEXT($D1040,"000000"), BASE_CCLASSTRIB!$A:$A, 0))/100, 0)</f>
        <v>0</v>
      </c>
      <c r="V1040" s="16">
        <f>IFERROR(INDEX(BASE_CCLASSTRIB!$F:$F, MATCH(TEXT($D1040,"000000"), BASE_CCLASSTRIB!$A:$A, 0))/100, 0)</f>
        <v>0</v>
      </c>
    </row>
    <row r="1041" spans="4:22" ht="32.25" customHeight="1">
      <c r="D1041" s="39"/>
      <c r="E1041" s="27" t="str">
        <f>IF(D1041="","",LEFT(D1041,3))</f>
        <v/>
      </c>
      <c r="F1041" s="28" t="str">
        <f>IF(E1041="","",IFERROR(VLOOKUP(E1041,REGRAS_CST!$A$2:$B$200,2,FALSE),""))</f>
        <v/>
      </c>
      <c r="H1041" s="29">
        <v>8.9999999999999993E-3</v>
      </c>
      <c r="I1041" s="29">
        <v>1E-3</v>
      </c>
      <c r="K1041" s="21" t="str">
        <f>IF(E1041="","",IFERROR(VLOOKUP(E1041,REGRAS_CST!$A$2:$C$200,3,FALSE),""))</f>
        <v/>
      </c>
      <c r="L1041" s="23" t="str">
        <f>IF($G1041="", "", $G1041*(1-$V1041))</f>
        <v/>
      </c>
      <c r="M1041" s="24" t="str">
        <f>IF(OR($L1041="",$S1041=""),"",$L1041*$S1041)</f>
        <v/>
      </c>
      <c r="N1041" s="24" t="str">
        <f>IF(OR($L1041="",$T1041=""),"",$L1041*$T1041)</f>
        <v/>
      </c>
      <c r="O1041" s="15" t="str">
        <f>IF(D1041="","",
IF(AND(K1041&lt;&gt;"SIM",V1041&gt;0),"ERRO: % BC &gt; 0, mas NÃO permitida ❌",
IF(AND(K1041="SIM",V1041=0),"ATENÇÃO: BC permitida, mas % = 0 🔎",
"Base de cálculo aplicada corretamente ✅")))</f>
        <v/>
      </c>
      <c r="P1041" s="31" t="str">
        <f>IF(D1041="","",
IF(AND(Q1041&lt;&gt;"SIM",U1041&gt;0),"ERRO: % alíquota &gt; 0, mas NÃO permitida ❌",
IF(AND(Q1041="SIM",U1041=0),"ATENÇÃO: alíquota permitida, mas % = 0 🔎",
"Alíquota aplicada corretamente ✅")))</f>
        <v/>
      </c>
      <c r="Q1041" s="8" t="str">
        <f>IF(E1041="","",IFERROR(VLOOKUP(E1041,REGRAS_CST!$A$2:$D$200,4,FALSE),""))</f>
        <v/>
      </c>
      <c r="S1041" s="9">
        <f>IF($H1041="","",$H1041*(1-$U1041))</f>
        <v>8.9999999999999993E-3</v>
      </c>
      <c r="T1041" s="9">
        <f>IF($I1041="","",$I1041*(1-$U1041))</f>
        <v>1E-3</v>
      </c>
      <c r="U1041" s="16">
        <f>IFERROR(INDEX(BASE_CCLASSTRIB!$E:$E, MATCH(TEXT($D1041,"000000"), BASE_CCLASSTRIB!$A:$A, 0))/100, 0)</f>
        <v>0</v>
      </c>
      <c r="V1041" s="16">
        <f>IFERROR(INDEX(BASE_CCLASSTRIB!$F:$F, MATCH(TEXT($D1041,"000000"), BASE_CCLASSTRIB!$A:$A, 0))/100, 0)</f>
        <v>0</v>
      </c>
    </row>
    <row r="1042" spans="4:22" ht="32.25" customHeight="1">
      <c r="D1042" s="40"/>
      <c r="E1042" s="27" t="str">
        <f>IF(D1042="","",LEFT(D1042,3))</f>
        <v/>
      </c>
      <c r="F1042" s="28" t="str">
        <f>IF(E1042="","",IFERROR(VLOOKUP(E1042,REGRAS_CST!$A$2:$B$200,2,FALSE),""))</f>
        <v/>
      </c>
      <c r="H1042" s="29">
        <v>8.9999999999999993E-3</v>
      </c>
      <c r="I1042" s="29">
        <v>1E-3</v>
      </c>
      <c r="K1042" s="21" t="str">
        <f>IF(E1042="","",IFERROR(VLOOKUP(E1042,REGRAS_CST!$A$2:$C$200,3,FALSE),""))</f>
        <v/>
      </c>
      <c r="L1042" s="23" t="str">
        <f>IF($G1042="", "", $G1042*(1-$V1042))</f>
        <v/>
      </c>
      <c r="M1042" s="24" t="str">
        <f>IF(OR($L1042="",$S1042=""),"",$L1042*$S1042)</f>
        <v/>
      </c>
      <c r="N1042" s="24" t="str">
        <f>IF(OR($L1042="",$T1042=""),"",$L1042*$T1042)</f>
        <v/>
      </c>
      <c r="O1042" s="15" t="str">
        <f>IF(D1042="","",
IF(AND(K1042&lt;&gt;"SIM",V1042&gt;0),"ERRO: % BC &gt; 0, mas NÃO permitida ❌",
IF(AND(K1042="SIM",V1042=0),"ATENÇÃO: BC permitida, mas % = 0 🔎",
"Base de cálculo aplicada corretamente ✅")))</f>
        <v/>
      </c>
      <c r="P1042" s="31" t="str">
        <f>IF(D1042="","",
IF(AND(Q1042&lt;&gt;"SIM",U1042&gt;0),"ERRO: % alíquota &gt; 0, mas NÃO permitida ❌",
IF(AND(Q1042="SIM",U1042=0),"ATENÇÃO: alíquota permitida, mas % = 0 🔎",
"Alíquota aplicada corretamente ✅")))</f>
        <v/>
      </c>
      <c r="Q1042" s="8" t="str">
        <f>IF(E1042="","",IFERROR(VLOOKUP(E1042,REGRAS_CST!$A$2:$D$200,4,FALSE),""))</f>
        <v/>
      </c>
      <c r="S1042" s="9">
        <f>IF($H1042="","",$H1042*(1-$U1042))</f>
        <v>8.9999999999999993E-3</v>
      </c>
      <c r="T1042" s="9">
        <f>IF($I1042="","",$I1042*(1-$U1042))</f>
        <v>1E-3</v>
      </c>
      <c r="U1042" s="16">
        <f>IFERROR(INDEX(BASE_CCLASSTRIB!$E:$E, MATCH(TEXT($D1042,"000000"), BASE_CCLASSTRIB!$A:$A, 0))/100, 0)</f>
        <v>0</v>
      </c>
      <c r="V1042" s="16">
        <f>IFERROR(INDEX(BASE_CCLASSTRIB!$F:$F, MATCH(TEXT($D1042,"000000"), BASE_CCLASSTRIB!$A:$A, 0))/100, 0)</f>
        <v>0</v>
      </c>
    </row>
    <row r="1043" spans="4:22" ht="32.25" customHeight="1">
      <c r="D1043" s="39"/>
      <c r="E1043" s="27" t="str">
        <f>IF(D1043="","",LEFT(D1043,3))</f>
        <v/>
      </c>
      <c r="F1043" s="28" t="str">
        <f>IF(E1043="","",IFERROR(VLOOKUP(E1043,REGRAS_CST!$A$2:$B$200,2,FALSE),""))</f>
        <v/>
      </c>
      <c r="H1043" s="29">
        <v>8.9999999999999993E-3</v>
      </c>
      <c r="I1043" s="29">
        <v>1E-3</v>
      </c>
      <c r="K1043" s="21" t="str">
        <f>IF(E1043="","",IFERROR(VLOOKUP(E1043,REGRAS_CST!$A$2:$C$200,3,FALSE),""))</f>
        <v/>
      </c>
      <c r="L1043" s="23" t="str">
        <f>IF($G1043="", "", $G1043*(1-$V1043))</f>
        <v/>
      </c>
      <c r="M1043" s="24" t="str">
        <f>IF(OR($L1043="",$S1043=""),"",$L1043*$S1043)</f>
        <v/>
      </c>
      <c r="N1043" s="24" t="str">
        <f>IF(OR($L1043="",$T1043=""),"",$L1043*$T1043)</f>
        <v/>
      </c>
      <c r="O1043" s="15" t="str">
        <f>IF(D1043="","",
IF(AND(K1043&lt;&gt;"SIM",V1043&gt;0),"ERRO: % BC &gt; 0, mas NÃO permitida ❌",
IF(AND(K1043="SIM",V1043=0),"ATENÇÃO: BC permitida, mas % = 0 🔎",
"Base de cálculo aplicada corretamente ✅")))</f>
        <v/>
      </c>
      <c r="P1043" s="31" t="str">
        <f>IF(D1043="","",
IF(AND(Q1043&lt;&gt;"SIM",U1043&gt;0),"ERRO: % alíquota &gt; 0, mas NÃO permitida ❌",
IF(AND(Q1043="SIM",U1043=0),"ATENÇÃO: alíquota permitida, mas % = 0 🔎",
"Alíquota aplicada corretamente ✅")))</f>
        <v/>
      </c>
      <c r="Q1043" s="8" t="str">
        <f>IF(E1043="","",IFERROR(VLOOKUP(E1043,REGRAS_CST!$A$2:$D$200,4,FALSE),""))</f>
        <v/>
      </c>
      <c r="S1043" s="9">
        <f>IF($H1043="","",$H1043*(1-$U1043))</f>
        <v>8.9999999999999993E-3</v>
      </c>
      <c r="T1043" s="9">
        <f>IF($I1043="","",$I1043*(1-$U1043))</f>
        <v>1E-3</v>
      </c>
      <c r="U1043" s="16">
        <f>IFERROR(INDEX(BASE_CCLASSTRIB!$E:$E, MATCH(TEXT($D1043,"000000"), BASE_CCLASSTRIB!$A:$A, 0))/100, 0)</f>
        <v>0</v>
      </c>
      <c r="V1043" s="16">
        <f>IFERROR(INDEX(BASE_CCLASSTRIB!$F:$F, MATCH(TEXT($D1043,"000000"), BASE_CCLASSTRIB!$A:$A, 0))/100, 0)</f>
        <v>0</v>
      </c>
    </row>
    <row r="1044" spans="4:22" ht="32.25" customHeight="1">
      <c r="D1044" s="39"/>
      <c r="E1044" s="27" t="str">
        <f>IF(D1044="","",LEFT(D1044,3))</f>
        <v/>
      </c>
      <c r="F1044" s="28" t="str">
        <f>IF(E1044="","",IFERROR(VLOOKUP(E1044,REGRAS_CST!$A$2:$B$200,2,FALSE),""))</f>
        <v/>
      </c>
      <c r="H1044" s="29">
        <v>8.9999999999999993E-3</v>
      </c>
      <c r="I1044" s="29">
        <v>1E-3</v>
      </c>
      <c r="K1044" s="21" t="str">
        <f>IF(E1044="","",IFERROR(VLOOKUP(E1044,REGRAS_CST!$A$2:$C$200,3,FALSE),""))</f>
        <v/>
      </c>
      <c r="L1044" s="23" t="str">
        <f>IF($G1044="", "", $G1044*(1-$V1044))</f>
        <v/>
      </c>
      <c r="M1044" s="24" t="str">
        <f>IF(OR($L1044="",$S1044=""),"",$L1044*$S1044)</f>
        <v/>
      </c>
      <c r="N1044" s="24" t="str">
        <f>IF(OR($L1044="",$T1044=""),"",$L1044*$T1044)</f>
        <v/>
      </c>
      <c r="O1044" s="15" t="str">
        <f>IF(D1044="","",
IF(AND(K1044&lt;&gt;"SIM",V1044&gt;0),"ERRO: % BC &gt; 0, mas NÃO permitida ❌",
IF(AND(K1044="SIM",V1044=0),"ATENÇÃO: BC permitida, mas % = 0 🔎",
"Base de cálculo aplicada corretamente ✅")))</f>
        <v/>
      </c>
      <c r="P1044" s="31" t="str">
        <f>IF(D1044="","",
IF(AND(Q1044&lt;&gt;"SIM",U1044&gt;0),"ERRO: % alíquota &gt; 0, mas NÃO permitida ❌",
IF(AND(Q1044="SIM",U1044=0),"ATENÇÃO: alíquota permitida, mas % = 0 🔎",
"Alíquota aplicada corretamente ✅")))</f>
        <v/>
      </c>
      <c r="Q1044" s="8" t="str">
        <f>IF(E1044="","",IFERROR(VLOOKUP(E1044,REGRAS_CST!$A$2:$D$200,4,FALSE),""))</f>
        <v/>
      </c>
      <c r="S1044" s="9">
        <f>IF($H1044="","",$H1044*(1-$U1044))</f>
        <v>8.9999999999999993E-3</v>
      </c>
      <c r="T1044" s="9">
        <f>IF($I1044="","",$I1044*(1-$U1044))</f>
        <v>1E-3</v>
      </c>
      <c r="U1044" s="16">
        <f>IFERROR(INDEX(BASE_CCLASSTRIB!$E:$E, MATCH(TEXT($D1044,"000000"), BASE_CCLASSTRIB!$A:$A, 0))/100, 0)</f>
        <v>0</v>
      </c>
      <c r="V1044" s="16">
        <f>IFERROR(INDEX(BASE_CCLASSTRIB!$F:$F, MATCH(TEXT($D1044,"000000"), BASE_CCLASSTRIB!$A:$A, 0))/100, 0)</f>
        <v>0</v>
      </c>
    </row>
    <row r="1045" spans="4:22" ht="32.25" customHeight="1">
      <c r="D1045" s="40"/>
      <c r="E1045" s="27" t="str">
        <f>IF(D1045="","",LEFT(D1045,3))</f>
        <v/>
      </c>
      <c r="F1045" s="28" t="str">
        <f>IF(E1045="","",IFERROR(VLOOKUP(E1045,REGRAS_CST!$A$2:$B$200,2,FALSE),""))</f>
        <v/>
      </c>
      <c r="H1045" s="29">
        <v>8.9999999999999993E-3</v>
      </c>
      <c r="I1045" s="29">
        <v>1E-3</v>
      </c>
      <c r="K1045" s="21" t="str">
        <f>IF(E1045="","",IFERROR(VLOOKUP(E1045,REGRAS_CST!$A$2:$C$200,3,FALSE),""))</f>
        <v/>
      </c>
      <c r="L1045" s="23" t="str">
        <f>IF($G1045="", "", $G1045*(1-$V1045))</f>
        <v/>
      </c>
      <c r="M1045" s="24" t="str">
        <f>IF(OR($L1045="",$S1045=""),"",$L1045*$S1045)</f>
        <v/>
      </c>
      <c r="N1045" s="24" t="str">
        <f>IF(OR($L1045="",$T1045=""),"",$L1045*$T1045)</f>
        <v/>
      </c>
      <c r="O1045" s="15" t="str">
        <f>IF(D1045="","",
IF(AND(K1045&lt;&gt;"SIM",V1045&gt;0),"ERRO: % BC &gt; 0, mas NÃO permitida ❌",
IF(AND(K1045="SIM",V1045=0),"ATENÇÃO: BC permitida, mas % = 0 🔎",
"Base de cálculo aplicada corretamente ✅")))</f>
        <v/>
      </c>
      <c r="P1045" s="31" t="str">
        <f>IF(D1045="","",
IF(AND(Q1045&lt;&gt;"SIM",U1045&gt;0),"ERRO: % alíquota &gt; 0, mas NÃO permitida ❌",
IF(AND(Q1045="SIM",U1045=0),"ATENÇÃO: alíquota permitida, mas % = 0 🔎",
"Alíquota aplicada corretamente ✅")))</f>
        <v/>
      </c>
      <c r="Q1045" s="8" t="str">
        <f>IF(E1045="","",IFERROR(VLOOKUP(E1045,REGRAS_CST!$A$2:$D$200,4,FALSE),""))</f>
        <v/>
      </c>
      <c r="S1045" s="9">
        <f>IF($H1045="","",$H1045*(1-$U1045))</f>
        <v>8.9999999999999993E-3</v>
      </c>
      <c r="T1045" s="9">
        <f>IF($I1045="","",$I1045*(1-$U1045))</f>
        <v>1E-3</v>
      </c>
      <c r="U1045" s="16">
        <f>IFERROR(INDEX(BASE_CCLASSTRIB!$E:$E, MATCH(TEXT($D1045,"000000"), BASE_CCLASSTRIB!$A:$A, 0))/100, 0)</f>
        <v>0</v>
      </c>
      <c r="V1045" s="16">
        <f>IFERROR(INDEX(BASE_CCLASSTRIB!$F:$F, MATCH(TEXT($D1045,"000000"), BASE_CCLASSTRIB!$A:$A, 0))/100, 0)</f>
        <v>0</v>
      </c>
    </row>
    <row r="1046" spans="4:22" ht="32.25" customHeight="1">
      <c r="D1046" s="40"/>
      <c r="E1046" s="27" t="str">
        <f>IF(D1046="","",LEFT(D1046,3))</f>
        <v/>
      </c>
      <c r="F1046" s="28" t="str">
        <f>IF(E1046="","",IFERROR(VLOOKUP(E1046,REGRAS_CST!$A$2:$B$200,2,FALSE),""))</f>
        <v/>
      </c>
      <c r="H1046" s="29">
        <v>8.9999999999999993E-3</v>
      </c>
      <c r="I1046" s="29">
        <v>1E-3</v>
      </c>
      <c r="K1046" s="21" t="str">
        <f>IF(E1046="","",IFERROR(VLOOKUP(E1046,REGRAS_CST!$A$2:$C$200,3,FALSE),""))</f>
        <v/>
      </c>
      <c r="L1046" s="23" t="str">
        <f>IF($G1046="", "", $G1046*(1-$V1046))</f>
        <v/>
      </c>
      <c r="M1046" s="24" t="str">
        <f>IF(OR($L1046="",$S1046=""),"",$L1046*$S1046)</f>
        <v/>
      </c>
      <c r="N1046" s="24" t="str">
        <f>IF(OR($L1046="",$T1046=""),"",$L1046*$T1046)</f>
        <v/>
      </c>
      <c r="O1046" s="15" t="str">
        <f>IF(D1046="","",
IF(AND(K1046&lt;&gt;"SIM",V1046&gt;0),"ERRO: % BC &gt; 0, mas NÃO permitida ❌",
IF(AND(K1046="SIM",V1046=0),"ATENÇÃO: BC permitida, mas % = 0 🔎",
"Base de cálculo aplicada corretamente ✅")))</f>
        <v/>
      </c>
      <c r="P1046" s="31" t="str">
        <f>IF(D1046="","",
IF(AND(Q1046&lt;&gt;"SIM",U1046&gt;0),"ERRO: % alíquota &gt; 0, mas NÃO permitida ❌",
IF(AND(Q1046="SIM",U1046=0),"ATENÇÃO: alíquota permitida, mas % = 0 🔎",
"Alíquota aplicada corretamente ✅")))</f>
        <v/>
      </c>
      <c r="Q1046" s="8" t="str">
        <f>IF(E1046="","",IFERROR(VLOOKUP(E1046,REGRAS_CST!$A$2:$D$200,4,FALSE),""))</f>
        <v/>
      </c>
      <c r="S1046" s="9">
        <f>IF($H1046="","",$H1046*(1-$U1046))</f>
        <v>8.9999999999999993E-3</v>
      </c>
      <c r="T1046" s="9">
        <f>IF($I1046="","",$I1046*(1-$U1046))</f>
        <v>1E-3</v>
      </c>
      <c r="U1046" s="16">
        <f>IFERROR(INDEX(BASE_CCLASSTRIB!$E:$E, MATCH(TEXT($D1046,"000000"), BASE_CCLASSTRIB!$A:$A, 0))/100, 0)</f>
        <v>0</v>
      </c>
      <c r="V1046" s="16">
        <f>IFERROR(INDEX(BASE_CCLASSTRIB!$F:$F, MATCH(TEXT($D1046,"000000"), BASE_CCLASSTRIB!$A:$A, 0))/100, 0)</f>
        <v>0</v>
      </c>
    </row>
    <row r="1047" spans="4:22" ht="32.25" customHeight="1">
      <c r="D1047" s="40"/>
      <c r="E1047" s="27" t="str">
        <f>IF(D1047="","",LEFT(D1047,3))</f>
        <v/>
      </c>
      <c r="F1047" s="28" t="str">
        <f>IF(E1047="","",IFERROR(VLOOKUP(E1047,REGRAS_CST!$A$2:$B$200,2,FALSE),""))</f>
        <v/>
      </c>
      <c r="H1047" s="29">
        <v>8.9999999999999993E-3</v>
      </c>
      <c r="I1047" s="29">
        <v>1E-3</v>
      </c>
      <c r="K1047" s="21" t="str">
        <f>IF(E1047="","",IFERROR(VLOOKUP(E1047,REGRAS_CST!$A$2:$C$200,3,FALSE),""))</f>
        <v/>
      </c>
      <c r="L1047" s="23" t="str">
        <f>IF($G1047="", "", $G1047*(1-$V1047))</f>
        <v/>
      </c>
      <c r="M1047" s="24" t="str">
        <f>IF(OR($L1047="",$S1047=""),"",$L1047*$S1047)</f>
        <v/>
      </c>
      <c r="N1047" s="24" t="str">
        <f>IF(OR($L1047="",$T1047=""),"",$L1047*$T1047)</f>
        <v/>
      </c>
      <c r="O1047" s="15" t="str">
        <f>IF(D1047="","",
IF(AND(K1047&lt;&gt;"SIM",V1047&gt;0),"ERRO: % BC &gt; 0, mas NÃO permitida ❌",
IF(AND(K1047="SIM",V1047=0),"ATENÇÃO: BC permitida, mas % = 0 🔎",
"Base de cálculo aplicada corretamente ✅")))</f>
        <v/>
      </c>
      <c r="P1047" s="31" t="str">
        <f>IF(D1047="","",
IF(AND(Q1047&lt;&gt;"SIM",U1047&gt;0),"ERRO: % alíquota &gt; 0, mas NÃO permitida ❌",
IF(AND(Q1047="SIM",U1047=0),"ATENÇÃO: alíquota permitida, mas % = 0 🔎",
"Alíquota aplicada corretamente ✅")))</f>
        <v/>
      </c>
      <c r="Q1047" s="8" t="str">
        <f>IF(E1047="","",IFERROR(VLOOKUP(E1047,REGRAS_CST!$A$2:$D$200,4,FALSE),""))</f>
        <v/>
      </c>
      <c r="S1047" s="9">
        <f>IF($H1047="","",$H1047*(1-$U1047))</f>
        <v>8.9999999999999993E-3</v>
      </c>
      <c r="T1047" s="9">
        <f>IF($I1047="","",$I1047*(1-$U1047))</f>
        <v>1E-3</v>
      </c>
      <c r="U1047" s="16">
        <f>IFERROR(INDEX(BASE_CCLASSTRIB!$E:$E, MATCH(TEXT($D1047,"000000"), BASE_CCLASSTRIB!$A:$A, 0))/100, 0)</f>
        <v>0</v>
      </c>
      <c r="V1047" s="16">
        <f>IFERROR(INDEX(BASE_CCLASSTRIB!$F:$F, MATCH(TEXT($D1047,"000000"), BASE_CCLASSTRIB!$A:$A, 0))/100, 0)</f>
        <v>0</v>
      </c>
    </row>
    <row r="1048" spans="4:22" ht="32.25" customHeight="1">
      <c r="D1048" s="40"/>
      <c r="E1048" s="27" t="str">
        <f>IF(D1048="","",LEFT(D1048,3))</f>
        <v/>
      </c>
      <c r="F1048" s="28" t="str">
        <f>IF(E1048="","",IFERROR(VLOOKUP(E1048,REGRAS_CST!$A$2:$B$200,2,FALSE),""))</f>
        <v/>
      </c>
      <c r="H1048" s="29">
        <v>8.9999999999999993E-3</v>
      </c>
      <c r="I1048" s="29">
        <v>1E-3</v>
      </c>
      <c r="K1048" s="21" t="str">
        <f>IF(E1048="","",IFERROR(VLOOKUP(E1048,REGRAS_CST!$A$2:$C$200,3,FALSE),""))</f>
        <v/>
      </c>
      <c r="L1048" s="23" t="str">
        <f>IF($G1048="", "", $G1048*(1-$V1048))</f>
        <v/>
      </c>
      <c r="M1048" s="24" t="str">
        <f>IF(OR($L1048="",$S1048=""),"",$L1048*$S1048)</f>
        <v/>
      </c>
      <c r="N1048" s="24" t="str">
        <f>IF(OR($L1048="",$T1048=""),"",$L1048*$T1048)</f>
        <v/>
      </c>
      <c r="O1048" s="15" t="str">
        <f>IF(D1048="","",
IF(AND(K1048&lt;&gt;"SIM",V1048&gt;0),"ERRO: % BC &gt; 0, mas NÃO permitida ❌",
IF(AND(K1048="SIM",V1048=0),"ATENÇÃO: BC permitida, mas % = 0 🔎",
"Base de cálculo aplicada corretamente ✅")))</f>
        <v/>
      </c>
      <c r="P1048" s="31" t="str">
        <f>IF(D1048="","",
IF(AND(Q1048&lt;&gt;"SIM",U1048&gt;0),"ERRO: % alíquota &gt; 0, mas NÃO permitida ❌",
IF(AND(Q1048="SIM",U1048=0),"ATENÇÃO: alíquota permitida, mas % = 0 🔎",
"Alíquota aplicada corretamente ✅")))</f>
        <v/>
      </c>
      <c r="Q1048" s="8" t="str">
        <f>IF(E1048="","",IFERROR(VLOOKUP(E1048,REGRAS_CST!$A$2:$D$200,4,FALSE),""))</f>
        <v/>
      </c>
      <c r="S1048" s="9">
        <f>IF($H1048="","",$H1048*(1-$U1048))</f>
        <v>8.9999999999999993E-3</v>
      </c>
      <c r="T1048" s="9">
        <f>IF($I1048="","",$I1048*(1-$U1048))</f>
        <v>1E-3</v>
      </c>
      <c r="U1048" s="16">
        <f>IFERROR(INDEX(BASE_CCLASSTRIB!$E:$E, MATCH(TEXT($D1048,"000000"), BASE_CCLASSTRIB!$A:$A, 0))/100, 0)</f>
        <v>0</v>
      </c>
      <c r="V1048" s="16">
        <f>IFERROR(INDEX(BASE_CCLASSTRIB!$F:$F, MATCH(TEXT($D1048,"000000"), BASE_CCLASSTRIB!$A:$A, 0))/100, 0)</f>
        <v>0</v>
      </c>
    </row>
    <row r="1049" spans="4:22" ht="32.25" customHeight="1">
      <c r="D1049" s="40"/>
      <c r="E1049" s="27" t="str">
        <f>IF(D1049="","",LEFT(D1049,3))</f>
        <v/>
      </c>
      <c r="F1049" s="28" t="str">
        <f>IF(E1049="","",IFERROR(VLOOKUP(E1049,REGRAS_CST!$A$2:$B$200,2,FALSE),""))</f>
        <v/>
      </c>
      <c r="H1049" s="29">
        <v>8.9999999999999993E-3</v>
      </c>
      <c r="I1049" s="29">
        <v>1E-3</v>
      </c>
      <c r="K1049" s="21" t="str">
        <f>IF(E1049="","",IFERROR(VLOOKUP(E1049,REGRAS_CST!$A$2:$C$200,3,FALSE),""))</f>
        <v/>
      </c>
      <c r="L1049" s="23" t="str">
        <f>IF($G1049="", "", $G1049*(1-$V1049))</f>
        <v/>
      </c>
      <c r="M1049" s="24" t="str">
        <f>IF(OR($L1049="",$S1049=""),"",$L1049*$S1049)</f>
        <v/>
      </c>
      <c r="N1049" s="24" t="str">
        <f>IF(OR($L1049="",$T1049=""),"",$L1049*$T1049)</f>
        <v/>
      </c>
      <c r="O1049" s="15" t="str">
        <f>IF(D1049="","",
IF(AND(K1049&lt;&gt;"SIM",V1049&gt;0),"ERRO: % BC &gt; 0, mas NÃO permitida ❌",
IF(AND(K1049="SIM",V1049=0),"ATENÇÃO: BC permitida, mas % = 0 🔎",
"Base de cálculo aplicada corretamente ✅")))</f>
        <v/>
      </c>
      <c r="P1049" s="31" t="str">
        <f>IF(D1049="","",
IF(AND(Q1049&lt;&gt;"SIM",U1049&gt;0),"ERRO: % alíquota &gt; 0, mas NÃO permitida ❌",
IF(AND(Q1049="SIM",U1049=0),"ATENÇÃO: alíquota permitida, mas % = 0 🔎",
"Alíquota aplicada corretamente ✅")))</f>
        <v/>
      </c>
      <c r="Q1049" s="8" t="str">
        <f>IF(E1049="","",IFERROR(VLOOKUP(E1049,REGRAS_CST!$A$2:$D$200,4,FALSE),""))</f>
        <v/>
      </c>
      <c r="S1049" s="9">
        <f>IF($H1049="","",$H1049*(1-$U1049))</f>
        <v>8.9999999999999993E-3</v>
      </c>
      <c r="T1049" s="9">
        <f>IF($I1049="","",$I1049*(1-$U1049))</f>
        <v>1E-3</v>
      </c>
      <c r="U1049" s="16">
        <f>IFERROR(INDEX(BASE_CCLASSTRIB!$E:$E, MATCH(TEXT($D1049,"000000"), BASE_CCLASSTRIB!$A:$A, 0))/100, 0)</f>
        <v>0</v>
      </c>
      <c r="V1049" s="16">
        <f>IFERROR(INDEX(BASE_CCLASSTRIB!$F:$F, MATCH(TEXT($D1049,"000000"), BASE_CCLASSTRIB!$A:$A, 0))/100, 0)</f>
        <v>0</v>
      </c>
    </row>
    <row r="1050" spans="4:22" ht="32.25" customHeight="1">
      <c r="D1050" s="39"/>
      <c r="E1050" s="27" t="str">
        <f>IF(D1050="","",LEFT(D1050,3))</f>
        <v/>
      </c>
      <c r="F1050" s="28" t="str">
        <f>IF(E1050="","",IFERROR(VLOOKUP(E1050,REGRAS_CST!$A$2:$B$200,2,FALSE),""))</f>
        <v/>
      </c>
      <c r="H1050" s="29">
        <v>8.9999999999999993E-3</v>
      </c>
      <c r="I1050" s="29">
        <v>1E-3</v>
      </c>
      <c r="K1050" s="21" t="str">
        <f>IF(E1050="","",IFERROR(VLOOKUP(E1050,REGRAS_CST!$A$2:$C$200,3,FALSE),""))</f>
        <v/>
      </c>
      <c r="L1050" s="23" t="str">
        <f>IF($G1050="", "", $G1050*(1-$V1050))</f>
        <v/>
      </c>
      <c r="M1050" s="24" t="str">
        <f>IF(OR($L1050="",$S1050=""),"",$L1050*$S1050)</f>
        <v/>
      </c>
      <c r="N1050" s="24" t="str">
        <f>IF(OR($L1050="",$T1050=""),"",$L1050*$T1050)</f>
        <v/>
      </c>
      <c r="O1050" s="15" t="str">
        <f>IF(D1050="","",
IF(AND(K1050&lt;&gt;"SIM",V1050&gt;0),"ERRO: % BC &gt; 0, mas NÃO permitida ❌",
IF(AND(K1050="SIM",V1050=0),"ATENÇÃO: BC permitida, mas % = 0 🔎",
"Base de cálculo aplicada corretamente ✅")))</f>
        <v/>
      </c>
      <c r="P1050" s="31" t="str">
        <f>IF(D1050="","",
IF(AND(Q1050&lt;&gt;"SIM",U1050&gt;0),"ERRO: % alíquota &gt; 0, mas NÃO permitida ❌",
IF(AND(Q1050="SIM",U1050=0),"ATENÇÃO: alíquota permitida, mas % = 0 🔎",
"Alíquota aplicada corretamente ✅")))</f>
        <v/>
      </c>
      <c r="Q1050" s="8" t="str">
        <f>IF(E1050="","",IFERROR(VLOOKUP(E1050,REGRAS_CST!$A$2:$D$200,4,FALSE),""))</f>
        <v/>
      </c>
      <c r="S1050" s="9">
        <f>IF($H1050="","",$H1050*(1-$U1050))</f>
        <v>8.9999999999999993E-3</v>
      </c>
      <c r="T1050" s="9">
        <f>IF($I1050="","",$I1050*(1-$U1050))</f>
        <v>1E-3</v>
      </c>
      <c r="U1050" s="16">
        <f>IFERROR(INDEX(BASE_CCLASSTRIB!$E:$E, MATCH(TEXT($D1050,"000000"), BASE_CCLASSTRIB!$A:$A, 0))/100, 0)</f>
        <v>0</v>
      </c>
      <c r="V1050" s="16">
        <f>IFERROR(INDEX(BASE_CCLASSTRIB!$F:$F, MATCH(TEXT($D1050,"000000"), BASE_CCLASSTRIB!$A:$A, 0))/100, 0)</f>
        <v>0</v>
      </c>
    </row>
    <row r="1051" spans="4:22" ht="32.25" customHeight="1">
      <c r="D1051" s="40"/>
      <c r="E1051" s="27" t="str">
        <f>IF(D1051="","",LEFT(D1051,3))</f>
        <v/>
      </c>
      <c r="F1051" s="28" t="str">
        <f>IF(E1051="","",IFERROR(VLOOKUP(E1051,REGRAS_CST!$A$2:$B$200,2,FALSE),""))</f>
        <v/>
      </c>
      <c r="H1051" s="29">
        <v>8.9999999999999993E-3</v>
      </c>
      <c r="I1051" s="29">
        <v>1E-3</v>
      </c>
      <c r="K1051" s="21" t="str">
        <f>IF(E1051="","",IFERROR(VLOOKUP(E1051,REGRAS_CST!$A$2:$C$200,3,FALSE),""))</f>
        <v/>
      </c>
      <c r="L1051" s="23" t="str">
        <f>IF($G1051="", "", $G1051*(1-$V1051))</f>
        <v/>
      </c>
      <c r="M1051" s="24" t="str">
        <f>IF(OR($L1051="",$S1051=""),"",$L1051*$S1051)</f>
        <v/>
      </c>
      <c r="N1051" s="24" t="str">
        <f>IF(OR($L1051="",$T1051=""),"",$L1051*$T1051)</f>
        <v/>
      </c>
      <c r="O1051" s="15" t="str">
        <f>IF(D1051="","",
IF(AND(K1051&lt;&gt;"SIM",V1051&gt;0),"ERRO: % BC &gt; 0, mas NÃO permitida ❌",
IF(AND(K1051="SIM",V1051=0),"ATENÇÃO: BC permitida, mas % = 0 🔎",
"Base de cálculo aplicada corretamente ✅")))</f>
        <v/>
      </c>
      <c r="P1051" s="31" t="str">
        <f>IF(D1051="","",
IF(AND(Q1051&lt;&gt;"SIM",U1051&gt;0),"ERRO: % alíquota &gt; 0, mas NÃO permitida ❌",
IF(AND(Q1051="SIM",U1051=0),"ATENÇÃO: alíquota permitida, mas % = 0 🔎",
"Alíquota aplicada corretamente ✅")))</f>
        <v/>
      </c>
      <c r="Q1051" s="8" t="str">
        <f>IF(E1051="","",IFERROR(VLOOKUP(E1051,REGRAS_CST!$A$2:$D$200,4,FALSE),""))</f>
        <v/>
      </c>
      <c r="S1051" s="9">
        <f>IF($H1051="","",$H1051*(1-$U1051))</f>
        <v>8.9999999999999993E-3</v>
      </c>
      <c r="T1051" s="9">
        <f>IF($I1051="","",$I1051*(1-$U1051))</f>
        <v>1E-3</v>
      </c>
      <c r="U1051" s="16">
        <f>IFERROR(INDEX(BASE_CCLASSTRIB!$E:$E, MATCH(TEXT($D1051,"000000"), BASE_CCLASSTRIB!$A:$A, 0))/100, 0)</f>
        <v>0</v>
      </c>
      <c r="V1051" s="16">
        <f>IFERROR(INDEX(BASE_CCLASSTRIB!$F:$F, MATCH(TEXT($D1051,"000000"), BASE_CCLASSTRIB!$A:$A, 0))/100, 0)</f>
        <v>0</v>
      </c>
    </row>
    <row r="1052" spans="4:22" ht="32.25" customHeight="1">
      <c r="D1052" s="40"/>
      <c r="E1052" s="27" t="str">
        <f>IF(D1052="","",LEFT(D1052,3))</f>
        <v/>
      </c>
      <c r="F1052" s="28" t="str">
        <f>IF(E1052="","",IFERROR(VLOOKUP(E1052,REGRAS_CST!$A$2:$B$200,2,FALSE),""))</f>
        <v/>
      </c>
      <c r="H1052" s="29">
        <v>8.9999999999999993E-3</v>
      </c>
      <c r="I1052" s="29">
        <v>1E-3</v>
      </c>
      <c r="K1052" s="21" t="str">
        <f>IF(E1052="","",IFERROR(VLOOKUP(E1052,REGRAS_CST!$A$2:$C$200,3,FALSE),""))</f>
        <v/>
      </c>
      <c r="L1052" s="23" t="str">
        <f>IF($G1052="", "", $G1052*(1-$V1052))</f>
        <v/>
      </c>
      <c r="M1052" s="24" t="str">
        <f>IF(OR($L1052="",$S1052=""),"",$L1052*$S1052)</f>
        <v/>
      </c>
      <c r="N1052" s="24" t="str">
        <f>IF(OR($L1052="",$T1052=""),"",$L1052*$T1052)</f>
        <v/>
      </c>
      <c r="O1052" s="15" t="str">
        <f>IF(D1052="","",
IF(AND(K1052&lt;&gt;"SIM",V1052&gt;0),"ERRO: % BC &gt; 0, mas NÃO permitida ❌",
IF(AND(K1052="SIM",V1052=0),"ATENÇÃO: BC permitida, mas % = 0 🔎",
"Base de cálculo aplicada corretamente ✅")))</f>
        <v/>
      </c>
      <c r="P1052" s="31" t="str">
        <f>IF(D1052="","",
IF(AND(Q1052&lt;&gt;"SIM",U1052&gt;0),"ERRO: % alíquota &gt; 0, mas NÃO permitida ❌",
IF(AND(Q1052="SIM",U1052=0),"ATENÇÃO: alíquota permitida, mas % = 0 🔎",
"Alíquota aplicada corretamente ✅")))</f>
        <v/>
      </c>
      <c r="Q1052" s="8" t="str">
        <f>IF(E1052="","",IFERROR(VLOOKUP(E1052,REGRAS_CST!$A$2:$D$200,4,FALSE),""))</f>
        <v/>
      </c>
      <c r="S1052" s="9">
        <f>IF($H1052="","",$H1052*(1-$U1052))</f>
        <v>8.9999999999999993E-3</v>
      </c>
      <c r="T1052" s="9">
        <f>IF($I1052="","",$I1052*(1-$U1052))</f>
        <v>1E-3</v>
      </c>
      <c r="U1052" s="16">
        <f>IFERROR(INDEX(BASE_CCLASSTRIB!$E:$E, MATCH(TEXT($D1052,"000000"), BASE_CCLASSTRIB!$A:$A, 0))/100, 0)</f>
        <v>0</v>
      </c>
      <c r="V1052" s="16">
        <f>IFERROR(INDEX(BASE_CCLASSTRIB!$F:$F, MATCH(TEXT($D1052,"000000"), BASE_CCLASSTRIB!$A:$A, 0))/100, 0)</f>
        <v>0</v>
      </c>
    </row>
    <row r="1053" spans="4:22" ht="32.25" customHeight="1">
      <c r="D1053" s="39"/>
      <c r="E1053" s="27" t="str">
        <f>IF(D1053="","",LEFT(D1053,3))</f>
        <v/>
      </c>
      <c r="F1053" s="28" t="str">
        <f>IF(E1053="","",IFERROR(VLOOKUP(E1053,REGRAS_CST!$A$2:$B$200,2,FALSE),""))</f>
        <v/>
      </c>
      <c r="H1053" s="29">
        <v>8.9999999999999993E-3</v>
      </c>
      <c r="I1053" s="29">
        <v>1E-3</v>
      </c>
      <c r="K1053" s="21" t="str">
        <f>IF(E1053="","",IFERROR(VLOOKUP(E1053,REGRAS_CST!$A$2:$C$200,3,FALSE),""))</f>
        <v/>
      </c>
      <c r="L1053" s="23" t="str">
        <f>IF($G1053="", "", $G1053*(1-$V1053))</f>
        <v/>
      </c>
      <c r="M1053" s="24" t="str">
        <f>IF(OR($L1053="",$S1053=""),"",$L1053*$S1053)</f>
        <v/>
      </c>
      <c r="N1053" s="24" t="str">
        <f>IF(OR($L1053="",$T1053=""),"",$L1053*$T1053)</f>
        <v/>
      </c>
      <c r="O1053" s="15" t="str">
        <f>IF(D1053="","",
IF(AND(K1053&lt;&gt;"SIM",V1053&gt;0),"ERRO: % BC &gt; 0, mas NÃO permitida ❌",
IF(AND(K1053="SIM",V1053=0),"ATENÇÃO: BC permitida, mas % = 0 🔎",
"Base de cálculo aplicada corretamente ✅")))</f>
        <v/>
      </c>
      <c r="P1053" s="31" t="str">
        <f>IF(D1053="","",
IF(AND(Q1053&lt;&gt;"SIM",U1053&gt;0),"ERRO: % alíquota &gt; 0, mas NÃO permitida ❌",
IF(AND(Q1053="SIM",U1053=0),"ATENÇÃO: alíquota permitida, mas % = 0 🔎",
"Alíquota aplicada corretamente ✅")))</f>
        <v/>
      </c>
      <c r="Q1053" s="8" t="str">
        <f>IF(E1053="","",IFERROR(VLOOKUP(E1053,REGRAS_CST!$A$2:$D$200,4,FALSE),""))</f>
        <v/>
      </c>
      <c r="S1053" s="9">
        <f>IF($H1053="","",$H1053*(1-$U1053))</f>
        <v>8.9999999999999993E-3</v>
      </c>
      <c r="T1053" s="9">
        <f>IF($I1053="","",$I1053*(1-$U1053))</f>
        <v>1E-3</v>
      </c>
      <c r="U1053" s="16">
        <f>IFERROR(INDEX(BASE_CCLASSTRIB!$E:$E, MATCH(TEXT($D1053,"000000"), BASE_CCLASSTRIB!$A:$A, 0))/100, 0)</f>
        <v>0</v>
      </c>
      <c r="V1053" s="16">
        <f>IFERROR(INDEX(BASE_CCLASSTRIB!$F:$F, MATCH(TEXT($D1053,"000000"), BASE_CCLASSTRIB!$A:$A, 0))/100, 0)</f>
        <v>0</v>
      </c>
    </row>
    <row r="1054" spans="4:22" ht="32.25" customHeight="1">
      <c r="D1054" s="40"/>
      <c r="E1054" s="27" t="str">
        <f>IF(D1054="","",LEFT(D1054,3))</f>
        <v/>
      </c>
      <c r="F1054" s="28" t="str">
        <f>IF(E1054="","",IFERROR(VLOOKUP(E1054,REGRAS_CST!$A$2:$B$200,2,FALSE),""))</f>
        <v/>
      </c>
      <c r="H1054" s="29">
        <v>8.9999999999999993E-3</v>
      </c>
      <c r="I1054" s="29">
        <v>1E-3</v>
      </c>
      <c r="K1054" s="21" t="str">
        <f>IF(E1054="","",IFERROR(VLOOKUP(E1054,REGRAS_CST!$A$2:$C$200,3,FALSE),""))</f>
        <v/>
      </c>
      <c r="L1054" s="23" t="str">
        <f>IF($G1054="", "", $G1054*(1-$V1054))</f>
        <v/>
      </c>
      <c r="M1054" s="24" t="str">
        <f>IF(OR($L1054="",$S1054=""),"",$L1054*$S1054)</f>
        <v/>
      </c>
      <c r="N1054" s="24" t="str">
        <f>IF(OR($L1054="",$T1054=""),"",$L1054*$T1054)</f>
        <v/>
      </c>
      <c r="O1054" s="15" t="str">
        <f>IF(D1054="","",
IF(AND(K1054&lt;&gt;"SIM",V1054&gt;0),"ERRO: % BC &gt; 0, mas NÃO permitida ❌",
IF(AND(K1054="SIM",V1054=0),"ATENÇÃO: BC permitida, mas % = 0 🔎",
"Base de cálculo aplicada corretamente ✅")))</f>
        <v/>
      </c>
      <c r="P1054" s="31" t="str">
        <f>IF(D1054="","",
IF(AND(Q1054&lt;&gt;"SIM",U1054&gt;0),"ERRO: % alíquota &gt; 0, mas NÃO permitida ❌",
IF(AND(Q1054="SIM",U1054=0),"ATENÇÃO: alíquota permitida, mas % = 0 🔎",
"Alíquota aplicada corretamente ✅")))</f>
        <v/>
      </c>
      <c r="Q1054" s="8" t="str">
        <f>IF(E1054="","",IFERROR(VLOOKUP(E1054,REGRAS_CST!$A$2:$D$200,4,FALSE),""))</f>
        <v/>
      </c>
      <c r="S1054" s="9">
        <f>IF($H1054="","",$H1054*(1-$U1054))</f>
        <v>8.9999999999999993E-3</v>
      </c>
      <c r="T1054" s="9">
        <f>IF($I1054="","",$I1054*(1-$U1054))</f>
        <v>1E-3</v>
      </c>
      <c r="U1054" s="16">
        <f>IFERROR(INDEX(BASE_CCLASSTRIB!$E:$E, MATCH(TEXT($D1054,"000000"), BASE_CCLASSTRIB!$A:$A, 0))/100, 0)</f>
        <v>0</v>
      </c>
      <c r="V1054" s="16">
        <f>IFERROR(INDEX(BASE_CCLASSTRIB!$F:$F, MATCH(TEXT($D1054,"000000"), BASE_CCLASSTRIB!$A:$A, 0))/100, 0)</f>
        <v>0</v>
      </c>
    </row>
    <row r="1055" spans="4:22" ht="32.25" customHeight="1">
      <c r="D1055" s="40"/>
      <c r="E1055" s="27" t="str">
        <f>IF(D1055="","",LEFT(D1055,3))</f>
        <v/>
      </c>
      <c r="F1055" s="28" t="str">
        <f>IF(E1055="","",IFERROR(VLOOKUP(E1055,REGRAS_CST!$A$2:$B$200,2,FALSE),""))</f>
        <v/>
      </c>
      <c r="H1055" s="29">
        <v>8.9999999999999993E-3</v>
      </c>
      <c r="I1055" s="29">
        <v>1E-3</v>
      </c>
      <c r="K1055" s="21" t="str">
        <f>IF(E1055="","",IFERROR(VLOOKUP(E1055,REGRAS_CST!$A$2:$C$200,3,FALSE),""))</f>
        <v/>
      </c>
      <c r="L1055" s="23" t="str">
        <f>IF($G1055="", "", $G1055*(1-$V1055))</f>
        <v/>
      </c>
      <c r="M1055" s="24" t="str">
        <f>IF(OR($L1055="",$S1055=""),"",$L1055*$S1055)</f>
        <v/>
      </c>
      <c r="N1055" s="24" t="str">
        <f>IF(OR($L1055="",$T1055=""),"",$L1055*$T1055)</f>
        <v/>
      </c>
      <c r="O1055" s="15" t="str">
        <f>IF(D1055="","",
IF(AND(K1055&lt;&gt;"SIM",V1055&gt;0),"ERRO: % BC &gt; 0, mas NÃO permitida ❌",
IF(AND(K1055="SIM",V1055=0),"ATENÇÃO: BC permitida, mas % = 0 🔎",
"Base de cálculo aplicada corretamente ✅")))</f>
        <v/>
      </c>
      <c r="P1055" s="31" t="str">
        <f>IF(D1055="","",
IF(AND(Q1055&lt;&gt;"SIM",U1055&gt;0),"ERRO: % alíquota &gt; 0, mas NÃO permitida ❌",
IF(AND(Q1055="SIM",U1055=0),"ATENÇÃO: alíquota permitida, mas % = 0 🔎",
"Alíquota aplicada corretamente ✅")))</f>
        <v/>
      </c>
      <c r="Q1055" s="8" t="str">
        <f>IF(E1055="","",IFERROR(VLOOKUP(E1055,REGRAS_CST!$A$2:$D$200,4,FALSE),""))</f>
        <v/>
      </c>
      <c r="S1055" s="9">
        <f>IF($H1055="","",$H1055*(1-$U1055))</f>
        <v>8.9999999999999993E-3</v>
      </c>
      <c r="T1055" s="9">
        <f>IF($I1055="","",$I1055*(1-$U1055))</f>
        <v>1E-3</v>
      </c>
      <c r="U1055" s="16">
        <f>IFERROR(INDEX(BASE_CCLASSTRIB!$E:$E, MATCH(TEXT($D1055,"000000"), BASE_CCLASSTRIB!$A:$A, 0))/100, 0)</f>
        <v>0</v>
      </c>
      <c r="V1055" s="16">
        <f>IFERROR(INDEX(BASE_CCLASSTRIB!$F:$F, MATCH(TEXT($D1055,"000000"), BASE_CCLASSTRIB!$A:$A, 0))/100, 0)</f>
        <v>0</v>
      </c>
    </row>
    <row r="1056" spans="4:22" ht="32.25" customHeight="1">
      <c r="D1056" s="40"/>
      <c r="E1056" s="27" t="str">
        <f>IF(D1056="","",LEFT(D1056,3))</f>
        <v/>
      </c>
      <c r="F1056" s="28" t="str">
        <f>IF(E1056="","",IFERROR(VLOOKUP(E1056,REGRAS_CST!$A$2:$B$200,2,FALSE),""))</f>
        <v/>
      </c>
      <c r="H1056" s="29">
        <v>8.9999999999999993E-3</v>
      </c>
      <c r="I1056" s="29">
        <v>1E-3</v>
      </c>
      <c r="K1056" s="21" t="str">
        <f>IF(E1056="","",IFERROR(VLOOKUP(E1056,REGRAS_CST!$A$2:$C$200,3,FALSE),""))</f>
        <v/>
      </c>
      <c r="L1056" s="23" t="str">
        <f>IF($G1056="", "", $G1056*(1-$V1056))</f>
        <v/>
      </c>
      <c r="M1056" s="24" t="str">
        <f>IF(OR($L1056="",$S1056=""),"",$L1056*$S1056)</f>
        <v/>
      </c>
      <c r="N1056" s="24" t="str">
        <f>IF(OR($L1056="",$T1056=""),"",$L1056*$T1056)</f>
        <v/>
      </c>
      <c r="O1056" s="15" t="str">
        <f>IF(D1056="","",
IF(AND(K1056&lt;&gt;"SIM",V1056&gt;0),"ERRO: % BC &gt; 0, mas NÃO permitida ❌",
IF(AND(K1056="SIM",V1056=0),"ATENÇÃO: BC permitida, mas % = 0 🔎",
"Base de cálculo aplicada corretamente ✅")))</f>
        <v/>
      </c>
      <c r="P1056" s="31" t="str">
        <f>IF(D1056="","",
IF(AND(Q1056&lt;&gt;"SIM",U1056&gt;0),"ERRO: % alíquota &gt; 0, mas NÃO permitida ❌",
IF(AND(Q1056="SIM",U1056=0),"ATENÇÃO: alíquota permitida, mas % = 0 🔎",
"Alíquota aplicada corretamente ✅")))</f>
        <v/>
      </c>
      <c r="Q1056" s="8" t="str">
        <f>IF(E1056="","",IFERROR(VLOOKUP(E1056,REGRAS_CST!$A$2:$D$200,4,FALSE),""))</f>
        <v/>
      </c>
      <c r="S1056" s="9">
        <f>IF($H1056="","",$H1056*(1-$U1056))</f>
        <v>8.9999999999999993E-3</v>
      </c>
      <c r="T1056" s="9">
        <f>IF($I1056="","",$I1056*(1-$U1056))</f>
        <v>1E-3</v>
      </c>
      <c r="U1056" s="16">
        <f>IFERROR(INDEX(BASE_CCLASSTRIB!$E:$E, MATCH(TEXT($D1056,"000000"), BASE_CCLASSTRIB!$A:$A, 0))/100, 0)</f>
        <v>0</v>
      </c>
      <c r="V1056" s="16">
        <f>IFERROR(INDEX(BASE_CCLASSTRIB!$F:$F, MATCH(TEXT($D1056,"000000"), BASE_CCLASSTRIB!$A:$A, 0))/100, 0)</f>
        <v>0</v>
      </c>
    </row>
    <row r="1057" spans="4:22" ht="32.25" customHeight="1">
      <c r="D1057" s="39"/>
      <c r="E1057" s="27" t="str">
        <f>IF(D1057="","",LEFT(D1057,3))</f>
        <v/>
      </c>
      <c r="F1057" s="28" t="str">
        <f>IF(E1057="","",IFERROR(VLOOKUP(E1057,REGRAS_CST!$A$2:$B$200,2,FALSE),""))</f>
        <v/>
      </c>
      <c r="H1057" s="29">
        <v>8.9999999999999993E-3</v>
      </c>
      <c r="I1057" s="29">
        <v>1E-3</v>
      </c>
      <c r="K1057" s="21" t="str">
        <f>IF(E1057="","",IFERROR(VLOOKUP(E1057,REGRAS_CST!$A$2:$C$200,3,FALSE),""))</f>
        <v/>
      </c>
      <c r="L1057" s="23" t="str">
        <f>IF($G1057="", "", $G1057*(1-$V1057))</f>
        <v/>
      </c>
      <c r="M1057" s="24" t="str">
        <f>IF(OR($L1057="",$S1057=""),"",$L1057*$S1057)</f>
        <v/>
      </c>
      <c r="N1057" s="24" t="str">
        <f>IF(OR($L1057="",$T1057=""),"",$L1057*$T1057)</f>
        <v/>
      </c>
      <c r="O1057" s="15" t="str">
        <f>IF(D1057="","",
IF(AND(K1057&lt;&gt;"SIM",V1057&gt;0),"ERRO: % BC &gt; 0, mas NÃO permitida ❌",
IF(AND(K1057="SIM",V1057=0),"ATENÇÃO: BC permitida, mas % = 0 🔎",
"Base de cálculo aplicada corretamente ✅")))</f>
        <v/>
      </c>
      <c r="P1057" s="31" t="str">
        <f>IF(D1057="","",
IF(AND(Q1057&lt;&gt;"SIM",U1057&gt;0),"ERRO: % alíquota &gt; 0, mas NÃO permitida ❌",
IF(AND(Q1057="SIM",U1057=0),"ATENÇÃO: alíquota permitida, mas % = 0 🔎",
"Alíquota aplicada corretamente ✅")))</f>
        <v/>
      </c>
      <c r="Q1057" s="8" t="str">
        <f>IF(E1057="","",IFERROR(VLOOKUP(E1057,REGRAS_CST!$A$2:$D$200,4,FALSE),""))</f>
        <v/>
      </c>
      <c r="S1057" s="9">
        <f>IF($H1057="","",$H1057*(1-$U1057))</f>
        <v>8.9999999999999993E-3</v>
      </c>
      <c r="T1057" s="9">
        <f>IF($I1057="","",$I1057*(1-$U1057))</f>
        <v>1E-3</v>
      </c>
      <c r="U1057" s="16">
        <f>IFERROR(INDEX(BASE_CCLASSTRIB!$E:$E, MATCH(TEXT($D1057,"000000"), BASE_CCLASSTRIB!$A:$A, 0))/100, 0)</f>
        <v>0</v>
      </c>
      <c r="V1057" s="16">
        <f>IFERROR(INDEX(BASE_CCLASSTRIB!$F:$F, MATCH(TEXT($D1057,"000000"), BASE_CCLASSTRIB!$A:$A, 0))/100, 0)</f>
        <v>0</v>
      </c>
    </row>
    <row r="1058" spans="4:22" ht="32.25" customHeight="1">
      <c r="D1058" s="39"/>
      <c r="E1058" s="27" t="str">
        <f>IF(D1058="","",LEFT(D1058,3))</f>
        <v/>
      </c>
      <c r="F1058" s="28" t="str">
        <f>IF(E1058="","",IFERROR(VLOOKUP(E1058,REGRAS_CST!$A$2:$B$200,2,FALSE),""))</f>
        <v/>
      </c>
      <c r="H1058" s="29">
        <v>8.9999999999999993E-3</v>
      </c>
      <c r="I1058" s="29">
        <v>1E-3</v>
      </c>
      <c r="K1058" s="21" t="str">
        <f>IF(E1058="","",IFERROR(VLOOKUP(E1058,REGRAS_CST!$A$2:$C$200,3,FALSE),""))</f>
        <v/>
      </c>
      <c r="L1058" s="23" t="str">
        <f>IF($G1058="", "", $G1058*(1-$V1058))</f>
        <v/>
      </c>
      <c r="M1058" s="24" t="str">
        <f>IF(OR($L1058="",$S1058=""),"",$L1058*$S1058)</f>
        <v/>
      </c>
      <c r="N1058" s="24" t="str">
        <f>IF(OR($L1058="",$T1058=""),"",$L1058*$T1058)</f>
        <v/>
      </c>
      <c r="O1058" s="15" t="str">
        <f>IF(D1058="","",
IF(AND(K1058&lt;&gt;"SIM",V1058&gt;0),"ERRO: % BC &gt; 0, mas NÃO permitida ❌",
IF(AND(K1058="SIM",V1058=0),"ATENÇÃO: BC permitida, mas % = 0 🔎",
"Base de cálculo aplicada corretamente ✅")))</f>
        <v/>
      </c>
      <c r="P1058" s="31" t="str">
        <f>IF(D1058="","",
IF(AND(Q1058&lt;&gt;"SIM",U1058&gt;0),"ERRO: % alíquota &gt; 0, mas NÃO permitida ❌",
IF(AND(Q1058="SIM",U1058=0),"ATENÇÃO: alíquota permitida, mas % = 0 🔎",
"Alíquota aplicada corretamente ✅")))</f>
        <v/>
      </c>
      <c r="Q1058" s="8" t="str">
        <f>IF(E1058="","",IFERROR(VLOOKUP(E1058,REGRAS_CST!$A$2:$D$200,4,FALSE),""))</f>
        <v/>
      </c>
      <c r="S1058" s="9">
        <f>IF($H1058="","",$H1058*(1-$U1058))</f>
        <v>8.9999999999999993E-3</v>
      </c>
      <c r="T1058" s="9">
        <f>IF($I1058="","",$I1058*(1-$U1058))</f>
        <v>1E-3</v>
      </c>
      <c r="U1058" s="16">
        <f>IFERROR(INDEX(BASE_CCLASSTRIB!$E:$E, MATCH(TEXT($D1058,"000000"), BASE_CCLASSTRIB!$A:$A, 0))/100, 0)</f>
        <v>0</v>
      </c>
      <c r="V1058" s="16">
        <f>IFERROR(INDEX(BASE_CCLASSTRIB!$F:$F, MATCH(TEXT($D1058,"000000"), BASE_CCLASSTRIB!$A:$A, 0))/100, 0)</f>
        <v>0</v>
      </c>
    </row>
    <row r="1059" spans="4:22" ht="32.25" customHeight="1">
      <c r="D1059" s="39"/>
      <c r="E1059" s="27" t="str">
        <f>IF(D1059="","",LEFT(D1059,3))</f>
        <v/>
      </c>
      <c r="F1059" s="28" t="str">
        <f>IF(E1059="","",IFERROR(VLOOKUP(E1059,REGRAS_CST!$A$2:$B$200,2,FALSE),""))</f>
        <v/>
      </c>
      <c r="H1059" s="29">
        <v>8.9999999999999993E-3</v>
      </c>
      <c r="I1059" s="29">
        <v>1E-3</v>
      </c>
      <c r="K1059" s="21" t="str">
        <f>IF(E1059="","",IFERROR(VLOOKUP(E1059,REGRAS_CST!$A$2:$C$200,3,FALSE),""))</f>
        <v/>
      </c>
      <c r="L1059" s="23" t="str">
        <f>IF($G1059="", "", $G1059*(1-$V1059))</f>
        <v/>
      </c>
      <c r="M1059" s="24" t="str">
        <f>IF(OR($L1059="",$S1059=""),"",$L1059*$S1059)</f>
        <v/>
      </c>
      <c r="N1059" s="24" t="str">
        <f>IF(OR($L1059="",$T1059=""),"",$L1059*$T1059)</f>
        <v/>
      </c>
      <c r="O1059" s="15" t="str">
        <f>IF(D1059="","",
IF(AND(K1059&lt;&gt;"SIM",V1059&gt;0),"ERRO: % BC &gt; 0, mas NÃO permitida ❌",
IF(AND(K1059="SIM",V1059=0),"ATENÇÃO: BC permitida, mas % = 0 🔎",
"Base de cálculo aplicada corretamente ✅")))</f>
        <v/>
      </c>
      <c r="P1059" s="31" t="str">
        <f>IF(D1059="","",
IF(AND(Q1059&lt;&gt;"SIM",U1059&gt;0),"ERRO: % alíquota &gt; 0, mas NÃO permitida ❌",
IF(AND(Q1059="SIM",U1059=0),"ATENÇÃO: alíquota permitida, mas % = 0 🔎",
"Alíquota aplicada corretamente ✅")))</f>
        <v/>
      </c>
      <c r="Q1059" s="8" t="str">
        <f>IF(E1059="","",IFERROR(VLOOKUP(E1059,REGRAS_CST!$A$2:$D$200,4,FALSE),""))</f>
        <v/>
      </c>
      <c r="S1059" s="9">
        <f>IF($H1059="","",$H1059*(1-$U1059))</f>
        <v>8.9999999999999993E-3</v>
      </c>
      <c r="T1059" s="9">
        <f>IF($I1059="","",$I1059*(1-$U1059))</f>
        <v>1E-3</v>
      </c>
      <c r="U1059" s="16">
        <f>IFERROR(INDEX(BASE_CCLASSTRIB!$E:$E, MATCH(TEXT($D1059,"000000"), BASE_CCLASSTRIB!$A:$A, 0))/100, 0)</f>
        <v>0</v>
      </c>
      <c r="V1059" s="16">
        <f>IFERROR(INDEX(BASE_CCLASSTRIB!$F:$F, MATCH(TEXT($D1059,"000000"), BASE_CCLASSTRIB!$A:$A, 0))/100, 0)</f>
        <v>0</v>
      </c>
    </row>
    <row r="1060" spans="4:22" ht="32.25" customHeight="1">
      <c r="D1060" s="40"/>
      <c r="E1060" s="27" t="str">
        <f>IF(D1060="","",LEFT(D1060,3))</f>
        <v/>
      </c>
      <c r="F1060" s="28" t="str">
        <f>IF(E1060="","",IFERROR(VLOOKUP(E1060,REGRAS_CST!$A$2:$B$200,2,FALSE),""))</f>
        <v/>
      </c>
      <c r="H1060" s="29">
        <v>8.9999999999999993E-3</v>
      </c>
      <c r="I1060" s="29">
        <v>1E-3</v>
      </c>
      <c r="K1060" s="21" t="str">
        <f>IF(E1060="","",IFERROR(VLOOKUP(E1060,REGRAS_CST!$A$2:$C$200,3,FALSE),""))</f>
        <v/>
      </c>
      <c r="L1060" s="23" t="str">
        <f>IF($G1060="", "", $G1060*(1-$V1060))</f>
        <v/>
      </c>
      <c r="M1060" s="24" t="str">
        <f>IF(OR($L1060="",$S1060=""),"",$L1060*$S1060)</f>
        <v/>
      </c>
      <c r="N1060" s="24" t="str">
        <f>IF(OR($L1060="",$T1060=""),"",$L1060*$T1060)</f>
        <v/>
      </c>
      <c r="O1060" s="15" t="str">
        <f>IF(D1060="","",
IF(AND(K1060&lt;&gt;"SIM",V1060&gt;0),"ERRO: % BC &gt; 0, mas NÃO permitida ❌",
IF(AND(K1060="SIM",V1060=0),"ATENÇÃO: BC permitida, mas % = 0 🔎",
"Base de cálculo aplicada corretamente ✅")))</f>
        <v/>
      </c>
      <c r="P1060" s="31" t="str">
        <f>IF(D1060="","",
IF(AND(Q1060&lt;&gt;"SIM",U1060&gt;0),"ERRO: % alíquota &gt; 0, mas NÃO permitida ❌",
IF(AND(Q1060="SIM",U1060=0),"ATENÇÃO: alíquota permitida, mas % = 0 🔎",
"Alíquota aplicada corretamente ✅")))</f>
        <v/>
      </c>
      <c r="Q1060" s="8" t="str">
        <f>IF(E1060="","",IFERROR(VLOOKUP(E1060,REGRAS_CST!$A$2:$D$200,4,FALSE),""))</f>
        <v/>
      </c>
      <c r="S1060" s="9">
        <f>IF($H1060="","",$H1060*(1-$U1060))</f>
        <v>8.9999999999999993E-3</v>
      </c>
      <c r="T1060" s="9">
        <f>IF($I1060="","",$I1060*(1-$U1060))</f>
        <v>1E-3</v>
      </c>
      <c r="U1060" s="16">
        <f>IFERROR(INDEX(BASE_CCLASSTRIB!$E:$E, MATCH(TEXT($D1060,"000000"), BASE_CCLASSTRIB!$A:$A, 0))/100, 0)</f>
        <v>0</v>
      </c>
      <c r="V1060" s="16">
        <f>IFERROR(INDEX(BASE_CCLASSTRIB!$F:$F, MATCH(TEXT($D1060,"000000"), BASE_CCLASSTRIB!$A:$A, 0))/100, 0)</f>
        <v>0</v>
      </c>
    </row>
    <row r="1061" spans="4:22" ht="32.25" customHeight="1">
      <c r="D1061" s="39"/>
      <c r="E1061" s="27" t="str">
        <f>IF(D1061="","",LEFT(D1061,3))</f>
        <v/>
      </c>
      <c r="F1061" s="28" t="str">
        <f>IF(E1061="","",IFERROR(VLOOKUP(E1061,REGRAS_CST!$A$2:$B$200,2,FALSE),""))</f>
        <v/>
      </c>
      <c r="H1061" s="29">
        <v>8.9999999999999993E-3</v>
      </c>
      <c r="I1061" s="29">
        <v>1E-3</v>
      </c>
      <c r="K1061" s="21" t="str">
        <f>IF(E1061="","",IFERROR(VLOOKUP(E1061,REGRAS_CST!$A$2:$C$200,3,FALSE),""))</f>
        <v/>
      </c>
      <c r="L1061" s="23" t="str">
        <f>IF($G1061="", "", $G1061*(1-$V1061))</f>
        <v/>
      </c>
      <c r="M1061" s="24" t="str">
        <f>IF(OR($L1061="",$S1061=""),"",$L1061*$S1061)</f>
        <v/>
      </c>
      <c r="N1061" s="24" t="str">
        <f>IF(OR($L1061="",$T1061=""),"",$L1061*$T1061)</f>
        <v/>
      </c>
      <c r="O1061" s="15" t="str">
        <f>IF(D1061="","",
IF(AND(K1061&lt;&gt;"SIM",V1061&gt;0),"ERRO: % BC &gt; 0, mas NÃO permitida ❌",
IF(AND(K1061="SIM",V1061=0),"ATENÇÃO: BC permitida, mas % = 0 🔎",
"Base de cálculo aplicada corretamente ✅")))</f>
        <v/>
      </c>
      <c r="P1061" s="31" t="str">
        <f>IF(D1061="","",
IF(AND(Q1061&lt;&gt;"SIM",U1061&gt;0),"ERRO: % alíquota &gt; 0, mas NÃO permitida ❌",
IF(AND(Q1061="SIM",U1061=0),"ATENÇÃO: alíquota permitida, mas % = 0 🔎",
"Alíquota aplicada corretamente ✅")))</f>
        <v/>
      </c>
      <c r="Q1061" s="8" t="str">
        <f>IF(E1061="","",IFERROR(VLOOKUP(E1061,REGRAS_CST!$A$2:$D$200,4,FALSE),""))</f>
        <v/>
      </c>
      <c r="S1061" s="9">
        <f>IF($H1061="","",$H1061*(1-$U1061))</f>
        <v>8.9999999999999993E-3</v>
      </c>
      <c r="T1061" s="9">
        <f>IF($I1061="","",$I1061*(1-$U1061))</f>
        <v>1E-3</v>
      </c>
      <c r="U1061" s="16">
        <f>IFERROR(INDEX(BASE_CCLASSTRIB!$E:$E, MATCH(TEXT($D1061,"000000"), BASE_CCLASSTRIB!$A:$A, 0))/100, 0)</f>
        <v>0</v>
      </c>
      <c r="V1061" s="16">
        <f>IFERROR(INDEX(BASE_CCLASSTRIB!$F:$F, MATCH(TEXT($D1061,"000000"), BASE_CCLASSTRIB!$A:$A, 0))/100, 0)</f>
        <v>0</v>
      </c>
    </row>
    <row r="1062" spans="4:22" ht="32.25" customHeight="1">
      <c r="D1062" s="40"/>
      <c r="E1062" s="27" t="str">
        <f>IF(D1062="","",LEFT(D1062,3))</f>
        <v/>
      </c>
      <c r="F1062" s="28" t="str">
        <f>IF(E1062="","",IFERROR(VLOOKUP(E1062,REGRAS_CST!$A$2:$B$200,2,FALSE),""))</f>
        <v/>
      </c>
      <c r="H1062" s="29">
        <v>8.9999999999999993E-3</v>
      </c>
      <c r="I1062" s="29">
        <v>1E-3</v>
      </c>
      <c r="K1062" s="21" t="str">
        <f>IF(E1062="","",IFERROR(VLOOKUP(E1062,REGRAS_CST!$A$2:$C$200,3,FALSE),""))</f>
        <v/>
      </c>
      <c r="L1062" s="23" t="str">
        <f>IF($G1062="", "", $G1062*(1-$V1062))</f>
        <v/>
      </c>
      <c r="M1062" s="24" t="str">
        <f>IF(OR($L1062="",$S1062=""),"",$L1062*$S1062)</f>
        <v/>
      </c>
      <c r="N1062" s="24" t="str">
        <f>IF(OR($L1062="",$T1062=""),"",$L1062*$T1062)</f>
        <v/>
      </c>
      <c r="O1062" s="15" t="str">
        <f>IF(D1062="","",
IF(AND(K1062&lt;&gt;"SIM",V1062&gt;0),"ERRO: % BC &gt; 0, mas NÃO permitida ❌",
IF(AND(K1062="SIM",V1062=0),"ATENÇÃO: BC permitida, mas % = 0 🔎",
"Base de cálculo aplicada corretamente ✅")))</f>
        <v/>
      </c>
      <c r="P1062" s="31" t="str">
        <f>IF(D1062="","",
IF(AND(Q1062&lt;&gt;"SIM",U1062&gt;0),"ERRO: % alíquota &gt; 0, mas NÃO permitida ❌",
IF(AND(Q1062="SIM",U1062=0),"ATENÇÃO: alíquota permitida, mas % = 0 🔎",
"Alíquota aplicada corretamente ✅")))</f>
        <v/>
      </c>
      <c r="Q1062" s="8" t="str">
        <f>IF(E1062="","",IFERROR(VLOOKUP(E1062,REGRAS_CST!$A$2:$D$200,4,FALSE),""))</f>
        <v/>
      </c>
      <c r="S1062" s="9">
        <f>IF($H1062="","",$H1062*(1-$U1062))</f>
        <v>8.9999999999999993E-3</v>
      </c>
      <c r="T1062" s="9">
        <f>IF($I1062="","",$I1062*(1-$U1062))</f>
        <v>1E-3</v>
      </c>
      <c r="U1062" s="16">
        <f>IFERROR(INDEX(BASE_CCLASSTRIB!$E:$E, MATCH(TEXT($D1062,"000000"), BASE_CCLASSTRIB!$A:$A, 0))/100, 0)</f>
        <v>0</v>
      </c>
      <c r="V1062" s="16">
        <f>IFERROR(INDEX(BASE_CCLASSTRIB!$F:$F, MATCH(TEXT($D1062,"000000"), BASE_CCLASSTRIB!$A:$A, 0))/100, 0)</f>
        <v>0</v>
      </c>
    </row>
    <row r="1063" spans="4:22" ht="32.25" customHeight="1">
      <c r="D1063" s="39"/>
      <c r="E1063" s="27" t="str">
        <f>IF(D1063="","",LEFT(D1063,3))</f>
        <v/>
      </c>
      <c r="F1063" s="28" t="str">
        <f>IF(E1063="","",IFERROR(VLOOKUP(E1063,REGRAS_CST!$A$2:$B$200,2,FALSE),""))</f>
        <v/>
      </c>
      <c r="H1063" s="29">
        <v>8.9999999999999993E-3</v>
      </c>
      <c r="I1063" s="29">
        <v>1E-3</v>
      </c>
      <c r="K1063" s="21" t="str">
        <f>IF(E1063="","",IFERROR(VLOOKUP(E1063,REGRAS_CST!$A$2:$C$200,3,FALSE),""))</f>
        <v/>
      </c>
      <c r="L1063" s="23" t="str">
        <f>IF($G1063="", "", $G1063*(1-$V1063))</f>
        <v/>
      </c>
      <c r="M1063" s="24" t="str">
        <f>IF(OR($L1063="",$S1063=""),"",$L1063*$S1063)</f>
        <v/>
      </c>
      <c r="N1063" s="24" t="str">
        <f>IF(OR($L1063="",$T1063=""),"",$L1063*$T1063)</f>
        <v/>
      </c>
      <c r="O1063" s="15" t="str">
        <f>IF(D1063="","",
IF(AND(K1063&lt;&gt;"SIM",V1063&gt;0),"ERRO: % BC &gt; 0, mas NÃO permitida ❌",
IF(AND(K1063="SIM",V1063=0),"ATENÇÃO: BC permitida, mas % = 0 🔎",
"Base de cálculo aplicada corretamente ✅")))</f>
        <v/>
      </c>
      <c r="P1063" s="31" t="str">
        <f>IF(D1063="","",
IF(AND(Q1063&lt;&gt;"SIM",U1063&gt;0),"ERRO: % alíquota &gt; 0, mas NÃO permitida ❌",
IF(AND(Q1063="SIM",U1063=0),"ATENÇÃO: alíquota permitida, mas % = 0 🔎",
"Alíquota aplicada corretamente ✅")))</f>
        <v/>
      </c>
      <c r="Q1063" s="8" t="str">
        <f>IF(E1063="","",IFERROR(VLOOKUP(E1063,REGRAS_CST!$A$2:$D$200,4,FALSE),""))</f>
        <v/>
      </c>
      <c r="S1063" s="9">
        <f>IF($H1063="","",$H1063*(1-$U1063))</f>
        <v>8.9999999999999993E-3</v>
      </c>
      <c r="T1063" s="9">
        <f>IF($I1063="","",$I1063*(1-$U1063))</f>
        <v>1E-3</v>
      </c>
      <c r="U1063" s="16">
        <f>IFERROR(INDEX(BASE_CCLASSTRIB!$E:$E, MATCH(TEXT($D1063,"000000"), BASE_CCLASSTRIB!$A:$A, 0))/100, 0)</f>
        <v>0</v>
      </c>
      <c r="V1063" s="16">
        <f>IFERROR(INDEX(BASE_CCLASSTRIB!$F:$F, MATCH(TEXT($D1063,"000000"), BASE_CCLASSTRIB!$A:$A, 0))/100, 0)</f>
        <v>0</v>
      </c>
    </row>
    <row r="1064" spans="4:22" ht="32.25" customHeight="1">
      <c r="D1064" s="39"/>
      <c r="E1064" s="27" t="str">
        <f>IF(D1064="","",LEFT(D1064,3))</f>
        <v/>
      </c>
      <c r="F1064" s="28" t="str">
        <f>IF(E1064="","",IFERROR(VLOOKUP(E1064,REGRAS_CST!$A$2:$B$200,2,FALSE),""))</f>
        <v/>
      </c>
      <c r="H1064" s="29">
        <v>8.9999999999999993E-3</v>
      </c>
      <c r="I1064" s="29">
        <v>1E-3</v>
      </c>
      <c r="K1064" s="21" t="str">
        <f>IF(E1064="","",IFERROR(VLOOKUP(E1064,REGRAS_CST!$A$2:$C$200,3,FALSE),""))</f>
        <v/>
      </c>
      <c r="L1064" s="23" t="str">
        <f>IF($G1064="", "", $G1064*(1-$V1064))</f>
        <v/>
      </c>
      <c r="M1064" s="24" t="str">
        <f>IF(OR($L1064="",$S1064=""),"",$L1064*$S1064)</f>
        <v/>
      </c>
      <c r="N1064" s="24" t="str">
        <f>IF(OR($L1064="",$T1064=""),"",$L1064*$T1064)</f>
        <v/>
      </c>
      <c r="O1064" s="15" t="str">
        <f>IF(D1064="","",
IF(AND(K1064&lt;&gt;"SIM",V1064&gt;0),"ERRO: % BC &gt; 0, mas NÃO permitida ❌",
IF(AND(K1064="SIM",V1064=0),"ATENÇÃO: BC permitida, mas % = 0 🔎",
"Base de cálculo aplicada corretamente ✅")))</f>
        <v/>
      </c>
      <c r="P1064" s="31" t="str">
        <f>IF(D1064="","",
IF(AND(Q1064&lt;&gt;"SIM",U1064&gt;0),"ERRO: % alíquota &gt; 0, mas NÃO permitida ❌",
IF(AND(Q1064="SIM",U1064=0),"ATENÇÃO: alíquota permitida, mas % = 0 🔎",
"Alíquota aplicada corretamente ✅")))</f>
        <v/>
      </c>
      <c r="Q1064" s="8" t="str">
        <f>IF(E1064="","",IFERROR(VLOOKUP(E1064,REGRAS_CST!$A$2:$D$200,4,FALSE),""))</f>
        <v/>
      </c>
      <c r="S1064" s="9">
        <f>IF($H1064="","",$H1064*(1-$U1064))</f>
        <v>8.9999999999999993E-3</v>
      </c>
      <c r="T1064" s="9">
        <f>IF($I1064="","",$I1064*(1-$U1064))</f>
        <v>1E-3</v>
      </c>
      <c r="U1064" s="16">
        <f>IFERROR(INDEX(BASE_CCLASSTRIB!$E:$E, MATCH(TEXT($D1064,"000000"), BASE_CCLASSTRIB!$A:$A, 0))/100, 0)</f>
        <v>0</v>
      </c>
      <c r="V1064" s="16">
        <f>IFERROR(INDEX(BASE_CCLASSTRIB!$F:$F, MATCH(TEXT($D1064,"000000"), BASE_CCLASSTRIB!$A:$A, 0))/100, 0)</f>
        <v>0</v>
      </c>
    </row>
    <row r="1065" spans="4:22" ht="32.25" customHeight="1">
      <c r="D1065" s="40"/>
      <c r="E1065" s="27" t="str">
        <f>IF(D1065="","",LEFT(D1065,3))</f>
        <v/>
      </c>
      <c r="F1065" s="28" t="str">
        <f>IF(E1065="","",IFERROR(VLOOKUP(E1065,REGRAS_CST!$A$2:$B$200,2,FALSE),""))</f>
        <v/>
      </c>
      <c r="H1065" s="29">
        <v>8.9999999999999993E-3</v>
      </c>
      <c r="I1065" s="29">
        <v>1E-3</v>
      </c>
      <c r="K1065" s="21" t="str">
        <f>IF(E1065="","",IFERROR(VLOOKUP(E1065,REGRAS_CST!$A$2:$C$200,3,FALSE),""))</f>
        <v/>
      </c>
      <c r="L1065" s="23" t="str">
        <f>IF($G1065="", "", $G1065*(1-$V1065))</f>
        <v/>
      </c>
      <c r="M1065" s="24" t="str">
        <f>IF(OR($L1065="",$S1065=""),"",$L1065*$S1065)</f>
        <v/>
      </c>
      <c r="N1065" s="24" t="str">
        <f>IF(OR($L1065="",$T1065=""),"",$L1065*$T1065)</f>
        <v/>
      </c>
      <c r="O1065" s="15" t="str">
        <f>IF(D1065="","",
IF(AND(K1065&lt;&gt;"SIM",V1065&gt;0),"ERRO: % BC &gt; 0, mas NÃO permitida ❌",
IF(AND(K1065="SIM",V1065=0),"ATENÇÃO: BC permitida, mas % = 0 🔎",
"Base de cálculo aplicada corretamente ✅")))</f>
        <v/>
      </c>
      <c r="P1065" s="31" t="str">
        <f>IF(D1065="","",
IF(AND(Q1065&lt;&gt;"SIM",U1065&gt;0),"ERRO: % alíquota &gt; 0, mas NÃO permitida ❌",
IF(AND(Q1065="SIM",U1065=0),"ATENÇÃO: alíquota permitida, mas % = 0 🔎",
"Alíquota aplicada corretamente ✅")))</f>
        <v/>
      </c>
      <c r="Q1065" s="8" t="str">
        <f>IF(E1065="","",IFERROR(VLOOKUP(E1065,REGRAS_CST!$A$2:$D$200,4,FALSE),""))</f>
        <v/>
      </c>
      <c r="S1065" s="9">
        <f>IF($H1065="","",$H1065*(1-$U1065))</f>
        <v>8.9999999999999993E-3</v>
      </c>
      <c r="T1065" s="9">
        <f>IF($I1065="","",$I1065*(1-$U1065))</f>
        <v>1E-3</v>
      </c>
      <c r="U1065" s="16">
        <f>IFERROR(INDEX(BASE_CCLASSTRIB!$E:$E, MATCH(TEXT($D1065,"000000"), BASE_CCLASSTRIB!$A:$A, 0))/100, 0)</f>
        <v>0</v>
      </c>
      <c r="V1065" s="16">
        <f>IFERROR(INDEX(BASE_CCLASSTRIB!$F:$F, MATCH(TEXT($D1065,"000000"), BASE_CCLASSTRIB!$A:$A, 0))/100, 0)</f>
        <v>0</v>
      </c>
    </row>
    <row r="1066" spans="4:22" ht="32.25" customHeight="1">
      <c r="D1066" s="40"/>
      <c r="E1066" s="27" t="str">
        <f>IF(D1066="","",LEFT(D1066,3))</f>
        <v/>
      </c>
      <c r="F1066" s="28" t="str">
        <f>IF(E1066="","",IFERROR(VLOOKUP(E1066,REGRAS_CST!$A$2:$B$200,2,FALSE),""))</f>
        <v/>
      </c>
      <c r="H1066" s="29">
        <v>8.9999999999999993E-3</v>
      </c>
      <c r="I1066" s="29">
        <v>1E-3</v>
      </c>
      <c r="K1066" s="21" t="str">
        <f>IF(E1066="","",IFERROR(VLOOKUP(E1066,REGRAS_CST!$A$2:$C$200,3,FALSE),""))</f>
        <v/>
      </c>
      <c r="L1066" s="23" t="str">
        <f>IF($G1066="", "", $G1066*(1-$V1066))</f>
        <v/>
      </c>
      <c r="M1066" s="24" t="str">
        <f>IF(OR($L1066="",$S1066=""),"",$L1066*$S1066)</f>
        <v/>
      </c>
      <c r="N1066" s="24" t="str">
        <f>IF(OR($L1066="",$T1066=""),"",$L1066*$T1066)</f>
        <v/>
      </c>
      <c r="O1066" s="15" t="str">
        <f>IF(D1066="","",
IF(AND(K1066&lt;&gt;"SIM",V1066&gt;0),"ERRO: % BC &gt; 0, mas NÃO permitida ❌",
IF(AND(K1066="SIM",V1066=0),"ATENÇÃO: BC permitida, mas % = 0 🔎",
"Base de cálculo aplicada corretamente ✅")))</f>
        <v/>
      </c>
      <c r="P1066" s="31" t="str">
        <f>IF(D1066="","",
IF(AND(Q1066&lt;&gt;"SIM",U1066&gt;0),"ERRO: % alíquota &gt; 0, mas NÃO permitida ❌",
IF(AND(Q1066="SIM",U1066=0),"ATENÇÃO: alíquota permitida, mas % = 0 🔎",
"Alíquota aplicada corretamente ✅")))</f>
        <v/>
      </c>
      <c r="Q1066" s="8" t="str">
        <f>IF(E1066="","",IFERROR(VLOOKUP(E1066,REGRAS_CST!$A$2:$D$200,4,FALSE),""))</f>
        <v/>
      </c>
      <c r="S1066" s="9">
        <f>IF($H1066="","",$H1066*(1-$U1066))</f>
        <v>8.9999999999999993E-3</v>
      </c>
      <c r="T1066" s="9">
        <f>IF($I1066="","",$I1066*(1-$U1066))</f>
        <v>1E-3</v>
      </c>
      <c r="U1066" s="16">
        <f>IFERROR(INDEX(BASE_CCLASSTRIB!$E:$E, MATCH(TEXT($D1066,"000000"), BASE_CCLASSTRIB!$A:$A, 0))/100, 0)</f>
        <v>0</v>
      </c>
      <c r="V1066" s="16">
        <f>IFERROR(INDEX(BASE_CCLASSTRIB!$F:$F, MATCH(TEXT($D1066,"000000"), BASE_CCLASSTRIB!$A:$A, 0))/100, 0)</f>
        <v>0</v>
      </c>
    </row>
    <row r="1067" spans="4:22" ht="32.25" customHeight="1">
      <c r="D1067" s="39"/>
      <c r="E1067" s="27" t="str">
        <f>IF(D1067="","",LEFT(D1067,3))</f>
        <v/>
      </c>
      <c r="F1067" s="28" t="str">
        <f>IF(E1067="","",IFERROR(VLOOKUP(E1067,REGRAS_CST!$A$2:$B$200,2,FALSE),""))</f>
        <v/>
      </c>
      <c r="H1067" s="29">
        <v>8.9999999999999993E-3</v>
      </c>
      <c r="I1067" s="29">
        <v>1E-3</v>
      </c>
      <c r="K1067" s="21" t="str">
        <f>IF(E1067="","",IFERROR(VLOOKUP(E1067,REGRAS_CST!$A$2:$C$200,3,FALSE),""))</f>
        <v/>
      </c>
      <c r="L1067" s="23" t="str">
        <f>IF($G1067="", "", $G1067*(1-$V1067))</f>
        <v/>
      </c>
      <c r="M1067" s="24" t="str">
        <f>IF(OR($L1067="",$S1067=""),"",$L1067*$S1067)</f>
        <v/>
      </c>
      <c r="N1067" s="24" t="str">
        <f>IF(OR($L1067="",$T1067=""),"",$L1067*$T1067)</f>
        <v/>
      </c>
      <c r="O1067" s="15" t="str">
        <f>IF(D1067="","",
IF(AND(K1067&lt;&gt;"SIM",V1067&gt;0),"ERRO: % BC &gt; 0, mas NÃO permitida ❌",
IF(AND(K1067="SIM",V1067=0),"ATENÇÃO: BC permitida, mas % = 0 🔎",
"Base de cálculo aplicada corretamente ✅")))</f>
        <v/>
      </c>
      <c r="P1067" s="31" t="str">
        <f>IF(D1067="","",
IF(AND(Q1067&lt;&gt;"SIM",U1067&gt;0),"ERRO: % alíquota &gt; 0, mas NÃO permitida ❌",
IF(AND(Q1067="SIM",U1067=0),"ATENÇÃO: alíquota permitida, mas % = 0 🔎",
"Alíquota aplicada corretamente ✅")))</f>
        <v/>
      </c>
      <c r="Q1067" s="8" t="str">
        <f>IF(E1067="","",IFERROR(VLOOKUP(E1067,REGRAS_CST!$A$2:$D$200,4,FALSE),""))</f>
        <v/>
      </c>
      <c r="S1067" s="9">
        <f>IF($H1067="","",$H1067*(1-$U1067))</f>
        <v>8.9999999999999993E-3</v>
      </c>
      <c r="T1067" s="9">
        <f>IF($I1067="","",$I1067*(1-$U1067))</f>
        <v>1E-3</v>
      </c>
      <c r="U1067" s="16">
        <f>IFERROR(INDEX(BASE_CCLASSTRIB!$E:$E, MATCH(TEXT($D1067,"000000"), BASE_CCLASSTRIB!$A:$A, 0))/100, 0)</f>
        <v>0</v>
      </c>
      <c r="V1067" s="16">
        <f>IFERROR(INDEX(BASE_CCLASSTRIB!$F:$F, MATCH(TEXT($D1067,"000000"), BASE_CCLASSTRIB!$A:$A, 0))/100, 0)</f>
        <v>0</v>
      </c>
    </row>
    <row r="1068" spans="4:22" ht="32.25" customHeight="1">
      <c r="D1068" s="40"/>
      <c r="E1068" s="27" t="str">
        <f>IF(D1068="","",LEFT(D1068,3))</f>
        <v/>
      </c>
      <c r="F1068" s="28" t="str">
        <f>IF(E1068="","",IFERROR(VLOOKUP(E1068,REGRAS_CST!$A$2:$B$200,2,FALSE),""))</f>
        <v/>
      </c>
      <c r="H1068" s="29">
        <v>8.9999999999999993E-3</v>
      </c>
      <c r="I1068" s="29">
        <v>1E-3</v>
      </c>
      <c r="K1068" s="21" t="str">
        <f>IF(E1068="","",IFERROR(VLOOKUP(E1068,REGRAS_CST!$A$2:$C$200,3,FALSE),""))</f>
        <v/>
      </c>
      <c r="L1068" s="23" t="str">
        <f>IF($G1068="", "", $G1068*(1-$V1068))</f>
        <v/>
      </c>
      <c r="M1068" s="24" t="str">
        <f>IF(OR($L1068="",$S1068=""),"",$L1068*$S1068)</f>
        <v/>
      </c>
      <c r="N1068" s="24" t="str">
        <f>IF(OR($L1068="",$T1068=""),"",$L1068*$T1068)</f>
        <v/>
      </c>
      <c r="O1068" s="15" t="str">
        <f>IF(D1068="","",
IF(AND(K1068&lt;&gt;"SIM",V1068&gt;0),"ERRO: % BC &gt; 0, mas NÃO permitida ❌",
IF(AND(K1068="SIM",V1068=0),"ATENÇÃO: BC permitida, mas % = 0 🔎",
"Base de cálculo aplicada corretamente ✅")))</f>
        <v/>
      </c>
      <c r="P1068" s="31" t="str">
        <f>IF(D1068="","",
IF(AND(Q1068&lt;&gt;"SIM",U1068&gt;0),"ERRO: % alíquota &gt; 0, mas NÃO permitida ❌",
IF(AND(Q1068="SIM",U1068=0),"ATENÇÃO: alíquota permitida, mas % = 0 🔎",
"Alíquota aplicada corretamente ✅")))</f>
        <v/>
      </c>
      <c r="Q1068" s="8" t="str">
        <f>IF(E1068="","",IFERROR(VLOOKUP(E1068,REGRAS_CST!$A$2:$D$200,4,FALSE),""))</f>
        <v/>
      </c>
      <c r="S1068" s="9">
        <f>IF($H1068="","",$H1068*(1-$U1068))</f>
        <v>8.9999999999999993E-3</v>
      </c>
      <c r="T1068" s="9">
        <f>IF($I1068="","",$I1068*(1-$U1068))</f>
        <v>1E-3</v>
      </c>
      <c r="U1068" s="16">
        <f>IFERROR(INDEX(BASE_CCLASSTRIB!$E:$E, MATCH(TEXT($D1068,"000000"), BASE_CCLASSTRIB!$A:$A, 0))/100, 0)</f>
        <v>0</v>
      </c>
      <c r="V1068" s="16">
        <f>IFERROR(INDEX(BASE_CCLASSTRIB!$F:$F, MATCH(TEXT($D1068,"000000"), BASE_CCLASSTRIB!$A:$A, 0))/100, 0)</f>
        <v>0</v>
      </c>
    </row>
    <row r="1069" spans="4:22" ht="32.25" customHeight="1">
      <c r="D1069" s="39"/>
      <c r="E1069" s="27" t="str">
        <f>IF(D1069="","",LEFT(D1069,3))</f>
        <v/>
      </c>
      <c r="F1069" s="28" t="str">
        <f>IF(E1069="","",IFERROR(VLOOKUP(E1069,REGRAS_CST!$A$2:$B$200,2,FALSE),""))</f>
        <v/>
      </c>
      <c r="H1069" s="29">
        <v>8.9999999999999993E-3</v>
      </c>
      <c r="I1069" s="29">
        <v>1E-3</v>
      </c>
      <c r="K1069" s="21" t="str">
        <f>IF(E1069="","",IFERROR(VLOOKUP(E1069,REGRAS_CST!$A$2:$C$200,3,FALSE),""))</f>
        <v/>
      </c>
      <c r="L1069" s="23" t="str">
        <f>IF($G1069="", "", $G1069*(1-$V1069))</f>
        <v/>
      </c>
      <c r="M1069" s="24" t="str">
        <f>IF(OR($L1069="",$S1069=""),"",$L1069*$S1069)</f>
        <v/>
      </c>
      <c r="N1069" s="24" t="str">
        <f>IF(OR($L1069="",$T1069=""),"",$L1069*$T1069)</f>
        <v/>
      </c>
      <c r="O1069" s="15" t="str">
        <f>IF(D1069="","",
IF(AND(K1069&lt;&gt;"SIM",V1069&gt;0),"ERRO: % BC &gt; 0, mas NÃO permitida ❌",
IF(AND(K1069="SIM",V1069=0),"ATENÇÃO: BC permitida, mas % = 0 🔎",
"Base de cálculo aplicada corretamente ✅")))</f>
        <v/>
      </c>
      <c r="P1069" s="31" t="str">
        <f>IF(D1069="","",
IF(AND(Q1069&lt;&gt;"SIM",U1069&gt;0),"ERRO: % alíquota &gt; 0, mas NÃO permitida ❌",
IF(AND(Q1069="SIM",U1069=0),"ATENÇÃO: alíquota permitida, mas % = 0 🔎",
"Alíquota aplicada corretamente ✅")))</f>
        <v/>
      </c>
      <c r="Q1069" s="8" t="str">
        <f>IF(E1069="","",IFERROR(VLOOKUP(E1069,REGRAS_CST!$A$2:$D$200,4,FALSE),""))</f>
        <v/>
      </c>
      <c r="S1069" s="9">
        <f>IF($H1069="","",$H1069*(1-$U1069))</f>
        <v>8.9999999999999993E-3</v>
      </c>
      <c r="T1069" s="9">
        <f>IF($I1069="","",$I1069*(1-$U1069))</f>
        <v>1E-3</v>
      </c>
      <c r="U1069" s="16">
        <f>IFERROR(INDEX(BASE_CCLASSTRIB!$E:$E, MATCH(TEXT($D1069,"000000"), BASE_CCLASSTRIB!$A:$A, 0))/100, 0)</f>
        <v>0</v>
      </c>
      <c r="V1069" s="16">
        <f>IFERROR(INDEX(BASE_CCLASSTRIB!$F:$F, MATCH(TEXT($D1069,"000000"), BASE_CCLASSTRIB!$A:$A, 0))/100, 0)</f>
        <v>0</v>
      </c>
    </row>
    <row r="1070" spans="4:22" ht="32.25" customHeight="1">
      <c r="D1070" s="39"/>
      <c r="E1070" s="27" t="str">
        <f>IF(D1070="","",LEFT(D1070,3))</f>
        <v/>
      </c>
      <c r="F1070" s="28" t="str">
        <f>IF(E1070="","",IFERROR(VLOOKUP(E1070,REGRAS_CST!$A$2:$B$200,2,FALSE),""))</f>
        <v/>
      </c>
      <c r="H1070" s="29">
        <v>8.9999999999999993E-3</v>
      </c>
      <c r="I1070" s="29">
        <v>1E-3</v>
      </c>
      <c r="K1070" s="21" t="str">
        <f>IF(E1070="","",IFERROR(VLOOKUP(E1070,REGRAS_CST!$A$2:$C$200,3,FALSE),""))</f>
        <v/>
      </c>
      <c r="L1070" s="23" t="str">
        <f>IF($G1070="", "", $G1070*(1-$V1070))</f>
        <v/>
      </c>
      <c r="M1070" s="24" t="str">
        <f>IF(OR($L1070="",$S1070=""),"",$L1070*$S1070)</f>
        <v/>
      </c>
      <c r="N1070" s="24" t="str">
        <f>IF(OR($L1070="",$T1070=""),"",$L1070*$T1070)</f>
        <v/>
      </c>
      <c r="O1070" s="15" t="str">
        <f>IF(D1070="","",
IF(AND(K1070&lt;&gt;"SIM",V1070&gt;0),"ERRO: % BC &gt; 0, mas NÃO permitida ❌",
IF(AND(K1070="SIM",V1070=0),"ATENÇÃO: BC permitida, mas % = 0 🔎",
"Base de cálculo aplicada corretamente ✅")))</f>
        <v/>
      </c>
      <c r="P1070" s="31" t="str">
        <f>IF(D1070="","",
IF(AND(Q1070&lt;&gt;"SIM",U1070&gt;0),"ERRO: % alíquota &gt; 0, mas NÃO permitida ❌",
IF(AND(Q1070="SIM",U1070=0),"ATENÇÃO: alíquota permitida, mas % = 0 🔎",
"Alíquota aplicada corretamente ✅")))</f>
        <v/>
      </c>
      <c r="Q1070" s="8" t="str">
        <f>IF(E1070="","",IFERROR(VLOOKUP(E1070,REGRAS_CST!$A$2:$D$200,4,FALSE),""))</f>
        <v/>
      </c>
      <c r="S1070" s="9">
        <f>IF($H1070="","",$H1070*(1-$U1070))</f>
        <v>8.9999999999999993E-3</v>
      </c>
      <c r="T1070" s="9">
        <f>IF($I1070="","",$I1070*(1-$U1070))</f>
        <v>1E-3</v>
      </c>
      <c r="U1070" s="16">
        <f>IFERROR(INDEX(BASE_CCLASSTRIB!$E:$E, MATCH(TEXT($D1070,"000000"), BASE_CCLASSTRIB!$A:$A, 0))/100, 0)</f>
        <v>0</v>
      </c>
      <c r="V1070" s="16">
        <f>IFERROR(INDEX(BASE_CCLASSTRIB!$F:$F, MATCH(TEXT($D1070,"000000"), BASE_CCLASSTRIB!$A:$A, 0))/100, 0)</f>
        <v>0</v>
      </c>
    </row>
    <row r="1071" spans="4:22" ht="32.25" customHeight="1">
      <c r="D1071" s="40"/>
      <c r="E1071" s="27" t="str">
        <f>IF(D1071="","",LEFT(D1071,3))</f>
        <v/>
      </c>
      <c r="F1071" s="28" t="str">
        <f>IF(E1071="","",IFERROR(VLOOKUP(E1071,REGRAS_CST!$A$2:$B$200,2,FALSE),""))</f>
        <v/>
      </c>
      <c r="H1071" s="29">
        <v>8.9999999999999993E-3</v>
      </c>
      <c r="I1071" s="29">
        <v>1E-3</v>
      </c>
      <c r="K1071" s="21" t="str">
        <f>IF(E1071="","",IFERROR(VLOOKUP(E1071,REGRAS_CST!$A$2:$C$200,3,FALSE),""))</f>
        <v/>
      </c>
      <c r="L1071" s="23" t="str">
        <f>IF($G1071="", "", $G1071*(1-$V1071))</f>
        <v/>
      </c>
      <c r="M1071" s="24" t="str">
        <f>IF(OR($L1071="",$S1071=""),"",$L1071*$S1071)</f>
        <v/>
      </c>
      <c r="N1071" s="24" t="str">
        <f>IF(OR($L1071="",$T1071=""),"",$L1071*$T1071)</f>
        <v/>
      </c>
      <c r="O1071" s="15" t="str">
        <f>IF(D1071="","",
IF(AND(K1071&lt;&gt;"SIM",V1071&gt;0),"ERRO: % BC &gt; 0, mas NÃO permitida ❌",
IF(AND(K1071="SIM",V1071=0),"ATENÇÃO: BC permitida, mas % = 0 🔎",
"Base de cálculo aplicada corretamente ✅")))</f>
        <v/>
      </c>
      <c r="P1071" s="31" t="str">
        <f>IF(D1071="","",
IF(AND(Q1071&lt;&gt;"SIM",U1071&gt;0),"ERRO: % alíquota &gt; 0, mas NÃO permitida ❌",
IF(AND(Q1071="SIM",U1071=0),"ATENÇÃO: alíquota permitida, mas % = 0 🔎",
"Alíquota aplicada corretamente ✅")))</f>
        <v/>
      </c>
      <c r="Q1071" s="8" t="str">
        <f>IF(E1071="","",IFERROR(VLOOKUP(E1071,REGRAS_CST!$A$2:$D$200,4,FALSE),""))</f>
        <v/>
      </c>
      <c r="S1071" s="9">
        <f>IF($H1071="","",$H1071*(1-$U1071))</f>
        <v>8.9999999999999993E-3</v>
      </c>
      <c r="T1071" s="9">
        <f>IF($I1071="","",$I1071*(1-$U1071))</f>
        <v>1E-3</v>
      </c>
      <c r="U1071" s="16">
        <f>IFERROR(INDEX(BASE_CCLASSTRIB!$E:$E, MATCH(TEXT($D1071,"000000"), BASE_CCLASSTRIB!$A:$A, 0))/100, 0)</f>
        <v>0</v>
      </c>
      <c r="V1071" s="16">
        <f>IFERROR(INDEX(BASE_CCLASSTRIB!$F:$F, MATCH(TEXT($D1071,"000000"), BASE_CCLASSTRIB!$A:$A, 0))/100, 0)</f>
        <v>0</v>
      </c>
    </row>
    <row r="1072" spans="4:22" ht="32.25" customHeight="1">
      <c r="D1072" s="39"/>
      <c r="E1072" s="27" t="str">
        <f>IF(D1072="","",LEFT(D1072,3))</f>
        <v/>
      </c>
      <c r="F1072" s="28" t="str">
        <f>IF(E1072="","",IFERROR(VLOOKUP(E1072,REGRAS_CST!$A$2:$B$200,2,FALSE),""))</f>
        <v/>
      </c>
      <c r="H1072" s="29">
        <v>8.9999999999999993E-3</v>
      </c>
      <c r="I1072" s="29">
        <v>1E-3</v>
      </c>
      <c r="K1072" s="21" t="str">
        <f>IF(E1072="","",IFERROR(VLOOKUP(E1072,REGRAS_CST!$A$2:$C$200,3,FALSE),""))</f>
        <v/>
      </c>
      <c r="L1072" s="23" t="str">
        <f>IF($G1072="", "", $G1072*(1-$V1072))</f>
        <v/>
      </c>
      <c r="M1072" s="24" t="str">
        <f>IF(OR($L1072="",$S1072=""),"",$L1072*$S1072)</f>
        <v/>
      </c>
      <c r="N1072" s="24" t="str">
        <f>IF(OR($L1072="",$T1072=""),"",$L1072*$T1072)</f>
        <v/>
      </c>
      <c r="O1072" s="15" t="str">
        <f>IF(D1072="","",
IF(AND(K1072&lt;&gt;"SIM",V1072&gt;0),"ERRO: % BC &gt; 0, mas NÃO permitida ❌",
IF(AND(K1072="SIM",V1072=0),"ATENÇÃO: BC permitida, mas % = 0 🔎",
"Base de cálculo aplicada corretamente ✅")))</f>
        <v/>
      </c>
      <c r="P1072" s="31" t="str">
        <f>IF(D1072="","",
IF(AND(Q1072&lt;&gt;"SIM",U1072&gt;0),"ERRO: % alíquota &gt; 0, mas NÃO permitida ❌",
IF(AND(Q1072="SIM",U1072=0),"ATENÇÃO: alíquota permitida, mas % = 0 🔎",
"Alíquota aplicada corretamente ✅")))</f>
        <v/>
      </c>
      <c r="Q1072" s="8" t="str">
        <f>IF(E1072="","",IFERROR(VLOOKUP(E1072,REGRAS_CST!$A$2:$D$200,4,FALSE),""))</f>
        <v/>
      </c>
      <c r="S1072" s="9">
        <f>IF($H1072="","",$H1072*(1-$U1072))</f>
        <v>8.9999999999999993E-3</v>
      </c>
      <c r="T1072" s="9">
        <f>IF($I1072="","",$I1072*(1-$U1072))</f>
        <v>1E-3</v>
      </c>
      <c r="U1072" s="16">
        <f>IFERROR(INDEX(BASE_CCLASSTRIB!$E:$E, MATCH(TEXT($D1072,"000000"), BASE_CCLASSTRIB!$A:$A, 0))/100, 0)</f>
        <v>0</v>
      </c>
      <c r="V1072" s="16">
        <f>IFERROR(INDEX(BASE_CCLASSTRIB!$F:$F, MATCH(TEXT($D1072,"000000"), BASE_CCLASSTRIB!$A:$A, 0))/100, 0)</f>
        <v>0</v>
      </c>
    </row>
    <row r="1073" spans="4:22" ht="32.25" customHeight="1">
      <c r="D1073" s="39"/>
      <c r="E1073" s="27" t="str">
        <f>IF(D1073="","",LEFT(D1073,3))</f>
        <v/>
      </c>
      <c r="F1073" s="28" t="str">
        <f>IF(E1073="","",IFERROR(VLOOKUP(E1073,REGRAS_CST!$A$2:$B$200,2,FALSE),""))</f>
        <v/>
      </c>
      <c r="H1073" s="29">
        <v>8.9999999999999993E-3</v>
      </c>
      <c r="I1073" s="29">
        <v>1E-3</v>
      </c>
      <c r="K1073" s="21" t="str">
        <f>IF(E1073="","",IFERROR(VLOOKUP(E1073,REGRAS_CST!$A$2:$C$200,3,FALSE),""))</f>
        <v/>
      </c>
      <c r="L1073" s="23" t="str">
        <f>IF($G1073="", "", $G1073*(1-$V1073))</f>
        <v/>
      </c>
      <c r="M1073" s="24" t="str">
        <f>IF(OR($L1073="",$S1073=""),"",$L1073*$S1073)</f>
        <v/>
      </c>
      <c r="N1073" s="24" t="str">
        <f>IF(OR($L1073="",$T1073=""),"",$L1073*$T1073)</f>
        <v/>
      </c>
      <c r="O1073" s="15" t="str">
        <f>IF(D1073="","",
IF(AND(K1073&lt;&gt;"SIM",V1073&gt;0),"ERRO: % BC &gt; 0, mas NÃO permitida ❌",
IF(AND(K1073="SIM",V1073=0),"ATENÇÃO: BC permitida, mas % = 0 🔎",
"Base de cálculo aplicada corretamente ✅")))</f>
        <v/>
      </c>
      <c r="P1073" s="31" t="str">
        <f>IF(D1073="","",
IF(AND(Q1073&lt;&gt;"SIM",U1073&gt;0),"ERRO: % alíquota &gt; 0, mas NÃO permitida ❌",
IF(AND(Q1073="SIM",U1073=0),"ATENÇÃO: alíquota permitida, mas % = 0 🔎",
"Alíquota aplicada corretamente ✅")))</f>
        <v/>
      </c>
      <c r="Q1073" s="8" t="str">
        <f>IF(E1073="","",IFERROR(VLOOKUP(E1073,REGRAS_CST!$A$2:$D$200,4,FALSE),""))</f>
        <v/>
      </c>
      <c r="S1073" s="9">
        <f>IF($H1073="","",$H1073*(1-$U1073))</f>
        <v>8.9999999999999993E-3</v>
      </c>
      <c r="T1073" s="9">
        <f>IF($I1073="","",$I1073*(1-$U1073))</f>
        <v>1E-3</v>
      </c>
      <c r="U1073" s="16">
        <f>IFERROR(INDEX(BASE_CCLASSTRIB!$E:$E, MATCH(TEXT($D1073,"000000"), BASE_CCLASSTRIB!$A:$A, 0))/100, 0)</f>
        <v>0</v>
      </c>
      <c r="V1073" s="16">
        <f>IFERROR(INDEX(BASE_CCLASSTRIB!$F:$F, MATCH(TEXT($D1073,"000000"), BASE_CCLASSTRIB!$A:$A, 0))/100, 0)</f>
        <v>0</v>
      </c>
    </row>
    <row r="1074" spans="4:22" ht="32.25" customHeight="1">
      <c r="D1074" s="40"/>
      <c r="E1074" s="27" t="str">
        <f>IF(D1074="","",LEFT(D1074,3))</f>
        <v/>
      </c>
      <c r="F1074" s="28" t="str">
        <f>IF(E1074="","",IFERROR(VLOOKUP(E1074,REGRAS_CST!$A$2:$B$200,2,FALSE),""))</f>
        <v/>
      </c>
      <c r="H1074" s="29">
        <v>8.9999999999999993E-3</v>
      </c>
      <c r="I1074" s="29">
        <v>1E-3</v>
      </c>
      <c r="K1074" s="21" t="str">
        <f>IF(E1074="","",IFERROR(VLOOKUP(E1074,REGRAS_CST!$A$2:$C$200,3,FALSE),""))</f>
        <v/>
      </c>
      <c r="L1074" s="23" t="str">
        <f>IF($G1074="", "", $G1074*(1-$V1074))</f>
        <v/>
      </c>
      <c r="M1074" s="24" t="str">
        <f>IF(OR($L1074="",$S1074=""),"",$L1074*$S1074)</f>
        <v/>
      </c>
      <c r="N1074" s="24" t="str">
        <f>IF(OR($L1074="",$T1074=""),"",$L1074*$T1074)</f>
        <v/>
      </c>
      <c r="O1074" s="15" t="str">
        <f>IF(D1074="","",
IF(AND(K1074&lt;&gt;"SIM",V1074&gt;0),"ERRO: % BC &gt; 0, mas NÃO permitida ❌",
IF(AND(K1074="SIM",V1074=0),"ATENÇÃO: BC permitida, mas % = 0 🔎",
"Base de cálculo aplicada corretamente ✅")))</f>
        <v/>
      </c>
      <c r="P1074" s="31" t="str">
        <f>IF(D1074="","",
IF(AND(Q1074&lt;&gt;"SIM",U1074&gt;0),"ERRO: % alíquota &gt; 0, mas NÃO permitida ❌",
IF(AND(Q1074="SIM",U1074=0),"ATENÇÃO: alíquota permitida, mas % = 0 🔎",
"Alíquota aplicada corretamente ✅")))</f>
        <v/>
      </c>
      <c r="Q1074" s="8" t="str">
        <f>IF(E1074="","",IFERROR(VLOOKUP(E1074,REGRAS_CST!$A$2:$D$200,4,FALSE),""))</f>
        <v/>
      </c>
      <c r="S1074" s="9">
        <f>IF($H1074="","",$H1074*(1-$U1074))</f>
        <v>8.9999999999999993E-3</v>
      </c>
      <c r="T1074" s="9">
        <f>IF($I1074="","",$I1074*(1-$U1074))</f>
        <v>1E-3</v>
      </c>
      <c r="U1074" s="16">
        <f>IFERROR(INDEX(BASE_CCLASSTRIB!$E:$E, MATCH(TEXT($D1074,"000000"), BASE_CCLASSTRIB!$A:$A, 0))/100, 0)</f>
        <v>0</v>
      </c>
      <c r="V1074" s="16">
        <f>IFERROR(INDEX(BASE_CCLASSTRIB!$F:$F, MATCH(TEXT($D1074,"000000"), BASE_CCLASSTRIB!$A:$A, 0))/100, 0)</f>
        <v>0</v>
      </c>
    </row>
    <row r="1075" spans="4:22" ht="32.25" customHeight="1">
      <c r="D1075" s="39"/>
      <c r="E1075" s="27" t="str">
        <f>IF(D1075="","",LEFT(D1075,3))</f>
        <v/>
      </c>
      <c r="F1075" s="28" t="str">
        <f>IF(E1075="","",IFERROR(VLOOKUP(E1075,REGRAS_CST!$A$2:$B$200,2,FALSE),""))</f>
        <v/>
      </c>
      <c r="H1075" s="29">
        <v>8.9999999999999993E-3</v>
      </c>
      <c r="I1075" s="29">
        <v>1E-3</v>
      </c>
      <c r="K1075" s="21" t="str">
        <f>IF(E1075="","",IFERROR(VLOOKUP(E1075,REGRAS_CST!$A$2:$C$200,3,FALSE),""))</f>
        <v/>
      </c>
      <c r="L1075" s="23" t="str">
        <f>IF($G1075="", "", $G1075*(1-$V1075))</f>
        <v/>
      </c>
      <c r="M1075" s="24" t="str">
        <f>IF(OR($L1075="",$S1075=""),"",$L1075*$S1075)</f>
        <v/>
      </c>
      <c r="N1075" s="24" t="str">
        <f>IF(OR($L1075="",$T1075=""),"",$L1075*$T1075)</f>
        <v/>
      </c>
      <c r="O1075" s="15" t="str">
        <f>IF(D1075="","",
IF(AND(K1075&lt;&gt;"SIM",V1075&gt;0),"ERRO: % BC &gt; 0, mas NÃO permitida ❌",
IF(AND(K1075="SIM",V1075=0),"ATENÇÃO: BC permitida, mas % = 0 🔎",
"Base de cálculo aplicada corretamente ✅")))</f>
        <v/>
      </c>
      <c r="P1075" s="31" t="str">
        <f>IF(D1075="","",
IF(AND(Q1075&lt;&gt;"SIM",U1075&gt;0),"ERRO: % alíquota &gt; 0, mas NÃO permitida ❌",
IF(AND(Q1075="SIM",U1075=0),"ATENÇÃO: alíquota permitida, mas % = 0 🔎",
"Alíquota aplicada corretamente ✅")))</f>
        <v/>
      </c>
      <c r="Q1075" s="8" t="str">
        <f>IF(E1075="","",IFERROR(VLOOKUP(E1075,REGRAS_CST!$A$2:$D$200,4,FALSE),""))</f>
        <v/>
      </c>
      <c r="S1075" s="9">
        <f>IF($H1075="","",$H1075*(1-$U1075))</f>
        <v>8.9999999999999993E-3</v>
      </c>
      <c r="T1075" s="9">
        <f>IF($I1075="","",$I1075*(1-$U1075))</f>
        <v>1E-3</v>
      </c>
      <c r="U1075" s="16">
        <f>IFERROR(INDEX(BASE_CCLASSTRIB!$E:$E, MATCH(TEXT($D1075,"000000"), BASE_CCLASSTRIB!$A:$A, 0))/100, 0)</f>
        <v>0</v>
      </c>
      <c r="V1075" s="16">
        <f>IFERROR(INDEX(BASE_CCLASSTRIB!$F:$F, MATCH(TEXT($D1075,"000000"), BASE_CCLASSTRIB!$A:$A, 0))/100, 0)</f>
        <v>0</v>
      </c>
    </row>
    <row r="1076" spans="4:22" ht="32.25" customHeight="1">
      <c r="D1076" s="39"/>
      <c r="E1076" s="27" t="str">
        <f>IF(D1076="","",LEFT(D1076,3))</f>
        <v/>
      </c>
      <c r="F1076" s="28" t="str">
        <f>IF(E1076="","",IFERROR(VLOOKUP(E1076,REGRAS_CST!$A$2:$B$200,2,FALSE),""))</f>
        <v/>
      </c>
      <c r="H1076" s="29">
        <v>8.9999999999999993E-3</v>
      </c>
      <c r="I1076" s="29">
        <v>1E-3</v>
      </c>
      <c r="K1076" s="21" t="str">
        <f>IF(E1076="","",IFERROR(VLOOKUP(E1076,REGRAS_CST!$A$2:$C$200,3,FALSE),""))</f>
        <v/>
      </c>
      <c r="L1076" s="23" t="str">
        <f>IF($G1076="", "", $G1076*(1-$V1076))</f>
        <v/>
      </c>
      <c r="M1076" s="24" t="str">
        <f>IF(OR($L1076="",$S1076=""),"",$L1076*$S1076)</f>
        <v/>
      </c>
      <c r="N1076" s="24" t="str">
        <f>IF(OR($L1076="",$T1076=""),"",$L1076*$T1076)</f>
        <v/>
      </c>
      <c r="O1076" s="15" t="str">
        <f>IF(D1076="","",
IF(AND(K1076&lt;&gt;"SIM",V1076&gt;0),"ERRO: % BC &gt; 0, mas NÃO permitida ❌",
IF(AND(K1076="SIM",V1076=0),"ATENÇÃO: BC permitida, mas % = 0 🔎",
"Base de cálculo aplicada corretamente ✅")))</f>
        <v/>
      </c>
      <c r="P1076" s="31" t="str">
        <f>IF(D1076="","",
IF(AND(Q1076&lt;&gt;"SIM",U1076&gt;0),"ERRO: % alíquota &gt; 0, mas NÃO permitida ❌",
IF(AND(Q1076="SIM",U1076=0),"ATENÇÃO: alíquota permitida, mas % = 0 🔎",
"Alíquota aplicada corretamente ✅")))</f>
        <v/>
      </c>
      <c r="Q1076" s="8" t="str">
        <f>IF(E1076="","",IFERROR(VLOOKUP(E1076,REGRAS_CST!$A$2:$D$200,4,FALSE),""))</f>
        <v/>
      </c>
      <c r="S1076" s="9">
        <f>IF($H1076="","",$H1076*(1-$U1076))</f>
        <v>8.9999999999999993E-3</v>
      </c>
      <c r="T1076" s="9">
        <f>IF($I1076="","",$I1076*(1-$U1076))</f>
        <v>1E-3</v>
      </c>
      <c r="U1076" s="16">
        <f>IFERROR(INDEX(BASE_CCLASSTRIB!$E:$E, MATCH(TEXT($D1076,"000000"), BASE_CCLASSTRIB!$A:$A, 0))/100, 0)</f>
        <v>0</v>
      </c>
      <c r="V1076" s="16">
        <f>IFERROR(INDEX(BASE_CCLASSTRIB!$F:$F, MATCH(TEXT($D1076,"000000"), BASE_CCLASSTRIB!$A:$A, 0))/100, 0)</f>
        <v>0</v>
      </c>
    </row>
    <row r="1077" spans="4:22" ht="32.25" customHeight="1">
      <c r="D1077" s="39"/>
      <c r="E1077" s="27" t="str">
        <f>IF(D1077="","",LEFT(D1077,3))</f>
        <v/>
      </c>
      <c r="F1077" s="28" t="str">
        <f>IF(E1077="","",IFERROR(VLOOKUP(E1077,REGRAS_CST!$A$2:$B$200,2,FALSE),""))</f>
        <v/>
      </c>
      <c r="H1077" s="29">
        <v>8.9999999999999993E-3</v>
      </c>
      <c r="I1077" s="29">
        <v>1E-3</v>
      </c>
      <c r="K1077" s="21" t="str">
        <f>IF(E1077="","",IFERROR(VLOOKUP(E1077,REGRAS_CST!$A$2:$C$200,3,FALSE),""))</f>
        <v/>
      </c>
      <c r="L1077" s="23" t="str">
        <f>IF($G1077="", "", $G1077*(1-$V1077))</f>
        <v/>
      </c>
      <c r="M1077" s="24" t="str">
        <f>IF(OR($L1077="",$S1077=""),"",$L1077*$S1077)</f>
        <v/>
      </c>
      <c r="N1077" s="24" t="str">
        <f>IF(OR($L1077="",$T1077=""),"",$L1077*$T1077)</f>
        <v/>
      </c>
      <c r="O1077" s="15" t="str">
        <f>IF(D1077="","",
IF(AND(K1077&lt;&gt;"SIM",V1077&gt;0),"ERRO: % BC &gt; 0, mas NÃO permitida ❌",
IF(AND(K1077="SIM",V1077=0),"ATENÇÃO: BC permitida, mas % = 0 🔎",
"Base de cálculo aplicada corretamente ✅")))</f>
        <v/>
      </c>
      <c r="P1077" s="31" t="str">
        <f>IF(D1077="","",
IF(AND(Q1077&lt;&gt;"SIM",U1077&gt;0),"ERRO: % alíquota &gt; 0, mas NÃO permitida ❌",
IF(AND(Q1077="SIM",U1077=0),"ATENÇÃO: alíquota permitida, mas % = 0 🔎",
"Alíquota aplicada corretamente ✅")))</f>
        <v/>
      </c>
      <c r="Q1077" s="8" t="str">
        <f>IF(E1077="","",IFERROR(VLOOKUP(E1077,REGRAS_CST!$A$2:$D$200,4,FALSE),""))</f>
        <v/>
      </c>
      <c r="S1077" s="9">
        <f>IF($H1077="","",$H1077*(1-$U1077))</f>
        <v>8.9999999999999993E-3</v>
      </c>
      <c r="T1077" s="9">
        <f>IF($I1077="","",$I1077*(1-$U1077))</f>
        <v>1E-3</v>
      </c>
      <c r="U1077" s="16">
        <f>IFERROR(INDEX(BASE_CCLASSTRIB!$E:$E, MATCH(TEXT($D1077,"000000"), BASE_CCLASSTRIB!$A:$A, 0))/100, 0)</f>
        <v>0</v>
      </c>
      <c r="V1077" s="16">
        <f>IFERROR(INDEX(BASE_CCLASSTRIB!$F:$F, MATCH(TEXT($D1077,"000000"), BASE_CCLASSTRIB!$A:$A, 0))/100, 0)</f>
        <v>0</v>
      </c>
    </row>
    <row r="1078" spans="4:22" ht="32.25" customHeight="1">
      <c r="D1078" s="39"/>
      <c r="E1078" s="27" t="str">
        <f>IF(D1078="","",LEFT(D1078,3))</f>
        <v/>
      </c>
      <c r="F1078" s="28" t="str">
        <f>IF(E1078="","",IFERROR(VLOOKUP(E1078,REGRAS_CST!$A$2:$B$200,2,FALSE),""))</f>
        <v/>
      </c>
      <c r="H1078" s="29">
        <v>8.9999999999999993E-3</v>
      </c>
      <c r="I1078" s="29">
        <v>1E-3</v>
      </c>
      <c r="K1078" s="21" t="str">
        <f>IF(E1078="","",IFERROR(VLOOKUP(E1078,REGRAS_CST!$A$2:$C$200,3,FALSE),""))</f>
        <v/>
      </c>
      <c r="L1078" s="23" t="str">
        <f>IF($G1078="", "", $G1078*(1-$V1078))</f>
        <v/>
      </c>
      <c r="M1078" s="24" t="str">
        <f>IF(OR($L1078="",$S1078=""),"",$L1078*$S1078)</f>
        <v/>
      </c>
      <c r="N1078" s="24" t="str">
        <f>IF(OR($L1078="",$T1078=""),"",$L1078*$T1078)</f>
        <v/>
      </c>
      <c r="O1078" s="15" t="str">
        <f>IF(D1078="","",
IF(AND(K1078&lt;&gt;"SIM",V1078&gt;0),"ERRO: % BC &gt; 0, mas NÃO permitida ❌",
IF(AND(K1078="SIM",V1078=0),"ATENÇÃO: BC permitida, mas % = 0 🔎",
"Base de cálculo aplicada corretamente ✅")))</f>
        <v/>
      </c>
      <c r="P1078" s="31" t="str">
        <f>IF(D1078="","",
IF(AND(Q1078&lt;&gt;"SIM",U1078&gt;0),"ERRO: % alíquota &gt; 0, mas NÃO permitida ❌",
IF(AND(Q1078="SIM",U1078=0),"ATENÇÃO: alíquota permitida, mas % = 0 🔎",
"Alíquota aplicada corretamente ✅")))</f>
        <v/>
      </c>
      <c r="Q1078" s="8" t="str">
        <f>IF(E1078="","",IFERROR(VLOOKUP(E1078,REGRAS_CST!$A$2:$D$200,4,FALSE),""))</f>
        <v/>
      </c>
      <c r="S1078" s="9">
        <f>IF($H1078="","",$H1078*(1-$U1078))</f>
        <v>8.9999999999999993E-3</v>
      </c>
      <c r="T1078" s="9">
        <f>IF($I1078="","",$I1078*(1-$U1078))</f>
        <v>1E-3</v>
      </c>
      <c r="U1078" s="16">
        <f>IFERROR(INDEX(BASE_CCLASSTRIB!$E:$E, MATCH(TEXT($D1078,"000000"), BASE_CCLASSTRIB!$A:$A, 0))/100, 0)</f>
        <v>0</v>
      </c>
      <c r="V1078" s="16">
        <f>IFERROR(INDEX(BASE_CCLASSTRIB!$F:$F, MATCH(TEXT($D1078,"000000"), BASE_CCLASSTRIB!$A:$A, 0))/100, 0)</f>
        <v>0</v>
      </c>
    </row>
    <row r="1079" spans="4:22" ht="32.25" customHeight="1">
      <c r="D1079" s="40"/>
      <c r="E1079" s="27" t="str">
        <f>IF(D1079="","",LEFT(D1079,3))</f>
        <v/>
      </c>
      <c r="F1079" s="28" t="str">
        <f>IF(E1079="","",IFERROR(VLOOKUP(E1079,REGRAS_CST!$A$2:$B$200,2,FALSE),""))</f>
        <v/>
      </c>
      <c r="H1079" s="29">
        <v>8.9999999999999993E-3</v>
      </c>
      <c r="I1079" s="29">
        <v>1E-3</v>
      </c>
      <c r="K1079" s="21" t="str">
        <f>IF(E1079="","",IFERROR(VLOOKUP(E1079,REGRAS_CST!$A$2:$C$200,3,FALSE),""))</f>
        <v/>
      </c>
      <c r="L1079" s="23" t="str">
        <f>IF($G1079="", "", $G1079*(1-$V1079))</f>
        <v/>
      </c>
      <c r="M1079" s="24" t="str">
        <f>IF(OR($L1079="",$S1079=""),"",$L1079*$S1079)</f>
        <v/>
      </c>
      <c r="N1079" s="24" t="str">
        <f>IF(OR($L1079="",$T1079=""),"",$L1079*$T1079)</f>
        <v/>
      </c>
      <c r="O1079" s="15" t="str">
        <f>IF(D1079="","",
IF(AND(K1079&lt;&gt;"SIM",V1079&gt;0),"ERRO: % BC &gt; 0, mas NÃO permitida ❌",
IF(AND(K1079="SIM",V1079=0),"ATENÇÃO: BC permitida, mas % = 0 🔎",
"Base de cálculo aplicada corretamente ✅")))</f>
        <v/>
      </c>
      <c r="P1079" s="31" t="str">
        <f>IF(D1079="","",
IF(AND(Q1079&lt;&gt;"SIM",U1079&gt;0),"ERRO: % alíquota &gt; 0, mas NÃO permitida ❌",
IF(AND(Q1079="SIM",U1079=0),"ATENÇÃO: alíquota permitida, mas % = 0 🔎",
"Alíquota aplicada corretamente ✅")))</f>
        <v/>
      </c>
      <c r="Q1079" s="8" t="str">
        <f>IF(E1079="","",IFERROR(VLOOKUP(E1079,REGRAS_CST!$A$2:$D$200,4,FALSE),""))</f>
        <v/>
      </c>
      <c r="S1079" s="9">
        <f>IF($H1079="","",$H1079*(1-$U1079))</f>
        <v>8.9999999999999993E-3</v>
      </c>
      <c r="T1079" s="9">
        <f>IF($I1079="","",$I1079*(1-$U1079))</f>
        <v>1E-3</v>
      </c>
      <c r="U1079" s="16">
        <f>IFERROR(INDEX(BASE_CCLASSTRIB!$E:$E, MATCH(TEXT($D1079,"000000"), BASE_CCLASSTRIB!$A:$A, 0))/100, 0)</f>
        <v>0</v>
      </c>
      <c r="V1079" s="16">
        <f>IFERROR(INDEX(BASE_CCLASSTRIB!$F:$F, MATCH(TEXT($D1079,"000000"), BASE_CCLASSTRIB!$A:$A, 0))/100, 0)</f>
        <v>0</v>
      </c>
    </row>
    <row r="1080" spans="4:22" ht="32.25" customHeight="1">
      <c r="D1080" s="40"/>
      <c r="E1080" s="27" t="str">
        <f>IF(D1080="","",LEFT(D1080,3))</f>
        <v/>
      </c>
      <c r="F1080" s="28" t="str">
        <f>IF(E1080="","",IFERROR(VLOOKUP(E1080,REGRAS_CST!$A$2:$B$200,2,FALSE),""))</f>
        <v/>
      </c>
      <c r="H1080" s="29">
        <v>8.9999999999999993E-3</v>
      </c>
      <c r="I1080" s="29">
        <v>1E-3</v>
      </c>
      <c r="K1080" s="21" t="str">
        <f>IF(E1080="","",IFERROR(VLOOKUP(E1080,REGRAS_CST!$A$2:$C$200,3,FALSE),""))</f>
        <v/>
      </c>
      <c r="L1080" s="23" t="str">
        <f>IF($G1080="", "", $G1080*(1-$V1080))</f>
        <v/>
      </c>
      <c r="M1080" s="24" t="str">
        <f>IF(OR($L1080="",$S1080=""),"",$L1080*$S1080)</f>
        <v/>
      </c>
      <c r="N1080" s="24" t="str">
        <f>IF(OR($L1080="",$T1080=""),"",$L1080*$T1080)</f>
        <v/>
      </c>
      <c r="O1080" s="15" t="str">
        <f>IF(D1080="","",
IF(AND(K1080&lt;&gt;"SIM",V1080&gt;0),"ERRO: % BC &gt; 0, mas NÃO permitida ❌",
IF(AND(K1080="SIM",V1080=0),"ATENÇÃO: BC permitida, mas % = 0 🔎",
"Base de cálculo aplicada corretamente ✅")))</f>
        <v/>
      </c>
      <c r="P1080" s="31" t="str">
        <f>IF(D1080="","",
IF(AND(Q1080&lt;&gt;"SIM",U1080&gt;0),"ERRO: % alíquota &gt; 0, mas NÃO permitida ❌",
IF(AND(Q1080="SIM",U1080=0),"ATENÇÃO: alíquota permitida, mas % = 0 🔎",
"Alíquota aplicada corretamente ✅")))</f>
        <v/>
      </c>
      <c r="Q1080" s="8" t="str">
        <f>IF(E1080="","",IFERROR(VLOOKUP(E1080,REGRAS_CST!$A$2:$D$200,4,FALSE),""))</f>
        <v/>
      </c>
      <c r="S1080" s="9">
        <f>IF($H1080="","",$H1080*(1-$U1080))</f>
        <v>8.9999999999999993E-3</v>
      </c>
      <c r="T1080" s="9">
        <f>IF($I1080="","",$I1080*(1-$U1080))</f>
        <v>1E-3</v>
      </c>
      <c r="U1080" s="16">
        <f>IFERROR(INDEX(BASE_CCLASSTRIB!$E:$E, MATCH(TEXT($D1080,"000000"), BASE_CCLASSTRIB!$A:$A, 0))/100, 0)</f>
        <v>0</v>
      </c>
      <c r="V1080" s="16">
        <f>IFERROR(INDEX(BASE_CCLASSTRIB!$F:$F, MATCH(TEXT($D1080,"000000"), BASE_CCLASSTRIB!$A:$A, 0))/100, 0)</f>
        <v>0</v>
      </c>
    </row>
    <row r="1081" spans="4:22" ht="32.25" customHeight="1">
      <c r="D1081" s="39"/>
      <c r="E1081" s="27" t="str">
        <f>IF(D1081="","",LEFT(D1081,3))</f>
        <v/>
      </c>
      <c r="F1081" s="28" t="str">
        <f>IF(E1081="","",IFERROR(VLOOKUP(E1081,REGRAS_CST!$A$2:$B$200,2,FALSE),""))</f>
        <v/>
      </c>
      <c r="H1081" s="29">
        <v>8.9999999999999993E-3</v>
      </c>
      <c r="I1081" s="29">
        <v>1E-3</v>
      </c>
      <c r="K1081" s="21" t="str">
        <f>IF(E1081="","",IFERROR(VLOOKUP(E1081,REGRAS_CST!$A$2:$C$200,3,FALSE),""))</f>
        <v/>
      </c>
      <c r="L1081" s="23" t="str">
        <f>IF($G1081="", "", $G1081*(1-$V1081))</f>
        <v/>
      </c>
      <c r="M1081" s="24" t="str">
        <f>IF(OR($L1081="",$S1081=""),"",$L1081*$S1081)</f>
        <v/>
      </c>
      <c r="N1081" s="24" t="str">
        <f>IF(OR($L1081="",$T1081=""),"",$L1081*$T1081)</f>
        <v/>
      </c>
      <c r="O1081" s="15" t="str">
        <f>IF(D1081="","",
IF(AND(K1081&lt;&gt;"SIM",V1081&gt;0),"ERRO: % BC &gt; 0, mas NÃO permitida ❌",
IF(AND(K1081="SIM",V1081=0),"ATENÇÃO: BC permitida, mas % = 0 🔎",
"Base de cálculo aplicada corretamente ✅")))</f>
        <v/>
      </c>
      <c r="P1081" s="31" t="str">
        <f>IF(D1081="","",
IF(AND(Q1081&lt;&gt;"SIM",U1081&gt;0),"ERRO: % alíquota &gt; 0, mas NÃO permitida ❌",
IF(AND(Q1081="SIM",U1081=0),"ATENÇÃO: alíquota permitida, mas % = 0 🔎",
"Alíquota aplicada corretamente ✅")))</f>
        <v/>
      </c>
      <c r="Q1081" s="8" t="str">
        <f>IF(E1081="","",IFERROR(VLOOKUP(E1081,REGRAS_CST!$A$2:$D$200,4,FALSE),""))</f>
        <v/>
      </c>
      <c r="S1081" s="9">
        <f>IF($H1081="","",$H1081*(1-$U1081))</f>
        <v>8.9999999999999993E-3</v>
      </c>
      <c r="T1081" s="9">
        <f>IF($I1081="","",$I1081*(1-$U1081))</f>
        <v>1E-3</v>
      </c>
      <c r="U1081" s="16">
        <f>IFERROR(INDEX(BASE_CCLASSTRIB!$E:$E, MATCH(TEXT($D1081,"000000"), BASE_CCLASSTRIB!$A:$A, 0))/100, 0)</f>
        <v>0</v>
      </c>
      <c r="V1081" s="16">
        <f>IFERROR(INDEX(BASE_CCLASSTRIB!$F:$F, MATCH(TEXT($D1081,"000000"), BASE_CCLASSTRIB!$A:$A, 0))/100, 0)</f>
        <v>0</v>
      </c>
    </row>
    <row r="1082" spans="4:22" ht="32.25" customHeight="1">
      <c r="D1082" s="39"/>
      <c r="E1082" s="27" t="str">
        <f>IF(D1082="","",LEFT(D1082,3))</f>
        <v/>
      </c>
      <c r="F1082" s="28" t="str">
        <f>IF(E1082="","",IFERROR(VLOOKUP(E1082,REGRAS_CST!$A$2:$B$200,2,FALSE),""))</f>
        <v/>
      </c>
      <c r="H1082" s="29">
        <v>8.9999999999999993E-3</v>
      </c>
      <c r="I1082" s="29">
        <v>1E-3</v>
      </c>
      <c r="K1082" s="21" t="str">
        <f>IF(E1082="","",IFERROR(VLOOKUP(E1082,REGRAS_CST!$A$2:$C$200,3,FALSE),""))</f>
        <v/>
      </c>
      <c r="L1082" s="23" t="str">
        <f>IF($G1082="", "", $G1082*(1-$V1082))</f>
        <v/>
      </c>
      <c r="M1082" s="24" t="str">
        <f>IF(OR($L1082="",$S1082=""),"",$L1082*$S1082)</f>
        <v/>
      </c>
      <c r="N1082" s="24" t="str">
        <f>IF(OR($L1082="",$T1082=""),"",$L1082*$T1082)</f>
        <v/>
      </c>
      <c r="O1082" s="15" t="str">
        <f>IF(D1082="","",
IF(AND(K1082&lt;&gt;"SIM",V1082&gt;0),"ERRO: % BC &gt; 0, mas NÃO permitida ❌",
IF(AND(K1082="SIM",V1082=0),"ATENÇÃO: BC permitida, mas % = 0 🔎",
"Base de cálculo aplicada corretamente ✅")))</f>
        <v/>
      </c>
      <c r="P1082" s="31" t="str">
        <f>IF(D1082="","",
IF(AND(Q1082&lt;&gt;"SIM",U1082&gt;0),"ERRO: % alíquota &gt; 0, mas NÃO permitida ❌",
IF(AND(Q1082="SIM",U1082=0),"ATENÇÃO: alíquota permitida, mas % = 0 🔎",
"Alíquota aplicada corretamente ✅")))</f>
        <v/>
      </c>
      <c r="Q1082" s="8" t="str">
        <f>IF(E1082="","",IFERROR(VLOOKUP(E1082,REGRAS_CST!$A$2:$D$200,4,FALSE),""))</f>
        <v/>
      </c>
      <c r="S1082" s="9">
        <f>IF($H1082="","",$H1082*(1-$U1082))</f>
        <v>8.9999999999999993E-3</v>
      </c>
      <c r="T1082" s="9">
        <f>IF($I1082="","",$I1082*(1-$U1082))</f>
        <v>1E-3</v>
      </c>
      <c r="U1082" s="16">
        <f>IFERROR(INDEX(BASE_CCLASSTRIB!$E:$E, MATCH(TEXT($D1082,"000000"), BASE_CCLASSTRIB!$A:$A, 0))/100, 0)</f>
        <v>0</v>
      </c>
      <c r="V1082" s="16">
        <f>IFERROR(INDEX(BASE_CCLASSTRIB!$F:$F, MATCH(TEXT($D1082,"000000"), BASE_CCLASSTRIB!$A:$A, 0))/100, 0)</f>
        <v>0</v>
      </c>
    </row>
    <row r="1083" spans="4:22" ht="32.25" customHeight="1">
      <c r="D1083" s="39"/>
      <c r="E1083" s="27" t="str">
        <f>IF(D1083="","",LEFT(D1083,3))</f>
        <v/>
      </c>
      <c r="F1083" s="28" t="str">
        <f>IF(E1083="","",IFERROR(VLOOKUP(E1083,REGRAS_CST!$A$2:$B$200,2,FALSE),""))</f>
        <v/>
      </c>
      <c r="H1083" s="29">
        <v>8.9999999999999993E-3</v>
      </c>
      <c r="I1083" s="29">
        <v>1E-3</v>
      </c>
      <c r="K1083" s="21" t="str">
        <f>IF(E1083="","",IFERROR(VLOOKUP(E1083,REGRAS_CST!$A$2:$C$200,3,FALSE),""))</f>
        <v/>
      </c>
      <c r="L1083" s="23" t="str">
        <f>IF($G1083="", "", $G1083*(1-$V1083))</f>
        <v/>
      </c>
      <c r="M1083" s="24" t="str">
        <f>IF(OR($L1083="",$S1083=""),"",$L1083*$S1083)</f>
        <v/>
      </c>
      <c r="N1083" s="24" t="str">
        <f>IF(OR($L1083="",$T1083=""),"",$L1083*$T1083)</f>
        <v/>
      </c>
      <c r="O1083" s="15" t="str">
        <f>IF(D1083="","",
IF(AND(K1083&lt;&gt;"SIM",V1083&gt;0),"ERRO: % BC &gt; 0, mas NÃO permitida ❌",
IF(AND(K1083="SIM",V1083=0),"ATENÇÃO: BC permitida, mas % = 0 🔎",
"Base de cálculo aplicada corretamente ✅")))</f>
        <v/>
      </c>
      <c r="P1083" s="31" t="str">
        <f>IF(D1083="","",
IF(AND(Q1083&lt;&gt;"SIM",U1083&gt;0),"ERRO: % alíquota &gt; 0, mas NÃO permitida ❌",
IF(AND(Q1083="SIM",U1083=0),"ATENÇÃO: alíquota permitida, mas % = 0 🔎",
"Alíquota aplicada corretamente ✅")))</f>
        <v/>
      </c>
      <c r="Q1083" s="8" t="str">
        <f>IF(E1083="","",IFERROR(VLOOKUP(E1083,REGRAS_CST!$A$2:$D$200,4,FALSE),""))</f>
        <v/>
      </c>
      <c r="S1083" s="9">
        <f>IF($H1083="","",$H1083*(1-$U1083))</f>
        <v>8.9999999999999993E-3</v>
      </c>
      <c r="T1083" s="9">
        <f>IF($I1083="","",$I1083*(1-$U1083))</f>
        <v>1E-3</v>
      </c>
      <c r="U1083" s="16">
        <f>IFERROR(INDEX(BASE_CCLASSTRIB!$E:$E, MATCH(TEXT($D1083,"000000"), BASE_CCLASSTRIB!$A:$A, 0))/100, 0)</f>
        <v>0</v>
      </c>
      <c r="V1083" s="16">
        <f>IFERROR(INDEX(BASE_CCLASSTRIB!$F:$F, MATCH(TEXT($D1083,"000000"), BASE_CCLASSTRIB!$A:$A, 0))/100, 0)</f>
        <v>0</v>
      </c>
    </row>
    <row r="1084" spans="4:22" ht="32.25" customHeight="1">
      <c r="D1084" s="39"/>
      <c r="E1084" s="27" t="str">
        <f>IF(D1084="","",LEFT(D1084,3))</f>
        <v/>
      </c>
      <c r="F1084" s="28" t="str">
        <f>IF(E1084="","",IFERROR(VLOOKUP(E1084,REGRAS_CST!$A$2:$B$200,2,FALSE),""))</f>
        <v/>
      </c>
      <c r="H1084" s="29">
        <v>8.9999999999999993E-3</v>
      </c>
      <c r="I1084" s="29">
        <v>1E-3</v>
      </c>
      <c r="K1084" s="21" t="str">
        <f>IF(E1084="","",IFERROR(VLOOKUP(E1084,REGRAS_CST!$A$2:$C$200,3,FALSE),""))</f>
        <v/>
      </c>
      <c r="L1084" s="23" t="str">
        <f>IF($G1084="", "", $G1084*(1-$V1084))</f>
        <v/>
      </c>
      <c r="M1084" s="24" t="str">
        <f>IF(OR($L1084="",$S1084=""),"",$L1084*$S1084)</f>
        <v/>
      </c>
      <c r="N1084" s="24" t="str">
        <f>IF(OR($L1084="",$T1084=""),"",$L1084*$T1084)</f>
        <v/>
      </c>
      <c r="O1084" s="15" t="str">
        <f>IF(D1084="","",
IF(AND(K1084&lt;&gt;"SIM",V1084&gt;0),"ERRO: % BC &gt; 0, mas NÃO permitida ❌",
IF(AND(K1084="SIM",V1084=0),"ATENÇÃO: BC permitida, mas % = 0 🔎",
"Base de cálculo aplicada corretamente ✅")))</f>
        <v/>
      </c>
      <c r="P1084" s="31" t="str">
        <f>IF(D1084="","",
IF(AND(Q1084&lt;&gt;"SIM",U1084&gt;0),"ERRO: % alíquota &gt; 0, mas NÃO permitida ❌",
IF(AND(Q1084="SIM",U1084=0),"ATENÇÃO: alíquota permitida, mas % = 0 🔎",
"Alíquota aplicada corretamente ✅")))</f>
        <v/>
      </c>
      <c r="Q1084" s="8" t="str">
        <f>IF(E1084="","",IFERROR(VLOOKUP(E1084,REGRAS_CST!$A$2:$D$200,4,FALSE),""))</f>
        <v/>
      </c>
      <c r="S1084" s="9">
        <f>IF($H1084="","",$H1084*(1-$U1084))</f>
        <v>8.9999999999999993E-3</v>
      </c>
      <c r="T1084" s="9">
        <f>IF($I1084="","",$I1084*(1-$U1084))</f>
        <v>1E-3</v>
      </c>
      <c r="U1084" s="16">
        <f>IFERROR(INDEX(BASE_CCLASSTRIB!$E:$E, MATCH(TEXT($D1084,"000000"), BASE_CCLASSTRIB!$A:$A, 0))/100, 0)</f>
        <v>0</v>
      </c>
      <c r="V1084" s="16">
        <f>IFERROR(INDEX(BASE_CCLASSTRIB!$F:$F, MATCH(TEXT($D1084,"000000"), BASE_CCLASSTRIB!$A:$A, 0))/100, 0)</f>
        <v>0</v>
      </c>
    </row>
    <row r="1085" spans="4:22" ht="32.25" customHeight="1">
      <c r="D1085" s="40"/>
      <c r="E1085" s="27" t="str">
        <f>IF(D1085="","",LEFT(D1085,3))</f>
        <v/>
      </c>
      <c r="F1085" s="28" t="str">
        <f>IF(E1085="","",IFERROR(VLOOKUP(E1085,REGRAS_CST!$A$2:$B$200,2,FALSE),""))</f>
        <v/>
      </c>
      <c r="H1085" s="29">
        <v>8.9999999999999993E-3</v>
      </c>
      <c r="I1085" s="29">
        <v>1E-3</v>
      </c>
      <c r="K1085" s="21" t="str">
        <f>IF(E1085="","",IFERROR(VLOOKUP(E1085,REGRAS_CST!$A$2:$C$200,3,FALSE),""))</f>
        <v/>
      </c>
      <c r="L1085" s="23" t="str">
        <f>IF($G1085="", "", $G1085*(1-$V1085))</f>
        <v/>
      </c>
      <c r="M1085" s="24" t="str">
        <f>IF(OR($L1085="",$S1085=""),"",$L1085*$S1085)</f>
        <v/>
      </c>
      <c r="N1085" s="24" t="str">
        <f>IF(OR($L1085="",$T1085=""),"",$L1085*$T1085)</f>
        <v/>
      </c>
      <c r="O1085" s="15" t="str">
        <f>IF(D1085="","",
IF(AND(K1085&lt;&gt;"SIM",V1085&gt;0),"ERRO: % BC &gt; 0, mas NÃO permitida ❌",
IF(AND(K1085="SIM",V1085=0),"ATENÇÃO: BC permitida, mas % = 0 🔎",
"Base de cálculo aplicada corretamente ✅")))</f>
        <v/>
      </c>
      <c r="P1085" s="31" t="str">
        <f>IF(D1085="","",
IF(AND(Q1085&lt;&gt;"SIM",U1085&gt;0),"ERRO: % alíquota &gt; 0, mas NÃO permitida ❌",
IF(AND(Q1085="SIM",U1085=0),"ATENÇÃO: alíquota permitida, mas % = 0 🔎",
"Alíquota aplicada corretamente ✅")))</f>
        <v/>
      </c>
      <c r="Q1085" s="8" t="str">
        <f>IF(E1085="","",IFERROR(VLOOKUP(E1085,REGRAS_CST!$A$2:$D$200,4,FALSE),""))</f>
        <v/>
      </c>
      <c r="S1085" s="9">
        <f>IF($H1085="","",$H1085*(1-$U1085))</f>
        <v>8.9999999999999993E-3</v>
      </c>
      <c r="T1085" s="9">
        <f>IF($I1085="","",$I1085*(1-$U1085))</f>
        <v>1E-3</v>
      </c>
      <c r="U1085" s="16">
        <f>IFERROR(INDEX(BASE_CCLASSTRIB!$E:$E, MATCH(TEXT($D1085,"000000"), BASE_CCLASSTRIB!$A:$A, 0))/100, 0)</f>
        <v>0</v>
      </c>
      <c r="V1085" s="16">
        <f>IFERROR(INDEX(BASE_CCLASSTRIB!$F:$F, MATCH(TEXT($D1085,"000000"), BASE_CCLASSTRIB!$A:$A, 0))/100, 0)</f>
        <v>0</v>
      </c>
    </row>
    <row r="1086" spans="4:22" ht="32.25" customHeight="1">
      <c r="D1086" s="39"/>
      <c r="E1086" s="27" t="str">
        <f>IF(D1086="","",LEFT(D1086,3))</f>
        <v/>
      </c>
      <c r="F1086" s="28" t="str">
        <f>IF(E1086="","",IFERROR(VLOOKUP(E1086,REGRAS_CST!$A$2:$B$200,2,FALSE),""))</f>
        <v/>
      </c>
      <c r="H1086" s="29">
        <v>8.9999999999999993E-3</v>
      </c>
      <c r="I1086" s="29">
        <v>1E-3</v>
      </c>
      <c r="K1086" s="21" t="str">
        <f>IF(E1086="","",IFERROR(VLOOKUP(E1086,REGRAS_CST!$A$2:$C$200,3,FALSE),""))</f>
        <v/>
      </c>
      <c r="L1086" s="23" t="str">
        <f>IF($G1086="", "", $G1086*(1-$V1086))</f>
        <v/>
      </c>
      <c r="M1086" s="24" t="str">
        <f>IF(OR($L1086="",$S1086=""),"",$L1086*$S1086)</f>
        <v/>
      </c>
      <c r="N1086" s="24" t="str">
        <f>IF(OR($L1086="",$T1086=""),"",$L1086*$T1086)</f>
        <v/>
      </c>
      <c r="O1086" s="15" t="str">
        <f>IF(D1086="","",
IF(AND(K1086&lt;&gt;"SIM",V1086&gt;0),"ERRO: % BC &gt; 0, mas NÃO permitida ❌",
IF(AND(K1086="SIM",V1086=0),"ATENÇÃO: BC permitida, mas % = 0 🔎",
"Base de cálculo aplicada corretamente ✅")))</f>
        <v/>
      </c>
      <c r="P1086" s="31" t="str">
        <f>IF(D1086="","",
IF(AND(Q1086&lt;&gt;"SIM",U1086&gt;0),"ERRO: % alíquota &gt; 0, mas NÃO permitida ❌",
IF(AND(Q1086="SIM",U1086=0),"ATENÇÃO: alíquota permitida, mas % = 0 🔎",
"Alíquota aplicada corretamente ✅")))</f>
        <v/>
      </c>
      <c r="Q1086" s="8" t="str">
        <f>IF(E1086="","",IFERROR(VLOOKUP(E1086,REGRAS_CST!$A$2:$D$200,4,FALSE),""))</f>
        <v/>
      </c>
      <c r="S1086" s="9">
        <f>IF($H1086="","",$H1086*(1-$U1086))</f>
        <v>8.9999999999999993E-3</v>
      </c>
      <c r="T1086" s="9">
        <f>IF($I1086="","",$I1086*(1-$U1086))</f>
        <v>1E-3</v>
      </c>
      <c r="U1086" s="16">
        <f>IFERROR(INDEX(BASE_CCLASSTRIB!$E:$E, MATCH(TEXT($D1086,"000000"), BASE_CCLASSTRIB!$A:$A, 0))/100, 0)</f>
        <v>0</v>
      </c>
      <c r="V1086" s="16">
        <f>IFERROR(INDEX(BASE_CCLASSTRIB!$F:$F, MATCH(TEXT($D1086,"000000"), BASE_CCLASSTRIB!$A:$A, 0))/100, 0)</f>
        <v>0</v>
      </c>
    </row>
    <row r="1087" spans="4:22" ht="32.25" customHeight="1">
      <c r="D1087" s="40"/>
      <c r="E1087" s="27" t="str">
        <f>IF(D1087="","",LEFT(D1087,3))</f>
        <v/>
      </c>
      <c r="F1087" s="28" t="str">
        <f>IF(E1087="","",IFERROR(VLOOKUP(E1087,REGRAS_CST!$A$2:$B$200,2,FALSE),""))</f>
        <v/>
      </c>
      <c r="H1087" s="29">
        <v>8.9999999999999993E-3</v>
      </c>
      <c r="I1087" s="29">
        <v>1E-3</v>
      </c>
      <c r="K1087" s="21" t="str">
        <f>IF(E1087="","",IFERROR(VLOOKUP(E1087,REGRAS_CST!$A$2:$C$200,3,FALSE),""))</f>
        <v/>
      </c>
      <c r="L1087" s="23" t="str">
        <f>IF($G1087="", "", $G1087*(1-$V1087))</f>
        <v/>
      </c>
      <c r="M1087" s="24" t="str">
        <f>IF(OR($L1087="",$S1087=""),"",$L1087*$S1087)</f>
        <v/>
      </c>
      <c r="N1087" s="24" t="str">
        <f>IF(OR($L1087="",$T1087=""),"",$L1087*$T1087)</f>
        <v/>
      </c>
      <c r="O1087" s="15" t="str">
        <f>IF(D1087="","",
IF(AND(K1087&lt;&gt;"SIM",V1087&gt;0),"ERRO: % BC &gt; 0, mas NÃO permitida ❌",
IF(AND(K1087="SIM",V1087=0),"ATENÇÃO: BC permitida, mas % = 0 🔎",
"Base de cálculo aplicada corretamente ✅")))</f>
        <v/>
      </c>
      <c r="P1087" s="31" t="str">
        <f>IF(D1087="","",
IF(AND(Q1087&lt;&gt;"SIM",U1087&gt;0),"ERRO: % alíquota &gt; 0, mas NÃO permitida ❌",
IF(AND(Q1087="SIM",U1087=0),"ATENÇÃO: alíquota permitida, mas % = 0 🔎",
"Alíquota aplicada corretamente ✅")))</f>
        <v/>
      </c>
      <c r="Q1087" s="8" t="str">
        <f>IF(E1087="","",IFERROR(VLOOKUP(E1087,REGRAS_CST!$A$2:$D$200,4,FALSE),""))</f>
        <v/>
      </c>
      <c r="S1087" s="9">
        <f>IF($H1087="","",$H1087*(1-$U1087))</f>
        <v>8.9999999999999993E-3</v>
      </c>
      <c r="T1087" s="9">
        <f>IF($I1087="","",$I1087*(1-$U1087))</f>
        <v>1E-3</v>
      </c>
      <c r="U1087" s="16">
        <f>IFERROR(INDEX(BASE_CCLASSTRIB!$E:$E, MATCH(TEXT($D1087,"000000"), BASE_CCLASSTRIB!$A:$A, 0))/100, 0)</f>
        <v>0</v>
      </c>
      <c r="V1087" s="16">
        <f>IFERROR(INDEX(BASE_CCLASSTRIB!$F:$F, MATCH(TEXT($D1087,"000000"), BASE_CCLASSTRIB!$A:$A, 0))/100, 0)</f>
        <v>0</v>
      </c>
    </row>
    <row r="1088" spans="4:22" ht="32.25" customHeight="1">
      <c r="D1088" s="39"/>
      <c r="E1088" s="27" t="str">
        <f>IF(D1088="","",LEFT(D1088,3))</f>
        <v/>
      </c>
      <c r="F1088" s="28" t="str">
        <f>IF(E1088="","",IFERROR(VLOOKUP(E1088,REGRAS_CST!$A$2:$B$200,2,FALSE),""))</f>
        <v/>
      </c>
      <c r="H1088" s="29">
        <v>8.9999999999999993E-3</v>
      </c>
      <c r="I1088" s="29">
        <v>1E-3</v>
      </c>
      <c r="K1088" s="21" t="str">
        <f>IF(E1088="","",IFERROR(VLOOKUP(E1088,REGRAS_CST!$A$2:$C$200,3,FALSE),""))</f>
        <v/>
      </c>
      <c r="L1088" s="23" t="str">
        <f>IF($G1088="", "", $G1088*(1-$V1088))</f>
        <v/>
      </c>
      <c r="M1088" s="24" t="str">
        <f>IF(OR($L1088="",$S1088=""),"",$L1088*$S1088)</f>
        <v/>
      </c>
      <c r="N1088" s="24" t="str">
        <f>IF(OR($L1088="",$T1088=""),"",$L1088*$T1088)</f>
        <v/>
      </c>
      <c r="O1088" s="15" t="str">
        <f>IF(D1088="","",
IF(AND(K1088&lt;&gt;"SIM",V1088&gt;0),"ERRO: % BC &gt; 0, mas NÃO permitida ❌",
IF(AND(K1088="SIM",V1088=0),"ATENÇÃO: BC permitida, mas % = 0 🔎",
"Base de cálculo aplicada corretamente ✅")))</f>
        <v/>
      </c>
      <c r="P1088" s="31" t="str">
        <f>IF(D1088="","",
IF(AND(Q1088&lt;&gt;"SIM",U1088&gt;0),"ERRO: % alíquota &gt; 0, mas NÃO permitida ❌",
IF(AND(Q1088="SIM",U1088=0),"ATENÇÃO: alíquota permitida, mas % = 0 🔎",
"Alíquota aplicada corretamente ✅")))</f>
        <v/>
      </c>
      <c r="Q1088" s="8" t="str">
        <f>IF(E1088="","",IFERROR(VLOOKUP(E1088,REGRAS_CST!$A$2:$D$200,4,FALSE),""))</f>
        <v/>
      </c>
      <c r="S1088" s="9">
        <f>IF($H1088="","",$H1088*(1-$U1088))</f>
        <v>8.9999999999999993E-3</v>
      </c>
      <c r="T1088" s="9">
        <f>IF($I1088="","",$I1088*(1-$U1088))</f>
        <v>1E-3</v>
      </c>
      <c r="U1088" s="16">
        <f>IFERROR(INDEX(BASE_CCLASSTRIB!$E:$E, MATCH(TEXT($D1088,"000000"), BASE_CCLASSTRIB!$A:$A, 0))/100, 0)</f>
        <v>0</v>
      </c>
      <c r="V1088" s="16">
        <f>IFERROR(INDEX(BASE_CCLASSTRIB!$F:$F, MATCH(TEXT($D1088,"000000"), BASE_CCLASSTRIB!$A:$A, 0))/100, 0)</f>
        <v>0</v>
      </c>
    </row>
    <row r="1089" spans="4:22" ht="32.25" customHeight="1">
      <c r="D1089" s="39"/>
      <c r="E1089" s="27" t="str">
        <f>IF(D1089="","",LEFT(D1089,3))</f>
        <v/>
      </c>
      <c r="F1089" s="28" t="str">
        <f>IF(E1089="","",IFERROR(VLOOKUP(E1089,REGRAS_CST!$A$2:$B$200,2,FALSE),""))</f>
        <v/>
      </c>
      <c r="H1089" s="29">
        <v>8.9999999999999993E-3</v>
      </c>
      <c r="I1089" s="29">
        <v>1E-3</v>
      </c>
      <c r="K1089" s="21" t="str">
        <f>IF(E1089="","",IFERROR(VLOOKUP(E1089,REGRAS_CST!$A$2:$C$200,3,FALSE),""))</f>
        <v/>
      </c>
      <c r="L1089" s="23" t="str">
        <f>IF($G1089="", "", $G1089*(1-$V1089))</f>
        <v/>
      </c>
      <c r="M1089" s="24" t="str">
        <f>IF(OR($L1089="",$S1089=""),"",$L1089*$S1089)</f>
        <v/>
      </c>
      <c r="N1089" s="24" t="str">
        <f>IF(OR($L1089="",$T1089=""),"",$L1089*$T1089)</f>
        <v/>
      </c>
      <c r="O1089" s="15" t="str">
        <f>IF(D1089="","",
IF(AND(K1089&lt;&gt;"SIM",V1089&gt;0),"ERRO: % BC &gt; 0, mas NÃO permitida ❌",
IF(AND(K1089="SIM",V1089=0),"ATENÇÃO: BC permitida, mas % = 0 🔎",
"Base de cálculo aplicada corretamente ✅")))</f>
        <v/>
      </c>
      <c r="P1089" s="31" t="str">
        <f>IF(D1089="","",
IF(AND(Q1089&lt;&gt;"SIM",U1089&gt;0),"ERRO: % alíquota &gt; 0, mas NÃO permitida ❌",
IF(AND(Q1089="SIM",U1089=0),"ATENÇÃO: alíquota permitida, mas % = 0 🔎",
"Alíquota aplicada corretamente ✅")))</f>
        <v/>
      </c>
      <c r="Q1089" s="8" t="str">
        <f>IF(E1089="","",IFERROR(VLOOKUP(E1089,REGRAS_CST!$A$2:$D$200,4,FALSE),""))</f>
        <v/>
      </c>
      <c r="S1089" s="9">
        <f>IF($H1089="","",$H1089*(1-$U1089))</f>
        <v>8.9999999999999993E-3</v>
      </c>
      <c r="T1089" s="9">
        <f>IF($I1089="","",$I1089*(1-$U1089))</f>
        <v>1E-3</v>
      </c>
      <c r="U1089" s="16">
        <f>IFERROR(INDEX(BASE_CCLASSTRIB!$E:$E, MATCH(TEXT($D1089,"000000"), BASE_CCLASSTRIB!$A:$A, 0))/100, 0)</f>
        <v>0</v>
      </c>
      <c r="V1089" s="16">
        <f>IFERROR(INDEX(BASE_CCLASSTRIB!$F:$F, MATCH(TEXT($D1089,"000000"), BASE_CCLASSTRIB!$A:$A, 0))/100, 0)</f>
        <v>0</v>
      </c>
    </row>
    <row r="1090" spans="4:22" ht="32.25" customHeight="1">
      <c r="D1090" s="40"/>
      <c r="E1090" s="27" t="str">
        <f>IF(D1090="","",LEFT(D1090,3))</f>
        <v/>
      </c>
      <c r="F1090" s="28" t="str">
        <f>IF(E1090="","",IFERROR(VLOOKUP(E1090,REGRAS_CST!$A$2:$B$200,2,FALSE),""))</f>
        <v/>
      </c>
      <c r="H1090" s="29">
        <v>8.9999999999999993E-3</v>
      </c>
      <c r="I1090" s="29">
        <v>1E-3</v>
      </c>
      <c r="K1090" s="21" t="str">
        <f>IF(E1090="","",IFERROR(VLOOKUP(E1090,REGRAS_CST!$A$2:$C$200,3,FALSE),""))</f>
        <v/>
      </c>
      <c r="L1090" s="23" t="str">
        <f>IF($G1090="", "", $G1090*(1-$V1090))</f>
        <v/>
      </c>
      <c r="M1090" s="24" t="str">
        <f>IF(OR($L1090="",$S1090=""),"",$L1090*$S1090)</f>
        <v/>
      </c>
      <c r="N1090" s="24" t="str">
        <f>IF(OR($L1090="",$T1090=""),"",$L1090*$T1090)</f>
        <v/>
      </c>
      <c r="O1090" s="15" t="str">
        <f>IF(D1090="","",
IF(AND(K1090&lt;&gt;"SIM",V1090&gt;0),"ERRO: % BC &gt; 0, mas NÃO permitida ❌",
IF(AND(K1090="SIM",V1090=0),"ATENÇÃO: BC permitida, mas % = 0 🔎",
"Base de cálculo aplicada corretamente ✅")))</f>
        <v/>
      </c>
      <c r="P1090" s="31" t="str">
        <f>IF(D1090="","",
IF(AND(Q1090&lt;&gt;"SIM",U1090&gt;0),"ERRO: % alíquota &gt; 0, mas NÃO permitida ❌",
IF(AND(Q1090="SIM",U1090=0),"ATENÇÃO: alíquota permitida, mas % = 0 🔎",
"Alíquota aplicada corretamente ✅")))</f>
        <v/>
      </c>
      <c r="Q1090" s="8" t="str">
        <f>IF(E1090="","",IFERROR(VLOOKUP(E1090,REGRAS_CST!$A$2:$D$200,4,FALSE),""))</f>
        <v/>
      </c>
      <c r="S1090" s="9">
        <f>IF($H1090="","",$H1090*(1-$U1090))</f>
        <v>8.9999999999999993E-3</v>
      </c>
      <c r="T1090" s="9">
        <f>IF($I1090="","",$I1090*(1-$U1090))</f>
        <v>1E-3</v>
      </c>
      <c r="U1090" s="16">
        <f>IFERROR(INDEX(BASE_CCLASSTRIB!$E:$E, MATCH(TEXT($D1090,"000000"), BASE_CCLASSTRIB!$A:$A, 0))/100, 0)</f>
        <v>0</v>
      </c>
      <c r="V1090" s="16">
        <f>IFERROR(INDEX(BASE_CCLASSTRIB!$F:$F, MATCH(TEXT($D1090,"000000"), BASE_CCLASSTRIB!$A:$A, 0))/100, 0)</f>
        <v>0</v>
      </c>
    </row>
    <row r="1091" spans="4:22" ht="32.25" customHeight="1">
      <c r="D1091" s="40"/>
      <c r="E1091" s="27" t="str">
        <f>IF(D1091="","",LEFT(D1091,3))</f>
        <v/>
      </c>
      <c r="F1091" s="28" t="str">
        <f>IF(E1091="","",IFERROR(VLOOKUP(E1091,REGRAS_CST!$A$2:$B$200,2,FALSE),""))</f>
        <v/>
      </c>
      <c r="H1091" s="29">
        <v>8.9999999999999993E-3</v>
      </c>
      <c r="I1091" s="29">
        <v>1E-3</v>
      </c>
      <c r="K1091" s="21" t="str">
        <f>IF(E1091="","",IFERROR(VLOOKUP(E1091,REGRAS_CST!$A$2:$C$200,3,FALSE),""))</f>
        <v/>
      </c>
      <c r="L1091" s="23" t="str">
        <f>IF($G1091="", "", $G1091*(1-$V1091))</f>
        <v/>
      </c>
      <c r="M1091" s="24" t="str">
        <f>IF(OR($L1091="",$S1091=""),"",$L1091*$S1091)</f>
        <v/>
      </c>
      <c r="N1091" s="24" t="str">
        <f>IF(OR($L1091="",$T1091=""),"",$L1091*$T1091)</f>
        <v/>
      </c>
      <c r="O1091" s="15" t="str">
        <f>IF(D1091="","",
IF(AND(K1091&lt;&gt;"SIM",V1091&gt;0),"ERRO: % BC &gt; 0, mas NÃO permitida ❌",
IF(AND(K1091="SIM",V1091=0),"ATENÇÃO: BC permitida, mas % = 0 🔎",
"Base de cálculo aplicada corretamente ✅")))</f>
        <v/>
      </c>
      <c r="P1091" s="31" t="str">
        <f>IF(D1091="","",
IF(AND(Q1091&lt;&gt;"SIM",U1091&gt;0),"ERRO: % alíquota &gt; 0, mas NÃO permitida ❌",
IF(AND(Q1091="SIM",U1091=0),"ATENÇÃO: alíquota permitida, mas % = 0 🔎",
"Alíquota aplicada corretamente ✅")))</f>
        <v/>
      </c>
      <c r="Q1091" s="8" t="str">
        <f>IF(E1091="","",IFERROR(VLOOKUP(E1091,REGRAS_CST!$A$2:$D$200,4,FALSE),""))</f>
        <v/>
      </c>
      <c r="S1091" s="9">
        <f>IF($H1091="","",$H1091*(1-$U1091))</f>
        <v>8.9999999999999993E-3</v>
      </c>
      <c r="T1091" s="9">
        <f>IF($I1091="","",$I1091*(1-$U1091))</f>
        <v>1E-3</v>
      </c>
      <c r="U1091" s="16">
        <f>IFERROR(INDEX(BASE_CCLASSTRIB!$E:$E, MATCH(TEXT($D1091,"000000"), BASE_CCLASSTRIB!$A:$A, 0))/100, 0)</f>
        <v>0</v>
      </c>
      <c r="V1091" s="16">
        <f>IFERROR(INDEX(BASE_CCLASSTRIB!$F:$F, MATCH(TEXT($D1091,"000000"), BASE_CCLASSTRIB!$A:$A, 0))/100, 0)</f>
        <v>0</v>
      </c>
    </row>
    <row r="1092" spans="4:22" ht="32.25" customHeight="1">
      <c r="D1092" s="39"/>
      <c r="E1092" s="27" t="str">
        <f>IF(D1092="","",LEFT(D1092,3))</f>
        <v/>
      </c>
      <c r="F1092" s="28" t="str">
        <f>IF(E1092="","",IFERROR(VLOOKUP(E1092,REGRAS_CST!$A$2:$B$200,2,FALSE),""))</f>
        <v/>
      </c>
      <c r="H1092" s="29">
        <v>8.9999999999999993E-3</v>
      </c>
      <c r="I1092" s="29">
        <v>1E-3</v>
      </c>
      <c r="K1092" s="21" t="str">
        <f>IF(E1092="","",IFERROR(VLOOKUP(E1092,REGRAS_CST!$A$2:$C$200,3,FALSE),""))</f>
        <v/>
      </c>
      <c r="L1092" s="23" t="str">
        <f>IF($G1092="", "", $G1092*(1-$V1092))</f>
        <v/>
      </c>
      <c r="M1092" s="24" t="str">
        <f>IF(OR($L1092="",$S1092=""),"",$L1092*$S1092)</f>
        <v/>
      </c>
      <c r="N1092" s="24" t="str">
        <f>IF(OR($L1092="",$T1092=""),"",$L1092*$T1092)</f>
        <v/>
      </c>
      <c r="O1092" s="15" t="str">
        <f>IF(D1092="","",
IF(AND(K1092&lt;&gt;"SIM",V1092&gt;0),"ERRO: % BC &gt; 0, mas NÃO permitida ❌",
IF(AND(K1092="SIM",V1092=0),"ATENÇÃO: BC permitida, mas % = 0 🔎",
"Base de cálculo aplicada corretamente ✅")))</f>
        <v/>
      </c>
      <c r="P1092" s="31" t="str">
        <f>IF(D1092="","",
IF(AND(Q1092&lt;&gt;"SIM",U1092&gt;0),"ERRO: % alíquota &gt; 0, mas NÃO permitida ❌",
IF(AND(Q1092="SIM",U1092=0),"ATENÇÃO: alíquota permitida, mas % = 0 🔎",
"Alíquota aplicada corretamente ✅")))</f>
        <v/>
      </c>
      <c r="Q1092" s="8" t="str">
        <f>IF(E1092="","",IFERROR(VLOOKUP(E1092,REGRAS_CST!$A$2:$D$200,4,FALSE),""))</f>
        <v/>
      </c>
      <c r="S1092" s="9">
        <f>IF($H1092="","",$H1092*(1-$U1092))</f>
        <v>8.9999999999999993E-3</v>
      </c>
      <c r="T1092" s="9">
        <f>IF($I1092="","",$I1092*(1-$U1092))</f>
        <v>1E-3</v>
      </c>
      <c r="U1092" s="16">
        <f>IFERROR(INDEX(BASE_CCLASSTRIB!$E:$E, MATCH(TEXT($D1092,"000000"), BASE_CCLASSTRIB!$A:$A, 0))/100, 0)</f>
        <v>0</v>
      </c>
      <c r="V1092" s="16">
        <f>IFERROR(INDEX(BASE_CCLASSTRIB!$F:$F, MATCH(TEXT($D1092,"000000"), BASE_CCLASSTRIB!$A:$A, 0))/100, 0)</f>
        <v>0</v>
      </c>
    </row>
    <row r="1093" spans="4:22" ht="32.25" customHeight="1">
      <c r="D1093" s="40"/>
      <c r="E1093" s="27" t="str">
        <f>IF(D1093="","",LEFT(D1093,3))</f>
        <v/>
      </c>
      <c r="F1093" s="28" t="str">
        <f>IF(E1093="","",IFERROR(VLOOKUP(E1093,REGRAS_CST!$A$2:$B$200,2,FALSE),""))</f>
        <v/>
      </c>
      <c r="H1093" s="29">
        <v>8.9999999999999993E-3</v>
      </c>
      <c r="I1093" s="29">
        <v>1E-3</v>
      </c>
      <c r="K1093" s="21" t="str">
        <f>IF(E1093="","",IFERROR(VLOOKUP(E1093,REGRAS_CST!$A$2:$C$200,3,FALSE),""))</f>
        <v/>
      </c>
      <c r="L1093" s="23" t="str">
        <f>IF($G1093="", "", $G1093*(1-$V1093))</f>
        <v/>
      </c>
      <c r="M1093" s="24" t="str">
        <f>IF(OR($L1093="",$S1093=""),"",$L1093*$S1093)</f>
        <v/>
      </c>
      <c r="N1093" s="24" t="str">
        <f>IF(OR($L1093="",$T1093=""),"",$L1093*$T1093)</f>
        <v/>
      </c>
      <c r="O1093" s="15" t="str">
        <f>IF(D1093="","",
IF(AND(K1093&lt;&gt;"SIM",V1093&gt;0),"ERRO: % BC &gt; 0, mas NÃO permitida ❌",
IF(AND(K1093="SIM",V1093=0),"ATENÇÃO: BC permitida, mas % = 0 🔎",
"Base de cálculo aplicada corretamente ✅")))</f>
        <v/>
      </c>
      <c r="P1093" s="31" t="str">
        <f>IF(D1093="","",
IF(AND(Q1093&lt;&gt;"SIM",U1093&gt;0),"ERRO: % alíquota &gt; 0, mas NÃO permitida ❌",
IF(AND(Q1093="SIM",U1093=0),"ATENÇÃO: alíquota permitida, mas % = 0 🔎",
"Alíquota aplicada corretamente ✅")))</f>
        <v/>
      </c>
      <c r="Q1093" s="8" t="str">
        <f>IF(E1093="","",IFERROR(VLOOKUP(E1093,REGRAS_CST!$A$2:$D$200,4,FALSE),""))</f>
        <v/>
      </c>
      <c r="S1093" s="9">
        <f>IF($H1093="","",$H1093*(1-$U1093))</f>
        <v>8.9999999999999993E-3</v>
      </c>
      <c r="T1093" s="9">
        <f>IF($I1093="","",$I1093*(1-$U1093))</f>
        <v>1E-3</v>
      </c>
      <c r="U1093" s="16">
        <f>IFERROR(INDEX(BASE_CCLASSTRIB!$E:$E, MATCH(TEXT($D1093,"000000"), BASE_CCLASSTRIB!$A:$A, 0))/100, 0)</f>
        <v>0</v>
      </c>
      <c r="V1093" s="16">
        <f>IFERROR(INDEX(BASE_CCLASSTRIB!$F:$F, MATCH(TEXT($D1093,"000000"), BASE_CCLASSTRIB!$A:$A, 0))/100, 0)</f>
        <v>0</v>
      </c>
    </row>
    <row r="1094" spans="4:22" ht="32.25" customHeight="1">
      <c r="D1094" s="39"/>
      <c r="E1094" s="27" t="str">
        <f>IF(D1094="","",LEFT(D1094,3))</f>
        <v/>
      </c>
      <c r="F1094" s="28" t="str">
        <f>IF(E1094="","",IFERROR(VLOOKUP(E1094,REGRAS_CST!$A$2:$B$200,2,FALSE),""))</f>
        <v/>
      </c>
      <c r="H1094" s="29">
        <v>8.9999999999999993E-3</v>
      </c>
      <c r="I1094" s="29">
        <v>1E-3</v>
      </c>
      <c r="K1094" s="21" t="str">
        <f>IF(E1094="","",IFERROR(VLOOKUP(E1094,REGRAS_CST!$A$2:$C$200,3,FALSE),""))</f>
        <v/>
      </c>
      <c r="L1094" s="23" t="str">
        <f>IF($G1094="", "", $G1094*(1-$V1094))</f>
        <v/>
      </c>
      <c r="M1094" s="24" t="str">
        <f>IF(OR($L1094="",$S1094=""),"",$L1094*$S1094)</f>
        <v/>
      </c>
      <c r="N1094" s="24" t="str">
        <f>IF(OR($L1094="",$T1094=""),"",$L1094*$T1094)</f>
        <v/>
      </c>
      <c r="O1094" s="15" t="str">
        <f>IF(D1094="","",
IF(AND(K1094&lt;&gt;"SIM",V1094&gt;0),"ERRO: % BC &gt; 0, mas NÃO permitida ❌",
IF(AND(K1094="SIM",V1094=0),"ATENÇÃO: BC permitida, mas % = 0 🔎",
"Base de cálculo aplicada corretamente ✅")))</f>
        <v/>
      </c>
      <c r="P1094" s="31" t="str">
        <f>IF(D1094="","",
IF(AND(Q1094&lt;&gt;"SIM",U1094&gt;0),"ERRO: % alíquota &gt; 0, mas NÃO permitida ❌",
IF(AND(Q1094="SIM",U1094=0),"ATENÇÃO: alíquota permitida, mas % = 0 🔎",
"Alíquota aplicada corretamente ✅")))</f>
        <v/>
      </c>
      <c r="Q1094" s="8" t="str">
        <f>IF(E1094="","",IFERROR(VLOOKUP(E1094,REGRAS_CST!$A$2:$D$200,4,FALSE),""))</f>
        <v/>
      </c>
      <c r="S1094" s="9">
        <f>IF($H1094="","",$H1094*(1-$U1094))</f>
        <v>8.9999999999999993E-3</v>
      </c>
      <c r="T1094" s="9">
        <f>IF($I1094="","",$I1094*(1-$U1094))</f>
        <v>1E-3</v>
      </c>
      <c r="U1094" s="16">
        <f>IFERROR(INDEX(BASE_CCLASSTRIB!$E:$E, MATCH(TEXT($D1094,"000000"), BASE_CCLASSTRIB!$A:$A, 0))/100, 0)</f>
        <v>0</v>
      </c>
      <c r="V1094" s="16">
        <f>IFERROR(INDEX(BASE_CCLASSTRIB!$F:$F, MATCH(TEXT($D1094,"000000"), BASE_CCLASSTRIB!$A:$A, 0))/100, 0)</f>
        <v>0</v>
      </c>
    </row>
    <row r="1095" spans="4:22" ht="32.25" customHeight="1">
      <c r="D1095" s="39"/>
      <c r="E1095" s="27" t="str">
        <f>IF(D1095="","",LEFT(D1095,3))</f>
        <v/>
      </c>
      <c r="F1095" s="28" t="str">
        <f>IF(E1095="","",IFERROR(VLOOKUP(E1095,REGRAS_CST!$A$2:$B$200,2,FALSE),""))</f>
        <v/>
      </c>
      <c r="H1095" s="29">
        <v>8.9999999999999993E-3</v>
      </c>
      <c r="I1095" s="29">
        <v>1E-3</v>
      </c>
      <c r="K1095" s="21" t="str">
        <f>IF(E1095="","",IFERROR(VLOOKUP(E1095,REGRAS_CST!$A$2:$C$200,3,FALSE),""))</f>
        <v/>
      </c>
      <c r="L1095" s="23" t="str">
        <f>IF($G1095="", "", $G1095*(1-$V1095))</f>
        <v/>
      </c>
      <c r="M1095" s="24" t="str">
        <f>IF(OR($L1095="",$S1095=""),"",$L1095*$S1095)</f>
        <v/>
      </c>
      <c r="N1095" s="24" t="str">
        <f>IF(OR($L1095="",$T1095=""),"",$L1095*$T1095)</f>
        <v/>
      </c>
      <c r="O1095" s="15" t="str">
        <f>IF(D1095="","",
IF(AND(K1095&lt;&gt;"SIM",V1095&gt;0),"ERRO: % BC &gt; 0, mas NÃO permitida ❌",
IF(AND(K1095="SIM",V1095=0),"ATENÇÃO: BC permitida, mas % = 0 🔎",
"Base de cálculo aplicada corretamente ✅")))</f>
        <v/>
      </c>
      <c r="P1095" s="31" t="str">
        <f>IF(D1095="","",
IF(AND(Q1095&lt;&gt;"SIM",U1095&gt;0),"ERRO: % alíquota &gt; 0, mas NÃO permitida ❌",
IF(AND(Q1095="SIM",U1095=0),"ATENÇÃO: alíquota permitida, mas % = 0 🔎",
"Alíquota aplicada corretamente ✅")))</f>
        <v/>
      </c>
      <c r="Q1095" s="8" t="str">
        <f>IF(E1095="","",IFERROR(VLOOKUP(E1095,REGRAS_CST!$A$2:$D$200,4,FALSE),""))</f>
        <v/>
      </c>
      <c r="S1095" s="9">
        <f>IF($H1095="","",$H1095*(1-$U1095))</f>
        <v>8.9999999999999993E-3</v>
      </c>
      <c r="T1095" s="9">
        <f>IF($I1095="","",$I1095*(1-$U1095))</f>
        <v>1E-3</v>
      </c>
      <c r="U1095" s="16">
        <f>IFERROR(INDEX(BASE_CCLASSTRIB!$E:$E, MATCH(TEXT($D1095,"000000"), BASE_CCLASSTRIB!$A:$A, 0))/100, 0)</f>
        <v>0</v>
      </c>
      <c r="V1095" s="16">
        <f>IFERROR(INDEX(BASE_CCLASSTRIB!$F:$F, MATCH(TEXT($D1095,"000000"), BASE_CCLASSTRIB!$A:$A, 0))/100, 0)</f>
        <v>0</v>
      </c>
    </row>
    <row r="1096" spans="4:22" ht="32.25" customHeight="1">
      <c r="D1096" s="39"/>
      <c r="E1096" s="27" t="str">
        <f>IF(D1096="","",LEFT(D1096,3))</f>
        <v/>
      </c>
      <c r="F1096" s="28" t="str">
        <f>IF(E1096="","",IFERROR(VLOOKUP(E1096,REGRAS_CST!$A$2:$B$200,2,FALSE),""))</f>
        <v/>
      </c>
      <c r="H1096" s="29">
        <v>8.9999999999999993E-3</v>
      </c>
      <c r="I1096" s="29">
        <v>1E-3</v>
      </c>
      <c r="K1096" s="21" t="str">
        <f>IF(E1096="","",IFERROR(VLOOKUP(E1096,REGRAS_CST!$A$2:$C$200,3,FALSE),""))</f>
        <v/>
      </c>
      <c r="L1096" s="23" t="str">
        <f>IF($G1096="", "", $G1096*(1-$V1096))</f>
        <v/>
      </c>
      <c r="M1096" s="24" t="str">
        <f>IF(OR($L1096="",$S1096=""),"",$L1096*$S1096)</f>
        <v/>
      </c>
      <c r="N1096" s="24" t="str">
        <f>IF(OR($L1096="",$T1096=""),"",$L1096*$T1096)</f>
        <v/>
      </c>
      <c r="O1096" s="15" t="str">
        <f>IF(D1096="","",
IF(AND(K1096&lt;&gt;"SIM",V1096&gt;0),"ERRO: % BC &gt; 0, mas NÃO permitida ❌",
IF(AND(K1096="SIM",V1096=0),"ATENÇÃO: BC permitida, mas % = 0 🔎",
"Base de cálculo aplicada corretamente ✅")))</f>
        <v/>
      </c>
      <c r="P1096" s="31" t="str">
        <f>IF(D1096="","",
IF(AND(Q1096&lt;&gt;"SIM",U1096&gt;0),"ERRO: % alíquota &gt; 0, mas NÃO permitida ❌",
IF(AND(Q1096="SIM",U1096=0),"ATENÇÃO: alíquota permitida, mas % = 0 🔎",
"Alíquota aplicada corretamente ✅")))</f>
        <v/>
      </c>
      <c r="Q1096" s="8" t="str">
        <f>IF(E1096="","",IFERROR(VLOOKUP(E1096,REGRAS_CST!$A$2:$D$200,4,FALSE),""))</f>
        <v/>
      </c>
      <c r="S1096" s="9">
        <f>IF($H1096="","",$H1096*(1-$U1096))</f>
        <v>8.9999999999999993E-3</v>
      </c>
      <c r="T1096" s="9">
        <f>IF($I1096="","",$I1096*(1-$U1096))</f>
        <v>1E-3</v>
      </c>
      <c r="U1096" s="16">
        <f>IFERROR(INDEX(BASE_CCLASSTRIB!$E:$E, MATCH(TEXT($D1096,"000000"), BASE_CCLASSTRIB!$A:$A, 0))/100, 0)</f>
        <v>0</v>
      </c>
      <c r="V1096" s="16">
        <f>IFERROR(INDEX(BASE_CCLASSTRIB!$F:$F, MATCH(TEXT($D1096,"000000"), BASE_CCLASSTRIB!$A:$A, 0))/100, 0)</f>
        <v>0</v>
      </c>
    </row>
    <row r="1097" spans="4:22" ht="32.25" customHeight="1">
      <c r="D1097" s="40"/>
      <c r="E1097" s="27" t="str">
        <f>IF(D1097="","",LEFT(D1097,3))</f>
        <v/>
      </c>
      <c r="F1097" s="28" t="str">
        <f>IF(E1097="","",IFERROR(VLOOKUP(E1097,REGRAS_CST!$A$2:$B$200,2,FALSE),""))</f>
        <v/>
      </c>
      <c r="H1097" s="29">
        <v>8.9999999999999993E-3</v>
      </c>
      <c r="I1097" s="29">
        <v>1E-3</v>
      </c>
      <c r="K1097" s="21" t="str">
        <f>IF(E1097="","",IFERROR(VLOOKUP(E1097,REGRAS_CST!$A$2:$C$200,3,FALSE),""))</f>
        <v/>
      </c>
      <c r="L1097" s="23" t="str">
        <f>IF($G1097="", "", $G1097*(1-$V1097))</f>
        <v/>
      </c>
      <c r="M1097" s="24" t="str">
        <f>IF(OR($L1097="",$S1097=""),"",$L1097*$S1097)</f>
        <v/>
      </c>
      <c r="N1097" s="24" t="str">
        <f>IF(OR($L1097="",$T1097=""),"",$L1097*$T1097)</f>
        <v/>
      </c>
      <c r="O1097" s="15" t="str">
        <f>IF(D1097="","",
IF(AND(K1097&lt;&gt;"SIM",V1097&gt;0),"ERRO: % BC &gt; 0, mas NÃO permitida ❌",
IF(AND(K1097="SIM",V1097=0),"ATENÇÃO: BC permitida, mas % = 0 🔎",
"Base de cálculo aplicada corretamente ✅")))</f>
        <v/>
      </c>
      <c r="P1097" s="31" t="str">
        <f>IF(D1097="","",
IF(AND(Q1097&lt;&gt;"SIM",U1097&gt;0),"ERRO: % alíquota &gt; 0, mas NÃO permitida ❌",
IF(AND(Q1097="SIM",U1097=0),"ATENÇÃO: alíquota permitida, mas % = 0 🔎",
"Alíquota aplicada corretamente ✅")))</f>
        <v/>
      </c>
      <c r="Q1097" s="8" t="str">
        <f>IF(E1097="","",IFERROR(VLOOKUP(E1097,REGRAS_CST!$A$2:$D$200,4,FALSE),""))</f>
        <v/>
      </c>
      <c r="S1097" s="9">
        <f>IF($H1097="","",$H1097*(1-$U1097))</f>
        <v>8.9999999999999993E-3</v>
      </c>
      <c r="T1097" s="9">
        <f>IF($I1097="","",$I1097*(1-$U1097))</f>
        <v>1E-3</v>
      </c>
      <c r="U1097" s="16">
        <f>IFERROR(INDEX(BASE_CCLASSTRIB!$E:$E, MATCH(TEXT($D1097,"000000"), BASE_CCLASSTRIB!$A:$A, 0))/100, 0)</f>
        <v>0</v>
      </c>
      <c r="V1097" s="16">
        <f>IFERROR(INDEX(BASE_CCLASSTRIB!$F:$F, MATCH(TEXT($D1097,"000000"), BASE_CCLASSTRIB!$A:$A, 0))/100, 0)</f>
        <v>0</v>
      </c>
    </row>
    <row r="1098" spans="4:22" ht="32.25" customHeight="1">
      <c r="D1098" s="40"/>
      <c r="E1098" s="27" t="str">
        <f>IF(D1098="","",LEFT(D1098,3))</f>
        <v/>
      </c>
      <c r="F1098" s="28" t="str">
        <f>IF(E1098="","",IFERROR(VLOOKUP(E1098,REGRAS_CST!$A$2:$B$200,2,FALSE),""))</f>
        <v/>
      </c>
      <c r="H1098" s="29">
        <v>8.9999999999999993E-3</v>
      </c>
      <c r="I1098" s="29">
        <v>1E-3</v>
      </c>
      <c r="K1098" s="21" t="str">
        <f>IF(E1098="","",IFERROR(VLOOKUP(E1098,REGRAS_CST!$A$2:$C$200,3,FALSE),""))</f>
        <v/>
      </c>
      <c r="L1098" s="23" t="str">
        <f>IF($G1098="", "", $G1098*(1-$V1098))</f>
        <v/>
      </c>
      <c r="M1098" s="24" t="str">
        <f>IF(OR($L1098="",$S1098=""),"",$L1098*$S1098)</f>
        <v/>
      </c>
      <c r="N1098" s="24" t="str">
        <f>IF(OR($L1098="",$T1098=""),"",$L1098*$T1098)</f>
        <v/>
      </c>
      <c r="O1098" s="15" t="str">
        <f>IF(D1098="","",
IF(AND(K1098&lt;&gt;"SIM",V1098&gt;0),"ERRO: % BC &gt; 0, mas NÃO permitida ❌",
IF(AND(K1098="SIM",V1098=0),"ATENÇÃO: BC permitida, mas % = 0 🔎",
"Base de cálculo aplicada corretamente ✅")))</f>
        <v/>
      </c>
      <c r="P1098" s="31" t="str">
        <f>IF(D1098="","",
IF(AND(Q1098&lt;&gt;"SIM",U1098&gt;0),"ERRO: % alíquota &gt; 0, mas NÃO permitida ❌",
IF(AND(Q1098="SIM",U1098=0),"ATENÇÃO: alíquota permitida, mas % = 0 🔎",
"Alíquota aplicada corretamente ✅")))</f>
        <v/>
      </c>
      <c r="Q1098" s="8" t="str">
        <f>IF(E1098="","",IFERROR(VLOOKUP(E1098,REGRAS_CST!$A$2:$D$200,4,FALSE),""))</f>
        <v/>
      </c>
      <c r="S1098" s="9">
        <f>IF($H1098="","",$H1098*(1-$U1098))</f>
        <v>8.9999999999999993E-3</v>
      </c>
      <c r="T1098" s="9">
        <f>IF($I1098="","",$I1098*(1-$U1098))</f>
        <v>1E-3</v>
      </c>
      <c r="U1098" s="16">
        <f>IFERROR(INDEX(BASE_CCLASSTRIB!$E:$E, MATCH(TEXT($D1098,"000000"), BASE_CCLASSTRIB!$A:$A, 0))/100, 0)</f>
        <v>0</v>
      </c>
      <c r="V1098" s="16">
        <f>IFERROR(INDEX(BASE_CCLASSTRIB!$F:$F, MATCH(TEXT($D1098,"000000"), BASE_CCLASSTRIB!$A:$A, 0))/100, 0)</f>
        <v>0</v>
      </c>
    </row>
    <row r="1099" spans="4:22" ht="32.25" customHeight="1">
      <c r="D1099" s="39"/>
      <c r="E1099" s="27" t="str">
        <f>IF(D1099="","",LEFT(D1099,3))</f>
        <v/>
      </c>
      <c r="F1099" s="28" t="str">
        <f>IF(E1099="","",IFERROR(VLOOKUP(E1099,REGRAS_CST!$A$2:$B$200,2,FALSE),""))</f>
        <v/>
      </c>
      <c r="H1099" s="29">
        <v>8.9999999999999993E-3</v>
      </c>
      <c r="I1099" s="29">
        <v>1E-3</v>
      </c>
      <c r="K1099" s="21" t="str">
        <f>IF(E1099="","",IFERROR(VLOOKUP(E1099,REGRAS_CST!$A$2:$C$200,3,FALSE),""))</f>
        <v/>
      </c>
      <c r="L1099" s="23" t="str">
        <f>IF($G1099="", "", $G1099*(1-$V1099))</f>
        <v/>
      </c>
      <c r="M1099" s="24" t="str">
        <f>IF(OR($L1099="",$S1099=""),"",$L1099*$S1099)</f>
        <v/>
      </c>
      <c r="N1099" s="24" t="str">
        <f>IF(OR($L1099="",$T1099=""),"",$L1099*$T1099)</f>
        <v/>
      </c>
      <c r="O1099" s="15" t="str">
        <f>IF(D1099="","",
IF(AND(K1099&lt;&gt;"SIM",V1099&gt;0),"ERRO: % BC &gt; 0, mas NÃO permitida ❌",
IF(AND(K1099="SIM",V1099=0),"ATENÇÃO: BC permitida, mas % = 0 🔎",
"Base de cálculo aplicada corretamente ✅")))</f>
        <v/>
      </c>
      <c r="P1099" s="31" t="str">
        <f>IF(D1099="","",
IF(AND(Q1099&lt;&gt;"SIM",U1099&gt;0),"ERRO: % alíquota &gt; 0, mas NÃO permitida ❌",
IF(AND(Q1099="SIM",U1099=0),"ATENÇÃO: alíquota permitida, mas % = 0 🔎",
"Alíquota aplicada corretamente ✅")))</f>
        <v/>
      </c>
      <c r="Q1099" s="8" t="str">
        <f>IF(E1099="","",IFERROR(VLOOKUP(E1099,REGRAS_CST!$A$2:$D$200,4,FALSE),""))</f>
        <v/>
      </c>
      <c r="S1099" s="9">
        <f>IF($H1099="","",$H1099*(1-$U1099))</f>
        <v>8.9999999999999993E-3</v>
      </c>
      <c r="T1099" s="9">
        <f>IF($I1099="","",$I1099*(1-$U1099))</f>
        <v>1E-3</v>
      </c>
      <c r="U1099" s="16">
        <f>IFERROR(INDEX(BASE_CCLASSTRIB!$E:$E, MATCH(TEXT($D1099,"000000"), BASE_CCLASSTRIB!$A:$A, 0))/100, 0)</f>
        <v>0</v>
      </c>
      <c r="V1099" s="16">
        <f>IFERROR(INDEX(BASE_CCLASSTRIB!$F:$F, MATCH(TEXT($D1099,"000000"), BASE_CCLASSTRIB!$A:$A, 0))/100, 0)</f>
        <v>0</v>
      </c>
    </row>
    <row r="1100" spans="4:22" ht="32.25" customHeight="1">
      <c r="D1100" s="39"/>
      <c r="E1100" s="27" t="str">
        <f>IF(D1100="","",LEFT(D1100,3))</f>
        <v/>
      </c>
      <c r="F1100" s="28" t="str">
        <f>IF(E1100="","",IFERROR(VLOOKUP(E1100,REGRAS_CST!$A$2:$B$200,2,FALSE),""))</f>
        <v/>
      </c>
      <c r="H1100" s="29">
        <v>8.9999999999999993E-3</v>
      </c>
      <c r="I1100" s="29">
        <v>1E-3</v>
      </c>
      <c r="K1100" s="21" t="str">
        <f>IF(E1100="","",IFERROR(VLOOKUP(E1100,REGRAS_CST!$A$2:$C$200,3,FALSE),""))</f>
        <v/>
      </c>
      <c r="L1100" s="23" t="str">
        <f>IF($G1100="", "", $G1100*(1-$V1100))</f>
        <v/>
      </c>
      <c r="M1100" s="24" t="str">
        <f>IF(OR($L1100="",$S1100=""),"",$L1100*$S1100)</f>
        <v/>
      </c>
      <c r="N1100" s="24" t="str">
        <f>IF(OR($L1100="",$T1100=""),"",$L1100*$T1100)</f>
        <v/>
      </c>
      <c r="O1100" s="15" t="str">
        <f>IF(D1100="","",
IF(AND(K1100&lt;&gt;"SIM",V1100&gt;0),"ERRO: % BC &gt; 0, mas NÃO permitida ❌",
IF(AND(K1100="SIM",V1100=0),"ATENÇÃO: BC permitida, mas % = 0 🔎",
"Base de cálculo aplicada corretamente ✅")))</f>
        <v/>
      </c>
      <c r="P1100" s="31" t="str">
        <f>IF(D1100="","",
IF(AND(Q1100&lt;&gt;"SIM",U1100&gt;0),"ERRO: % alíquota &gt; 0, mas NÃO permitida ❌",
IF(AND(Q1100="SIM",U1100=0),"ATENÇÃO: alíquota permitida, mas % = 0 🔎",
"Alíquota aplicada corretamente ✅")))</f>
        <v/>
      </c>
      <c r="Q1100" s="8" t="str">
        <f>IF(E1100="","",IFERROR(VLOOKUP(E1100,REGRAS_CST!$A$2:$D$200,4,FALSE),""))</f>
        <v/>
      </c>
      <c r="S1100" s="9">
        <f>IF($H1100="","",$H1100*(1-$U1100))</f>
        <v>8.9999999999999993E-3</v>
      </c>
      <c r="T1100" s="9">
        <f>IF($I1100="","",$I1100*(1-$U1100))</f>
        <v>1E-3</v>
      </c>
      <c r="U1100" s="16">
        <f>IFERROR(INDEX(BASE_CCLASSTRIB!$E:$E, MATCH(TEXT($D1100,"000000"), BASE_CCLASSTRIB!$A:$A, 0))/100, 0)</f>
        <v>0</v>
      </c>
      <c r="V1100" s="16">
        <f>IFERROR(INDEX(BASE_CCLASSTRIB!$F:$F, MATCH(TEXT($D1100,"000000"), BASE_CCLASSTRIB!$A:$A, 0))/100, 0)</f>
        <v>0</v>
      </c>
    </row>
    <row r="1101" spans="4:22" ht="32.25" customHeight="1">
      <c r="D1101" s="39"/>
      <c r="E1101" s="27" t="str">
        <f>IF(D1101="","",LEFT(D1101,3))</f>
        <v/>
      </c>
      <c r="F1101" s="28" t="str">
        <f>IF(E1101="","",IFERROR(VLOOKUP(E1101,REGRAS_CST!$A$2:$B$200,2,FALSE),""))</f>
        <v/>
      </c>
      <c r="H1101" s="29">
        <v>8.9999999999999993E-3</v>
      </c>
      <c r="I1101" s="29">
        <v>1E-3</v>
      </c>
      <c r="K1101" s="21" t="str">
        <f>IF(E1101="","",IFERROR(VLOOKUP(E1101,REGRAS_CST!$A$2:$C$200,3,FALSE),""))</f>
        <v/>
      </c>
      <c r="L1101" s="23" t="str">
        <f>IF($G1101="", "", $G1101*(1-$V1101))</f>
        <v/>
      </c>
      <c r="M1101" s="24" t="str">
        <f>IF(OR($L1101="",$S1101=""),"",$L1101*$S1101)</f>
        <v/>
      </c>
      <c r="N1101" s="24" t="str">
        <f>IF(OR($L1101="",$T1101=""),"",$L1101*$T1101)</f>
        <v/>
      </c>
      <c r="O1101" s="15" t="str">
        <f>IF(D1101="","",
IF(AND(K1101&lt;&gt;"SIM",V1101&gt;0),"ERRO: % BC &gt; 0, mas NÃO permitida ❌",
IF(AND(K1101="SIM",V1101=0),"ATENÇÃO: BC permitida, mas % = 0 🔎",
"Base de cálculo aplicada corretamente ✅")))</f>
        <v/>
      </c>
      <c r="P1101" s="31" t="str">
        <f>IF(D1101="","",
IF(AND(Q1101&lt;&gt;"SIM",U1101&gt;0),"ERRO: % alíquota &gt; 0, mas NÃO permitida ❌",
IF(AND(Q1101="SIM",U1101=0),"ATENÇÃO: alíquota permitida, mas % = 0 🔎",
"Alíquota aplicada corretamente ✅")))</f>
        <v/>
      </c>
      <c r="Q1101" s="8" t="str">
        <f>IF(E1101="","",IFERROR(VLOOKUP(E1101,REGRAS_CST!$A$2:$D$200,4,FALSE),""))</f>
        <v/>
      </c>
      <c r="S1101" s="9">
        <f>IF($H1101="","",$H1101*(1-$U1101))</f>
        <v>8.9999999999999993E-3</v>
      </c>
      <c r="T1101" s="9">
        <f>IF($I1101="","",$I1101*(1-$U1101))</f>
        <v>1E-3</v>
      </c>
      <c r="U1101" s="16">
        <f>IFERROR(INDEX(BASE_CCLASSTRIB!$E:$E, MATCH(TEXT($D1101,"000000"), BASE_CCLASSTRIB!$A:$A, 0))/100, 0)</f>
        <v>0</v>
      </c>
      <c r="V1101" s="16">
        <f>IFERROR(INDEX(BASE_CCLASSTRIB!$F:$F, MATCH(TEXT($D1101,"000000"), BASE_CCLASSTRIB!$A:$A, 0))/100, 0)</f>
        <v>0</v>
      </c>
    </row>
    <row r="1102" spans="4:22" ht="32.25" customHeight="1">
      <c r="D1102" s="40"/>
      <c r="E1102" s="27" t="str">
        <f>IF(D1102="","",LEFT(D1102,3))</f>
        <v/>
      </c>
      <c r="F1102" s="28" t="str">
        <f>IF(E1102="","",IFERROR(VLOOKUP(E1102,REGRAS_CST!$A$2:$B$200,2,FALSE),""))</f>
        <v/>
      </c>
      <c r="H1102" s="29">
        <v>8.9999999999999993E-3</v>
      </c>
      <c r="I1102" s="29">
        <v>1E-3</v>
      </c>
      <c r="K1102" s="21" t="str">
        <f>IF(E1102="","",IFERROR(VLOOKUP(E1102,REGRAS_CST!$A$2:$C$200,3,FALSE),""))</f>
        <v/>
      </c>
      <c r="L1102" s="23" t="str">
        <f>IF($G1102="", "", $G1102*(1-$V1102))</f>
        <v/>
      </c>
      <c r="M1102" s="24" t="str">
        <f>IF(OR($L1102="",$S1102=""),"",$L1102*$S1102)</f>
        <v/>
      </c>
      <c r="N1102" s="24" t="str">
        <f>IF(OR($L1102="",$T1102=""),"",$L1102*$T1102)</f>
        <v/>
      </c>
      <c r="O1102" s="15" t="str">
        <f>IF(D1102="","",
IF(AND(K1102&lt;&gt;"SIM",V1102&gt;0),"ERRO: % BC &gt; 0, mas NÃO permitida ❌",
IF(AND(K1102="SIM",V1102=0),"ATENÇÃO: BC permitida, mas % = 0 🔎",
"Base de cálculo aplicada corretamente ✅")))</f>
        <v/>
      </c>
      <c r="P1102" s="31" t="str">
        <f>IF(D1102="","",
IF(AND(Q1102&lt;&gt;"SIM",U1102&gt;0),"ERRO: % alíquota &gt; 0, mas NÃO permitida ❌",
IF(AND(Q1102="SIM",U1102=0),"ATENÇÃO: alíquota permitida, mas % = 0 🔎",
"Alíquota aplicada corretamente ✅")))</f>
        <v/>
      </c>
      <c r="Q1102" s="8" t="str">
        <f>IF(E1102="","",IFERROR(VLOOKUP(E1102,REGRAS_CST!$A$2:$D$200,4,FALSE),""))</f>
        <v/>
      </c>
      <c r="S1102" s="9">
        <f>IF($H1102="","",$H1102*(1-$U1102))</f>
        <v>8.9999999999999993E-3</v>
      </c>
      <c r="T1102" s="9">
        <f>IF($I1102="","",$I1102*(1-$U1102))</f>
        <v>1E-3</v>
      </c>
      <c r="U1102" s="16">
        <f>IFERROR(INDEX(BASE_CCLASSTRIB!$E:$E, MATCH(TEXT($D1102,"000000"), BASE_CCLASSTRIB!$A:$A, 0))/100, 0)</f>
        <v>0</v>
      </c>
      <c r="V1102" s="16">
        <f>IFERROR(INDEX(BASE_CCLASSTRIB!$F:$F, MATCH(TEXT($D1102,"000000"), BASE_CCLASSTRIB!$A:$A, 0))/100, 0)</f>
        <v>0</v>
      </c>
    </row>
    <row r="1103" spans="4:22" ht="32.25" customHeight="1">
      <c r="D1103" s="39"/>
      <c r="E1103" s="27" t="str">
        <f>IF(D1103="","",LEFT(D1103,3))</f>
        <v/>
      </c>
      <c r="F1103" s="28" t="str">
        <f>IF(E1103="","",IFERROR(VLOOKUP(E1103,REGRAS_CST!$A$2:$B$200,2,FALSE),""))</f>
        <v/>
      </c>
      <c r="H1103" s="29">
        <v>8.9999999999999993E-3</v>
      </c>
      <c r="I1103" s="29">
        <v>1E-3</v>
      </c>
      <c r="K1103" s="21" t="str">
        <f>IF(E1103="","",IFERROR(VLOOKUP(E1103,REGRAS_CST!$A$2:$C$200,3,FALSE),""))</f>
        <v/>
      </c>
      <c r="L1103" s="23" t="str">
        <f>IF($G1103="", "", $G1103*(1-$V1103))</f>
        <v/>
      </c>
      <c r="M1103" s="24" t="str">
        <f>IF(OR($L1103="",$S1103=""),"",$L1103*$S1103)</f>
        <v/>
      </c>
      <c r="N1103" s="24" t="str">
        <f>IF(OR($L1103="",$T1103=""),"",$L1103*$T1103)</f>
        <v/>
      </c>
      <c r="O1103" s="15" t="str">
        <f>IF(D1103="","",
IF(AND(K1103&lt;&gt;"SIM",V1103&gt;0),"ERRO: % BC &gt; 0, mas NÃO permitida ❌",
IF(AND(K1103="SIM",V1103=0),"ATENÇÃO: BC permitida, mas % = 0 🔎",
"Base de cálculo aplicada corretamente ✅")))</f>
        <v/>
      </c>
      <c r="P1103" s="31" t="str">
        <f>IF(D1103="","",
IF(AND(Q1103&lt;&gt;"SIM",U1103&gt;0),"ERRO: % alíquota &gt; 0, mas NÃO permitida ❌",
IF(AND(Q1103="SIM",U1103=0),"ATENÇÃO: alíquota permitida, mas % = 0 🔎",
"Alíquota aplicada corretamente ✅")))</f>
        <v/>
      </c>
      <c r="Q1103" s="8" t="str">
        <f>IF(E1103="","",IFERROR(VLOOKUP(E1103,REGRAS_CST!$A$2:$D$200,4,FALSE),""))</f>
        <v/>
      </c>
      <c r="S1103" s="9">
        <f>IF($H1103="","",$H1103*(1-$U1103))</f>
        <v>8.9999999999999993E-3</v>
      </c>
      <c r="T1103" s="9">
        <f>IF($I1103="","",$I1103*(1-$U1103))</f>
        <v>1E-3</v>
      </c>
      <c r="U1103" s="16">
        <f>IFERROR(INDEX(BASE_CCLASSTRIB!$E:$E, MATCH(TEXT($D1103,"000000"), BASE_CCLASSTRIB!$A:$A, 0))/100, 0)</f>
        <v>0</v>
      </c>
      <c r="V1103" s="16">
        <f>IFERROR(INDEX(BASE_CCLASSTRIB!$F:$F, MATCH(TEXT($D1103,"000000"), BASE_CCLASSTRIB!$A:$A, 0))/100, 0)</f>
        <v>0</v>
      </c>
    </row>
    <row r="1104" spans="4:22" ht="32.25" customHeight="1">
      <c r="D1104" s="39"/>
      <c r="E1104" s="27" t="str">
        <f>IF(D1104="","",LEFT(D1104,3))</f>
        <v/>
      </c>
      <c r="F1104" s="28" t="str">
        <f>IF(E1104="","",IFERROR(VLOOKUP(E1104,REGRAS_CST!$A$2:$B$200,2,FALSE),""))</f>
        <v/>
      </c>
      <c r="H1104" s="29">
        <v>8.9999999999999993E-3</v>
      </c>
      <c r="I1104" s="29">
        <v>1E-3</v>
      </c>
      <c r="K1104" s="21" t="str">
        <f>IF(E1104="","",IFERROR(VLOOKUP(E1104,REGRAS_CST!$A$2:$C$200,3,FALSE),""))</f>
        <v/>
      </c>
      <c r="L1104" s="23" t="str">
        <f>IF($G1104="", "", $G1104*(1-$V1104))</f>
        <v/>
      </c>
      <c r="M1104" s="24" t="str">
        <f>IF(OR($L1104="",$S1104=""),"",$L1104*$S1104)</f>
        <v/>
      </c>
      <c r="N1104" s="24" t="str">
        <f>IF(OR($L1104="",$T1104=""),"",$L1104*$T1104)</f>
        <v/>
      </c>
      <c r="O1104" s="15" t="str">
        <f>IF(D1104="","",
IF(AND(K1104&lt;&gt;"SIM",V1104&gt;0),"ERRO: % BC &gt; 0, mas NÃO permitida ❌",
IF(AND(K1104="SIM",V1104=0),"ATENÇÃO: BC permitida, mas % = 0 🔎",
"Base de cálculo aplicada corretamente ✅")))</f>
        <v/>
      </c>
      <c r="P1104" s="31" t="str">
        <f>IF(D1104="","",
IF(AND(Q1104&lt;&gt;"SIM",U1104&gt;0),"ERRO: % alíquota &gt; 0, mas NÃO permitida ❌",
IF(AND(Q1104="SIM",U1104=0),"ATENÇÃO: alíquota permitida, mas % = 0 🔎",
"Alíquota aplicada corretamente ✅")))</f>
        <v/>
      </c>
      <c r="Q1104" s="8" t="str">
        <f>IF(E1104="","",IFERROR(VLOOKUP(E1104,REGRAS_CST!$A$2:$D$200,4,FALSE),""))</f>
        <v/>
      </c>
      <c r="S1104" s="9">
        <f>IF($H1104="","",$H1104*(1-$U1104))</f>
        <v>8.9999999999999993E-3</v>
      </c>
      <c r="T1104" s="9">
        <f>IF($I1104="","",$I1104*(1-$U1104))</f>
        <v>1E-3</v>
      </c>
      <c r="U1104" s="16">
        <f>IFERROR(INDEX(BASE_CCLASSTRIB!$E:$E, MATCH(TEXT($D1104,"000000"), BASE_CCLASSTRIB!$A:$A, 0))/100, 0)</f>
        <v>0</v>
      </c>
      <c r="V1104" s="16">
        <f>IFERROR(INDEX(BASE_CCLASSTRIB!$F:$F, MATCH(TEXT($D1104,"000000"), BASE_CCLASSTRIB!$A:$A, 0))/100, 0)</f>
        <v>0</v>
      </c>
    </row>
    <row r="1105" spans="4:22" ht="32.25" customHeight="1">
      <c r="D1105" s="40"/>
      <c r="E1105" s="27" t="str">
        <f>IF(D1105="","",LEFT(D1105,3))</f>
        <v/>
      </c>
      <c r="F1105" s="28" t="str">
        <f>IF(E1105="","",IFERROR(VLOOKUP(E1105,REGRAS_CST!$A$2:$B$200,2,FALSE),""))</f>
        <v/>
      </c>
      <c r="H1105" s="29">
        <v>8.9999999999999993E-3</v>
      </c>
      <c r="I1105" s="29">
        <v>1E-3</v>
      </c>
      <c r="K1105" s="21" t="str">
        <f>IF(E1105="","",IFERROR(VLOOKUP(E1105,REGRAS_CST!$A$2:$C$200,3,FALSE),""))</f>
        <v/>
      </c>
      <c r="L1105" s="23" t="str">
        <f>IF($G1105="", "", $G1105*(1-$V1105))</f>
        <v/>
      </c>
      <c r="M1105" s="24" t="str">
        <f>IF(OR($L1105="",$S1105=""),"",$L1105*$S1105)</f>
        <v/>
      </c>
      <c r="N1105" s="24" t="str">
        <f>IF(OR($L1105="",$T1105=""),"",$L1105*$T1105)</f>
        <v/>
      </c>
      <c r="O1105" s="15" t="str">
        <f>IF(D1105="","",
IF(AND(K1105&lt;&gt;"SIM",V1105&gt;0),"ERRO: % BC &gt; 0, mas NÃO permitida ❌",
IF(AND(K1105="SIM",V1105=0),"ATENÇÃO: BC permitida, mas % = 0 🔎",
"Base de cálculo aplicada corretamente ✅")))</f>
        <v/>
      </c>
      <c r="P1105" s="31" t="str">
        <f>IF(D1105="","",
IF(AND(Q1105&lt;&gt;"SIM",U1105&gt;0),"ERRO: % alíquota &gt; 0, mas NÃO permitida ❌",
IF(AND(Q1105="SIM",U1105=0),"ATENÇÃO: alíquota permitida, mas % = 0 🔎",
"Alíquota aplicada corretamente ✅")))</f>
        <v/>
      </c>
      <c r="Q1105" s="8" t="str">
        <f>IF(E1105="","",IFERROR(VLOOKUP(E1105,REGRAS_CST!$A$2:$D$200,4,FALSE),""))</f>
        <v/>
      </c>
      <c r="S1105" s="9">
        <f>IF($H1105="","",$H1105*(1-$U1105))</f>
        <v>8.9999999999999993E-3</v>
      </c>
      <c r="T1105" s="9">
        <f>IF($I1105="","",$I1105*(1-$U1105))</f>
        <v>1E-3</v>
      </c>
      <c r="U1105" s="16">
        <f>IFERROR(INDEX(BASE_CCLASSTRIB!$E:$E, MATCH(TEXT($D1105,"000000"), BASE_CCLASSTRIB!$A:$A, 0))/100, 0)</f>
        <v>0</v>
      </c>
      <c r="V1105" s="16">
        <f>IFERROR(INDEX(BASE_CCLASSTRIB!$F:$F, MATCH(TEXT($D1105,"000000"), BASE_CCLASSTRIB!$A:$A, 0))/100, 0)</f>
        <v>0</v>
      </c>
    </row>
    <row r="1106" spans="4:22" ht="32.25" customHeight="1">
      <c r="D1106" s="39"/>
      <c r="E1106" s="27" t="str">
        <f>IF(D1106="","",LEFT(D1106,3))</f>
        <v/>
      </c>
      <c r="F1106" s="28" t="str">
        <f>IF(E1106="","",IFERROR(VLOOKUP(E1106,REGRAS_CST!$A$2:$B$200,2,FALSE),""))</f>
        <v/>
      </c>
      <c r="H1106" s="29">
        <v>8.9999999999999993E-3</v>
      </c>
      <c r="I1106" s="29">
        <v>1E-3</v>
      </c>
      <c r="K1106" s="21" t="str">
        <f>IF(E1106="","",IFERROR(VLOOKUP(E1106,REGRAS_CST!$A$2:$C$200,3,FALSE),""))</f>
        <v/>
      </c>
      <c r="L1106" s="23" t="str">
        <f>IF($G1106="", "", $G1106*(1-$V1106))</f>
        <v/>
      </c>
      <c r="M1106" s="24" t="str">
        <f>IF(OR($L1106="",$S1106=""),"",$L1106*$S1106)</f>
        <v/>
      </c>
      <c r="N1106" s="24" t="str">
        <f>IF(OR($L1106="",$T1106=""),"",$L1106*$T1106)</f>
        <v/>
      </c>
      <c r="O1106" s="15" t="str">
        <f>IF(D1106="","",
IF(AND(K1106&lt;&gt;"SIM",V1106&gt;0),"ERRO: % BC &gt; 0, mas NÃO permitida ❌",
IF(AND(K1106="SIM",V1106=0),"ATENÇÃO: BC permitida, mas % = 0 🔎",
"Base de cálculo aplicada corretamente ✅")))</f>
        <v/>
      </c>
      <c r="P1106" s="31" t="str">
        <f>IF(D1106="","",
IF(AND(Q1106&lt;&gt;"SIM",U1106&gt;0),"ERRO: % alíquota &gt; 0, mas NÃO permitida ❌",
IF(AND(Q1106="SIM",U1106=0),"ATENÇÃO: alíquota permitida, mas % = 0 🔎",
"Alíquota aplicada corretamente ✅")))</f>
        <v/>
      </c>
      <c r="Q1106" s="8" t="str">
        <f>IF(E1106="","",IFERROR(VLOOKUP(E1106,REGRAS_CST!$A$2:$D$200,4,FALSE),""))</f>
        <v/>
      </c>
      <c r="S1106" s="9">
        <f>IF($H1106="","",$H1106*(1-$U1106))</f>
        <v>8.9999999999999993E-3</v>
      </c>
      <c r="T1106" s="9">
        <f>IF($I1106="","",$I1106*(1-$U1106))</f>
        <v>1E-3</v>
      </c>
      <c r="U1106" s="16">
        <f>IFERROR(INDEX(BASE_CCLASSTRIB!$E:$E, MATCH(TEXT($D1106,"000000"), BASE_CCLASSTRIB!$A:$A, 0))/100, 0)</f>
        <v>0</v>
      </c>
      <c r="V1106" s="16">
        <f>IFERROR(INDEX(BASE_CCLASSTRIB!$F:$F, MATCH(TEXT($D1106,"000000"), BASE_CCLASSTRIB!$A:$A, 0))/100, 0)</f>
        <v>0</v>
      </c>
    </row>
    <row r="1107" spans="4:22" ht="32.25" customHeight="1">
      <c r="D1107" s="39"/>
      <c r="E1107" s="27" t="str">
        <f>IF(D1107="","",LEFT(D1107,3))</f>
        <v/>
      </c>
      <c r="F1107" s="28" t="str">
        <f>IF(E1107="","",IFERROR(VLOOKUP(E1107,REGRAS_CST!$A$2:$B$200,2,FALSE),""))</f>
        <v/>
      </c>
      <c r="H1107" s="29">
        <v>8.9999999999999993E-3</v>
      </c>
      <c r="I1107" s="29">
        <v>1E-3</v>
      </c>
      <c r="K1107" s="21" t="str">
        <f>IF(E1107="","",IFERROR(VLOOKUP(E1107,REGRAS_CST!$A$2:$C$200,3,FALSE),""))</f>
        <v/>
      </c>
      <c r="L1107" s="23" t="str">
        <f>IF($G1107="", "", $G1107*(1-$V1107))</f>
        <v/>
      </c>
      <c r="M1107" s="24" t="str">
        <f>IF(OR($L1107="",$S1107=""),"",$L1107*$S1107)</f>
        <v/>
      </c>
      <c r="N1107" s="24" t="str">
        <f>IF(OR($L1107="",$T1107=""),"",$L1107*$T1107)</f>
        <v/>
      </c>
      <c r="O1107" s="15" t="str">
        <f>IF(D1107="","",
IF(AND(K1107&lt;&gt;"SIM",V1107&gt;0),"ERRO: % BC &gt; 0, mas NÃO permitida ❌",
IF(AND(K1107="SIM",V1107=0),"ATENÇÃO: BC permitida, mas % = 0 🔎",
"Base de cálculo aplicada corretamente ✅")))</f>
        <v/>
      </c>
      <c r="P1107" s="31" t="str">
        <f>IF(D1107="","",
IF(AND(Q1107&lt;&gt;"SIM",U1107&gt;0),"ERRO: % alíquota &gt; 0, mas NÃO permitida ❌",
IF(AND(Q1107="SIM",U1107=0),"ATENÇÃO: alíquota permitida, mas % = 0 🔎",
"Alíquota aplicada corretamente ✅")))</f>
        <v/>
      </c>
      <c r="Q1107" s="8" t="str">
        <f>IF(E1107="","",IFERROR(VLOOKUP(E1107,REGRAS_CST!$A$2:$D$200,4,FALSE),""))</f>
        <v/>
      </c>
      <c r="S1107" s="9">
        <f>IF($H1107="","",$H1107*(1-$U1107))</f>
        <v>8.9999999999999993E-3</v>
      </c>
      <c r="T1107" s="9">
        <f>IF($I1107="","",$I1107*(1-$U1107))</f>
        <v>1E-3</v>
      </c>
      <c r="U1107" s="16">
        <f>IFERROR(INDEX(BASE_CCLASSTRIB!$E:$E, MATCH(TEXT($D1107,"000000"), BASE_CCLASSTRIB!$A:$A, 0))/100, 0)</f>
        <v>0</v>
      </c>
      <c r="V1107" s="16">
        <f>IFERROR(INDEX(BASE_CCLASSTRIB!$F:$F, MATCH(TEXT($D1107,"000000"), BASE_CCLASSTRIB!$A:$A, 0))/100, 0)</f>
        <v>0</v>
      </c>
    </row>
    <row r="1108" spans="4:22" ht="32.25" customHeight="1">
      <c r="D1108" s="39"/>
      <c r="E1108" s="27" t="str">
        <f>IF(D1108="","",LEFT(D1108,3))</f>
        <v/>
      </c>
      <c r="F1108" s="28" t="str">
        <f>IF(E1108="","",IFERROR(VLOOKUP(E1108,REGRAS_CST!$A$2:$B$200,2,FALSE),""))</f>
        <v/>
      </c>
      <c r="H1108" s="29">
        <v>8.9999999999999993E-3</v>
      </c>
      <c r="I1108" s="29">
        <v>1E-3</v>
      </c>
      <c r="K1108" s="21" t="str">
        <f>IF(E1108="","",IFERROR(VLOOKUP(E1108,REGRAS_CST!$A$2:$C$200,3,FALSE),""))</f>
        <v/>
      </c>
      <c r="L1108" s="23" t="str">
        <f>IF($G1108="", "", $G1108*(1-$V1108))</f>
        <v/>
      </c>
      <c r="M1108" s="24" t="str">
        <f>IF(OR($L1108="",$S1108=""),"",$L1108*$S1108)</f>
        <v/>
      </c>
      <c r="N1108" s="24" t="str">
        <f>IF(OR($L1108="",$T1108=""),"",$L1108*$T1108)</f>
        <v/>
      </c>
      <c r="O1108" s="15" t="str">
        <f>IF(D1108="","",
IF(AND(K1108&lt;&gt;"SIM",V1108&gt;0),"ERRO: % BC &gt; 0, mas NÃO permitida ❌",
IF(AND(K1108="SIM",V1108=0),"ATENÇÃO: BC permitida, mas % = 0 🔎",
"Base de cálculo aplicada corretamente ✅")))</f>
        <v/>
      </c>
      <c r="P1108" s="31" t="str">
        <f>IF(D1108="","",
IF(AND(Q1108&lt;&gt;"SIM",U1108&gt;0),"ERRO: % alíquota &gt; 0, mas NÃO permitida ❌",
IF(AND(Q1108="SIM",U1108=0),"ATENÇÃO: alíquota permitida, mas % = 0 🔎",
"Alíquota aplicada corretamente ✅")))</f>
        <v/>
      </c>
      <c r="Q1108" s="8" t="str">
        <f>IF(E1108="","",IFERROR(VLOOKUP(E1108,REGRAS_CST!$A$2:$D$200,4,FALSE),""))</f>
        <v/>
      </c>
      <c r="S1108" s="9">
        <f>IF($H1108="","",$H1108*(1-$U1108))</f>
        <v>8.9999999999999993E-3</v>
      </c>
      <c r="T1108" s="9">
        <f>IF($I1108="","",$I1108*(1-$U1108))</f>
        <v>1E-3</v>
      </c>
      <c r="U1108" s="16">
        <f>IFERROR(INDEX(BASE_CCLASSTRIB!$E:$E, MATCH(TEXT($D1108,"000000"), BASE_CCLASSTRIB!$A:$A, 0))/100, 0)</f>
        <v>0</v>
      </c>
      <c r="V1108" s="16">
        <f>IFERROR(INDEX(BASE_CCLASSTRIB!$F:$F, MATCH(TEXT($D1108,"000000"), BASE_CCLASSTRIB!$A:$A, 0))/100, 0)</f>
        <v>0</v>
      </c>
    </row>
    <row r="1109" spans="4:22" ht="32.25" customHeight="1">
      <c r="D1109" s="40"/>
      <c r="E1109" s="27" t="str">
        <f>IF(D1109="","",LEFT(D1109,3))</f>
        <v/>
      </c>
      <c r="F1109" s="28" t="str">
        <f>IF(E1109="","",IFERROR(VLOOKUP(E1109,REGRAS_CST!$A$2:$B$200,2,FALSE),""))</f>
        <v/>
      </c>
      <c r="H1109" s="29">
        <v>8.9999999999999993E-3</v>
      </c>
      <c r="I1109" s="29">
        <v>1E-3</v>
      </c>
      <c r="K1109" s="21" t="str">
        <f>IF(E1109="","",IFERROR(VLOOKUP(E1109,REGRAS_CST!$A$2:$C$200,3,FALSE),""))</f>
        <v/>
      </c>
      <c r="L1109" s="23" t="str">
        <f>IF($G1109="", "", $G1109*(1-$V1109))</f>
        <v/>
      </c>
      <c r="M1109" s="24" t="str">
        <f>IF(OR($L1109="",$S1109=""),"",$L1109*$S1109)</f>
        <v/>
      </c>
      <c r="N1109" s="24" t="str">
        <f>IF(OR($L1109="",$T1109=""),"",$L1109*$T1109)</f>
        <v/>
      </c>
      <c r="O1109" s="15" t="str">
        <f>IF(D1109="","",
IF(AND(K1109&lt;&gt;"SIM",V1109&gt;0),"ERRO: % BC &gt; 0, mas NÃO permitida ❌",
IF(AND(K1109="SIM",V1109=0),"ATENÇÃO: BC permitida, mas % = 0 🔎",
"Base de cálculo aplicada corretamente ✅")))</f>
        <v/>
      </c>
      <c r="P1109" s="31" t="str">
        <f>IF(D1109="","",
IF(AND(Q1109&lt;&gt;"SIM",U1109&gt;0),"ERRO: % alíquota &gt; 0, mas NÃO permitida ❌",
IF(AND(Q1109="SIM",U1109=0),"ATENÇÃO: alíquota permitida, mas % = 0 🔎",
"Alíquota aplicada corretamente ✅")))</f>
        <v/>
      </c>
      <c r="Q1109" s="8" t="str">
        <f>IF(E1109="","",IFERROR(VLOOKUP(E1109,REGRAS_CST!$A$2:$D$200,4,FALSE),""))</f>
        <v/>
      </c>
      <c r="S1109" s="9">
        <f>IF($H1109="","",$H1109*(1-$U1109))</f>
        <v>8.9999999999999993E-3</v>
      </c>
      <c r="T1109" s="9">
        <f>IF($I1109="","",$I1109*(1-$U1109))</f>
        <v>1E-3</v>
      </c>
      <c r="U1109" s="16">
        <f>IFERROR(INDEX(BASE_CCLASSTRIB!$E:$E, MATCH(TEXT($D1109,"000000"), BASE_CCLASSTRIB!$A:$A, 0))/100, 0)</f>
        <v>0</v>
      </c>
      <c r="V1109" s="16">
        <f>IFERROR(INDEX(BASE_CCLASSTRIB!$F:$F, MATCH(TEXT($D1109,"000000"), BASE_CCLASSTRIB!$A:$A, 0))/100, 0)</f>
        <v>0</v>
      </c>
    </row>
    <row r="1110" spans="4:22" ht="32.25" customHeight="1">
      <c r="D1110" s="39"/>
      <c r="E1110" s="27" t="str">
        <f>IF(D1110="","",LEFT(D1110,3))</f>
        <v/>
      </c>
      <c r="F1110" s="28" t="str">
        <f>IF(E1110="","",IFERROR(VLOOKUP(E1110,REGRAS_CST!$A$2:$B$200,2,FALSE),""))</f>
        <v/>
      </c>
      <c r="H1110" s="29">
        <v>8.9999999999999993E-3</v>
      </c>
      <c r="I1110" s="29">
        <v>1E-3</v>
      </c>
      <c r="K1110" s="21" t="str">
        <f>IF(E1110="","",IFERROR(VLOOKUP(E1110,REGRAS_CST!$A$2:$C$200,3,FALSE),""))</f>
        <v/>
      </c>
      <c r="L1110" s="23" t="str">
        <f>IF($G1110="", "", $G1110*(1-$V1110))</f>
        <v/>
      </c>
      <c r="M1110" s="24" t="str">
        <f>IF(OR($L1110="",$S1110=""),"",$L1110*$S1110)</f>
        <v/>
      </c>
      <c r="N1110" s="24" t="str">
        <f>IF(OR($L1110="",$T1110=""),"",$L1110*$T1110)</f>
        <v/>
      </c>
      <c r="O1110" s="15" t="str">
        <f>IF(D1110="","",
IF(AND(K1110&lt;&gt;"SIM",V1110&gt;0),"ERRO: % BC &gt; 0, mas NÃO permitida ❌",
IF(AND(K1110="SIM",V1110=0),"ATENÇÃO: BC permitida, mas % = 0 🔎",
"Base de cálculo aplicada corretamente ✅")))</f>
        <v/>
      </c>
      <c r="P1110" s="31" t="str">
        <f>IF(D1110="","",
IF(AND(Q1110&lt;&gt;"SIM",U1110&gt;0),"ERRO: % alíquota &gt; 0, mas NÃO permitida ❌",
IF(AND(Q1110="SIM",U1110=0),"ATENÇÃO: alíquota permitida, mas % = 0 🔎",
"Alíquota aplicada corretamente ✅")))</f>
        <v/>
      </c>
      <c r="Q1110" s="8" t="str">
        <f>IF(E1110="","",IFERROR(VLOOKUP(E1110,REGRAS_CST!$A$2:$D$200,4,FALSE),""))</f>
        <v/>
      </c>
      <c r="S1110" s="9">
        <f>IF($H1110="","",$H1110*(1-$U1110))</f>
        <v>8.9999999999999993E-3</v>
      </c>
      <c r="T1110" s="9">
        <f>IF($I1110="","",$I1110*(1-$U1110))</f>
        <v>1E-3</v>
      </c>
      <c r="U1110" s="16">
        <f>IFERROR(INDEX(BASE_CCLASSTRIB!$E:$E, MATCH(TEXT($D1110,"000000"), BASE_CCLASSTRIB!$A:$A, 0))/100, 0)</f>
        <v>0</v>
      </c>
      <c r="V1110" s="16">
        <f>IFERROR(INDEX(BASE_CCLASSTRIB!$F:$F, MATCH(TEXT($D1110,"000000"), BASE_CCLASSTRIB!$A:$A, 0))/100, 0)</f>
        <v>0</v>
      </c>
    </row>
    <row r="1111" spans="4:22" ht="32.25" customHeight="1">
      <c r="D1111" s="39"/>
      <c r="E1111" s="27" t="str">
        <f>IF(D1111="","",LEFT(D1111,3))</f>
        <v/>
      </c>
      <c r="F1111" s="28" t="str">
        <f>IF(E1111="","",IFERROR(VLOOKUP(E1111,REGRAS_CST!$A$2:$B$200,2,FALSE),""))</f>
        <v/>
      </c>
      <c r="H1111" s="29">
        <v>8.9999999999999993E-3</v>
      </c>
      <c r="I1111" s="29">
        <v>1E-3</v>
      </c>
      <c r="K1111" s="21" t="str">
        <f>IF(E1111="","",IFERROR(VLOOKUP(E1111,REGRAS_CST!$A$2:$C$200,3,FALSE),""))</f>
        <v/>
      </c>
      <c r="L1111" s="23" t="str">
        <f>IF($G1111="", "", $G1111*(1-$V1111))</f>
        <v/>
      </c>
      <c r="M1111" s="24" t="str">
        <f>IF(OR($L1111="",$S1111=""),"",$L1111*$S1111)</f>
        <v/>
      </c>
      <c r="N1111" s="24" t="str">
        <f>IF(OR($L1111="",$T1111=""),"",$L1111*$T1111)</f>
        <v/>
      </c>
      <c r="O1111" s="15" t="str">
        <f>IF(D1111="","",
IF(AND(K1111&lt;&gt;"SIM",V1111&gt;0),"ERRO: % BC &gt; 0, mas NÃO permitida ❌",
IF(AND(K1111="SIM",V1111=0),"ATENÇÃO: BC permitida, mas % = 0 🔎",
"Base de cálculo aplicada corretamente ✅")))</f>
        <v/>
      </c>
      <c r="P1111" s="31" t="str">
        <f>IF(D1111="","",
IF(AND(Q1111&lt;&gt;"SIM",U1111&gt;0),"ERRO: % alíquota &gt; 0, mas NÃO permitida ❌",
IF(AND(Q1111="SIM",U1111=0),"ATENÇÃO: alíquota permitida, mas % = 0 🔎",
"Alíquota aplicada corretamente ✅")))</f>
        <v/>
      </c>
      <c r="Q1111" s="8" t="str">
        <f>IF(E1111="","",IFERROR(VLOOKUP(E1111,REGRAS_CST!$A$2:$D$200,4,FALSE),""))</f>
        <v/>
      </c>
      <c r="S1111" s="9">
        <f>IF($H1111="","",$H1111*(1-$U1111))</f>
        <v>8.9999999999999993E-3</v>
      </c>
      <c r="T1111" s="9">
        <f>IF($I1111="","",$I1111*(1-$U1111))</f>
        <v>1E-3</v>
      </c>
      <c r="U1111" s="16">
        <f>IFERROR(INDEX(BASE_CCLASSTRIB!$E:$E, MATCH(TEXT($D1111,"000000"), BASE_CCLASSTRIB!$A:$A, 0))/100, 0)</f>
        <v>0</v>
      </c>
      <c r="V1111" s="16">
        <f>IFERROR(INDEX(BASE_CCLASSTRIB!$F:$F, MATCH(TEXT($D1111,"000000"), BASE_CCLASSTRIB!$A:$A, 0))/100, 0)</f>
        <v>0</v>
      </c>
    </row>
    <row r="1112" spans="4:22" ht="32.25" customHeight="1">
      <c r="D1112" s="40"/>
      <c r="E1112" s="27" t="str">
        <f>IF(D1112="","",LEFT(D1112,3))</f>
        <v/>
      </c>
      <c r="F1112" s="28" t="str">
        <f>IF(E1112="","",IFERROR(VLOOKUP(E1112,REGRAS_CST!$A$2:$B$200,2,FALSE),""))</f>
        <v/>
      </c>
      <c r="H1112" s="29">
        <v>8.9999999999999993E-3</v>
      </c>
      <c r="I1112" s="29">
        <v>1E-3</v>
      </c>
      <c r="K1112" s="21" t="str">
        <f>IF(E1112="","",IFERROR(VLOOKUP(E1112,REGRAS_CST!$A$2:$C$200,3,FALSE),""))</f>
        <v/>
      </c>
      <c r="L1112" s="23" t="str">
        <f>IF($G1112="", "", $G1112*(1-$V1112))</f>
        <v/>
      </c>
      <c r="M1112" s="24" t="str">
        <f>IF(OR($L1112="",$S1112=""),"",$L1112*$S1112)</f>
        <v/>
      </c>
      <c r="N1112" s="24" t="str">
        <f>IF(OR($L1112="",$T1112=""),"",$L1112*$T1112)</f>
        <v/>
      </c>
      <c r="O1112" s="15" t="str">
        <f>IF(D1112="","",
IF(AND(K1112&lt;&gt;"SIM",V1112&gt;0),"ERRO: % BC &gt; 0, mas NÃO permitida ❌",
IF(AND(K1112="SIM",V1112=0),"ATENÇÃO: BC permitida, mas % = 0 🔎",
"Base de cálculo aplicada corretamente ✅")))</f>
        <v/>
      </c>
      <c r="P1112" s="31" t="str">
        <f>IF(D1112="","",
IF(AND(Q1112&lt;&gt;"SIM",U1112&gt;0),"ERRO: % alíquota &gt; 0, mas NÃO permitida ❌",
IF(AND(Q1112="SIM",U1112=0),"ATENÇÃO: alíquota permitida, mas % = 0 🔎",
"Alíquota aplicada corretamente ✅")))</f>
        <v/>
      </c>
      <c r="Q1112" s="8" t="str">
        <f>IF(E1112="","",IFERROR(VLOOKUP(E1112,REGRAS_CST!$A$2:$D$200,4,FALSE),""))</f>
        <v/>
      </c>
      <c r="S1112" s="9">
        <f>IF($H1112="","",$H1112*(1-$U1112))</f>
        <v>8.9999999999999993E-3</v>
      </c>
      <c r="T1112" s="9">
        <f>IF($I1112="","",$I1112*(1-$U1112))</f>
        <v>1E-3</v>
      </c>
      <c r="U1112" s="16">
        <f>IFERROR(INDEX(BASE_CCLASSTRIB!$E:$E, MATCH(TEXT($D1112,"000000"), BASE_CCLASSTRIB!$A:$A, 0))/100, 0)</f>
        <v>0</v>
      </c>
      <c r="V1112" s="16">
        <f>IFERROR(INDEX(BASE_CCLASSTRIB!$F:$F, MATCH(TEXT($D1112,"000000"), BASE_CCLASSTRIB!$A:$A, 0))/100, 0)</f>
        <v>0</v>
      </c>
    </row>
    <row r="1113" spans="4:22" ht="32.25" customHeight="1">
      <c r="D1113" s="39"/>
      <c r="E1113" s="27" t="str">
        <f>IF(D1113="","",LEFT(D1113,3))</f>
        <v/>
      </c>
      <c r="F1113" s="28" t="str">
        <f>IF(E1113="","",IFERROR(VLOOKUP(E1113,REGRAS_CST!$A$2:$B$200,2,FALSE),""))</f>
        <v/>
      </c>
      <c r="H1113" s="29">
        <v>8.9999999999999993E-3</v>
      </c>
      <c r="I1113" s="29">
        <v>1E-3</v>
      </c>
      <c r="K1113" s="21" t="str">
        <f>IF(E1113="","",IFERROR(VLOOKUP(E1113,REGRAS_CST!$A$2:$C$200,3,FALSE),""))</f>
        <v/>
      </c>
      <c r="L1113" s="23" t="str">
        <f>IF($G1113="", "", $G1113*(1-$V1113))</f>
        <v/>
      </c>
      <c r="M1113" s="24" t="str">
        <f>IF(OR($L1113="",$S1113=""),"",$L1113*$S1113)</f>
        <v/>
      </c>
      <c r="N1113" s="24" t="str">
        <f>IF(OR($L1113="",$T1113=""),"",$L1113*$T1113)</f>
        <v/>
      </c>
      <c r="O1113" s="15" t="str">
        <f>IF(D1113="","",
IF(AND(K1113&lt;&gt;"SIM",V1113&gt;0),"ERRO: % BC &gt; 0, mas NÃO permitida ❌",
IF(AND(K1113="SIM",V1113=0),"ATENÇÃO: BC permitida, mas % = 0 🔎",
"Base de cálculo aplicada corretamente ✅")))</f>
        <v/>
      </c>
      <c r="P1113" s="31" t="str">
        <f>IF(D1113="","",
IF(AND(Q1113&lt;&gt;"SIM",U1113&gt;0),"ERRO: % alíquota &gt; 0, mas NÃO permitida ❌",
IF(AND(Q1113="SIM",U1113=0),"ATENÇÃO: alíquota permitida, mas % = 0 🔎",
"Alíquota aplicada corretamente ✅")))</f>
        <v/>
      </c>
      <c r="Q1113" s="8" t="str">
        <f>IF(E1113="","",IFERROR(VLOOKUP(E1113,REGRAS_CST!$A$2:$D$200,4,FALSE),""))</f>
        <v/>
      </c>
      <c r="S1113" s="9">
        <f>IF($H1113="","",$H1113*(1-$U1113))</f>
        <v>8.9999999999999993E-3</v>
      </c>
      <c r="T1113" s="9">
        <f>IF($I1113="","",$I1113*(1-$U1113))</f>
        <v>1E-3</v>
      </c>
      <c r="U1113" s="16">
        <f>IFERROR(INDEX(BASE_CCLASSTRIB!$E:$E, MATCH(TEXT($D1113,"000000"), BASE_CCLASSTRIB!$A:$A, 0))/100, 0)</f>
        <v>0</v>
      </c>
      <c r="V1113" s="16">
        <f>IFERROR(INDEX(BASE_CCLASSTRIB!$F:$F, MATCH(TEXT($D1113,"000000"), BASE_CCLASSTRIB!$A:$A, 0))/100, 0)</f>
        <v>0</v>
      </c>
    </row>
    <row r="1114" spans="4:22" ht="32.25" customHeight="1">
      <c r="D1114" s="39"/>
      <c r="E1114" s="27" t="str">
        <f>IF(D1114="","",LEFT(D1114,3))</f>
        <v/>
      </c>
      <c r="F1114" s="28" t="str">
        <f>IF(E1114="","",IFERROR(VLOOKUP(E1114,REGRAS_CST!$A$2:$B$200,2,FALSE),""))</f>
        <v/>
      </c>
      <c r="H1114" s="29">
        <v>8.9999999999999993E-3</v>
      </c>
      <c r="I1114" s="29">
        <v>1E-3</v>
      </c>
      <c r="K1114" s="21" t="str">
        <f>IF(E1114="","",IFERROR(VLOOKUP(E1114,REGRAS_CST!$A$2:$C$200,3,FALSE),""))</f>
        <v/>
      </c>
      <c r="L1114" s="23" t="str">
        <f>IF($G1114="", "", $G1114*(1-$V1114))</f>
        <v/>
      </c>
      <c r="M1114" s="24" t="str">
        <f>IF(OR($L1114="",$S1114=""),"",$L1114*$S1114)</f>
        <v/>
      </c>
      <c r="N1114" s="24" t="str">
        <f>IF(OR($L1114="",$T1114=""),"",$L1114*$T1114)</f>
        <v/>
      </c>
      <c r="O1114" s="15" t="str">
        <f>IF(D1114="","",
IF(AND(K1114&lt;&gt;"SIM",V1114&gt;0),"ERRO: % BC &gt; 0, mas NÃO permitida ❌",
IF(AND(K1114="SIM",V1114=0),"ATENÇÃO: BC permitida, mas % = 0 🔎",
"Base de cálculo aplicada corretamente ✅")))</f>
        <v/>
      </c>
      <c r="P1114" s="31" t="str">
        <f>IF(D1114="","",
IF(AND(Q1114&lt;&gt;"SIM",U1114&gt;0),"ERRO: % alíquota &gt; 0, mas NÃO permitida ❌",
IF(AND(Q1114="SIM",U1114=0),"ATENÇÃO: alíquota permitida, mas % = 0 🔎",
"Alíquota aplicada corretamente ✅")))</f>
        <v/>
      </c>
      <c r="Q1114" s="8" t="str">
        <f>IF(E1114="","",IFERROR(VLOOKUP(E1114,REGRAS_CST!$A$2:$D$200,4,FALSE),""))</f>
        <v/>
      </c>
      <c r="S1114" s="9">
        <f>IF($H1114="","",$H1114*(1-$U1114))</f>
        <v>8.9999999999999993E-3</v>
      </c>
      <c r="T1114" s="9">
        <f>IF($I1114="","",$I1114*(1-$U1114))</f>
        <v>1E-3</v>
      </c>
      <c r="U1114" s="16">
        <f>IFERROR(INDEX(BASE_CCLASSTRIB!$E:$E, MATCH(TEXT($D1114,"000000"), BASE_CCLASSTRIB!$A:$A, 0))/100, 0)</f>
        <v>0</v>
      </c>
      <c r="V1114" s="16">
        <f>IFERROR(INDEX(BASE_CCLASSTRIB!$F:$F, MATCH(TEXT($D1114,"000000"), BASE_CCLASSTRIB!$A:$A, 0))/100, 0)</f>
        <v>0</v>
      </c>
    </row>
    <row r="1115" spans="4:22" ht="32.25" customHeight="1">
      <c r="D1115" s="40"/>
      <c r="E1115" s="27" t="str">
        <f>IF(D1115="","",LEFT(D1115,3))</f>
        <v/>
      </c>
      <c r="F1115" s="28" t="str">
        <f>IF(E1115="","",IFERROR(VLOOKUP(E1115,REGRAS_CST!$A$2:$B$200,2,FALSE),""))</f>
        <v/>
      </c>
      <c r="H1115" s="29">
        <v>8.9999999999999993E-3</v>
      </c>
      <c r="I1115" s="29">
        <v>1E-3</v>
      </c>
      <c r="K1115" s="21" t="str">
        <f>IF(E1115="","",IFERROR(VLOOKUP(E1115,REGRAS_CST!$A$2:$C$200,3,FALSE),""))</f>
        <v/>
      </c>
      <c r="L1115" s="23" t="str">
        <f>IF($G1115="", "", $G1115*(1-$V1115))</f>
        <v/>
      </c>
      <c r="M1115" s="24" t="str">
        <f>IF(OR($L1115="",$S1115=""),"",$L1115*$S1115)</f>
        <v/>
      </c>
      <c r="N1115" s="24" t="str">
        <f>IF(OR($L1115="",$T1115=""),"",$L1115*$T1115)</f>
        <v/>
      </c>
      <c r="O1115" s="15" t="str">
        <f>IF(D1115="","",
IF(AND(K1115&lt;&gt;"SIM",V1115&gt;0),"ERRO: % BC &gt; 0, mas NÃO permitida ❌",
IF(AND(K1115="SIM",V1115=0),"ATENÇÃO: BC permitida, mas % = 0 🔎",
"Base de cálculo aplicada corretamente ✅")))</f>
        <v/>
      </c>
      <c r="P1115" s="31" t="str">
        <f>IF(D1115="","",
IF(AND(Q1115&lt;&gt;"SIM",U1115&gt;0),"ERRO: % alíquota &gt; 0, mas NÃO permitida ❌",
IF(AND(Q1115="SIM",U1115=0),"ATENÇÃO: alíquota permitida, mas % = 0 🔎",
"Alíquota aplicada corretamente ✅")))</f>
        <v/>
      </c>
      <c r="Q1115" s="8" t="str">
        <f>IF(E1115="","",IFERROR(VLOOKUP(E1115,REGRAS_CST!$A$2:$D$200,4,FALSE),""))</f>
        <v/>
      </c>
      <c r="S1115" s="9">
        <f>IF($H1115="","",$H1115*(1-$U1115))</f>
        <v>8.9999999999999993E-3</v>
      </c>
      <c r="T1115" s="9">
        <f>IF($I1115="","",$I1115*(1-$U1115))</f>
        <v>1E-3</v>
      </c>
      <c r="U1115" s="16">
        <f>IFERROR(INDEX(BASE_CCLASSTRIB!$E:$E, MATCH(TEXT($D1115,"000000"), BASE_CCLASSTRIB!$A:$A, 0))/100, 0)</f>
        <v>0</v>
      </c>
      <c r="V1115" s="16">
        <f>IFERROR(INDEX(BASE_CCLASSTRIB!$F:$F, MATCH(TEXT($D1115,"000000"), BASE_CCLASSTRIB!$A:$A, 0))/100, 0)</f>
        <v>0</v>
      </c>
    </row>
    <row r="1116" spans="4:22" ht="32.25" customHeight="1">
      <c r="D1116" s="39"/>
      <c r="E1116" s="27" t="str">
        <f>IF(D1116="","",LEFT(D1116,3))</f>
        <v/>
      </c>
      <c r="F1116" s="28" t="str">
        <f>IF(E1116="","",IFERROR(VLOOKUP(E1116,REGRAS_CST!$A$2:$B$200,2,FALSE),""))</f>
        <v/>
      </c>
      <c r="H1116" s="29">
        <v>8.9999999999999993E-3</v>
      </c>
      <c r="I1116" s="29">
        <v>1E-3</v>
      </c>
      <c r="K1116" s="21" t="str">
        <f>IF(E1116="","",IFERROR(VLOOKUP(E1116,REGRAS_CST!$A$2:$C$200,3,FALSE),""))</f>
        <v/>
      </c>
      <c r="L1116" s="23" t="str">
        <f>IF($G1116="", "", $G1116*(1-$V1116))</f>
        <v/>
      </c>
      <c r="M1116" s="24" t="str">
        <f>IF(OR($L1116="",$S1116=""),"",$L1116*$S1116)</f>
        <v/>
      </c>
      <c r="N1116" s="24" t="str">
        <f>IF(OR($L1116="",$T1116=""),"",$L1116*$T1116)</f>
        <v/>
      </c>
      <c r="O1116" s="15" t="str">
        <f>IF(D1116="","",
IF(AND(K1116&lt;&gt;"SIM",V1116&gt;0),"ERRO: % BC &gt; 0, mas NÃO permitida ❌",
IF(AND(K1116="SIM",V1116=0),"ATENÇÃO: BC permitida, mas % = 0 🔎",
"Base de cálculo aplicada corretamente ✅")))</f>
        <v/>
      </c>
      <c r="P1116" s="31" t="str">
        <f>IF(D1116="","",
IF(AND(Q1116&lt;&gt;"SIM",U1116&gt;0),"ERRO: % alíquota &gt; 0, mas NÃO permitida ❌",
IF(AND(Q1116="SIM",U1116=0),"ATENÇÃO: alíquota permitida, mas % = 0 🔎",
"Alíquota aplicada corretamente ✅")))</f>
        <v/>
      </c>
      <c r="Q1116" s="8" t="str">
        <f>IF(E1116="","",IFERROR(VLOOKUP(E1116,REGRAS_CST!$A$2:$D$200,4,FALSE),""))</f>
        <v/>
      </c>
      <c r="S1116" s="9">
        <f>IF($H1116="","",$H1116*(1-$U1116))</f>
        <v>8.9999999999999993E-3</v>
      </c>
      <c r="T1116" s="9">
        <f>IF($I1116="","",$I1116*(1-$U1116))</f>
        <v>1E-3</v>
      </c>
      <c r="U1116" s="16">
        <f>IFERROR(INDEX(BASE_CCLASSTRIB!$E:$E, MATCH(TEXT($D1116,"000000"), BASE_CCLASSTRIB!$A:$A, 0))/100, 0)</f>
        <v>0</v>
      </c>
      <c r="V1116" s="16">
        <f>IFERROR(INDEX(BASE_CCLASSTRIB!$F:$F, MATCH(TEXT($D1116,"000000"), BASE_CCLASSTRIB!$A:$A, 0))/100, 0)</f>
        <v>0</v>
      </c>
    </row>
    <row r="1117" spans="4:22" ht="32.25" customHeight="1">
      <c r="D1117" s="39"/>
      <c r="E1117" s="27" t="str">
        <f>IF(D1117="","",LEFT(D1117,3))</f>
        <v/>
      </c>
      <c r="F1117" s="28" t="str">
        <f>IF(E1117="","",IFERROR(VLOOKUP(E1117,REGRAS_CST!$A$2:$B$200,2,FALSE),""))</f>
        <v/>
      </c>
      <c r="H1117" s="29">
        <v>8.9999999999999993E-3</v>
      </c>
      <c r="I1117" s="29">
        <v>1E-3</v>
      </c>
      <c r="K1117" s="21" t="str">
        <f>IF(E1117="","",IFERROR(VLOOKUP(E1117,REGRAS_CST!$A$2:$C$200,3,FALSE),""))</f>
        <v/>
      </c>
      <c r="L1117" s="23" t="str">
        <f>IF($G1117="", "", $G1117*(1-$V1117))</f>
        <v/>
      </c>
      <c r="M1117" s="24" t="str">
        <f>IF(OR($L1117="",$S1117=""),"",$L1117*$S1117)</f>
        <v/>
      </c>
      <c r="N1117" s="24" t="str">
        <f>IF(OR($L1117="",$T1117=""),"",$L1117*$T1117)</f>
        <v/>
      </c>
      <c r="O1117" s="15" t="str">
        <f>IF(D1117="","",
IF(AND(K1117&lt;&gt;"SIM",V1117&gt;0),"ERRO: % BC &gt; 0, mas NÃO permitida ❌",
IF(AND(K1117="SIM",V1117=0),"ATENÇÃO: BC permitida, mas % = 0 🔎",
"Base de cálculo aplicada corretamente ✅")))</f>
        <v/>
      </c>
      <c r="P1117" s="31" t="str">
        <f>IF(D1117="","",
IF(AND(Q1117&lt;&gt;"SIM",U1117&gt;0),"ERRO: % alíquota &gt; 0, mas NÃO permitida ❌",
IF(AND(Q1117="SIM",U1117=0),"ATENÇÃO: alíquota permitida, mas % = 0 🔎",
"Alíquota aplicada corretamente ✅")))</f>
        <v/>
      </c>
      <c r="Q1117" s="8" t="str">
        <f>IF(E1117="","",IFERROR(VLOOKUP(E1117,REGRAS_CST!$A$2:$D$200,4,FALSE),""))</f>
        <v/>
      </c>
      <c r="S1117" s="9">
        <f>IF($H1117="","",$H1117*(1-$U1117))</f>
        <v>8.9999999999999993E-3</v>
      </c>
      <c r="T1117" s="9">
        <f>IF($I1117="","",$I1117*(1-$U1117))</f>
        <v>1E-3</v>
      </c>
      <c r="U1117" s="16">
        <f>IFERROR(INDEX(BASE_CCLASSTRIB!$E:$E, MATCH(TEXT($D1117,"000000"), BASE_CCLASSTRIB!$A:$A, 0))/100, 0)</f>
        <v>0</v>
      </c>
      <c r="V1117" s="16">
        <f>IFERROR(INDEX(BASE_CCLASSTRIB!$F:$F, MATCH(TEXT($D1117,"000000"), BASE_CCLASSTRIB!$A:$A, 0))/100, 0)</f>
        <v>0</v>
      </c>
    </row>
    <row r="1118" spans="4:22" ht="32.25" customHeight="1">
      <c r="D1118" s="39"/>
      <c r="E1118" s="27" t="str">
        <f>IF(D1118="","",LEFT(D1118,3))</f>
        <v/>
      </c>
      <c r="F1118" s="28" t="str">
        <f>IF(E1118="","",IFERROR(VLOOKUP(E1118,REGRAS_CST!$A$2:$B$200,2,FALSE),""))</f>
        <v/>
      </c>
      <c r="H1118" s="29">
        <v>8.9999999999999993E-3</v>
      </c>
      <c r="I1118" s="29">
        <v>1E-3</v>
      </c>
      <c r="K1118" s="21" t="str">
        <f>IF(E1118="","",IFERROR(VLOOKUP(E1118,REGRAS_CST!$A$2:$C$200,3,FALSE),""))</f>
        <v/>
      </c>
      <c r="L1118" s="23" t="str">
        <f>IF($G1118="", "", $G1118*(1-$V1118))</f>
        <v/>
      </c>
      <c r="M1118" s="24" t="str">
        <f>IF(OR($L1118="",$S1118=""),"",$L1118*$S1118)</f>
        <v/>
      </c>
      <c r="N1118" s="24" t="str">
        <f>IF(OR($L1118="",$T1118=""),"",$L1118*$T1118)</f>
        <v/>
      </c>
      <c r="O1118" s="15" t="str">
        <f>IF(D1118="","",
IF(AND(K1118&lt;&gt;"SIM",V1118&gt;0),"ERRO: % BC &gt; 0, mas NÃO permitida ❌",
IF(AND(K1118="SIM",V1118=0),"ATENÇÃO: BC permitida, mas % = 0 🔎",
"Base de cálculo aplicada corretamente ✅")))</f>
        <v/>
      </c>
      <c r="P1118" s="31" t="str">
        <f>IF(D1118="","",
IF(AND(Q1118&lt;&gt;"SIM",U1118&gt;0),"ERRO: % alíquota &gt; 0, mas NÃO permitida ❌",
IF(AND(Q1118="SIM",U1118=0),"ATENÇÃO: alíquota permitida, mas % = 0 🔎",
"Alíquota aplicada corretamente ✅")))</f>
        <v/>
      </c>
      <c r="Q1118" s="8" t="str">
        <f>IF(E1118="","",IFERROR(VLOOKUP(E1118,REGRAS_CST!$A$2:$D$200,4,FALSE),""))</f>
        <v/>
      </c>
      <c r="S1118" s="9">
        <f>IF($H1118="","",$H1118*(1-$U1118))</f>
        <v>8.9999999999999993E-3</v>
      </c>
      <c r="T1118" s="9">
        <f>IF($I1118="","",$I1118*(1-$U1118))</f>
        <v>1E-3</v>
      </c>
      <c r="U1118" s="16">
        <f>IFERROR(INDEX(BASE_CCLASSTRIB!$E:$E, MATCH(TEXT($D1118,"000000"), BASE_CCLASSTRIB!$A:$A, 0))/100, 0)</f>
        <v>0</v>
      </c>
      <c r="V1118" s="16">
        <f>IFERROR(INDEX(BASE_CCLASSTRIB!$F:$F, MATCH(TEXT($D1118,"000000"), BASE_CCLASSTRIB!$A:$A, 0))/100, 0)</f>
        <v>0</v>
      </c>
    </row>
    <row r="1119" spans="4:22" ht="32.25" customHeight="1">
      <c r="D1119" s="39"/>
      <c r="E1119" s="27" t="str">
        <f>IF(D1119="","",LEFT(D1119,3))</f>
        <v/>
      </c>
      <c r="F1119" s="28" t="str">
        <f>IF(E1119="","",IFERROR(VLOOKUP(E1119,REGRAS_CST!$A$2:$B$200,2,FALSE),""))</f>
        <v/>
      </c>
      <c r="H1119" s="29">
        <v>8.9999999999999993E-3</v>
      </c>
      <c r="I1119" s="29">
        <v>1E-3</v>
      </c>
      <c r="K1119" s="21" t="str">
        <f>IF(E1119="","",IFERROR(VLOOKUP(E1119,REGRAS_CST!$A$2:$C$200,3,FALSE),""))</f>
        <v/>
      </c>
      <c r="L1119" s="23" t="str">
        <f>IF($G1119="", "", $G1119*(1-$V1119))</f>
        <v/>
      </c>
      <c r="M1119" s="24" t="str">
        <f>IF(OR($L1119="",$S1119=""),"",$L1119*$S1119)</f>
        <v/>
      </c>
      <c r="N1119" s="24" t="str">
        <f>IF(OR($L1119="",$T1119=""),"",$L1119*$T1119)</f>
        <v/>
      </c>
      <c r="O1119" s="15" t="str">
        <f>IF(D1119="","",
IF(AND(K1119&lt;&gt;"SIM",V1119&gt;0),"ERRO: % BC &gt; 0, mas NÃO permitida ❌",
IF(AND(K1119="SIM",V1119=0),"ATENÇÃO: BC permitida, mas % = 0 🔎",
"Base de cálculo aplicada corretamente ✅")))</f>
        <v/>
      </c>
      <c r="P1119" s="31" t="str">
        <f>IF(D1119="","",
IF(AND(Q1119&lt;&gt;"SIM",U1119&gt;0),"ERRO: % alíquota &gt; 0, mas NÃO permitida ❌",
IF(AND(Q1119="SIM",U1119=0),"ATENÇÃO: alíquota permitida, mas % = 0 🔎",
"Alíquota aplicada corretamente ✅")))</f>
        <v/>
      </c>
      <c r="Q1119" s="8" t="str">
        <f>IF(E1119="","",IFERROR(VLOOKUP(E1119,REGRAS_CST!$A$2:$D$200,4,FALSE),""))</f>
        <v/>
      </c>
      <c r="S1119" s="9">
        <f>IF($H1119="","",$H1119*(1-$U1119))</f>
        <v>8.9999999999999993E-3</v>
      </c>
      <c r="T1119" s="9">
        <f>IF($I1119="","",$I1119*(1-$U1119))</f>
        <v>1E-3</v>
      </c>
      <c r="U1119" s="16">
        <f>IFERROR(INDEX(BASE_CCLASSTRIB!$E:$E, MATCH(TEXT($D1119,"000000"), BASE_CCLASSTRIB!$A:$A, 0))/100, 0)</f>
        <v>0</v>
      </c>
      <c r="V1119" s="16">
        <f>IFERROR(INDEX(BASE_CCLASSTRIB!$F:$F, MATCH(TEXT($D1119,"000000"), BASE_CCLASSTRIB!$A:$A, 0))/100, 0)</f>
        <v>0</v>
      </c>
    </row>
    <row r="1120" spans="4:22" ht="32.25" customHeight="1">
      <c r="D1120" s="40"/>
      <c r="E1120" s="27" t="str">
        <f>IF(D1120="","",LEFT(D1120,3))</f>
        <v/>
      </c>
      <c r="F1120" s="28" t="str">
        <f>IF(E1120="","",IFERROR(VLOOKUP(E1120,REGRAS_CST!$A$2:$B$200,2,FALSE),""))</f>
        <v/>
      </c>
      <c r="H1120" s="29">
        <v>8.9999999999999993E-3</v>
      </c>
      <c r="I1120" s="29">
        <v>1E-3</v>
      </c>
      <c r="K1120" s="21" t="str">
        <f>IF(E1120="","",IFERROR(VLOOKUP(E1120,REGRAS_CST!$A$2:$C$200,3,FALSE),""))</f>
        <v/>
      </c>
      <c r="L1120" s="23" t="str">
        <f>IF($G1120="", "", $G1120*(1-$V1120))</f>
        <v/>
      </c>
      <c r="M1120" s="24" t="str">
        <f>IF(OR($L1120="",$S1120=""),"",$L1120*$S1120)</f>
        <v/>
      </c>
      <c r="N1120" s="24" t="str">
        <f>IF(OR($L1120="",$T1120=""),"",$L1120*$T1120)</f>
        <v/>
      </c>
      <c r="O1120" s="15" t="str">
        <f>IF(D1120="","",
IF(AND(K1120&lt;&gt;"SIM",V1120&gt;0),"ERRO: % BC &gt; 0, mas NÃO permitida ❌",
IF(AND(K1120="SIM",V1120=0),"ATENÇÃO: BC permitida, mas % = 0 🔎",
"Base de cálculo aplicada corretamente ✅")))</f>
        <v/>
      </c>
      <c r="P1120" s="31" t="str">
        <f>IF(D1120="","",
IF(AND(Q1120&lt;&gt;"SIM",U1120&gt;0),"ERRO: % alíquota &gt; 0, mas NÃO permitida ❌",
IF(AND(Q1120="SIM",U1120=0),"ATENÇÃO: alíquota permitida, mas % = 0 🔎",
"Alíquota aplicada corretamente ✅")))</f>
        <v/>
      </c>
      <c r="Q1120" s="8" t="str">
        <f>IF(E1120="","",IFERROR(VLOOKUP(E1120,REGRAS_CST!$A$2:$D$200,4,FALSE),""))</f>
        <v/>
      </c>
      <c r="S1120" s="9">
        <f>IF($H1120="","",$H1120*(1-$U1120))</f>
        <v>8.9999999999999993E-3</v>
      </c>
      <c r="T1120" s="9">
        <f>IF($I1120="","",$I1120*(1-$U1120))</f>
        <v>1E-3</v>
      </c>
      <c r="U1120" s="16">
        <f>IFERROR(INDEX(BASE_CCLASSTRIB!$E:$E, MATCH(TEXT($D1120,"000000"), BASE_CCLASSTRIB!$A:$A, 0))/100, 0)</f>
        <v>0</v>
      </c>
      <c r="V1120" s="16">
        <f>IFERROR(INDEX(BASE_CCLASSTRIB!$F:$F, MATCH(TEXT($D1120,"000000"), BASE_CCLASSTRIB!$A:$A, 0))/100, 0)</f>
        <v>0</v>
      </c>
    </row>
    <row r="1121" spans="4:22" ht="32.25" customHeight="1">
      <c r="D1121" s="40"/>
      <c r="E1121" s="27" t="str">
        <f>IF(D1121="","",LEFT(D1121,3))</f>
        <v/>
      </c>
      <c r="F1121" s="28" t="str">
        <f>IF(E1121="","",IFERROR(VLOOKUP(E1121,REGRAS_CST!$A$2:$B$200,2,FALSE),""))</f>
        <v/>
      </c>
      <c r="H1121" s="29">
        <v>8.9999999999999993E-3</v>
      </c>
      <c r="I1121" s="29">
        <v>1E-3</v>
      </c>
      <c r="K1121" s="21" t="str">
        <f>IF(E1121="","",IFERROR(VLOOKUP(E1121,REGRAS_CST!$A$2:$C$200,3,FALSE),""))</f>
        <v/>
      </c>
      <c r="L1121" s="23" t="str">
        <f>IF($G1121="", "", $G1121*(1-$V1121))</f>
        <v/>
      </c>
      <c r="M1121" s="24" t="str">
        <f>IF(OR($L1121="",$S1121=""),"",$L1121*$S1121)</f>
        <v/>
      </c>
      <c r="N1121" s="24" t="str">
        <f>IF(OR($L1121="",$T1121=""),"",$L1121*$T1121)</f>
        <v/>
      </c>
      <c r="O1121" s="15" t="str">
        <f>IF(D1121="","",
IF(AND(K1121&lt;&gt;"SIM",V1121&gt;0),"ERRO: % BC &gt; 0, mas NÃO permitida ❌",
IF(AND(K1121="SIM",V1121=0),"ATENÇÃO: BC permitida, mas % = 0 🔎",
"Base de cálculo aplicada corretamente ✅")))</f>
        <v/>
      </c>
      <c r="P1121" s="31" t="str">
        <f>IF(D1121="","",
IF(AND(Q1121&lt;&gt;"SIM",U1121&gt;0),"ERRO: % alíquota &gt; 0, mas NÃO permitida ❌",
IF(AND(Q1121="SIM",U1121=0),"ATENÇÃO: alíquota permitida, mas % = 0 🔎",
"Alíquota aplicada corretamente ✅")))</f>
        <v/>
      </c>
      <c r="Q1121" s="8" t="str">
        <f>IF(E1121="","",IFERROR(VLOOKUP(E1121,REGRAS_CST!$A$2:$D$200,4,FALSE),""))</f>
        <v/>
      </c>
      <c r="S1121" s="9">
        <f>IF($H1121="","",$H1121*(1-$U1121))</f>
        <v>8.9999999999999993E-3</v>
      </c>
      <c r="T1121" s="9">
        <f>IF($I1121="","",$I1121*(1-$U1121))</f>
        <v>1E-3</v>
      </c>
      <c r="U1121" s="16">
        <f>IFERROR(INDEX(BASE_CCLASSTRIB!$E:$E, MATCH(TEXT($D1121,"000000"), BASE_CCLASSTRIB!$A:$A, 0))/100, 0)</f>
        <v>0</v>
      </c>
      <c r="V1121" s="16">
        <f>IFERROR(INDEX(BASE_CCLASSTRIB!$F:$F, MATCH(TEXT($D1121,"000000"), BASE_CCLASSTRIB!$A:$A, 0))/100, 0)</f>
        <v>0</v>
      </c>
    </row>
    <row r="1122" spans="4:22" ht="32.25" customHeight="1">
      <c r="D1122" s="40"/>
      <c r="E1122" s="27" t="str">
        <f>IF(D1122="","",LEFT(D1122,3))</f>
        <v/>
      </c>
      <c r="F1122" s="28" t="str">
        <f>IF(E1122="","",IFERROR(VLOOKUP(E1122,REGRAS_CST!$A$2:$B$200,2,FALSE),""))</f>
        <v/>
      </c>
      <c r="H1122" s="29">
        <v>8.9999999999999993E-3</v>
      </c>
      <c r="I1122" s="29">
        <v>1E-3</v>
      </c>
      <c r="K1122" s="21" t="str">
        <f>IF(E1122="","",IFERROR(VLOOKUP(E1122,REGRAS_CST!$A$2:$C$200,3,FALSE),""))</f>
        <v/>
      </c>
      <c r="L1122" s="23" t="str">
        <f>IF($G1122="", "", $G1122*(1-$V1122))</f>
        <v/>
      </c>
      <c r="M1122" s="24" t="str">
        <f>IF(OR($L1122="",$S1122=""),"",$L1122*$S1122)</f>
        <v/>
      </c>
      <c r="N1122" s="24" t="str">
        <f>IF(OR($L1122="",$T1122=""),"",$L1122*$T1122)</f>
        <v/>
      </c>
      <c r="O1122" s="15" t="str">
        <f>IF(D1122="","",
IF(AND(K1122&lt;&gt;"SIM",V1122&gt;0),"ERRO: % BC &gt; 0, mas NÃO permitida ❌",
IF(AND(K1122="SIM",V1122=0),"ATENÇÃO: BC permitida, mas % = 0 🔎",
"Base de cálculo aplicada corretamente ✅")))</f>
        <v/>
      </c>
      <c r="P1122" s="31" t="str">
        <f>IF(D1122="","",
IF(AND(Q1122&lt;&gt;"SIM",U1122&gt;0),"ERRO: % alíquota &gt; 0, mas NÃO permitida ❌",
IF(AND(Q1122="SIM",U1122=0),"ATENÇÃO: alíquota permitida, mas % = 0 🔎",
"Alíquota aplicada corretamente ✅")))</f>
        <v/>
      </c>
      <c r="Q1122" s="8" t="str">
        <f>IF(E1122="","",IFERROR(VLOOKUP(E1122,REGRAS_CST!$A$2:$D$200,4,FALSE),""))</f>
        <v/>
      </c>
      <c r="S1122" s="9">
        <f>IF($H1122="","",$H1122*(1-$U1122))</f>
        <v>8.9999999999999993E-3</v>
      </c>
      <c r="T1122" s="9">
        <f>IF($I1122="","",$I1122*(1-$U1122))</f>
        <v>1E-3</v>
      </c>
      <c r="U1122" s="16">
        <f>IFERROR(INDEX(BASE_CCLASSTRIB!$E:$E, MATCH(TEXT($D1122,"000000"), BASE_CCLASSTRIB!$A:$A, 0))/100, 0)</f>
        <v>0</v>
      </c>
      <c r="V1122" s="16">
        <f>IFERROR(INDEX(BASE_CCLASSTRIB!$F:$F, MATCH(TEXT($D1122,"000000"), BASE_CCLASSTRIB!$A:$A, 0))/100, 0)</f>
        <v>0</v>
      </c>
    </row>
    <row r="1123" spans="4:22" ht="32.25" customHeight="1">
      <c r="D1123" s="39"/>
      <c r="E1123" s="27" t="str">
        <f>IF(D1123="","",LEFT(D1123,3))</f>
        <v/>
      </c>
      <c r="F1123" s="28" t="str">
        <f>IF(E1123="","",IFERROR(VLOOKUP(E1123,REGRAS_CST!$A$2:$B$200,2,FALSE),""))</f>
        <v/>
      </c>
      <c r="H1123" s="29">
        <v>8.9999999999999993E-3</v>
      </c>
      <c r="I1123" s="29">
        <v>1E-3</v>
      </c>
      <c r="K1123" s="21" t="str">
        <f>IF(E1123="","",IFERROR(VLOOKUP(E1123,REGRAS_CST!$A$2:$C$200,3,FALSE),""))</f>
        <v/>
      </c>
      <c r="L1123" s="23" t="str">
        <f>IF($G1123="", "", $G1123*(1-$V1123))</f>
        <v/>
      </c>
      <c r="M1123" s="24" t="str">
        <f>IF(OR($L1123="",$S1123=""),"",$L1123*$S1123)</f>
        <v/>
      </c>
      <c r="N1123" s="24" t="str">
        <f>IF(OR($L1123="",$T1123=""),"",$L1123*$T1123)</f>
        <v/>
      </c>
      <c r="O1123" s="15" t="str">
        <f>IF(D1123="","",
IF(AND(K1123&lt;&gt;"SIM",V1123&gt;0),"ERRO: % BC &gt; 0, mas NÃO permitida ❌",
IF(AND(K1123="SIM",V1123=0),"ATENÇÃO: BC permitida, mas % = 0 🔎",
"Base de cálculo aplicada corretamente ✅")))</f>
        <v/>
      </c>
      <c r="P1123" s="31" t="str">
        <f>IF(D1123="","",
IF(AND(Q1123&lt;&gt;"SIM",U1123&gt;0),"ERRO: % alíquota &gt; 0, mas NÃO permitida ❌",
IF(AND(Q1123="SIM",U1123=0),"ATENÇÃO: alíquota permitida, mas % = 0 🔎",
"Alíquota aplicada corretamente ✅")))</f>
        <v/>
      </c>
      <c r="Q1123" s="8" t="str">
        <f>IF(E1123="","",IFERROR(VLOOKUP(E1123,REGRAS_CST!$A$2:$D$200,4,FALSE),""))</f>
        <v/>
      </c>
      <c r="S1123" s="9">
        <f>IF($H1123="","",$H1123*(1-$U1123))</f>
        <v>8.9999999999999993E-3</v>
      </c>
      <c r="T1123" s="9">
        <f>IF($I1123="","",$I1123*(1-$U1123))</f>
        <v>1E-3</v>
      </c>
      <c r="U1123" s="16">
        <f>IFERROR(INDEX(BASE_CCLASSTRIB!$E:$E, MATCH(TEXT($D1123,"000000"), BASE_CCLASSTRIB!$A:$A, 0))/100, 0)</f>
        <v>0</v>
      </c>
      <c r="V1123" s="16">
        <f>IFERROR(INDEX(BASE_CCLASSTRIB!$F:$F, MATCH(TEXT($D1123,"000000"), BASE_CCLASSTRIB!$A:$A, 0))/100, 0)</f>
        <v>0</v>
      </c>
    </row>
    <row r="1124" spans="4:22" ht="32.25" customHeight="1">
      <c r="D1124" s="40"/>
      <c r="E1124" s="27" t="str">
        <f>IF(D1124="","",LEFT(D1124,3))</f>
        <v/>
      </c>
      <c r="F1124" s="28" t="str">
        <f>IF(E1124="","",IFERROR(VLOOKUP(E1124,REGRAS_CST!$A$2:$B$200,2,FALSE),""))</f>
        <v/>
      </c>
      <c r="H1124" s="29">
        <v>8.9999999999999993E-3</v>
      </c>
      <c r="I1124" s="29">
        <v>1E-3</v>
      </c>
      <c r="K1124" s="21" t="str">
        <f>IF(E1124="","",IFERROR(VLOOKUP(E1124,REGRAS_CST!$A$2:$C$200,3,FALSE),""))</f>
        <v/>
      </c>
      <c r="L1124" s="23" t="str">
        <f>IF($G1124="", "", $G1124*(1-$V1124))</f>
        <v/>
      </c>
      <c r="M1124" s="24" t="str">
        <f>IF(OR($L1124="",$S1124=""),"",$L1124*$S1124)</f>
        <v/>
      </c>
      <c r="N1124" s="24" t="str">
        <f>IF(OR($L1124="",$T1124=""),"",$L1124*$T1124)</f>
        <v/>
      </c>
      <c r="O1124" s="15" t="str">
        <f>IF(D1124="","",
IF(AND(K1124&lt;&gt;"SIM",V1124&gt;0),"ERRO: % BC &gt; 0, mas NÃO permitida ❌",
IF(AND(K1124="SIM",V1124=0),"ATENÇÃO: BC permitida, mas % = 0 🔎",
"Base de cálculo aplicada corretamente ✅")))</f>
        <v/>
      </c>
      <c r="P1124" s="31" t="str">
        <f>IF(D1124="","",
IF(AND(Q1124&lt;&gt;"SIM",U1124&gt;0),"ERRO: % alíquota &gt; 0, mas NÃO permitida ❌",
IF(AND(Q1124="SIM",U1124=0),"ATENÇÃO: alíquota permitida, mas % = 0 🔎",
"Alíquota aplicada corretamente ✅")))</f>
        <v/>
      </c>
      <c r="Q1124" s="8" t="str">
        <f>IF(E1124="","",IFERROR(VLOOKUP(E1124,REGRAS_CST!$A$2:$D$200,4,FALSE),""))</f>
        <v/>
      </c>
      <c r="S1124" s="9">
        <f>IF($H1124="","",$H1124*(1-$U1124))</f>
        <v>8.9999999999999993E-3</v>
      </c>
      <c r="T1124" s="9">
        <f>IF($I1124="","",$I1124*(1-$U1124))</f>
        <v>1E-3</v>
      </c>
      <c r="U1124" s="16">
        <f>IFERROR(INDEX(BASE_CCLASSTRIB!$E:$E, MATCH(TEXT($D1124,"000000"), BASE_CCLASSTRIB!$A:$A, 0))/100, 0)</f>
        <v>0</v>
      </c>
      <c r="V1124" s="16">
        <f>IFERROR(INDEX(BASE_CCLASSTRIB!$F:$F, MATCH(TEXT($D1124,"000000"), BASE_CCLASSTRIB!$A:$A, 0))/100, 0)</f>
        <v>0</v>
      </c>
    </row>
    <row r="1125" spans="4:22" ht="32.25" customHeight="1">
      <c r="D1125" s="39"/>
      <c r="E1125" s="27" t="str">
        <f>IF(D1125="","",LEFT(D1125,3))</f>
        <v/>
      </c>
      <c r="F1125" s="28" t="str">
        <f>IF(E1125="","",IFERROR(VLOOKUP(E1125,REGRAS_CST!$A$2:$B$200,2,FALSE),""))</f>
        <v/>
      </c>
      <c r="H1125" s="29">
        <v>8.9999999999999993E-3</v>
      </c>
      <c r="I1125" s="29">
        <v>1E-3</v>
      </c>
      <c r="K1125" s="21" t="str">
        <f>IF(E1125="","",IFERROR(VLOOKUP(E1125,REGRAS_CST!$A$2:$C$200,3,FALSE),""))</f>
        <v/>
      </c>
      <c r="L1125" s="23" t="str">
        <f>IF($G1125="", "", $G1125*(1-$V1125))</f>
        <v/>
      </c>
      <c r="M1125" s="24" t="str">
        <f>IF(OR($L1125="",$S1125=""),"",$L1125*$S1125)</f>
        <v/>
      </c>
      <c r="N1125" s="24" t="str">
        <f>IF(OR($L1125="",$T1125=""),"",$L1125*$T1125)</f>
        <v/>
      </c>
      <c r="O1125" s="15" t="str">
        <f>IF(D1125="","",
IF(AND(K1125&lt;&gt;"SIM",V1125&gt;0),"ERRO: % BC &gt; 0, mas NÃO permitida ❌",
IF(AND(K1125="SIM",V1125=0),"ATENÇÃO: BC permitida, mas % = 0 🔎",
"Base de cálculo aplicada corretamente ✅")))</f>
        <v/>
      </c>
      <c r="P1125" s="31" t="str">
        <f>IF(D1125="","",
IF(AND(Q1125&lt;&gt;"SIM",U1125&gt;0),"ERRO: % alíquota &gt; 0, mas NÃO permitida ❌",
IF(AND(Q1125="SIM",U1125=0),"ATENÇÃO: alíquota permitida, mas % = 0 🔎",
"Alíquota aplicada corretamente ✅")))</f>
        <v/>
      </c>
      <c r="Q1125" s="8" t="str">
        <f>IF(E1125="","",IFERROR(VLOOKUP(E1125,REGRAS_CST!$A$2:$D$200,4,FALSE),""))</f>
        <v/>
      </c>
      <c r="S1125" s="9">
        <f>IF($H1125="","",$H1125*(1-$U1125))</f>
        <v>8.9999999999999993E-3</v>
      </c>
      <c r="T1125" s="9">
        <f>IF($I1125="","",$I1125*(1-$U1125))</f>
        <v>1E-3</v>
      </c>
      <c r="U1125" s="16">
        <f>IFERROR(INDEX(BASE_CCLASSTRIB!$E:$E, MATCH(TEXT($D1125,"000000"), BASE_CCLASSTRIB!$A:$A, 0))/100, 0)</f>
        <v>0</v>
      </c>
      <c r="V1125" s="16">
        <f>IFERROR(INDEX(BASE_CCLASSTRIB!$F:$F, MATCH(TEXT($D1125,"000000"), BASE_CCLASSTRIB!$A:$A, 0))/100, 0)</f>
        <v>0</v>
      </c>
    </row>
    <row r="1126" spans="4:22" ht="32.25" customHeight="1">
      <c r="D1126" s="39"/>
      <c r="E1126" s="27" t="str">
        <f>IF(D1126="","",LEFT(D1126,3))</f>
        <v/>
      </c>
      <c r="F1126" s="28" t="str">
        <f>IF(E1126="","",IFERROR(VLOOKUP(E1126,REGRAS_CST!$A$2:$B$200,2,FALSE),""))</f>
        <v/>
      </c>
      <c r="H1126" s="29">
        <v>8.9999999999999993E-3</v>
      </c>
      <c r="I1126" s="29">
        <v>1E-3</v>
      </c>
      <c r="K1126" s="21" t="str">
        <f>IF(E1126="","",IFERROR(VLOOKUP(E1126,REGRAS_CST!$A$2:$C$200,3,FALSE),""))</f>
        <v/>
      </c>
      <c r="L1126" s="23" t="str">
        <f>IF($G1126="", "", $G1126*(1-$V1126))</f>
        <v/>
      </c>
      <c r="M1126" s="24" t="str">
        <f>IF(OR($L1126="",$S1126=""),"",$L1126*$S1126)</f>
        <v/>
      </c>
      <c r="N1126" s="24" t="str">
        <f>IF(OR($L1126="",$T1126=""),"",$L1126*$T1126)</f>
        <v/>
      </c>
      <c r="O1126" s="15" t="str">
        <f>IF(D1126="","",
IF(AND(K1126&lt;&gt;"SIM",V1126&gt;0),"ERRO: % BC &gt; 0, mas NÃO permitida ❌",
IF(AND(K1126="SIM",V1126=0),"ATENÇÃO: BC permitida, mas % = 0 🔎",
"Base de cálculo aplicada corretamente ✅")))</f>
        <v/>
      </c>
      <c r="P1126" s="31" t="str">
        <f>IF(D1126="","",
IF(AND(Q1126&lt;&gt;"SIM",U1126&gt;0),"ERRO: % alíquota &gt; 0, mas NÃO permitida ❌",
IF(AND(Q1126="SIM",U1126=0),"ATENÇÃO: alíquota permitida, mas % = 0 🔎",
"Alíquota aplicada corretamente ✅")))</f>
        <v/>
      </c>
      <c r="Q1126" s="8" t="str">
        <f>IF(E1126="","",IFERROR(VLOOKUP(E1126,REGRAS_CST!$A$2:$D$200,4,FALSE),""))</f>
        <v/>
      </c>
      <c r="S1126" s="9">
        <f>IF($H1126="","",$H1126*(1-$U1126))</f>
        <v>8.9999999999999993E-3</v>
      </c>
      <c r="T1126" s="9">
        <f>IF($I1126="","",$I1126*(1-$U1126))</f>
        <v>1E-3</v>
      </c>
      <c r="U1126" s="16">
        <f>IFERROR(INDEX(BASE_CCLASSTRIB!$E:$E, MATCH(TEXT($D1126,"000000"), BASE_CCLASSTRIB!$A:$A, 0))/100, 0)</f>
        <v>0</v>
      </c>
      <c r="V1126" s="16">
        <f>IFERROR(INDEX(BASE_CCLASSTRIB!$F:$F, MATCH(TEXT($D1126,"000000"), BASE_CCLASSTRIB!$A:$A, 0))/100, 0)</f>
        <v>0</v>
      </c>
    </row>
    <row r="1127" spans="4:22" ht="32.25" customHeight="1">
      <c r="D1127" s="39"/>
      <c r="E1127" s="27" t="str">
        <f>IF(D1127="","",LEFT(D1127,3))</f>
        <v/>
      </c>
      <c r="F1127" s="28" t="str">
        <f>IF(E1127="","",IFERROR(VLOOKUP(E1127,REGRAS_CST!$A$2:$B$200,2,FALSE),""))</f>
        <v/>
      </c>
      <c r="H1127" s="29">
        <v>8.9999999999999993E-3</v>
      </c>
      <c r="I1127" s="29">
        <v>1E-3</v>
      </c>
      <c r="K1127" s="21" t="str">
        <f>IF(E1127="","",IFERROR(VLOOKUP(E1127,REGRAS_CST!$A$2:$C$200,3,FALSE),""))</f>
        <v/>
      </c>
      <c r="L1127" s="23" t="str">
        <f>IF($G1127="", "", $G1127*(1-$V1127))</f>
        <v/>
      </c>
      <c r="M1127" s="24" t="str">
        <f>IF(OR($L1127="",$S1127=""),"",$L1127*$S1127)</f>
        <v/>
      </c>
      <c r="N1127" s="24" t="str">
        <f>IF(OR($L1127="",$T1127=""),"",$L1127*$T1127)</f>
        <v/>
      </c>
      <c r="O1127" s="15" t="str">
        <f>IF(D1127="","",
IF(AND(K1127&lt;&gt;"SIM",V1127&gt;0),"ERRO: % BC &gt; 0, mas NÃO permitida ❌",
IF(AND(K1127="SIM",V1127=0),"ATENÇÃO: BC permitida, mas % = 0 🔎",
"Base de cálculo aplicada corretamente ✅")))</f>
        <v/>
      </c>
      <c r="P1127" s="31" t="str">
        <f>IF(D1127="","",
IF(AND(Q1127&lt;&gt;"SIM",U1127&gt;0),"ERRO: % alíquota &gt; 0, mas NÃO permitida ❌",
IF(AND(Q1127="SIM",U1127=0),"ATENÇÃO: alíquota permitida, mas % = 0 🔎",
"Alíquota aplicada corretamente ✅")))</f>
        <v/>
      </c>
      <c r="Q1127" s="8" t="str">
        <f>IF(E1127="","",IFERROR(VLOOKUP(E1127,REGRAS_CST!$A$2:$D$200,4,FALSE),""))</f>
        <v/>
      </c>
      <c r="S1127" s="9">
        <f>IF($H1127="","",$H1127*(1-$U1127))</f>
        <v>8.9999999999999993E-3</v>
      </c>
      <c r="T1127" s="9">
        <f>IF($I1127="","",$I1127*(1-$U1127))</f>
        <v>1E-3</v>
      </c>
      <c r="U1127" s="16">
        <f>IFERROR(INDEX(BASE_CCLASSTRIB!$E:$E, MATCH(TEXT($D1127,"000000"), BASE_CCLASSTRIB!$A:$A, 0))/100, 0)</f>
        <v>0</v>
      </c>
      <c r="V1127" s="16">
        <f>IFERROR(INDEX(BASE_CCLASSTRIB!$F:$F, MATCH(TEXT($D1127,"000000"), BASE_CCLASSTRIB!$A:$A, 0))/100, 0)</f>
        <v>0</v>
      </c>
    </row>
    <row r="1128" spans="4:22" ht="32.25" customHeight="1">
      <c r="D1128" s="39"/>
      <c r="E1128" s="27" t="str">
        <f>IF(D1128="","",LEFT(D1128,3))</f>
        <v/>
      </c>
      <c r="F1128" s="28" t="str">
        <f>IF(E1128="","",IFERROR(VLOOKUP(E1128,REGRAS_CST!$A$2:$B$200,2,FALSE),""))</f>
        <v/>
      </c>
      <c r="H1128" s="29">
        <v>8.9999999999999993E-3</v>
      </c>
      <c r="I1128" s="29">
        <v>1E-3</v>
      </c>
      <c r="K1128" s="21" t="str">
        <f>IF(E1128="","",IFERROR(VLOOKUP(E1128,REGRAS_CST!$A$2:$C$200,3,FALSE),""))</f>
        <v/>
      </c>
      <c r="L1128" s="23" t="str">
        <f>IF($G1128="", "", $G1128*(1-$V1128))</f>
        <v/>
      </c>
      <c r="M1128" s="24" t="str">
        <f>IF(OR($L1128="",$S1128=""),"",$L1128*$S1128)</f>
        <v/>
      </c>
      <c r="N1128" s="24" t="str">
        <f>IF(OR($L1128="",$T1128=""),"",$L1128*$T1128)</f>
        <v/>
      </c>
      <c r="O1128" s="15" t="str">
        <f>IF(D1128="","",
IF(AND(K1128&lt;&gt;"SIM",V1128&gt;0),"ERRO: % BC &gt; 0, mas NÃO permitida ❌",
IF(AND(K1128="SIM",V1128=0),"ATENÇÃO: BC permitida, mas % = 0 🔎",
"Base de cálculo aplicada corretamente ✅")))</f>
        <v/>
      </c>
      <c r="P1128" s="31" t="str">
        <f>IF(D1128="","",
IF(AND(Q1128&lt;&gt;"SIM",U1128&gt;0),"ERRO: % alíquota &gt; 0, mas NÃO permitida ❌",
IF(AND(Q1128="SIM",U1128=0),"ATENÇÃO: alíquota permitida, mas % = 0 🔎",
"Alíquota aplicada corretamente ✅")))</f>
        <v/>
      </c>
      <c r="Q1128" s="8" t="str">
        <f>IF(E1128="","",IFERROR(VLOOKUP(E1128,REGRAS_CST!$A$2:$D$200,4,FALSE),""))</f>
        <v/>
      </c>
      <c r="S1128" s="9">
        <f>IF($H1128="","",$H1128*(1-$U1128))</f>
        <v>8.9999999999999993E-3</v>
      </c>
      <c r="T1128" s="9">
        <f>IF($I1128="","",$I1128*(1-$U1128))</f>
        <v>1E-3</v>
      </c>
      <c r="U1128" s="16">
        <f>IFERROR(INDEX(BASE_CCLASSTRIB!$E:$E, MATCH(TEXT($D1128,"000000"), BASE_CCLASSTRIB!$A:$A, 0))/100, 0)</f>
        <v>0</v>
      </c>
      <c r="V1128" s="16">
        <f>IFERROR(INDEX(BASE_CCLASSTRIB!$F:$F, MATCH(TEXT($D1128,"000000"), BASE_CCLASSTRIB!$A:$A, 0))/100, 0)</f>
        <v>0</v>
      </c>
    </row>
    <row r="1129" spans="4:22" ht="32.25" customHeight="1">
      <c r="D1129" s="40"/>
      <c r="E1129" s="27" t="str">
        <f>IF(D1129="","",LEFT(D1129,3))</f>
        <v/>
      </c>
      <c r="F1129" s="28" t="str">
        <f>IF(E1129="","",IFERROR(VLOOKUP(E1129,REGRAS_CST!$A$2:$B$200,2,FALSE),""))</f>
        <v/>
      </c>
      <c r="H1129" s="29">
        <v>8.9999999999999993E-3</v>
      </c>
      <c r="I1129" s="29">
        <v>1E-3</v>
      </c>
      <c r="K1129" s="21" t="str">
        <f>IF(E1129="","",IFERROR(VLOOKUP(E1129,REGRAS_CST!$A$2:$C$200,3,FALSE),""))</f>
        <v/>
      </c>
      <c r="L1129" s="23" t="str">
        <f>IF($G1129="", "", $G1129*(1-$V1129))</f>
        <v/>
      </c>
      <c r="M1129" s="24" t="str">
        <f>IF(OR($L1129="",$S1129=""),"",$L1129*$S1129)</f>
        <v/>
      </c>
      <c r="N1129" s="24" t="str">
        <f>IF(OR($L1129="",$T1129=""),"",$L1129*$T1129)</f>
        <v/>
      </c>
      <c r="O1129" s="15" t="str">
        <f>IF(D1129="","",
IF(AND(K1129&lt;&gt;"SIM",V1129&gt;0),"ERRO: % BC &gt; 0, mas NÃO permitida ❌",
IF(AND(K1129="SIM",V1129=0),"ATENÇÃO: BC permitida, mas % = 0 🔎",
"Base de cálculo aplicada corretamente ✅")))</f>
        <v/>
      </c>
      <c r="P1129" s="31" t="str">
        <f>IF(D1129="","",
IF(AND(Q1129&lt;&gt;"SIM",U1129&gt;0),"ERRO: % alíquota &gt; 0, mas NÃO permitida ❌",
IF(AND(Q1129="SIM",U1129=0),"ATENÇÃO: alíquota permitida, mas % = 0 🔎",
"Alíquota aplicada corretamente ✅")))</f>
        <v/>
      </c>
      <c r="Q1129" s="8" t="str">
        <f>IF(E1129="","",IFERROR(VLOOKUP(E1129,REGRAS_CST!$A$2:$D$200,4,FALSE),""))</f>
        <v/>
      </c>
      <c r="S1129" s="9">
        <f>IF($H1129="","",$H1129*(1-$U1129))</f>
        <v>8.9999999999999993E-3</v>
      </c>
      <c r="T1129" s="9">
        <f>IF($I1129="","",$I1129*(1-$U1129))</f>
        <v>1E-3</v>
      </c>
      <c r="U1129" s="16">
        <f>IFERROR(INDEX(BASE_CCLASSTRIB!$E:$E, MATCH(TEXT($D1129,"000000"), BASE_CCLASSTRIB!$A:$A, 0))/100, 0)</f>
        <v>0</v>
      </c>
      <c r="V1129" s="16">
        <f>IFERROR(INDEX(BASE_CCLASSTRIB!$F:$F, MATCH(TEXT($D1129,"000000"), BASE_CCLASSTRIB!$A:$A, 0))/100, 0)</f>
        <v>0</v>
      </c>
    </row>
    <row r="1130" spans="4:22" ht="32.25" customHeight="1">
      <c r="D1130" s="39"/>
      <c r="E1130" s="27" t="str">
        <f>IF(D1130="","",LEFT(D1130,3))</f>
        <v/>
      </c>
      <c r="F1130" s="28" t="str">
        <f>IF(E1130="","",IFERROR(VLOOKUP(E1130,REGRAS_CST!$A$2:$B$200,2,FALSE),""))</f>
        <v/>
      </c>
      <c r="H1130" s="29">
        <v>8.9999999999999993E-3</v>
      </c>
      <c r="I1130" s="29">
        <v>1E-3</v>
      </c>
      <c r="K1130" s="21" t="str">
        <f>IF(E1130="","",IFERROR(VLOOKUP(E1130,REGRAS_CST!$A$2:$C$200,3,FALSE),""))</f>
        <v/>
      </c>
      <c r="L1130" s="23" t="str">
        <f>IF($G1130="", "", $G1130*(1-$V1130))</f>
        <v/>
      </c>
      <c r="M1130" s="24" t="str">
        <f>IF(OR($L1130="",$S1130=""),"",$L1130*$S1130)</f>
        <v/>
      </c>
      <c r="N1130" s="24" t="str">
        <f>IF(OR($L1130="",$T1130=""),"",$L1130*$T1130)</f>
        <v/>
      </c>
      <c r="O1130" s="15" t="str">
        <f>IF(D1130="","",
IF(AND(K1130&lt;&gt;"SIM",V1130&gt;0),"ERRO: % BC &gt; 0, mas NÃO permitida ❌",
IF(AND(K1130="SIM",V1130=0),"ATENÇÃO: BC permitida, mas % = 0 🔎",
"Base de cálculo aplicada corretamente ✅")))</f>
        <v/>
      </c>
      <c r="P1130" s="31" t="str">
        <f>IF(D1130="","",
IF(AND(Q1130&lt;&gt;"SIM",U1130&gt;0),"ERRO: % alíquota &gt; 0, mas NÃO permitida ❌",
IF(AND(Q1130="SIM",U1130=0),"ATENÇÃO: alíquota permitida, mas % = 0 🔎",
"Alíquota aplicada corretamente ✅")))</f>
        <v/>
      </c>
      <c r="Q1130" s="8" t="str">
        <f>IF(E1130="","",IFERROR(VLOOKUP(E1130,REGRAS_CST!$A$2:$D$200,4,FALSE),""))</f>
        <v/>
      </c>
      <c r="S1130" s="9">
        <f>IF($H1130="","",$H1130*(1-$U1130))</f>
        <v>8.9999999999999993E-3</v>
      </c>
      <c r="T1130" s="9">
        <f>IF($I1130="","",$I1130*(1-$U1130))</f>
        <v>1E-3</v>
      </c>
      <c r="U1130" s="16">
        <f>IFERROR(INDEX(BASE_CCLASSTRIB!$E:$E, MATCH(TEXT($D1130,"000000"), BASE_CCLASSTRIB!$A:$A, 0))/100, 0)</f>
        <v>0</v>
      </c>
      <c r="V1130" s="16">
        <f>IFERROR(INDEX(BASE_CCLASSTRIB!$F:$F, MATCH(TEXT($D1130,"000000"), BASE_CCLASSTRIB!$A:$A, 0))/100, 0)</f>
        <v>0</v>
      </c>
    </row>
    <row r="1131" spans="4:22" ht="32.25" customHeight="1">
      <c r="D1131" s="39"/>
      <c r="E1131" s="27" t="str">
        <f>IF(D1131="","",LEFT(D1131,3))</f>
        <v/>
      </c>
      <c r="F1131" s="28" t="str">
        <f>IF(E1131="","",IFERROR(VLOOKUP(E1131,REGRAS_CST!$A$2:$B$200,2,FALSE),""))</f>
        <v/>
      </c>
      <c r="H1131" s="29">
        <v>8.9999999999999993E-3</v>
      </c>
      <c r="I1131" s="29">
        <v>1E-3</v>
      </c>
      <c r="K1131" s="21" t="str">
        <f>IF(E1131="","",IFERROR(VLOOKUP(E1131,REGRAS_CST!$A$2:$C$200,3,FALSE),""))</f>
        <v/>
      </c>
      <c r="L1131" s="23" t="str">
        <f>IF($G1131="", "", $G1131*(1-$V1131))</f>
        <v/>
      </c>
      <c r="M1131" s="24" t="str">
        <f>IF(OR($L1131="",$S1131=""),"",$L1131*$S1131)</f>
        <v/>
      </c>
      <c r="N1131" s="24" t="str">
        <f>IF(OR($L1131="",$T1131=""),"",$L1131*$T1131)</f>
        <v/>
      </c>
      <c r="O1131" s="15" t="str">
        <f>IF(D1131="","",
IF(AND(K1131&lt;&gt;"SIM",V1131&gt;0),"ERRO: % BC &gt; 0, mas NÃO permitida ❌",
IF(AND(K1131="SIM",V1131=0),"ATENÇÃO: BC permitida, mas % = 0 🔎",
"Base de cálculo aplicada corretamente ✅")))</f>
        <v/>
      </c>
      <c r="P1131" s="31" t="str">
        <f>IF(D1131="","",
IF(AND(Q1131&lt;&gt;"SIM",U1131&gt;0),"ERRO: % alíquota &gt; 0, mas NÃO permitida ❌",
IF(AND(Q1131="SIM",U1131=0),"ATENÇÃO: alíquota permitida, mas % = 0 🔎",
"Alíquota aplicada corretamente ✅")))</f>
        <v/>
      </c>
      <c r="Q1131" s="8" t="str">
        <f>IF(E1131="","",IFERROR(VLOOKUP(E1131,REGRAS_CST!$A$2:$D$200,4,FALSE),""))</f>
        <v/>
      </c>
      <c r="S1131" s="9">
        <f>IF($H1131="","",$H1131*(1-$U1131))</f>
        <v>8.9999999999999993E-3</v>
      </c>
      <c r="T1131" s="9">
        <f>IF($I1131="","",$I1131*(1-$U1131))</f>
        <v>1E-3</v>
      </c>
      <c r="U1131" s="16">
        <f>IFERROR(INDEX(BASE_CCLASSTRIB!$E:$E, MATCH(TEXT($D1131,"000000"), BASE_CCLASSTRIB!$A:$A, 0))/100, 0)</f>
        <v>0</v>
      </c>
      <c r="V1131" s="16">
        <f>IFERROR(INDEX(BASE_CCLASSTRIB!$F:$F, MATCH(TEXT($D1131,"000000"), BASE_CCLASSTRIB!$A:$A, 0))/100, 0)</f>
        <v>0</v>
      </c>
    </row>
    <row r="1132" spans="4:22" ht="32.25" customHeight="1">
      <c r="D1132" s="40"/>
      <c r="E1132" s="27" t="str">
        <f>IF(D1132="","",LEFT(D1132,3))</f>
        <v/>
      </c>
      <c r="F1132" s="28" t="str">
        <f>IF(E1132="","",IFERROR(VLOOKUP(E1132,REGRAS_CST!$A$2:$B$200,2,FALSE),""))</f>
        <v/>
      </c>
      <c r="H1132" s="29">
        <v>8.9999999999999993E-3</v>
      </c>
      <c r="I1132" s="29">
        <v>1E-3</v>
      </c>
      <c r="K1132" s="21" t="str">
        <f>IF(E1132="","",IFERROR(VLOOKUP(E1132,REGRAS_CST!$A$2:$C$200,3,FALSE),""))</f>
        <v/>
      </c>
      <c r="L1132" s="23" t="str">
        <f>IF($G1132="", "", $G1132*(1-$V1132))</f>
        <v/>
      </c>
      <c r="M1132" s="24" t="str">
        <f>IF(OR($L1132="",$S1132=""),"",$L1132*$S1132)</f>
        <v/>
      </c>
      <c r="N1132" s="24" t="str">
        <f>IF(OR($L1132="",$T1132=""),"",$L1132*$T1132)</f>
        <v/>
      </c>
      <c r="O1132" s="15" t="str">
        <f>IF(D1132="","",
IF(AND(K1132&lt;&gt;"SIM",V1132&gt;0),"ERRO: % BC &gt; 0, mas NÃO permitida ❌",
IF(AND(K1132="SIM",V1132=0),"ATENÇÃO: BC permitida, mas % = 0 🔎",
"Base de cálculo aplicada corretamente ✅")))</f>
        <v/>
      </c>
      <c r="P1132" s="31" t="str">
        <f>IF(D1132="","",
IF(AND(Q1132&lt;&gt;"SIM",U1132&gt;0),"ERRO: % alíquota &gt; 0, mas NÃO permitida ❌",
IF(AND(Q1132="SIM",U1132=0),"ATENÇÃO: alíquota permitida, mas % = 0 🔎",
"Alíquota aplicada corretamente ✅")))</f>
        <v/>
      </c>
      <c r="Q1132" s="8" t="str">
        <f>IF(E1132="","",IFERROR(VLOOKUP(E1132,REGRAS_CST!$A$2:$D$200,4,FALSE),""))</f>
        <v/>
      </c>
      <c r="S1132" s="9">
        <f>IF($H1132="","",$H1132*(1-$U1132))</f>
        <v>8.9999999999999993E-3</v>
      </c>
      <c r="T1132" s="9">
        <f>IF($I1132="","",$I1132*(1-$U1132))</f>
        <v>1E-3</v>
      </c>
      <c r="U1132" s="16">
        <f>IFERROR(INDEX(BASE_CCLASSTRIB!$E:$E, MATCH(TEXT($D1132,"000000"), BASE_CCLASSTRIB!$A:$A, 0))/100, 0)</f>
        <v>0</v>
      </c>
      <c r="V1132" s="16">
        <f>IFERROR(INDEX(BASE_CCLASSTRIB!$F:$F, MATCH(TEXT($D1132,"000000"), BASE_CCLASSTRIB!$A:$A, 0))/100, 0)</f>
        <v>0</v>
      </c>
    </row>
    <row r="1133" spans="4:22" ht="32.25" customHeight="1">
      <c r="D1133" s="40"/>
      <c r="E1133" s="27" t="str">
        <f>IF(D1133="","",LEFT(D1133,3))</f>
        <v/>
      </c>
      <c r="F1133" s="28" t="str">
        <f>IF(E1133="","",IFERROR(VLOOKUP(E1133,REGRAS_CST!$A$2:$B$200,2,FALSE),""))</f>
        <v/>
      </c>
      <c r="H1133" s="29">
        <v>8.9999999999999993E-3</v>
      </c>
      <c r="I1133" s="29">
        <v>1E-3</v>
      </c>
      <c r="K1133" s="21" t="str">
        <f>IF(E1133="","",IFERROR(VLOOKUP(E1133,REGRAS_CST!$A$2:$C$200,3,FALSE),""))</f>
        <v/>
      </c>
      <c r="L1133" s="23" t="str">
        <f>IF($G1133="", "", $G1133*(1-$V1133))</f>
        <v/>
      </c>
      <c r="M1133" s="24" t="str">
        <f>IF(OR($L1133="",$S1133=""),"",$L1133*$S1133)</f>
        <v/>
      </c>
      <c r="N1133" s="24" t="str">
        <f>IF(OR($L1133="",$T1133=""),"",$L1133*$T1133)</f>
        <v/>
      </c>
      <c r="O1133" s="15" t="str">
        <f>IF(D1133="","",
IF(AND(K1133&lt;&gt;"SIM",V1133&gt;0),"ERRO: % BC &gt; 0, mas NÃO permitida ❌",
IF(AND(K1133="SIM",V1133=0),"ATENÇÃO: BC permitida, mas % = 0 🔎",
"Base de cálculo aplicada corretamente ✅")))</f>
        <v/>
      </c>
      <c r="P1133" s="31" t="str">
        <f>IF(D1133="","",
IF(AND(Q1133&lt;&gt;"SIM",U1133&gt;0),"ERRO: % alíquota &gt; 0, mas NÃO permitida ❌",
IF(AND(Q1133="SIM",U1133=0),"ATENÇÃO: alíquota permitida, mas % = 0 🔎",
"Alíquota aplicada corretamente ✅")))</f>
        <v/>
      </c>
      <c r="Q1133" s="8" t="str">
        <f>IF(E1133="","",IFERROR(VLOOKUP(E1133,REGRAS_CST!$A$2:$D$200,4,FALSE),""))</f>
        <v/>
      </c>
      <c r="S1133" s="9">
        <f>IF($H1133="","",$H1133*(1-$U1133))</f>
        <v>8.9999999999999993E-3</v>
      </c>
      <c r="T1133" s="9">
        <f>IF($I1133="","",$I1133*(1-$U1133))</f>
        <v>1E-3</v>
      </c>
      <c r="U1133" s="16">
        <f>IFERROR(INDEX(BASE_CCLASSTRIB!$E:$E, MATCH(TEXT($D1133,"000000"), BASE_CCLASSTRIB!$A:$A, 0))/100, 0)</f>
        <v>0</v>
      </c>
      <c r="V1133" s="16">
        <f>IFERROR(INDEX(BASE_CCLASSTRIB!$F:$F, MATCH(TEXT($D1133,"000000"), BASE_CCLASSTRIB!$A:$A, 0))/100, 0)</f>
        <v>0</v>
      </c>
    </row>
    <row r="1134" spans="4:22" ht="32.25" customHeight="1">
      <c r="D1134" s="39"/>
      <c r="E1134" s="27" t="str">
        <f>IF(D1134="","",LEFT(D1134,3))</f>
        <v/>
      </c>
      <c r="F1134" s="28" t="str">
        <f>IF(E1134="","",IFERROR(VLOOKUP(E1134,REGRAS_CST!$A$2:$B$200,2,FALSE),""))</f>
        <v/>
      </c>
      <c r="H1134" s="29">
        <v>8.9999999999999993E-3</v>
      </c>
      <c r="I1134" s="29">
        <v>1E-3</v>
      </c>
      <c r="K1134" s="21" t="str">
        <f>IF(E1134="","",IFERROR(VLOOKUP(E1134,REGRAS_CST!$A$2:$C$200,3,FALSE),""))</f>
        <v/>
      </c>
      <c r="L1134" s="23" t="str">
        <f>IF($G1134="", "", $G1134*(1-$V1134))</f>
        <v/>
      </c>
      <c r="M1134" s="24" t="str">
        <f>IF(OR($L1134="",$S1134=""),"",$L1134*$S1134)</f>
        <v/>
      </c>
      <c r="N1134" s="24" t="str">
        <f>IF(OR($L1134="",$T1134=""),"",$L1134*$T1134)</f>
        <v/>
      </c>
      <c r="O1134" s="15" t="str">
        <f>IF(D1134="","",
IF(AND(K1134&lt;&gt;"SIM",V1134&gt;0),"ERRO: % BC &gt; 0, mas NÃO permitida ❌",
IF(AND(K1134="SIM",V1134=0),"ATENÇÃO: BC permitida, mas % = 0 🔎",
"Base de cálculo aplicada corretamente ✅")))</f>
        <v/>
      </c>
      <c r="P1134" s="31" t="str">
        <f>IF(D1134="","",
IF(AND(Q1134&lt;&gt;"SIM",U1134&gt;0),"ERRO: % alíquota &gt; 0, mas NÃO permitida ❌",
IF(AND(Q1134="SIM",U1134=0),"ATENÇÃO: alíquota permitida, mas % = 0 🔎",
"Alíquota aplicada corretamente ✅")))</f>
        <v/>
      </c>
      <c r="Q1134" s="8" t="str">
        <f>IF(E1134="","",IFERROR(VLOOKUP(E1134,REGRAS_CST!$A$2:$D$200,4,FALSE),""))</f>
        <v/>
      </c>
      <c r="S1134" s="9">
        <f>IF($H1134="","",$H1134*(1-$U1134))</f>
        <v>8.9999999999999993E-3</v>
      </c>
      <c r="T1134" s="9">
        <f>IF($I1134="","",$I1134*(1-$U1134))</f>
        <v>1E-3</v>
      </c>
      <c r="U1134" s="16">
        <f>IFERROR(INDEX(BASE_CCLASSTRIB!$E:$E, MATCH(TEXT($D1134,"000000"), BASE_CCLASSTRIB!$A:$A, 0))/100, 0)</f>
        <v>0</v>
      </c>
      <c r="V1134" s="16">
        <f>IFERROR(INDEX(BASE_CCLASSTRIB!$F:$F, MATCH(TEXT($D1134,"000000"), BASE_CCLASSTRIB!$A:$A, 0))/100, 0)</f>
        <v>0</v>
      </c>
    </row>
    <row r="1135" spans="4:22" ht="32.25" customHeight="1">
      <c r="D1135" s="39"/>
      <c r="E1135" s="27" t="str">
        <f>IF(D1135="","",LEFT(D1135,3))</f>
        <v/>
      </c>
      <c r="F1135" s="28" t="str">
        <f>IF(E1135="","",IFERROR(VLOOKUP(E1135,REGRAS_CST!$A$2:$B$200,2,FALSE),""))</f>
        <v/>
      </c>
      <c r="H1135" s="29">
        <v>8.9999999999999993E-3</v>
      </c>
      <c r="I1135" s="29">
        <v>1E-3</v>
      </c>
      <c r="K1135" s="21" t="str">
        <f>IF(E1135="","",IFERROR(VLOOKUP(E1135,REGRAS_CST!$A$2:$C$200,3,FALSE),""))</f>
        <v/>
      </c>
      <c r="L1135" s="23" t="str">
        <f>IF($G1135="", "", $G1135*(1-$V1135))</f>
        <v/>
      </c>
      <c r="M1135" s="24" t="str">
        <f>IF(OR($L1135="",$S1135=""),"",$L1135*$S1135)</f>
        <v/>
      </c>
      <c r="N1135" s="24" t="str">
        <f>IF(OR($L1135="",$T1135=""),"",$L1135*$T1135)</f>
        <v/>
      </c>
      <c r="O1135" s="15" t="str">
        <f>IF(D1135="","",
IF(AND(K1135&lt;&gt;"SIM",V1135&gt;0),"ERRO: % BC &gt; 0, mas NÃO permitida ❌",
IF(AND(K1135="SIM",V1135=0),"ATENÇÃO: BC permitida, mas % = 0 🔎",
"Base de cálculo aplicada corretamente ✅")))</f>
        <v/>
      </c>
      <c r="P1135" s="31" t="str">
        <f>IF(D1135="","",
IF(AND(Q1135&lt;&gt;"SIM",U1135&gt;0),"ERRO: % alíquota &gt; 0, mas NÃO permitida ❌",
IF(AND(Q1135="SIM",U1135=0),"ATENÇÃO: alíquota permitida, mas % = 0 🔎",
"Alíquota aplicada corretamente ✅")))</f>
        <v/>
      </c>
      <c r="Q1135" s="8" t="str">
        <f>IF(E1135="","",IFERROR(VLOOKUP(E1135,REGRAS_CST!$A$2:$D$200,4,FALSE),""))</f>
        <v/>
      </c>
      <c r="S1135" s="9">
        <f>IF($H1135="","",$H1135*(1-$U1135))</f>
        <v>8.9999999999999993E-3</v>
      </c>
      <c r="T1135" s="9">
        <f>IF($I1135="","",$I1135*(1-$U1135))</f>
        <v>1E-3</v>
      </c>
      <c r="U1135" s="16">
        <f>IFERROR(INDEX(BASE_CCLASSTRIB!$E:$E, MATCH(TEXT($D1135,"000000"), BASE_CCLASSTRIB!$A:$A, 0))/100, 0)</f>
        <v>0</v>
      </c>
      <c r="V1135" s="16">
        <f>IFERROR(INDEX(BASE_CCLASSTRIB!$F:$F, MATCH(TEXT($D1135,"000000"), BASE_CCLASSTRIB!$A:$A, 0))/100, 0)</f>
        <v>0</v>
      </c>
    </row>
    <row r="1136" spans="4:22" ht="32.25" customHeight="1">
      <c r="D1136" s="40"/>
      <c r="E1136" s="27" t="str">
        <f>IF(D1136="","",LEFT(D1136,3))</f>
        <v/>
      </c>
      <c r="F1136" s="28" t="str">
        <f>IF(E1136="","",IFERROR(VLOOKUP(E1136,REGRAS_CST!$A$2:$B$200,2,FALSE),""))</f>
        <v/>
      </c>
      <c r="H1136" s="29">
        <v>8.9999999999999993E-3</v>
      </c>
      <c r="I1136" s="29">
        <v>1E-3</v>
      </c>
      <c r="K1136" s="21" t="str">
        <f>IF(E1136="","",IFERROR(VLOOKUP(E1136,REGRAS_CST!$A$2:$C$200,3,FALSE),""))</f>
        <v/>
      </c>
      <c r="L1136" s="23" t="str">
        <f>IF($G1136="", "", $G1136*(1-$V1136))</f>
        <v/>
      </c>
      <c r="M1136" s="24" t="str">
        <f>IF(OR($L1136="",$S1136=""),"",$L1136*$S1136)</f>
        <v/>
      </c>
      <c r="N1136" s="24" t="str">
        <f>IF(OR($L1136="",$T1136=""),"",$L1136*$T1136)</f>
        <v/>
      </c>
      <c r="O1136" s="15" t="str">
        <f>IF(D1136="","",
IF(AND(K1136&lt;&gt;"SIM",V1136&gt;0),"ERRO: % BC &gt; 0, mas NÃO permitida ❌",
IF(AND(K1136="SIM",V1136=0),"ATENÇÃO: BC permitida, mas % = 0 🔎",
"Base de cálculo aplicada corretamente ✅")))</f>
        <v/>
      </c>
      <c r="P1136" s="31" t="str">
        <f>IF(D1136="","",
IF(AND(Q1136&lt;&gt;"SIM",U1136&gt;0),"ERRO: % alíquota &gt; 0, mas NÃO permitida ❌",
IF(AND(Q1136="SIM",U1136=0),"ATENÇÃO: alíquota permitida, mas % = 0 🔎",
"Alíquota aplicada corretamente ✅")))</f>
        <v/>
      </c>
      <c r="Q1136" s="8" t="str">
        <f>IF(E1136="","",IFERROR(VLOOKUP(E1136,REGRAS_CST!$A$2:$D$200,4,FALSE),""))</f>
        <v/>
      </c>
      <c r="S1136" s="9">
        <f>IF($H1136="","",$H1136*(1-$U1136))</f>
        <v>8.9999999999999993E-3</v>
      </c>
      <c r="T1136" s="9">
        <f>IF($I1136="","",$I1136*(1-$U1136))</f>
        <v>1E-3</v>
      </c>
      <c r="U1136" s="16">
        <f>IFERROR(INDEX(BASE_CCLASSTRIB!$E:$E, MATCH(TEXT($D1136,"000000"), BASE_CCLASSTRIB!$A:$A, 0))/100, 0)</f>
        <v>0</v>
      </c>
      <c r="V1136" s="16">
        <f>IFERROR(INDEX(BASE_CCLASSTRIB!$F:$F, MATCH(TEXT($D1136,"000000"), BASE_CCLASSTRIB!$A:$A, 0))/100, 0)</f>
        <v>0</v>
      </c>
    </row>
    <row r="1137" spans="4:22" ht="32.25" customHeight="1">
      <c r="D1137" s="39"/>
      <c r="E1137" s="27" t="str">
        <f>IF(D1137="","",LEFT(D1137,3))</f>
        <v/>
      </c>
      <c r="F1137" s="28" t="str">
        <f>IF(E1137="","",IFERROR(VLOOKUP(E1137,REGRAS_CST!$A$2:$B$200,2,FALSE),""))</f>
        <v/>
      </c>
      <c r="H1137" s="29">
        <v>8.9999999999999993E-3</v>
      </c>
      <c r="I1137" s="29">
        <v>1E-3</v>
      </c>
      <c r="K1137" s="21" t="str">
        <f>IF(E1137="","",IFERROR(VLOOKUP(E1137,REGRAS_CST!$A$2:$C$200,3,FALSE),""))</f>
        <v/>
      </c>
      <c r="L1137" s="23" t="str">
        <f>IF($G1137="", "", $G1137*(1-$V1137))</f>
        <v/>
      </c>
      <c r="M1137" s="24" t="str">
        <f>IF(OR($L1137="",$S1137=""),"",$L1137*$S1137)</f>
        <v/>
      </c>
      <c r="N1137" s="24" t="str">
        <f>IF(OR($L1137="",$T1137=""),"",$L1137*$T1137)</f>
        <v/>
      </c>
      <c r="O1137" s="15" t="str">
        <f>IF(D1137="","",
IF(AND(K1137&lt;&gt;"SIM",V1137&gt;0),"ERRO: % BC &gt; 0, mas NÃO permitida ❌",
IF(AND(K1137="SIM",V1137=0),"ATENÇÃO: BC permitida, mas % = 0 🔎",
"Base de cálculo aplicada corretamente ✅")))</f>
        <v/>
      </c>
      <c r="P1137" s="31" t="str">
        <f>IF(D1137="","",
IF(AND(Q1137&lt;&gt;"SIM",U1137&gt;0),"ERRO: % alíquota &gt; 0, mas NÃO permitida ❌",
IF(AND(Q1137="SIM",U1137=0),"ATENÇÃO: alíquota permitida, mas % = 0 🔎",
"Alíquota aplicada corretamente ✅")))</f>
        <v/>
      </c>
      <c r="Q1137" s="8" t="str">
        <f>IF(E1137="","",IFERROR(VLOOKUP(E1137,REGRAS_CST!$A$2:$D$200,4,FALSE),""))</f>
        <v/>
      </c>
      <c r="S1137" s="9">
        <f>IF($H1137="","",$H1137*(1-$U1137))</f>
        <v>8.9999999999999993E-3</v>
      </c>
      <c r="T1137" s="9">
        <f>IF($I1137="","",$I1137*(1-$U1137))</f>
        <v>1E-3</v>
      </c>
      <c r="U1137" s="16">
        <f>IFERROR(INDEX(BASE_CCLASSTRIB!$E:$E, MATCH(TEXT($D1137,"000000"), BASE_CCLASSTRIB!$A:$A, 0))/100, 0)</f>
        <v>0</v>
      </c>
      <c r="V1137" s="16">
        <f>IFERROR(INDEX(BASE_CCLASSTRIB!$F:$F, MATCH(TEXT($D1137,"000000"), BASE_CCLASSTRIB!$A:$A, 0))/100, 0)</f>
        <v>0</v>
      </c>
    </row>
    <row r="1138" spans="4:22" ht="32.25" customHeight="1">
      <c r="D1138" s="39"/>
      <c r="E1138" s="27" t="str">
        <f>IF(D1138="","",LEFT(D1138,3))</f>
        <v/>
      </c>
      <c r="F1138" s="28" t="str">
        <f>IF(E1138="","",IFERROR(VLOOKUP(E1138,REGRAS_CST!$A$2:$B$200,2,FALSE),""))</f>
        <v/>
      </c>
      <c r="H1138" s="29">
        <v>8.9999999999999993E-3</v>
      </c>
      <c r="I1138" s="29">
        <v>1E-3</v>
      </c>
      <c r="K1138" s="21" t="str">
        <f>IF(E1138="","",IFERROR(VLOOKUP(E1138,REGRAS_CST!$A$2:$C$200,3,FALSE),""))</f>
        <v/>
      </c>
      <c r="L1138" s="23" t="str">
        <f>IF($G1138="", "", $G1138*(1-$V1138))</f>
        <v/>
      </c>
      <c r="M1138" s="24" t="str">
        <f>IF(OR($L1138="",$S1138=""),"",$L1138*$S1138)</f>
        <v/>
      </c>
      <c r="N1138" s="24" t="str">
        <f>IF(OR($L1138="",$T1138=""),"",$L1138*$T1138)</f>
        <v/>
      </c>
      <c r="O1138" s="15" t="str">
        <f>IF(D1138="","",
IF(AND(K1138&lt;&gt;"SIM",V1138&gt;0),"ERRO: % BC &gt; 0, mas NÃO permitida ❌",
IF(AND(K1138="SIM",V1138=0),"ATENÇÃO: BC permitida, mas % = 0 🔎",
"Base de cálculo aplicada corretamente ✅")))</f>
        <v/>
      </c>
      <c r="P1138" s="31" t="str">
        <f>IF(D1138="","",
IF(AND(Q1138&lt;&gt;"SIM",U1138&gt;0),"ERRO: % alíquota &gt; 0, mas NÃO permitida ❌",
IF(AND(Q1138="SIM",U1138=0),"ATENÇÃO: alíquota permitida, mas % = 0 🔎",
"Alíquota aplicada corretamente ✅")))</f>
        <v/>
      </c>
      <c r="Q1138" s="8" t="str">
        <f>IF(E1138="","",IFERROR(VLOOKUP(E1138,REGRAS_CST!$A$2:$D$200,4,FALSE),""))</f>
        <v/>
      </c>
      <c r="S1138" s="9">
        <f>IF($H1138="","",$H1138*(1-$U1138))</f>
        <v>8.9999999999999993E-3</v>
      </c>
      <c r="T1138" s="9">
        <f>IF($I1138="","",$I1138*(1-$U1138))</f>
        <v>1E-3</v>
      </c>
      <c r="U1138" s="16">
        <f>IFERROR(INDEX(BASE_CCLASSTRIB!$E:$E, MATCH(TEXT($D1138,"000000"), BASE_CCLASSTRIB!$A:$A, 0))/100, 0)</f>
        <v>0</v>
      </c>
      <c r="V1138" s="16">
        <f>IFERROR(INDEX(BASE_CCLASSTRIB!$F:$F, MATCH(TEXT($D1138,"000000"), BASE_CCLASSTRIB!$A:$A, 0))/100, 0)</f>
        <v>0</v>
      </c>
    </row>
    <row r="1139" spans="4:22" ht="32.25" customHeight="1">
      <c r="D1139" s="39"/>
      <c r="E1139" s="27" t="str">
        <f>IF(D1139="","",LEFT(D1139,3))</f>
        <v/>
      </c>
      <c r="F1139" s="28" t="str">
        <f>IF(E1139="","",IFERROR(VLOOKUP(E1139,REGRAS_CST!$A$2:$B$200,2,FALSE),""))</f>
        <v/>
      </c>
      <c r="H1139" s="29">
        <v>8.9999999999999993E-3</v>
      </c>
      <c r="I1139" s="29">
        <v>1E-3</v>
      </c>
      <c r="K1139" s="21" t="str">
        <f>IF(E1139="","",IFERROR(VLOOKUP(E1139,REGRAS_CST!$A$2:$C$200,3,FALSE),""))</f>
        <v/>
      </c>
      <c r="L1139" s="23" t="str">
        <f>IF($G1139="", "", $G1139*(1-$V1139))</f>
        <v/>
      </c>
      <c r="M1139" s="24" t="str">
        <f>IF(OR($L1139="",$S1139=""),"",$L1139*$S1139)</f>
        <v/>
      </c>
      <c r="N1139" s="24" t="str">
        <f>IF(OR($L1139="",$T1139=""),"",$L1139*$T1139)</f>
        <v/>
      </c>
      <c r="O1139" s="15" t="str">
        <f>IF(D1139="","",
IF(AND(K1139&lt;&gt;"SIM",V1139&gt;0),"ERRO: % BC &gt; 0, mas NÃO permitida ❌",
IF(AND(K1139="SIM",V1139=0),"ATENÇÃO: BC permitida, mas % = 0 🔎",
"Base de cálculo aplicada corretamente ✅")))</f>
        <v/>
      </c>
      <c r="P1139" s="31" t="str">
        <f>IF(D1139="","",
IF(AND(Q1139&lt;&gt;"SIM",U1139&gt;0),"ERRO: % alíquota &gt; 0, mas NÃO permitida ❌",
IF(AND(Q1139="SIM",U1139=0),"ATENÇÃO: alíquota permitida, mas % = 0 🔎",
"Alíquota aplicada corretamente ✅")))</f>
        <v/>
      </c>
      <c r="Q1139" s="8" t="str">
        <f>IF(E1139="","",IFERROR(VLOOKUP(E1139,REGRAS_CST!$A$2:$D$200,4,FALSE),""))</f>
        <v/>
      </c>
      <c r="S1139" s="9">
        <f>IF($H1139="","",$H1139*(1-$U1139))</f>
        <v>8.9999999999999993E-3</v>
      </c>
      <c r="T1139" s="9">
        <f>IF($I1139="","",$I1139*(1-$U1139))</f>
        <v>1E-3</v>
      </c>
      <c r="U1139" s="16">
        <f>IFERROR(INDEX(BASE_CCLASSTRIB!$E:$E, MATCH(TEXT($D1139,"000000"), BASE_CCLASSTRIB!$A:$A, 0))/100, 0)</f>
        <v>0</v>
      </c>
      <c r="V1139" s="16">
        <f>IFERROR(INDEX(BASE_CCLASSTRIB!$F:$F, MATCH(TEXT($D1139,"000000"), BASE_CCLASSTRIB!$A:$A, 0))/100, 0)</f>
        <v>0</v>
      </c>
    </row>
    <row r="1140" spans="4:22" ht="32.25" customHeight="1">
      <c r="D1140" s="39"/>
      <c r="E1140" s="27" t="str">
        <f>IF(D1140="","",LEFT(D1140,3))</f>
        <v/>
      </c>
      <c r="F1140" s="28" t="str">
        <f>IF(E1140="","",IFERROR(VLOOKUP(E1140,REGRAS_CST!$A$2:$B$200,2,FALSE),""))</f>
        <v/>
      </c>
      <c r="H1140" s="29">
        <v>8.9999999999999993E-3</v>
      </c>
      <c r="I1140" s="29">
        <v>1E-3</v>
      </c>
      <c r="K1140" s="21" t="str">
        <f>IF(E1140="","",IFERROR(VLOOKUP(E1140,REGRAS_CST!$A$2:$C$200,3,FALSE),""))</f>
        <v/>
      </c>
      <c r="L1140" s="23" t="str">
        <f>IF($G1140="", "", $G1140*(1-$V1140))</f>
        <v/>
      </c>
      <c r="M1140" s="24" t="str">
        <f>IF(OR($L1140="",$S1140=""),"",$L1140*$S1140)</f>
        <v/>
      </c>
      <c r="N1140" s="24" t="str">
        <f>IF(OR($L1140="",$T1140=""),"",$L1140*$T1140)</f>
        <v/>
      </c>
      <c r="O1140" s="15" t="str">
        <f>IF(D1140="","",
IF(AND(K1140&lt;&gt;"SIM",V1140&gt;0),"ERRO: % BC &gt; 0, mas NÃO permitida ❌",
IF(AND(K1140="SIM",V1140=0),"ATENÇÃO: BC permitida, mas % = 0 🔎",
"Base de cálculo aplicada corretamente ✅")))</f>
        <v/>
      </c>
      <c r="P1140" s="31" t="str">
        <f>IF(D1140="","",
IF(AND(Q1140&lt;&gt;"SIM",U1140&gt;0),"ERRO: % alíquota &gt; 0, mas NÃO permitida ❌",
IF(AND(Q1140="SIM",U1140=0),"ATENÇÃO: alíquota permitida, mas % = 0 🔎",
"Alíquota aplicada corretamente ✅")))</f>
        <v/>
      </c>
      <c r="Q1140" s="8" t="str">
        <f>IF(E1140="","",IFERROR(VLOOKUP(E1140,REGRAS_CST!$A$2:$D$200,4,FALSE),""))</f>
        <v/>
      </c>
      <c r="S1140" s="9">
        <f>IF($H1140="","",$H1140*(1-$U1140))</f>
        <v>8.9999999999999993E-3</v>
      </c>
      <c r="T1140" s="9">
        <f>IF($I1140="","",$I1140*(1-$U1140))</f>
        <v>1E-3</v>
      </c>
      <c r="U1140" s="16">
        <f>IFERROR(INDEX(BASE_CCLASSTRIB!$E:$E, MATCH(TEXT($D1140,"000000"), BASE_CCLASSTRIB!$A:$A, 0))/100, 0)</f>
        <v>0</v>
      </c>
      <c r="V1140" s="16">
        <f>IFERROR(INDEX(BASE_CCLASSTRIB!$F:$F, MATCH(TEXT($D1140,"000000"), BASE_CCLASSTRIB!$A:$A, 0))/100, 0)</f>
        <v>0</v>
      </c>
    </row>
    <row r="1141" spans="4:22" ht="32.25" customHeight="1">
      <c r="D1141" s="39"/>
      <c r="E1141" s="27" t="str">
        <f>IF(D1141="","",LEFT(D1141,3))</f>
        <v/>
      </c>
      <c r="F1141" s="28" t="str">
        <f>IF(E1141="","",IFERROR(VLOOKUP(E1141,REGRAS_CST!$A$2:$B$200,2,FALSE),""))</f>
        <v/>
      </c>
      <c r="H1141" s="29">
        <v>8.9999999999999993E-3</v>
      </c>
      <c r="I1141" s="29">
        <v>1E-3</v>
      </c>
      <c r="K1141" s="21" t="str">
        <f>IF(E1141="","",IFERROR(VLOOKUP(E1141,REGRAS_CST!$A$2:$C$200,3,FALSE),""))</f>
        <v/>
      </c>
      <c r="L1141" s="23" t="str">
        <f>IF($G1141="", "", $G1141*(1-$V1141))</f>
        <v/>
      </c>
      <c r="M1141" s="24" t="str">
        <f>IF(OR($L1141="",$S1141=""),"",$L1141*$S1141)</f>
        <v/>
      </c>
      <c r="N1141" s="24" t="str">
        <f>IF(OR($L1141="",$T1141=""),"",$L1141*$T1141)</f>
        <v/>
      </c>
      <c r="O1141" s="15" t="str">
        <f>IF(D1141="","",
IF(AND(K1141&lt;&gt;"SIM",V1141&gt;0),"ERRO: % BC &gt; 0, mas NÃO permitida ❌",
IF(AND(K1141="SIM",V1141=0),"ATENÇÃO: BC permitida, mas % = 0 🔎",
"Base de cálculo aplicada corretamente ✅")))</f>
        <v/>
      </c>
      <c r="P1141" s="31" t="str">
        <f>IF(D1141="","",
IF(AND(Q1141&lt;&gt;"SIM",U1141&gt;0),"ERRO: % alíquota &gt; 0, mas NÃO permitida ❌",
IF(AND(Q1141="SIM",U1141=0),"ATENÇÃO: alíquota permitida, mas % = 0 🔎",
"Alíquota aplicada corretamente ✅")))</f>
        <v/>
      </c>
      <c r="Q1141" s="8" t="str">
        <f>IF(E1141="","",IFERROR(VLOOKUP(E1141,REGRAS_CST!$A$2:$D$200,4,FALSE),""))</f>
        <v/>
      </c>
      <c r="S1141" s="9">
        <f>IF($H1141="","",$H1141*(1-$U1141))</f>
        <v>8.9999999999999993E-3</v>
      </c>
      <c r="T1141" s="9">
        <f>IF($I1141="","",$I1141*(1-$U1141))</f>
        <v>1E-3</v>
      </c>
      <c r="U1141" s="16">
        <f>IFERROR(INDEX(BASE_CCLASSTRIB!$E:$E, MATCH(TEXT($D1141,"000000"), BASE_CCLASSTRIB!$A:$A, 0))/100, 0)</f>
        <v>0</v>
      </c>
      <c r="V1141" s="16">
        <f>IFERROR(INDEX(BASE_CCLASSTRIB!$F:$F, MATCH(TEXT($D1141,"000000"), BASE_CCLASSTRIB!$A:$A, 0))/100, 0)</f>
        <v>0</v>
      </c>
    </row>
    <row r="1142" spans="4:22" ht="32.25" customHeight="1">
      <c r="D1142" s="39"/>
      <c r="E1142" s="27" t="str">
        <f>IF(D1142="","",LEFT(D1142,3))</f>
        <v/>
      </c>
      <c r="F1142" s="28" t="str">
        <f>IF(E1142="","",IFERROR(VLOOKUP(E1142,REGRAS_CST!$A$2:$B$200,2,FALSE),""))</f>
        <v/>
      </c>
      <c r="H1142" s="29">
        <v>8.9999999999999993E-3</v>
      </c>
      <c r="I1142" s="29">
        <v>1E-3</v>
      </c>
      <c r="K1142" s="21" t="str">
        <f>IF(E1142="","",IFERROR(VLOOKUP(E1142,REGRAS_CST!$A$2:$C$200,3,FALSE),""))</f>
        <v/>
      </c>
      <c r="L1142" s="23" t="str">
        <f>IF($G1142="", "", $G1142*(1-$V1142))</f>
        <v/>
      </c>
      <c r="M1142" s="24" t="str">
        <f>IF(OR($L1142="",$S1142=""),"",$L1142*$S1142)</f>
        <v/>
      </c>
      <c r="N1142" s="24" t="str">
        <f>IF(OR($L1142="",$T1142=""),"",$L1142*$T1142)</f>
        <v/>
      </c>
      <c r="O1142" s="15" t="str">
        <f>IF(D1142="","",
IF(AND(K1142&lt;&gt;"SIM",V1142&gt;0),"ERRO: % BC &gt; 0, mas NÃO permitida ❌",
IF(AND(K1142="SIM",V1142=0),"ATENÇÃO: BC permitida, mas % = 0 🔎",
"Base de cálculo aplicada corretamente ✅")))</f>
        <v/>
      </c>
      <c r="P1142" s="31" t="str">
        <f>IF(D1142="","",
IF(AND(Q1142&lt;&gt;"SIM",U1142&gt;0),"ERRO: % alíquota &gt; 0, mas NÃO permitida ❌",
IF(AND(Q1142="SIM",U1142=0),"ATENÇÃO: alíquota permitida, mas % = 0 🔎",
"Alíquota aplicada corretamente ✅")))</f>
        <v/>
      </c>
      <c r="Q1142" s="8" t="str">
        <f>IF(E1142="","",IFERROR(VLOOKUP(E1142,REGRAS_CST!$A$2:$D$200,4,FALSE),""))</f>
        <v/>
      </c>
      <c r="S1142" s="9">
        <f>IF($H1142="","",$H1142*(1-$U1142))</f>
        <v>8.9999999999999993E-3</v>
      </c>
      <c r="T1142" s="9">
        <f>IF($I1142="","",$I1142*(1-$U1142))</f>
        <v>1E-3</v>
      </c>
      <c r="U1142" s="16">
        <f>IFERROR(INDEX(BASE_CCLASSTRIB!$E:$E, MATCH(TEXT($D1142,"000000"), BASE_CCLASSTRIB!$A:$A, 0))/100, 0)</f>
        <v>0</v>
      </c>
      <c r="V1142" s="16">
        <f>IFERROR(INDEX(BASE_CCLASSTRIB!$F:$F, MATCH(TEXT($D1142,"000000"), BASE_CCLASSTRIB!$A:$A, 0))/100, 0)</f>
        <v>0</v>
      </c>
    </row>
    <row r="1143" spans="4:22" ht="32.25" customHeight="1">
      <c r="D1143" s="39"/>
      <c r="E1143" s="27" t="str">
        <f>IF(D1143="","",LEFT(D1143,3))</f>
        <v/>
      </c>
      <c r="F1143" s="28" t="str">
        <f>IF(E1143="","",IFERROR(VLOOKUP(E1143,REGRAS_CST!$A$2:$B$200,2,FALSE),""))</f>
        <v/>
      </c>
      <c r="H1143" s="29">
        <v>8.9999999999999993E-3</v>
      </c>
      <c r="I1143" s="29">
        <v>1E-3</v>
      </c>
      <c r="K1143" s="21" t="str">
        <f>IF(E1143="","",IFERROR(VLOOKUP(E1143,REGRAS_CST!$A$2:$C$200,3,FALSE),""))</f>
        <v/>
      </c>
      <c r="L1143" s="23" t="str">
        <f>IF($G1143="", "", $G1143*(1-$V1143))</f>
        <v/>
      </c>
      <c r="M1143" s="24" t="str">
        <f>IF(OR($L1143="",$S1143=""),"",$L1143*$S1143)</f>
        <v/>
      </c>
      <c r="N1143" s="24" t="str">
        <f>IF(OR($L1143="",$T1143=""),"",$L1143*$T1143)</f>
        <v/>
      </c>
      <c r="O1143" s="15" t="str">
        <f>IF(D1143="","",
IF(AND(K1143&lt;&gt;"SIM",V1143&gt;0),"ERRO: % BC &gt; 0, mas NÃO permitida ❌",
IF(AND(K1143="SIM",V1143=0),"ATENÇÃO: BC permitida, mas % = 0 🔎",
"Base de cálculo aplicada corretamente ✅")))</f>
        <v/>
      </c>
      <c r="P1143" s="31" t="str">
        <f>IF(D1143="","",
IF(AND(Q1143&lt;&gt;"SIM",U1143&gt;0),"ERRO: % alíquota &gt; 0, mas NÃO permitida ❌",
IF(AND(Q1143="SIM",U1143=0),"ATENÇÃO: alíquota permitida, mas % = 0 🔎",
"Alíquota aplicada corretamente ✅")))</f>
        <v/>
      </c>
      <c r="Q1143" s="8" t="str">
        <f>IF(E1143="","",IFERROR(VLOOKUP(E1143,REGRAS_CST!$A$2:$D$200,4,FALSE),""))</f>
        <v/>
      </c>
      <c r="S1143" s="9">
        <f>IF($H1143="","",$H1143*(1-$U1143))</f>
        <v>8.9999999999999993E-3</v>
      </c>
      <c r="T1143" s="9">
        <f>IF($I1143="","",$I1143*(1-$U1143))</f>
        <v>1E-3</v>
      </c>
      <c r="U1143" s="16">
        <f>IFERROR(INDEX(BASE_CCLASSTRIB!$E:$E, MATCH(TEXT($D1143,"000000"), BASE_CCLASSTRIB!$A:$A, 0))/100, 0)</f>
        <v>0</v>
      </c>
      <c r="V1143" s="16">
        <f>IFERROR(INDEX(BASE_CCLASSTRIB!$F:$F, MATCH(TEXT($D1143,"000000"), BASE_CCLASSTRIB!$A:$A, 0))/100, 0)</f>
        <v>0</v>
      </c>
    </row>
    <row r="1144" spans="4:22" ht="32.25" customHeight="1">
      <c r="D1144" s="39"/>
      <c r="E1144" s="27" t="str">
        <f>IF(D1144="","",LEFT(D1144,3))</f>
        <v/>
      </c>
      <c r="F1144" s="28" t="str">
        <f>IF(E1144="","",IFERROR(VLOOKUP(E1144,REGRAS_CST!$A$2:$B$200,2,FALSE),""))</f>
        <v/>
      </c>
      <c r="H1144" s="29">
        <v>8.9999999999999993E-3</v>
      </c>
      <c r="I1144" s="29">
        <v>1E-3</v>
      </c>
      <c r="K1144" s="21" t="str">
        <f>IF(E1144="","",IFERROR(VLOOKUP(E1144,REGRAS_CST!$A$2:$C$200,3,FALSE),""))</f>
        <v/>
      </c>
      <c r="L1144" s="23" t="str">
        <f>IF($G1144="", "", $G1144*(1-$V1144))</f>
        <v/>
      </c>
      <c r="M1144" s="24" t="str">
        <f>IF(OR($L1144="",$S1144=""),"",$L1144*$S1144)</f>
        <v/>
      </c>
      <c r="N1144" s="24" t="str">
        <f>IF(OR($L1144="",$T1144=""),"",$L1144*$T1144)</f>
        <v/>
      </c>
      <c r="O1144" s="15" t="str">
        <f>IF(D1144="","",
IF(AND(K1144&lt;&gt;"SIM",V1144&gt;0),"ERRO: % BC &gt; 0, mas NÃO permitida ❌",
IF(AND(K1144="SIM",V1144=0),"ATENÇÃO: BC permitida, mas % = 0 🔎",
"Base de cálculo aplicada corretamente ✅")))</f>
        <v/>
      </c>
      <c r="P1144" s="31" t="str">
        <f>IF(D1144="","",
IF(AND(Q1144&lt;&gt;"SIM",U1144&gt;0),"ERRO: % alíquota &gt; 0, mas NÃO permitida ❌",
IF(AND(Q1144="SIM",U1144=0),"ATENÇÃO: alíquota permitida, mas % = 0 🔎",
"Alíquota aplicada corretamente ✅")))</f>
        <v/>
      </c>
      <c r="Q1144" s="8" t="str">
        <f>IF(E1144="","",IFERROR(VLOOKUP(E1144,REGRAS_CST!$A$2:$D$200,4,FALSE),""))</f>
        <v/>
      </c>
      <c r="S1144" s="9">
        <f>IF($H1144="","",$H1144*(1-$U1144))</f>
        <v>8.9999999999999993E-3</v>
      </c>
      <c r="T1144" s="9">
        <f>IF($I1144="","",$I1144*(1-$U1144))</f>
        <v>1E-3</v>
      </c>
      <c r="U1144" s="16">
        <f>IFERROR(INDEX(BASE_CCLASSTRIB!$E:$E, MATCH(TEXT($D1144,"000000"), BASE_CCLASSTRIB!$A:$A, 0))/100, 0)</f>
        <v>0</v>
      </c>
      <c r="V1144" s="16">
        <f>IFERROR(INDEX(BASE_CCLASSTRIB!$F:$F, MATCH(TEXT($D1144,"000000"), BASE_CCLASSTRIB!$A:$A, 0))/100, 0)</f>
        <v>0</v>
      </c>
    </row>
    <row r="1145" spans="4:22" ht="32.25" customHeight="1">
      <c r="D1145" s="39"/>
      <c r="E1145" s="27" t="str">
        <f>IF(D1145="","",LEFT(D1145,3))</f>
        <v/>
      </c>
      <c r="F1145" s="28" t="str">
        <f>IF(E1145="","",IFERROR(VLOOKUP(E1145,REGRAS_CST!$A$2:$B$200,2,FALSE),""))</f>
        <v/>
      </c>
      <c r="H1145" s="29">
        <v>8.9999999999999993E-3</v>
      </c>
      <c r="I1145" s="29">
        <v>1E-3</v>
      </c>
      <c r="K1145" s="21" t="str">
        <f>IF(E1145="","",IFERROR(VLOOKUP(E1145,REGRAS_CST!$A$2:$C$200,3,FALSE),""))</f>
        <v/>
      </c>
      <c r="L1145" s="23" t="str">
        <f>IF($G1145="", "", $G1145*(1-$V1145))</f>
        <v/>
      </c>
      <c r="M1145" s="24" t="str">
        <f>IF(OR($L1145="",$S1145=""),"",$L1145*$S1145)</f>
        <v/>
      </c>
      <c r="N1145" s="24" t="str">
        <f>IF(OR($L1145="",$T1145=""),"",$L1145*$T1145)</f>
        <v/>
      </c>
      <c r="O1145" s="15" t="str">
        <f>IF(D1145="","",
IF(AND(K1145&lt;&gt;"SIM",V1145&gt;0),"ERRO: % BC &gt; 0, mas NÃO permitida ❌",
IF(AND(K1145="SIM",V1145=0),"ATENÇÃO: BC permitida, mas % = 0 🔎",
"Base de cálculo aplicada corretamente ✅")))</f>
        <v/>
      </c>
      <c r="P1145" s="31" t="str">
        <f>IF(D1145="","",
IF(AND(Q1145&lt;&gt;"SIM",U1145&gt;0),"ERRO: % alíquota &gt; 0, mas NÃO permitida ❌",
IF(AND(Q1145="SIM",U1145=0),"ATENÇÃO: alíquota permitida, mas % = 0 🔎",
"Alíquota aplicada corretamente ✅")))</f>
        <v/>
      </c>
      <c r="Q1145" s="8" t="str">
        <f>IF(E1145="","",IFERROR(VLOOKUP(E1145,REGRAS_CST!$A$2:$D$200,4,FALSE),""))</f>
        <v/>
      </c>
      <c r="S1145" s="9">
        <f>IF($H1145="","",$H1145*(1-$U1145))</f>
        <v>8.9999999999999993E-3</v>
      </c>
      <c r="T1145" s="9">
        <f>IF($I1145="","",$I1145*(1-$U1145))</f>
        <v>1E-3</v>
      </c>
      <c r="U1145" s="16">
        <f>IFERROR(INDEX(BASE_CCLASSTRIB!$E:$E, MATCH(TEXT($D1145,"000000"), BASE_CCLASSTRIB!$A:$A, 0))/100, 0)</f>
        <v>0</v>
      </c>
      <c r="V1145" s="16">
        <f>IFERROR(INDEX(BASE_CCLASSTRIB!$F:$F, MATCH(TEXT($D1145,"000000"), BASE_CCLASSTRIB!$A:$A, 0))/100, 0)</f>
        <v>0</v>
      </c>
    </row>
    <row r="1146" spans="4:22" ht="32.25" customHeight="1">
      <c r="D1146" s="39"/>
      <c r="E1146" s="27" t="str">
        <f>IF(D1146="","",LEFT(D1146,3))</f>
        <v/>
      </c>
      <c r="F1146" s="28" t="str">
        <f>IF(E1146="","",IFERROR(VLOOKUP(E1146,REGRAS_CST!$A$2:$B$200,2,FALSE),""))</f>
        <v/>
      </c>
      <c r="H1146" s="29">
        <v>8.9999999999999993E-3</v>
      </c>
      <c r="I1146" s="29">
        <v>1E-3</v>
      </c>
      <c r="K1146" s="21" t="str">
        <f>IF(E1146="","",IFERROR(VLOOKUP(E1146,REGRAS_CST!$A$2:$C$200,3,FALSE),""))</f>
        <v/>
      </c>
      <c r="L1146" s="23" t="str">
        <f>IF($G1146="", "", $G1146*(1-$V1146))</f>
        <v/>
      </c>
      <c r="M1146" s="24" t="str">
        <f>IF(OR($L1146="",$S1146=""),"",$L1146*$S1146)</f>
        <v/>
      </c>
      <c r="N1146" s="24" t="str">
        <f>IF(OR($L1146="",$T1146=""),"",$L1146*$T1146)</f>
        <v/>
      </c>
      <c r="O1146" s="15" t="str">
        <f>IF(D1146="","",
IF(AND(K1146&lt;&gt;"SIM",V1146&gt;0),"ERRO: % BC &gt; 0, mas NÃO permitida ❌",
IF(AND(K1146="SIM",V1146=0),"ATENÇÃO: BC permitida, mas % = 0 🔎",
"Base de cálculo aplicada corretamente ✅")))</f>
        <v/>
      </c>
      <c r="P1146" s="31" t="str">
        <f>IF(D1146="","",
IF(AND(Q1146&lt;&gt;"SIM",U1146&gt;0),"ERRO: % alíquota &gt; 0, mas NÃO permitida ❌",
IF(AND(Q1146="SIM",U1146=0),"ATENÇÃO: alíquota permitida, mas % = 0 🔎",
"Alíquota aplicada corretamente ✅")))</f>
        <v/>
      </c>
      <c r="Q1146" s="8" t="str">
        <f>IF(E1146="","",IFERROR(VLOOKUP(E1146,REGRAS_CST!$A$2:$D$200,4,FALSE),""))</f>
        <v/>
      </c>
      <c r="S1146" s="9">
        <f>IF($H1146="","",$H1146*(1-$U1146))</f>
        <v>8.9999999999999993E-3</v>
      </c>
      <c r="T1146" s="9">
        <f>IF($I1146="","",$I1146*(1-$U1146))</f>
        <v>1E-3</v>
      </c>
      <c r="U1146" s="16">
        <f>IFERROR(INDEX(BASE_CCLASSTRIB!$E:$E, MATCH(TEXT($D1146,"000000"), BASE_CCLASSTRIB!$A:$A, 0))/100, 0)</f>
        <v>0</v>
      </c>
      <c r="V1146" s="16">
        <f>IFERROR(INDEX(BASE_CCLASSTRIB!$F:$F, MATCH(TEXT($D1146,"000000"), BASE_CCLASSTRIB!$A:$A, 0))/100, 0)</f>
        <v>0</v>
      </c>
    </row>
    <row r="1147" spans="4:22" ht="32.25" customHeight="1">
      <c r="D1147" s="39"/>
      <c r="E1147" s="27" t="str">
        <f>IF(D1147="","",LEFT(D1147,3))</f>
        <v/>
      </c>
      <c r="F1147" s="28" t="str">
        <f>IF(E1147="","",IFERROR(VLOOKUP(E1147,REGRAS_CST!$A$2:$B$200,2,FALSE),""))</f>
        <v/>
      </c>
      <c r="H1147" s="29">
        <v>8.9999999999999993E-3</v>
      </c>
      <c r="I1147" s="29">
        <v>1E-3</v>
      </c>
      <c r="K1147" s="21" t="str">
        <f>IF(E1147="","",IFERROR(VLOOKUP(E1147,REGRAS_CST!$A$2:$C$200,3,FALSE),""))</f>
        <v/>
      </c>
      <c r="L1147" s="23" t="str">
        <f>IF($G1147="", "", $G1147*(1-$V1147))</f>
        <v/>
      </c>
      <c r="M1147" s="24" t="str">
        <f>IF(OR($L1147="",$S1147=""),"",$L1147*$S1147)</f>
        <v/>
      </c>
      <c r="N1147" s="24" t="str">
        <f>IF(OR($L1147="",$T1147=""),"",$L1147*$T1147)</f>
        <v/>
      </c>
      <c r="O1147" s="15" t="str">
        <f>IF(D1147="","",
IF(AND(K1147&lt;&gt;"SIM",V1147&gt;0),"ERRO: % BC &gt; 0, mas NÃO permitida ❌",
IF(AND(K1147="SIM",V1147=0),"ATENÇÃO: BC permitida, mas % = 0 🔎",
"Base de cálculo aplicada corretamente ✅")))</f>
        <v/>
      </c>
      <c r="P1147" s="31" t="str">
        <f>IF(D1147="","",
IF(AND(Q1147&lt;&gt;"SIM",U1147&gt;0),"ERRO: % alíquota &gt; 0, mas NÃO permitida ❌",
IF(AND(Q1147="SIM",U1147=0),"ATENÇÃO: alíquota permitida, mas % = 0 🔎",
"Alíquota aplicada corretamente ✅")))</f>
        <v/>
      </c>
      <c r="Q1147" s="8" t="str">
        <f>IF(E1147="","",IFERROR(VLOOKUP(E1147,REGRAS_CST!$A$2:$D$200,4,FALSE),""))</f>
        <v/>
      </c>
      <c r="S1147" s="9">
        <f>IF($H1147="","",$H1147*(1-$U1147))</f>
        <v>8.9999999999999993E-3</v>
      </c>
      <c r="T1147" s="9">
        <f>IF($I1147="","",$I1147*(1-$U1147))</f>
        <v>1E-3</v>
      </c>
      <c r="U1147" s="16">
        <f>IFERROR(INDEX(BASE_CCLASSTRIB!$E:$E, MATCH(TEXT($D1147,"000000"), BASE_CCLASSTRIB!$A:$A, 0))/100, 0)</f>
        <v>0</v>
      </c>
      <c r="V1147" s="16">
        <f>IFERROR(INDEX(BASE_CCLASSTRIB!$F:$F, MATCH(TEXT($D1147,"000000"), BASE_CCLASSTRIB!$A:$A, 0))/100, 0)</f>
        <v>0</v>
      </c>
    </row>
    <row r="1148" spans="4:22" ht="32.25" customHeight="1">
      <c r="D1148" s="39"/>
      <c r="E1148" s="27" t="str">
        <f>IF(D1148="","",LEFT(D1148,3))</f>
        <v/>
      </c>
      <c r="F1148" s="28" t="str">
        <f>IF(E1148="","",IFERROR(VLOOKUP(E1148,REGRAS_CST!$A$2:$B$200,2,FALSE),""))</f>
        <v/>
      </c>
      <c r="H1148" s="29">
        <v>8.9999999999999993E-3</v>
      </c>
      <c r="I1148" s="29">
        <v>1E-3</v>
      </c>
      <c r="K1148" s="21" t="str">
        <f>IF(E1148="","",IFERROR(VLOOKUP(E1148,REGRAS_CST!$A$2:$C$200,3,FALSE),""))</f>
        <v/>
      </c>
      <c r="L1148" s="23" t="str">
        <f>IF($G1148="", "", $G1148*(1-$V1148))</f>
        <v/>
      </c>
      <c r="M1148" s="24" t="str">
        <f>IF(OR($L1148="",$S1148=""),"",$L1148*$S1148)</f>
        <v/>
      </c>
      <c r="N1148" s="24" t="str">
        <f>IF(OR($L1148="",$T1148=""),"",$L1148*$T1148)</f>
        <v/>
      </c>
      <c r="O1148" s="15" t="str">
        <f>IF(D1148="","",
IF(AND(K1148&lt;&gt;"SIM",V1148&gt;0),"ERRO: % BC &gt; 0, mas NÃO permitida ❌",
IF(AND(K1148="SIM",V1148=0),"ATENÇÃO: BC permitida, mas % = 0 🔎",
"Base de cálculo aplicada corretamente ✅")))</f>
        <v/>
      </c>
      <c r="P1148" s="31" t="str">
        <f>IF(D1148="","",
IF(AND(Q1148&lt;&gt;"SIM",U1148&gt;0),"ERRO: % alíquota &gt; 0, mas NÃO permitida ❌",
IF(AND(Q1148="SIM",U1148=0),"ATENÇÃO: alíquota permitida, mas % = 0 🔎",
"Alíquota aplicada corretamente ✅")))</f>
        <v/>
      </c>
      <c r="Q1148" s="8" t="str">
        <f>IF(E1148="","",IFERROR(VLOOKUP(E1148,REGRAS_CST!$A$2:$D$200,4,FALSE),""))</f>
        <v/>
      </c>
      <c r="S1148" s="9">
        <f>IF($H1148="","",$H1148*(1-$U1148))</f>
        <v>8.9999999999999993E-3</v>
      </c>
      <c r="T1148" s="9">
        <f>IF($I1148="","",$I1148*(1-$U1148))</f>
        <v>1E-3</v>
      </c>
      <c r="U1148" s="16">
        <f>IFERROR(INDEX(BASE_CCLASSTRIB!$E:$E, MATCH(TEXT($D1148,"000000"), BASE_CCLASSTRIB!$A:$A, 0))/100, 0)</f>
        <v>0</v>
      </c>
      <c r="V1148" s="16">
        <f>IFERROR(INDEX(BASE_CCLASSTRIB!$F:$F, MATCH(TEXT($D1148,"000000"), BASE_CCLASSTRIB!$A:$A, 0))/100, 0)</f>
        <v>0</v>
      </c>
    </row>
    <row r="1149" spans="4:22" ht="32.25" customHeight="1">
      <c r="D1149" s="39"/>
      <c r="E1149" s="27" t="str">
        <f>IF(D1149="","",LEFT(D1149,3))</f>
        <v/>
      </c>
      <c r="F1149" s="28" t="str">
        <f>IF(E1149="","",IFERROR(VLOOKUP(E1149,REGRAS_CST!$A$2:$B$200,2,FALSE),""))</f>
        <v/>
      </c>
      <c r="H1149" s="29">
        <v>8.9999999999999993E-3</v>
      </c>
      <c r="I1149" s="29">
        <v>1E-3</v>
      </c>
      <c r="K1149" s="21" t="str">
        <f>IF(E1149="","",IFERROR(VLOOKUP(E1149,REGRAS_CST!$A$2:$C$200,3,FALSE),""))</f>
        <v/>
      </c>
      <c r="L1149" s="23" t="str">
        <f>IF($G1149="", "", $G1149*(1-$V1149))</f>
        <v/>
      </c>
      <c r="M1149" s="24" t="str">
        <f>IF(OR($L1149="",$S1149=""),"",$L1149*$S1149)</f>
        <v/>
      </c>
      <c r="N1149" s="24" t="str">
        <f>IF(OR($L1149="",$T1149=""),"",$L1149*$T1149)</f>
        <v/>
      </c>
      <c r="O1149" s="15" t="str">
        <f>IF(D1149="","",
IF(AND(K1149&lt;&gt;"SIM",V1149&gt;0),"ERRO: % BC &gt; 0, mas NÃO permitida ❌",
IF(AND(K1149="SIM",V1149=0),"ATENÇÃO: BC permitida, mas % = 0 🔎",
"Base de cálculo aplicada corretamente ✅")))</f>
        <v/>
      </c>
      <c r="P1149" s="31" t="str">
        <f>IF(D1149="","",
IF(AND(Q1149&lt;&gt;"SIM",U1149&gt;0),"ERRO: % alíquota &gt; 0, mas NÃO permitida ❌",
IF(AND(Q1149="SIM",U1149=0),"ATENÇÃO: alíquota permitida, mas % = 0 🔎",
"Alíquota aplicada corretamente ✅")))</f>
        <v/>
      </c>
      <c r="Q1149" s="8" t="str">
        <f>IF(E1149="","",IFERROR(VLOOKUP(E1149,REGRAS_CST!$A$2:$D$200,4,FALSE),""))</f>
        <v/>
      </c>
      <c r="S1149" s="9">
        <f>IF($H1149="","",$H1149*(1-$U1149))</f>
        <v>8.9999999999999993E-3</v>
      </c>
      <c r="T1149" s="9">
        <f>IF($I1149="","",$I1149*(1-$U1149))</f>
        <v>1E-3</v>
      </c>
      <c r="U1149" s="16">
        <f>IFERROR(INDEX(BASE_CCLASSTRIB!$E:$E, MATCH(TEXT($D1149,"000000"), BASE_CCLASSTRIB!$A:$A, 0))/100, 0)</f>
        <v>0</v>
      </c>
      <c r="V1149" s="16">
        <f>IFERROR(INDEX(BASE_CCLASSTRIB!$F:$F, MATCH(TEXT($D1149,"000000"), BASE_CCLASSTRIB!$A:$A, 0))/100, 0)</f>
        <v>0</v>
      </c>
    </row>
    <row r="1150" spans="4:22" ht="32.25" customHeight="1">
      <c r="D1150" s="40"/>
      <c r="E1150" s="27" t="str">
        <f>IF(D1150="","",LEFT(D1150,3))</f>
        <v/>
      </c>
      <c r="F1150" s="28" t="str">
        <f>IF(E1150="","",IFERROR(VLOOKUP(E1150,REGRAS_CST!$A$2:$B$200,2,FALSE),""))</f>
        <v/>
      </c>
      <c r="H1150" s="29">
        <v>8.9999999999999993E-3</v>
      </c>
      <c r="I1150" s="29">
        <v>1E-3</v>
      </c>
      <c r="K1150" s="21" t="str">
        <f>IF(E1150="","",IFERROR(VLOOKUP(E1150,REGRAS_CST!$A$2:$C$200,3,FALSE),""))</f>
        <v/>
      </c>
      <c r="L1150" s="23" t="str">
        <f>IF($G1150="", "", $G1150*(1-$V1150))</f>
        <v/>
      </c>
      <c r="M1150" s="24" t="str">
        <f>IF(OR($L1150="",$S1150=""),"",$L1150*$S1150)</f>
        <v/>
      </c>
      <c r="N1150" s="24" t="str">
        <f>IF(OR($L1150="",$T1150=""),"",$L1150*$T1150)</f>
        <v/>
      </c>
      <c r="O1150" s="15" t="str">
        <f>IF(D1150="","",
IF(AND(K1150&lt;&gt;"SIM",V1150&gt;0),"ERRO: % BC &gt; 0, mas NÃO permitida ❌",
IF(AND(K1150="SIM",V1150=0),"ATENÇÃO: BC permitida, mas % = 0 🔎",
"Base de cálculo aplicada corretamente ✅")))</f>
        <v/>
      </c>
      <c r="P1150" s="31" t="str">
        <f>IF(D1150="","",
IF(AND(Q1150&lt;&gt;"SIM",U1150&gt;0),"ERRO: % alíquota &gt; 0, mas NÃO permitida ❌",
IF(AND(Q1150="SIM",U1150=0),"ATENÇÃO: alíquota permitida, mas % = 0 🔎",
"Alíquota aplicada corretamente ✅")))</f>
        <v/>
      </c>
      <c r="Q1150" s="8" t="str">
        <f>IF(E1150="","",IFERROR(VLOOKUP(E1150,REGRAS_CST!$A$2:$D$200,4,FALSE),""))</f>
        <v/>
      </c>
      <c r="S1150" s="9">
        <f>IF($H1150="","",$H1150*(1-$U1150))</f>
        <v>8.9999999999999993E-3</v>
      </c>
      <c r="T1150" s="9">
        <f>IF($I1150="","",$I1150*(1-$U1150))</f>
        <v>1E-3</v>
      </c>
      <c r="U1150" s="16">
        <f>IFERROR(INDEX(BASE_CCLASSTRIB!$E:$E, MATCH(TEXT($D1150,"000000"), BASE_CCLASSTRIB!$A:$A, 0))/100, 0)</f>
        <v>0</v>
      </c>
      <c r="V1150" s="16">
        <f>IFERROR(INDEX(BASE_CCLASSTRIB!$F:$F, MATCH(TEXT($D1150,"000000"), BASE_CCLASSTRIB!$A:$A, 0))/100, 0)</f>
        <v>0</v>
      </c>
    </row>
    <row r="1151" spans="4:22" ht="32.25" customHeight="1">
      <c r="D1151" s="39"/>
      <c r="E1151" s="27" t="str">
        <f>IF(D1151="","",LEFT(D1151,3))</f>
        <v/>
      </c>
      <c r="F1151" s="28" t="str">
        <f>IF(E1151="","",IFERROR(VLOOKUP(E1151,REGRAS_CST!$A$2:$B$200,2,FALSE),""))</f>
        <v/>
      </c>
      <c r="H1151" s="29">
        <v>8.9999999999999993E-3</v>
      </c>
      <c r="I1151" s="29">
        <v>1E-3</v>
      </c>
      <c r="K1151" s="21" t="str">
        <f>IF(E1151="","",IFERROR(VLOOKUP(E1151,REGRAS_CST!$A$2:$C$200,3,FALSE),""))</f>
        <v/>
      </c>
      <c r="L1151" s="23" t="str">
        <f>IF($G1151="", "", $G1151*(1-$V1151))</f>
        <v/>
      </c>
      <c r="M1151" s="24" t="str">
        <f>IF(OR($L1151="",$S1151=""),"",$L1151*$S1151)</f>
        <v/>
      </c>
      <c r="N1151" s="24" t="str">
        <f>IF(OR($L1151="",$T1151=""),"",$L1151*$T1151)</f>
        <v/>
      </c>
      <c r="O1151" s="15" t="str">
        <f>IF(D1151="","",
IF(AND(K1151&lt;&gt;"SIM",V1151&gt;0),"ERRO: % BC &gt; 0, mas NÃO permitida ❌",
IF(AND(K1151="SIM",V1151=0),"ATENÇÃO: BC permitida, mas % = 0 🔎",
"Base de cálculo aplicada corretamente ✅")))</f>
        <v/>
      </c>
      <c r="P1151" s="31" t="str">
        <f>IF(D1151="","",
IF(AND(Q1151&lt;&gt;"SIM",U1151&gt;0),"ERRO: % alíquota &gt; 0, mas NÃO permitida ❌",
IF(AND(Q1151="SIM",U1151=0),"ATENÇÃO: alíquota permitida, mas % = 0 🔎",
"Alíquota aplicada corretamente ✅")))</f>
        <v/>
      </c>
      <c r="Q1151" s="8" t="str">
        <f>IF(E1151="","",IFERROR(VLOOKUP(E1151,REGRAS_CST!$A$2:$D$200,4,FALSE),""))</f>
        <v/>
      </c>
      <c r="S1151" s="9">
        <f>IF($H1151="","",$H1151*(1-$U1151))</f>
        <v>8.9999999999999993E-3</v>
      </c>
      <c r="T1151" s="9">
        <f>IF($I1151="","",$I1151*(1-$U1151))</f>
        <v>1E-3</v>
      </c>
      <c r="U1151" s="16">
        <f>IFERROR(INDEX(BASE_CCLASSTRIB!$E:$E, MATCH(TEXT($D1151,"000000"), BASE_CCLASSTRIB!$A:$A, 0))/100, 0)</f>
        <v>0</v>
      </c>
      <c r="V1151" s="16">
        <f>IFERROR(INDEX(BASE_CCLASSTRIB!$F:$F, MATCH(TEXT($D1151,"000000"), BASE_CCLASSTRIB!$A:$A, 0))/100, 0)</f>
        <v>0</v>
      </c>
    </row>
    <row r="1152" spans="4:22" ht="32.25" customHeight="1">
      <c r="D1152" s="40"/>
      <c r="E1152" s="27" t="str">
        <f>IF(D1152="","",LEFT(D1152,3))</f>
        <v/>
      </c>
      <c r="F1152" s="28" t="str">
        <f>IF(E1152="","",IFERROR(VLOOKUP(E1152,REGRAS_CST!$A$2:$B$200,2,FALSE),""))</f>
        <v/>
      </c>
      <c r="H1152" s="29">
        <v>8.9999999999999993E-3</v>
      </c>
      <c r="I1152" s="29">
        <v>1E-3</v>
      </c>
      <c r="K1152" s="21" t="str">
        <f>IF(E1152="","",IFERROR(VLOOKUP(E1152,REGRAS_CST!$A$2:$C$200,3,FALSE),""))</f>
        <v/>
      </c>
      <c r="L1152" s="23" t="str">
        <f>IF($G1152="", "", $G1152*(1-$V1152))</f>
        <v/>
      </c>
      <c r="M1152" s="24" t="str">
        <f>IF(OR($L1152="",$S1152=""),"",$L1152*$S1152)</f>
        <v/>
      </c>
      <c r="N1152" s="24" t="str">
        <f>IF(OR($L1152="",$T1152=""),"",$L1152*$T1152)</f>
        <v/>
      </c>
      <c r="O1152" s="15" t="str">
        <f>IF(D1152="","",
IF(AND(K1152&lt;&gt;"SIM",V1152&gt;0),"ERRO: % BC &gt; 0, mas NÃO permitida ❌",
IF(AND(K1152="SIM",V1152=0),"ATENÇÃO: BC permitida, mas % = 0 🔎",
"Base de cálculo aplicada corretamente ✅")))</f>
        <v/>
      </c>
      <c r="P1152" s="31" t="str">
        <f>IF(D1152="","",
IF(AND(Q1152&lt;&gt;"SIM",U1152&gt;0),"ERRO: % alíquota &gt; 0, mas NÃO permitida ❌",
IF(AND(Q1152="SIM",U1152=0),"ATENÇÃO: alíquota permitida, mas % = 0 🔎",
"Alíquota aplicada corretamente ✅")))</f>
        <v/>
      </c>
      <c r="Q1152" s="8" t="str">
        <f>IF(E1152="","",IFERROR(VLOOKUP(E1152,REGRAS_CST!$A$2:$D$200,4,FALSE),""))</f>
        <v/>
      </c>
      <c r="S1152" s="9">
        <f>IF($H1152="","",$H1152*(1-$U1152))</f>
        <v>8.9999999999999993E-3</v>
      </c>
      <c r="T1152" s="9">
        <f>IF($I1152="","",$I1152*(1-$U1152))</f>
        <v>1E-3</v>
      </c>
      <c r="U1152" s="16">
        <f>IFERROR(INDEX(BASE_CCLASSTRIB!$E:$E, MATCH(TEXT($D1152,"000000"), BASE_CCLASSTRIB!$A:$A, 0))/100, 0)</f>
        <v>0</v>
      </c>
      <c r="V1152" s="16">
        <f>IFERROR(INDEX(BASE_CCLASSTRIB!$F:$F, MATCH(TEXT($D1152,"000000"), BASE_CCLASSTRIB!$A:$A, 0))/100, 0)</f>
        <v>0</v>
      </c>
    </row>
    <row r="1153" spans="4:22" ht="32.25" customHeight="1">
      <c r="D1153" s="40"/>
      <c r="E1153" s="27" t="str">
        <f>IF(D1153="","",LEFT(D1153,3))</f>
        <v/>
      </c>
      <c r="F1153" s="28" t="str">
        <f>IF(E1153="","",IFERROR(VLOOKUP(E1153,REGRAS_CST!$A$2:$B$200,2,FALSE),""))</f>
        <v/>
      </c>
      <c r="H1153" s="29">
        <v>8.9999999999999993E-3</v>
      </c>
      <c r="I1153" s="29">
        <v>1E-3</v>
      </c>
      <c r="K1153" s="21" t="str">
        <f>IF(E1153="","",IFERROR(VLOOKUP(E1153,REGRAS_CST!$A$2:$C$200,3,FALSE),""))</f>
        <v/>
      </c>
      <c r="L1153" s="23" t="str">
        <f>IF($G1153="", "", $G1153*(1-$V1153))</f>
        <v/>
      </c>
      <c r="M1153" s="24" t="str">
        <f>IF(OR($L1153="",$S1153=""),"",$L1153*$S1153)</f>
        <v/>
      </c>
      <c r="N1153" s="24" t="str">
        <f>IF(OR($L1153="",$T1153=""),"",$L1153*$T1153)</f>
        <v/>
      </c>
      <c r="O1153" s="15" t="str">
        <f>IF(D1153="","",
IF(AND(K1153&lt;&gt;"SIM",V1153&gt;0),"ERRO: % BC &gt; 0, mas NÃO permitida ❌",
IF(AND(K1153="SIM",V1153=0),"ATENÇÃO: BC permitida, mas % = 0 🔎",
"Base de cálculo aplicada corretamente ✅")))</f>
        <v/>
      </c>
      <c r="P1153" s="31" t="str">
        <f>IF(D1153="","",
IF(AND(Q1153&lt;&gt;"SIM",U1153&gt;0),"ERRO: % alíquota &gt; 0, mas NÃO permitida ❌",
IF(AND(Q1153="SIM",U1153=0),"ATENÇÃO: alíquota permitida, mas % = 0 🔎",
"Alíquota aplicada corretamente ✅")))</f>
        <v/>
      </c>
      <c r="Q1153" s="8" t="str">
        <f>IF(E1153="","",IFERROR(VLOOKUP(E1153,REGRAS_CST!$A$2:$D$200,4,FALSE),""))</f>
        <v/>
      </c>
      <c r="S1153" s="9">
        <f>IF($H1153="","",$H1153*(1-$U1153))</f>
        <v>8.9999999999999993E-3</v>
      </c>
      <c r="T1153" s="9">
        <f>IF($I1153="","",$I1153*(1-$U1153))</f>
        <v>1E-3</v>
      </c>
      <c r="U1153" s="16">
        <f>IFERROR(INDEX(BASE_CCLASSTRIB!$E:$E, MATCH(TEXT($D1153,"000000"), BASE_CCLASSTRIB!$A:$A, 0))/100, 0)</f>
        <v>0</v>
      </c>
      <c r="V1153" s="16">
        <f>IFERROR(INDEX(BASE_CCLASSTRIB!$F:$F, MATCH(TEXT($D1153,"000000"), BASE_CCLASSTRIB!$A:$A, 0))/100, 0)</f>
        <v>0</v>
      </c>
    </row>
    <row r="1154" spans="4:22" ht="32.25" customHeight="1">
      <c r="D1154" s="40"/>
      <c r="E1154" s="27" t="str">
        <f>IF(D1154="","",LEFT(D1154,3))</f>
        <v/>
      </c>
      <c r="F1154" s="28" t="str">
        <f>IF(E1154="","",IFERROR(VLOOKUP(E1154,REGRAS_CST!$A$2:$B$200,2,FALSE),""))</f>
        <v/>
      </c>
      <c r="H1154" s="29">
        <v>8.9999999999999993E-3</v>
      </c>
      <c r="I1154" s="29">
        <v>1E-3</v>
      </c>
      <c r="K1154" s="21" t="str">
        <f>IF(E1154="","",IFERROR(VLOOKUP(E1154,REGRAS_CST!$A$2:$C$200,3,FALSE),""))</f>
        <v/>
      </c>
      <c r="L1154" s="23" t="str">
        <f>IF($G1154="", "", $G1154*(1-$V1154))</f>
        <v/>
      </c>
      <c r="M1154" s="24" t="str">
        <f>IF(OR($L1154="",$S1154=""),"",$L1154*$S1154)</f>
        <v/>
      </c>
      <c r="N1154" s="24" t="str">
        <f>IF(OR($L1154="",$T1154=""),"",$L1154*$T1154)</f>
        <v/>
      </c>
      <c r="O1154" s="15" t="str">
        <f>IF(D1154="","",
IF(AND(K1154&lt;&gt;"SIM",V1154&gt;0),"ERRO: % BC &gt; 0, mas NÃO permitida ❌",
IF(AND(K1154="SIM",V1154=0),"ATENÇÃO: BC permitida, mas % = 0 🔎",
"Base de cálculo aplicada corretamente ✅")))</f>
        <v/>
      </c>
      <c r="P1154" s="31" t="str">
        <f>IF(D1154="","",
IF(AND(Q1154&lt;&gt;"SIM",U1154&gt;0),"ERRO: % alíquota &gt; 0, mas NÃO permitida ❌",
IF(AND(Q1154="SIM",U1154=0),"ATENÇÃO: alíquota permitida, mas % = 0 🔎",
"Alíquota aplicada corretamente ✅")))</f>
        <v/>
      </c>
      <c r="Q1154" s="8" t="str">
        <f>IF(E1154="","",IFERROR(VLOOKUP(E1154,REGRAS_CST!$A$2:$D$200,4,FALSE),""))</f>
        <v/>
      </c>
      <c r="S1154" s="9">
        <f>IF($H1154="","",$H1154*(1-$U1154))</f>
        <v>8.9999999999999993E-3</v>
      </c>
      <c r="T1154" s="9">
        <f>IF($I1154="","",$I1154*(1-$U1154))</f>
        <v>1E-3</v>
      </c>
      <c r="U1154" s="16">
        <f>IFERROR(INDEX(BASE_CCLASSTRIB!$E:$E, MATCH(TEXT($D1154,"000000"), BASE_CCLASSTRIB!$A:$A, 0))/100, 0)</f>
        <v>0</v>
      </c>
      <c r="V1154" s="16">
        <f>IFERROR(INDEX(BASE_CCLASSTRIB!$F:$F, MATCH(TEXT($D1154,"000000"), BASE_CCLASSTRIB!$A:$A, 0))/100, 0)</f>
        <v>0</v>
      </c>
    </row>
    <row r="1155" spans="4:22" ht="32.25" customHeight="1">
      <c r="D1155" s="39"/>
      <c r="E1155" s="27" t="str">
        <f>IF(D1155="","",LEFT(D1155,3))</f>
        <v/>
      </c>
      <c r="F1155" s="28" t="str">
        <f>IF(E1155="","",IFERROR(VLOOKUP(E1155,REGRAS_CST!$A$2:$B$200,2,FALSE),""))</f>
        <v/>
      </c>
      <c r="H1155" s="29">
        <v>8.9999999999999993E-3</v>
      </c>
      <c r="I1155" s="29">
        <v>1E-3</v>
      </c>
      <c r="K1155" s="21" t="str">
        <f>IF(E1155="","",IFERROR(VLOOKUP(E1155,REGRAS_CST!$A$2:$C$200,3,FALSE),""))</f>
        <v/>
      </c>
      <c r="L1155" s="23" t="str">
        <f>IF($G1155="", "", $G1155*(1-$V1155))</f>
        <v/>
      </c>
      <c r="M1155" s="24" t="str">
        <f>IF(OR($L1155="",$S1155=""),"",$L1155*$S1155)</f>
        <v/>
      </c>
      <c r="N1155" s="24" t="str">
        <f>IF(OR($L1155="",$T1155=""),"",$L1155*$T1155)</f>
        <v/>
      </c>
      <c r="O1155" s="15" t="str">
        <f>IF(D1155="","",
IF(AND(K1155&lt;&gt;"SIM",V1155&gt;0),"ERRO: % BC &gt; 0, mas NÃO permitida ❌",
IF(AND(K1155="SIM",V1155=0),"ATENÇÃO: BC permitida, mas % = 0 🔎",
"Base de cálculo aplicada corretamente ✅")))</f>
        <v/>
      </c>
      <c r="P1155" s="31" t="str">
        <f>IF(D1155="","",
IF(AND(Q1155&lt;&gt;"SIM",U1155&gt;0),"ERRO: % alíquota &gt; 0, mas NÃO permitida ❌",
IF(AND(Q1155="SIM",U1155=0),"ATENÇÃO: alíquota permitida, mas % = 0 🔎",
"Alíquota aplicada corretamente ✅")))</f>
        <v/>
      </c>
      <c r="Q1155" s="8" t="str">
        <f>IF(E1155="","",IFERROR(VLOOKUP(E1155,REGRAS_CST!$A$2:$D$200,4,FALSE),""))</f>
        <v/>
      </c>
      <c r="S1155" s="9">
        <f>IF($H1155="","",$H1155*(1-$U1155))</f>
        <v>8.9999999999999993E-3</v>
      </c>
      <c r="T1155" s="9">
        <f>IF($I1155="","",$I1155*(1-$U1155))</f>
        <v>1E-3</v>
      </c>
      <c r="U1155" s="16">
        <f>IFERROR(INDEX(BASE_CCLASSTRIB!$E:$E, MATCH(TEXT($D1155,"000000"), BASE_CCLASSTRIB!$A:$A, 0))/100, 0)</f>
        <v>0</v>
      </c>
      <c r="V1155" s="16">
        <f>IFERROR(INDEX(BASE_CCLASSTRIB!$F:$F, MATCH(TEXT($D1155,"000000"), BASE_CCLASSTRIB!$A:$A, 0))/100, 0)</f>
        <v>0</v>
      </c>
    </row>
    <row r="1156" spans="4:22" ht="32.25" customHeight="1">
      <c r="D1156" s="40"/>
      <c r="E1156" s="27" t="str">
        <f>IF(D1156="","",LEFT(D1156,3))</f>
        <v/>
      </c>
      <c r="F1156" s="28" t="str">
        <f>IF(E1156="","",IFERROR(VLOOKUP(E1156,REGRAS_CST!$A$2:$B$200,2,FALSE),""))</f>
        <v/>
      </c>
      <c r="H1156" s="29">
        <v>8.9999999999999993E-3</v>
      </c>
      <c r="I1156" s="29">
        <v>1E-3</v>
      </c>
      <c r="K1156" s="21" t="str">
        <f>IF(E1156="","",IFERROR(VLOOKUP(E1156,REGRAS_CST!$A$2:$C$200,3,FALSE),""))</f>
        <v/>
      </c>
      <c r="L1156" s="23" t="str">
        <f>IF($G1156="", "", $G1156*(1-$V1156))</f>
        <v/>
      </c>
      <c r="M1156" s="24" t="str">
        <f>IF(OR($L1156="",$S1156=""),"",$L1156*$S1156)</f>
        <v/>
      </c>
      <c r="N1156" s="24" t="str">
        <f>IF(OR($L1156="",$T1156=""),"",$L1156*$T1156)</f>
        <v/>
      </c>
      <c r="O1156" s="15" t="str">
        <f>IF(D1156="","",
IF(AND(K1156&lt;&gt;"SIM",V1156&gt;0),"ERRO: % BC &gt; 0, mas NÃO permitida ❌",
IF(AND(K1156="SIM",V1156=0),"ATENÇÃO: BC permitida, mas % = 0 🔎",
"Base de cálculo aplicada corretamente ✅")))</f>
        <v/>
      </c>
      <c r="P1156" s="31" t="str">
        <f>IF(D1156="","",
IF(AND(Q1156&lt;&gt;"SIM",U1156&gt;0),"ERRO: % alíquota &gt; 0, mas NÃO permitida ❌",
IF(AND(Q1156="SIM",U1156=0),"ATENÇÃO: alíquota permitida, mas % = 0 🔎",
"Alíquota aplicada corretamente ✅")))</f>
        <v/>
      </c>
      <c r="Q1156" s="8" t="str">
        <f>IF(E1156="","",IFERROR(VLOOKUP(E1156,REGRAS_CST!$A$2:$D$200,4,FALSE),""))</f>
        <v/>
      </c>
      <c r="S1156" s="9">
        <f>IF($H1156="","",$H1156*(1-$U1156))</f>
        <v>8.9999999999999993E-3</v>
      </c>
      <c r="T1156" s="9">
        <f>IF($I1156="","",$I1156*(1-$U1156))</f>
        <v>1E-3</v>
      </c>
      <c r="U1156" s="16">
        <f>IFERROR(INDEX(BASE_CCLASSTRIB!$E:$E, MATCH(TEXT($D1156,"000000"), BASE_CCLASSTRIB!$A:$A, 0))/100, 0)</f>
        <v>0</v>
      </c>
      <c r="V1156" s="16">
        <f>IFERROR(INDEX(BASE_CCLASSTRIB!$F:$F, MATCH(TEXT($D1156,"000000"), BASE_CCLASSTRIB!$A:$A, 0))/100, 0)</f>
        <v>0</v>
      </c>
    </row>
    <row r="1157" spans="4:22" ht="32.25" customHeight="1">
      <c r="D1157" s="39"/>
      <c r="E1157" s="27" t="str">
        <f>IF(D1157="","",LEFT(D1157,3))</f>
        <v/>
      </c>
      <c r="F1157" s="28" t="str">
        <f>IF(E1157="","",IFERROR(VLOOKUP(E1157,REGRAS_CST!$A$2:$B$200,2,FALSE),""))</f>
        <v/>
      </c>
      <c r="H1157" s="29">
        <v>8.9999999999999993E-3</v>
      </c>
      <c r="I1157" s="29">
        <v>1E-3</v>
      </c>
      <c r="K1157" s="21" t="str">
        <f>IF(E1157="","",IFERROR(VLOOKUP(E1157,REGRAS_CST!$A$2:$C$200,3,FALSE),""))</f>
        <v/>
      </c>
      <c r="L1157" s="23" t="str">
        <f>IF($G1157="", "", $G1157*(1-$V1157))</f>
        <v/>
      </c>
      <c r="M1157" s="24" t="str">
        <f>IF(OR($L1157="",$S1157=""),"",$L1157*$S1157)</f>
        <v/>
      </c>
      <c r="N1157" s="24" t="str">
        <f>IF(OR($L1157="",$T1157=""),"",$L1157*$T1157)</f>
        <v/>
      </c>
      <c r="O1157" s="15" t="str">
        <f>IF(D1157="","",
IF(AND(K1157&lt;&gt;"SIM",V1157&gt;0),"ERRO: % BC &gt; 0, mas NÃO permitida ❌",
IF(AND(K1157="SIM",V1157=0),"ATENÇÃO: BC permitida, mas % = 0 🔎",
"Base de cálculo aplicada corretamente ✅")))</f>
        <v/>
      </c>
      <c r="P1157" s="31" t="str">
        <f>IF(D1157="","",
IF(AND(Q1157&lt;&gt;"SIM",U1157&gt;0),"ERRO: % alíquota &gt; 0, mas NÃO permitida ❌",
IF(AND(Q1157="SIM",U1157=0),"ATENÇÃO: alíquota permitida, mas % = 0 🔎",
"Alíquota aplicada corretamente ✅")))</f>
        <v/>
      </c>
      <c r="Q1157" s="8" t="str">
        <f>IF(E1157="","",IFERROR(VLOOKUP(E1157,REGRAS_CST!$A$2:$D$200,4,FALSE),""))</f>
        <v/>
      </c>
      <c r="S1157" s="9">
        <f>IF($H1157="","",$H1157*(1-$U1157))</f>
        <v>8.9999999999999993E-3</v>
      </c>
      <c r="T1157" s="9">
        <f>IF($I1157="","",$I1157*(1-$U1157))</f>
        <v>1E-3</v>
      </c>
      <c r="U1157" s="16">
        <f>IFERROR(INDEX(BASE_CCLASSTRIB!$E:$E, MATCH(TEXT($D1157,"000000"), BASE_CCLASSTRIB!$A:$A, 0))/100, 0)</f>
        <v>0</v>
      </c>
      <c r="V1157" s="16">
        <f>IFERROR(INDEX(BASE_CCLASSTRIB!$F:$F, MATCH(TEXT($D1157,"000000"), BASE_CCLASSTRIB!$A:$A, 0))/100, 0)</f>
        <v>0</v>
      </c>
    </row>
    <row r="1158" spans="4:22" ht="32.25" customHeight="1">
      <c r="D1158" s="39"/>
      <c r="E1158" s="27" t="str">
        <f>IF(D1158="","",LEFT(D1158,3))</f>
        <v/>
      </c>
      <c r="F1158" s="28" t="str">
        <f>IF(E1158="","",IFERROR(VLOOKUP(E1158,REGRAS_CST!$A$2:$B$200,2,FALSE),""))</f>
        <v/>
      </c>
      <c r="H1158" s="29">
        <v>8.9999999999999993E-3</v>
      </c>
      <c r="I1158" s="29">
        <v>1E-3</v>
      </c>
      <c r="K1158" s="21" t="str">
        <f>IF(E1158="","",IFERROR(VLOOKUP(E1158,REGRAS_CST!$A$2:$C$200,3,FALSE),""))</f>
        <v/>
      </c>
      <c r="L1158" s="23" t="str">
        <f>IF($G1158="", "", $G1158*(1-$V1158))</f>
        <v/>
      </c>
      <c r="M1158" s="24" t="str">
        <f>IF(OR($L1158="",$S1158=""),"",$L1158*$S1158)</f>
        <v/>
      </c>
      <c r="N1158" s="24" t="str">
        <f>IF(OR($L1158="",$T1158=""),"",$L1158*$T1158)</f>
        <v/>
      </c>
      <c r="O1158" s="15" t="str">
        <f>IF(D1158="","",
IF(AND(K1158&lt;&gt;"SIM",V1158&gt;0),"ERRO: % BC &gt; 0, mas NÃO permitida ❌",
IF(AND(K1158="SIM",V1158=0),"ATENÇÃO: BC permitida, mas % = 0 🔎",
"Base de cálculo aplicada corretamente ✅")))</f>
        <v/>
      </c>
      <c r="P1158" s="31" t="str">
        <f>IF(D1158="","",
IF(AND(Q1158&lt;&gt;"SIM",U1158&gt;0),"ERRO: % alíquota &gt; 0, mas NÃO permitida ❌",
IF(AND(Q1158="SIM",U1158=0),"ATENÇÃO: alíquota permitida, mas % = 0 🔎",
"Alíquota aplicada corretamente ✅")))</f>
        <v/>
      </c>
      <c r="Q1158" s="8" t="str">
        <f>IF(E1158="","",IFERROR(VLOOKUP(E1158,REGRAS_CST!$A$2:$D$200,4,FALSE),""))</f>
        <v/>
      </c>
      <c r="S1158" s="9">
        <f>IF($H1158="","",$H1158*(1-$U1158))</f>
        <v>8.9999999999999993E-3</v>
      </c>
      <c r="T1158" s="9">
        <f>IF($I1158="","",$I1158*(1-$U1158))</f>
        <v>1E-3</v>
      </c>
      <c r="U1158" s="16">
        <f>IFERROR(INDEX(BASE_CCLASSTRIB!$E:$E, MATCH(TEXT($D1158,"000000"), BASE_CCLASSTRIB!$A:$A, 0))/100, 0)</f>
        <v>0</v>
      </c>
      <c r="V1158" s="16">
        <f>IFERROR(INDEX(BASE_CCLASSTRIB!$F:$F, MATCH(TEXT($D1158,"000000"), BASE_CCLASSTRIB!$A:$A, 0))/100, 0)</f>
        <v>0</v>
      </c>
    </row>
    <row r="1159" spans="4:22" ht="32.25" customHeight="1">
      <c r="D1159" s="39"/>
      <c r="E1159" s="27" t="str">
        <f>IF(D1159="","",LEFT(D1159,3))</f>
        <v/>
      </c>
      <c r="F1159" s="28" t="str">
        <f>IF(E1159="","",IFERROR(VLOOKUP(E1159,REGRAS_CST!$A$2:$B$200,2,FALSE),""))</f>
        <v/>
      </c>
      <c r="H1159" s="29">
        <v>8.9999999999999993E-3</v>
      </c>
      <c r="I1159" s="29">
        <v>1E-3</v>
      </c>
      <c r="K1159" s="21" t="str">
        <f>IF(E1159="","",IFERROR(VLOOKUP(E1159,REGRAS_CST!$A$2:$C$200,3,FALSE),""))</f>
        <v/>
      </c>
      <c r="L1159" s="23" t="str">
        <f>IF($G1159="", "", $G1159*(1-$V1159))</f>
        <v/>
      </c>
      <c r="M1159" s="24" t="str">
        <f>IF(OR($L1159="",$S1159=""),"",$L1159*$S1159)</f>
        <v/>
      </c>
      <c r="N1159" s="24" t="str">
        <f>IF(OR($L1159="",$T1159=""),"",$L1159*$T1159)</f>
        <v/>
      </c>
      <c r="O1159" s="15" t="str">
        <f>IF(D1159="","",
IF(AND(K1159&lt;&gt;"SIM",V1159&gt;0),"ERRO: % BC &gt; 0, mas NÃO permitida ❌",
IF(AND(K1159="SIM",V1159=0),"ATENÇÃO: BC permitida, mas % = 0 🔎",
"Base de cálculo aplicada corretamente ✅")))</f>
        <v/>
      </c>
      <c r="P1159" s="31" t="str">
        <f>IF(D1159="","",
IF(AND(Q1159&lt;&gt;"SIM",U1159&gt;0),"ERRO: % alíquota &gt; 0, mas NÃO permitida ❌",
IF(AND(Q1159="SIM",U1159=0),"ATENÇÃO: alíquota permitida, mas % = 0 🔎",
"Alíquota aplicada corretamente ✅")))</f>
        <v/>
      </c>
      <c r="Q1159" s="8" t="str">
        <f>IF(E1159="","",IFERROR(VLOOKUP(E1159,REGRAS_CST!$A$2:$D$200,4,FALSE),""))</f>
        <v/>
      </c>
      <c r="S1159" s="9">
        <f>IF($H1159="","",$H1159*(1-$U1159))</f>
        <v>8.9999999999999993E-3</v>
      </c>
      <c r="T1159" s="9">
        <f>IF($I1159="","",$I1159*(1-$U1159))</f>
        <v>1E-3</v>
      </c>
      <c r="U1159" s="16">
        <f>IFERROR(INDEX(BASE_CCLASSTRIB!$E:$E, MATCH(TEXT($D1159,"000000"), BASE_CCLASSTRIB!$A:$A, 0))/100, 0)</f>
        <v>0</v>
      </c>
      <c r="V1159" s="16">
        <f>IFERROR(INDEX(BASE_CCLASSTRIB!$F:$F, MATCH(TEXT($D1159,"000000"), BASE_CCLASSTRIB!$A:$A, 0))/100, 0)</f>
        <v>0</v>
      </c>
    </row>
    <row r="1160" spans="4:22" ht="32.25" customHeight="1">
      <c r="D1160" s="40"/>
      <c r="E1160" s="27" t="str">
        <f>IF(D1160="","",LEFT(D1160,3))</f>
        <v/>
      </c>
      <c r="F1160" s="28" t="str">
        <f>IF(E1160="","",IFERROR(VLOOKUP(E1160,REGRAS_CST!$A$2:$B$200,2,FALSE),""))</f>
        <v/>
      </c>
      <c r="H1160" s="29">
        <v>8.9999999999999993E-3</v>
      </c>
      <c r="I1160" s="29">
        <v>1E-3</v>
      </c>
      <c r="K1160" s="21" t="str">
        <f>IF(E1160="","",IFERROR(VLOOKUP(E1160,REGRAS_CST!$A$2:$C$200,3,FALSE),""))</f>
        <v/>
      </c>
      <c r="L1160" s="23" t="str">
        <f>IF($G1160="", "", $G1160*(1-$V1160))</f>
        <v/>
      </c>
      <c r="M1160" s="24" t="str">
        <f>IF(OR($L1160="",$S1160=""),"",$L1160*$S1160)</f>
        <v/>
      </c>
      <c r="N1160" s="24" t="str">
        <f>IF(OR($L1160="",$T1160=""),"",$L1160*$T1160)</f>
        <v/>
      </c>
      <c r="O1160" s="15" t="str">
        <f>IF(D1160="","",
IF(AND(K1160&lt;&gt;"SIM",V1160&gt;0),"ERRO: % BC &gt; 0, mas NÃO permitida ❌",
IF(AND(K1160="SIM",V1160=0),"ATENÇÃO: BC permitida, mas % = 0 🔎",
"Base de cálculo aplicada corretamente ✅")))</f>
        <v/>
      </c>
      <c r="P1160" s="31" t="str">
        <f>IF(D1160="","",
IF(AND(Q1160&lt;&gt;"SIM",U1160&gt;0),"ERRO: % alíquota &gt; 0, mas NÃO permitida ❌",
IF(AND(Q1160="SIM",U1160=0),"ATENÇÃO: alíquota permitida, mas % = 0 🔎",
"Alíquota aplicada corretamente ✅")))</f>
        <v/>
      </c>
      <c r="Q1160" s="8" t="str">
        <f>IF(E1160="","",IFERROR(VLOOKUP(E1160,REGRAS_CST!$A$2:$D$200,4,FALSE),""))</f>
        <v/>
      </c>
      <c r="S1160" s="9">
        <f>IF($H1160="","",$H1160*(1-$U1160))</f>
        <v>8.9999999999999993E-3</v>
      </c>
      <c r="T1160" s="9">
        <f>IF($I1160="","",$I1160*(1-$U1160))</f>
        <v>1E-3</v>
      </c>
      <c r="U1160" s="16">
        <f>IFERROR(INDEX(BASE_CCLASSTRIB!$E:$E, MATCH(TEXT($D1160,"000000"), BASE_CCLASSTRIB!$A:$A, 0))/100, 0)</f>
        <v>0</v>
      </c>
      <c r="V1160" s="16">
        <f>IFERROR(INDEX(BASE_CCLASSTRIB!$F:$F, MATCH(TEXT($D1160,"000000"), BASE_CCLASSTRIB!$A:$A, 0))/100, 0)</f>
        <v>0</v>
      </c>
    </row>
    <row r="1161" spans="4:22" ht="32.25" customHeight="1">
      <c r="D1161" s="39"/>
      <c r="E1161" s="27" t="str">
        <f>IF(D1161="","",LEFT(D1161,3))</f>
        <v/>
      </c>
      <c r="F1161" s="28" t="str">
        <f>IF(E1161="","",IFERROR(VLOOKUP(E1161,REGRAS_CST!$A$2:$B$200,2,FALSE),""))</f>
        <v/>
      </c>
      <c r="H1161" s="29">
        <v>8.9999999999999993E-3</v>
      </c>
      <c r="I1161" s="29">
        <v>1E-3</v>
      </c>
      <c r="K1161" s="21" t="str">
        <f>IF(E1161="","",IFERROR(VLOOKUP(E1161,REGRAS_CST!$A$2:$C$200,3,FALSE),""))</f>
        <v/>
      </c>
      <c r="L1161" s="23" t="str">
        <f>IF($G1161="", "", $G1161*(1-$V1161))</f>
        <v/>
      </c>
      <c r="M1161" s="24" t="str">
        <f>IF(OR($L1161="",$S1161=""),"",$L1161*$S1161)</f>
        <v/>
      </c>
      <c r="N1161" s="24" t="str">
        <f>IF(OR($L1161="",$T1161=""),"",$L1161*$T1161)</f>
        <v/>
      </c>
      <c r="O1161" s="15" t="str">
        <f>IF(D1161="","",
IF(AND(K1161&lt;&gt;"SIM",V1161&gt;0),"ERRO: % BC &gt; 0, mas NÃO permitida ❌",
IF(AND(K1161="SIM",V1161=0),"ATENÇÃO: BC permitida, mas % = 0 🔎",
"Base de cálculo aplicada corretamente ✅")))</f>
        <v/>
      </c>
      <c r="P1161" s="31" t="str">
        <f>IF(D1161="","",
IF(AND(Q1161&lt;&gt;"SIM",U1161&gt;0),"ERRO: % alíquota &gt; 0, mas NÃO permitida ❌",
IF(AND(Q1161="SIM",U1161=0),"ATENÇÃO: alíquota permitida, mas % = 0 🔎",
"Alíquota aplicada corretamente ✅")))</f>
        <v/>
      </c>
      <c r="Q1161" s="8" t="str">
        <f>IF(E1161="","",IFERROR(VLOOKUP(E1161,REGRAS_CST!$A$2:$D$200,4,FALSE),""))</f>
        <v/>
      </c>
      <c r="S1161" s="9">
        <f>IF($H1161="","",$H1161*(1-$U1161))</f>
        <v>8.9999999999999993E-3</v>
      </c>
      <c r="T1161" s="9">
        <f>IF($I1161="","",$I1161*(1-$U1161))</f>
        <v>1E-3</v>
      </c>
      <c r="U1161" s="16">
        <f>IFERROR(INDEX(BASE_CCLASSTRIB!$E:$E, MATCH(TEXT($D1161,"000000"), BASE_CCLASSTRIB!$A:$A, 0))/100, 0)</f>
        <v>0</v>
      </c>
      <c r="V1161" s="16">
        <f>IFERROR(INDEX(BASE_CCLASSTRIB!$F:$F, MATCH(TEXT($D1161,"000000"), BASE_CCLASSTRIB!$A:$A, 0))/100, 0)</f>
        <v>0</v>
      </c>
    </row>
    <row r="1162" spans="4:22" ht="32.25" customHeight="1">
      <c r="D1162" s="39"/>
      <c r="E1162" s="27" t="str">
        <f>IF(D1162="","",LEFT(D1162,3))</f>
        <v/>
      </c>
      <c r="F1162" s="28" t="str">
        <f>IF(E1162="","",IFERROR(VLOOKUP(E1162,REGRAS_CST!$A$2:$B$200,2,FALSE),""))</f>
        <v/>
      </c>
      <c r="H1162" s="29">
        <v>8.9999999999999993E-3</v>
      </c>
      <c r="I1162" s="29">
        <v>1E-3</v>
      </c>
      <c r="K1162" s="21" t="str">
        <f>IF(E1162="","",IFERROR(VLOOKUP(E1162,REGRAS_CST!$A$2:$C$200,3,FALSE),""))</f>
        <v/>
      </c>
      <c r="L1162" s="23" t="str">
        <f>IF($G1162="", "", $G1162*(1-$V1162))</f>
        <v/>
      </c>
      <c r="M1162" s="24" t="str">
        <f>IF(OR($L1162="",$S1162=""),"",$L1162*$S1162)</f>
        <v/>
      </c>
      <c r="N1162" s="24" t="str">
        <f>IF(OR($L1162="",$T1162=""),"",$L1162*$T1162)</f>
        <v/>
      </c>
      <c r="O1162" s="15" t="str">
        <f>IF(D1162="","",
IF(AND(K1162&lt;&gt;"SIM",V1162&gt;0),"ERRO: % BC &gt; 0, mas NÃO permitida ❌",
IF(AND(K1162="SIM",V1162=0),"ATENÇÃO: BC permitida, mas % = 0 🔎",
"Base de cálculo aplicada corretamente ✅")))</f>
        <v/>
      </c>
      <c r="P1162" s="31" t="str">
        <f>IF(D1162="","",
IF(AND(Q1162&lt;&gt;"SIM",U1162&gt;0),"ERRO: % alíquota &gt; 0, mas NÃO permitida ❌",
IF(AND(Q1162="SIM",U1162=0),"ATENÇÃO: alíquota permitida, mas % = 0 🔎",
"Alíquota aplicada corretamente ✅")))</f>
        <v/>
      </c>
      <c r="Q1162" s="8" t="str">
        <f>IF(E1162="","",IFERROR(VLOOKUP(E1162,REGRAS_CST!$A$2:$D$200,4,FALSE),""))</f>
        <v/>
      </c>
      <c r="S1162" s="9">
        <f>IF($H1162="","",$H1162*(1-$U1162))</f>
        <v>8.9999999999999993E-3</v>
      </c>
      <c r="T1162" s="9">
        <f>IF($I1162="","",$I1162*(1-$U1162))</f>
        <v>1E-3</v>
      </c>
      <c r="U1162" s="16">
        <f>IFERROR(INDEX(BASE_CCLASSTRIB!$E:$E, MATCH(TEXT($D1162,"000000"), BASE_CCLASSTRIB!$A:$A, 0))/100, 0)</f>
        <v>0</v>
      </c>
      <c r="V1162" s="16">
        <f>IFERROR(INDEX(BASE_CCLASSTRIB!$F:$F, MATCH(TEXT($D1162,"000000"), BASE_CCLASSTRIB!$A:$A, 0))/100, 0)</f>
        <v>0</v>
      </c>
    </row>
    <row r="1163" spans="4:22" ht="32.25" customHeight="1">
      <c r="D1163" s="39"/>
      <c r="E1163" s="27" t="str">
        <f>IF(D1163="","",LEFT(D1163,3))</f>
        <v/>
      </c>
      <c r="F1163" s="28" t="str">
        <f>IF(E1163="","",IFERROR(VLOOKUP(E1163,REGRAS_CST!$A$2:$B$200,2,FALSE),""))</f>
        <v/>
      </c>
      <c r="H1163" s="29">
        <v>8.9999999999999993E-3</v>
      </c>
      <c r="I1163" s="29">
        <v>1E-3</v>
      </c>
      <c r="K1163" s="21" t="str">
        <f>IF(E1163="","",IFERROR(VLOOKUP(E1163,REGRAS_CST!$A$2:$C$200,3,FALSE),""))</f>
        <v/>
      </c>
      <c r="L1163" s="23" t="str">
        <f>IF($G1163="", "", $G1163*(1-$V1163))</f>
        <v/>
      </c>
      <c r="M1163" s="24" t="str">
        <f>IF(OR($L1163="",$S1163=""),"",$L1163*$S1163)</f>
        <v/>
      </c>
      <c r="N1163" s="24" t="str">
        <f>IF(OR($L1163="",$T1163=""),"",$L1163*$T1163)</f>
        <v/>
      </c>
      <c r="O1163" s="15" t="str">
        <f>IF(D1163="","",
IF(AND(K1163&lt;&gt;"SIM",V1163&gt;0),"ERRO: % BC &gt; 0, mas NÃO permitida ❌",
IF(AND(K1163="SIM",V1163=0),"ATENÇÃO: BC permitida, mas % = 0 🔎",
"Base de cálculo aplicada corretamente ✅")))</f>
        <v/>
      </c>
      <c r="P1163" s="31" t="str">
        <f>IF(D1163="","",
IF(AND(Q1163&lt;&gt;"SIM",U1163&gt;0),"ERRO: % alíquota &gt; 0, mas NÃO permitida ❌",
IF(AND(Q1163="SIM",U1163=0),"ATENÇÃO: alíquota permitida, mas % = 0 🔎",
"Alíquota aplicada corretamente ✅")))</f>
        <v/>
      </c>
      <c r="Q1163" s="8" t="str">
        <f>IF(E1163="","",IFERROR(VLOOKUP(E1163,REGRAS_CST!$A$2:$D$200,4,FALSE),""))</f>
        <v/>
      </c>
      <c r="S1163" s="9">
        <f>IF($H1163="","",$H1163*(1-$U1163))</f>
        <v>8.9999999999999993E-3</v>
      </c>
      <c r="T1163" s="9">
        <f>IF($I1163="","",$I1163*(1-$U1163))</f>
        <v>1E-3</v>
      </c>
      <c r="U1163" s="16">
        <f>IFERROR(INDEX(BASE_CCLASSTRIB!$E:$E, MATCH(TEXT($D1163,"000000"), BASE_CCLASSTRIB!$A:$A, 0))/100, 0)</f>
        <v>0</v>
      </c>
      <c r="V1163" s="16">
        <f>IFERROR(INDEX(BASE_CCLASSTRIB!$F:$F, MATCH(TEXT($D1163,"000000"), BASE_CCLASSTRIB!$A:$A, 0))/100, 0)</f>
        <v>0</v>
      </c>
    </row>
    <row r="1164" spans="4:22" ht="32.25" customHeight="1">
      <c r="D1164" s="39"/>
      <c r="E1164" s="27" t="str">
        <f>IF(D1164="","",LEFT(D1164,3))</f>
        <v/>
      </c>
      <c r="F1164" s="28" t="str">
        <f>IF(E1164="","",IFERROR(VLOOKUP(E1164,REGRAS_CST!$A$2:$B$200,2,FALSE),""))</f>
        <v/>
      </c>
      <c r="H1164" s="29">
        <v>8.9999999999999993E-3</v>
      </c>
      <c r="I1164" s="29">
        <v>1E-3</v>
      </c>
      <c r="K1164" s="21" t="str">
        <f>IF(E1164="","",IFERROR(VLOOKUP(E1164,REGRAS_CST!$A$2:$C$200,3,FALSE),""))</f>
        <v/>
      </c>
      <c r="L1164" s="23" t="str">
        <f>IF($G1164="", "", $G1164*(1-$V1164))</f>
        <v/>
      </c>
      <c r="M1164" s="24" t="str">
        <f>IF(OR($L1164="",$S1164=""),"",$L1164*$S1164)</f>
        <v/>
      </c>
      <c r="N1164" s="24" t="str">
        <f>IF(OR($L1164="",$T1164=""),"",$L1164*$T1164)</f>
        <v/>
      </c>
      <c r="O1164" s="15" t="str">
        <f>IF(D1164="","",
IF(AND(K1164&lt;&gt;"SIM",V1164&gt;0),"ERRO: % BC &gt; 0, mas NÃO permitida ❌",
IF(AND(K1164="SIM",V1164=0),"ATENÇÃO: BC permitida, mas % = 0 🔎",
"Base de cálculo aplicada corretamente ✅")))</f>
        <v/>
      </c>
      <c r="P1164" s="31" t="str">
        <f>IF(D1164="","",
IF(AND(Q1164&lt;&gt;"SIM",U1164&gt;0),"ERRO: % alíquota &gt; 0, mas NÃO permitida ❌",
IF(AND(Q1164="SIM",U1164=0),"ATENÇÃO: alíquota permitida, mas % = 0 🔎",
"Alíquota aplicada corretamente ✅")))</f>
        <v/>
      </c>
      <c r="Q1164" s="8" t="str">
        <f>IF(E1164="","",IFERROR(VLOOKUP(E1164,REGRAS_CST!$A$2:$D$200,4,FALSE),""))</f>
        <v/>
      </c>
      <c r="S1164" s="9">
        <f>IF($H1164="","",$H1164*(1-$U1164))</f>
        <v>8.9999999999999993E-3</v>
      </c>
      <c r="T1164" s="9">
        <f>IF($I1164="","",$I1164*(1-$U1164))</f>
        <v>1E-3</v>
      </c>
      <c r="U1164" s="16">
        <f>IFERROR(INDEX(BASE_CCLASSTRIB!$E:$E, MATCH(TEXT($D1164,"000000"), BASE_CCLASSTRIB!$A:$A, 0))/100, 0)</f>
        <v>0</v>
      </c>
      <c r="V1164" s="16">
        <f>IFERROR(INDEX(BASE_CCLASSTRIB!$F:$F, MATCH(TEXT($D1164,"000000"), BASE_CCLASSTRIB!$A:$A, 0))/100, 0)</f>
        <v>0</v>
      </c>
    </row>
    <row r="1165" spans="4:22" ht="32.25" customHeight="1">
      <c r="D1165" s="40"/>
      <c r="E1165" s="27" t="str">
        <f>IF(D1165="","",LEFT(D1165,3))</f>
        <v/>
      </c>
      <c r="F1165" s="28" t="str">
        <f>IF(E1165="","",IFERROR(VLOOKUP(E1165,REGRAS_CST!$A$2:$B$200,2,FALSE),""))</f>
        <v/>
      </c>
      <c r="H1165" s="29">
        <v>8.9999999999999993E-3</v>
      </c>
      <c r="I1165" s="29">
        <v>1E-3</v>
      </c>
      <c r="K1165" s="21" t="str">
        <f>IF(E1165="","",IFERROR(VLOOKUP(E1165,REGRAS_CST!$A$2:$C$200,3,FALSE),""))</f>
        <v/>
      </c>
      <c r="L1165" s="23" t="str">
        <f>IF($G1165="", "", $G1165*(1-$V1165))</f>
        <v/>
      </c>
      <c r="M1165" s="24" t="str">
        <f>IF(OR($L1165="",$S1165=""),"",$L1165*$S1165)</f>
        <v/>
      </c>
      <c r="N1165" s="24" t="str">
        <f>IF(OR($L1165="",$T1165=""),"",$L1165*$T1165)</f>
        <v/>
      </c>
      <c r="O1165" s="15" t="str">
        <f>IF(D1165="","",
IF(AND(K1165&lt;&gt;"SIM",V1165&gt;0),"ERRO: % BC &gt; 0, mas NÃO permitida ❌",
IF(AND(K1165="SIM",V1165=0),"ATENÇÃO: BC permitida, mas % = 0 🔎",
"Base de cálculo aplicada corretamente ✅")))</f>
        <v/>
      </c>
      <c r="P1165" s="31" t="str">
        <f>IF(D1165="","",
IF(AND(Q1165&lt;&gt;"SIM",U1165&gt;0),"ERRO: % alíquota &gt; 0, mas NÃO permitida ❌",
IF(AND(Q1165="SIM",U1165=0),"ATENÇÃO: alíquota permitida, mas % = 0 🔎",
"Alíquota aplicada corretamente ✅")))</f>
        <v/>
      </c>
      <c r="Q1165" s="8" t="str">
        <f>IF(E1165="","",IFERROR(VLOOKUP(E1165,REGRAS_CST!$A$2:$D$200,4,FALSE),""))</f>
        <v/>
      </c>
      <c r="S1165" s="9">
        <f>IF($H1165="","",$H1165*(1-$U1165))</f>
        <v>8.9999999999999993E-3</v>
      </c>
      <c r="T1165" s="9">
        <f>IF($I1165="","",$I1165*(1-$U1165))</f>
        <v>1E-3</v>
      </c>
      <c r="U1165" s="16">
        <f>IFERROR(INDEX(BASE_CCLASSTRIB!$E:$E, MATCH(TEXT($D1165,"000000"), BASE_CCLASSTRIB!$A:$A, 0))/100, 0)</f>
        <v>0</v>
      </c>
      <c r="V1165" s="16">
        <f>IFERROR(INDEX(BASE_CCLASSTRIB!$F:$F, MATCH(TEXT($D1165,"000000"), BASE_CCLASSTRIB!$A:$A, 0))/100, 0)</f>
        <v>0</v>
      </c>
    </row>
    <row r="1166" spans="4:22" ht="32.25" customHeight="1">
      <c r="D1166" s="40"/>
      <c r="E1166" s="27" t="str">
        <f>IF(D1166="","",LEFT(D1166,3))</f>
        <v/>
      </c>
      <c r="F1166" s="28" t="str">
        <f>IF(E1166="","",IFERROR(VLOOKUP(E1166,REGRAS_CST!$A$2:$B$200,2,FALSE),""))</f>
        <v/>
      </c>
      <c r="H1166" s="29">
        <v>8.9999999999999993E-3</v>
      </c>
      <c r="I1166" s="29">
        <v>1E-3</v>
      </c>
      <c r="K1166" s="21" t="str">
        <f>IF(E1166="","",IFERROR(VLOOKUP(E1166,REGRAS_CST!$A$2:$C$200,3,FALSE),""))</f>
        <v/>
      </c>
      <c r="L1166" s="23" t="str">
        <f>IF($G1166="", "", $G1166*(1-$V1166))</f>
        <v/>
      </c>
      <c r="M1166" s="24" t="str">
        <f>IF(OR($L1166="",$S1166=""),"",$L1166*$S1166)</f>
        <v/>
      </c>
      <c r="N1166" s="24" t="str">
        <f>IF(OR($L1166="",$T1166=""),"",$L1166*$T1166)</f>
        <v/>
      </c>
      <c r="O1166" s="15" t="str">
        <f>IF(D1166="","",
IF(AND(K1166&lt;&gt;"SIM",V1166&gt;0),"ERRO: % BC &gt; 0, mas NÃO permitida ❌",
IF(AND(K1166="SIM",V1166=0),"ATENÇÃO: BC permitida, mas % = 0 🔎",
"Base de cálculo aplicada corretamente ✅")))</f>
        <v/>
      </c>
      <c r="P1166" s="31" t="str">
        <f>IF(D1166="","",
IF(AND(Q1166&lt;&gt;"SIM",U1166&gt;0),"ERRO: % alíquota &gt; 0, mas NÃO permitida ❌",
IF(AND(Q1166="SIM",U1166=0),"ATENÇÃO: alíquota permitida, mas % = 0 🔎",
"Alíquota aplicada corretamente ✅")))</f>
        <v/>
      </c>
      <c r="Q1166" s="8" t="str">
        <f>IF(E1166="","",IFERROR(VLOOKUP(E1166,REGRAS_CST!$A$2:$D$200,4,FALSE),""))</f>
        <v/>
      </c>
      <c r="S1166" s="9">
        <f>IF($H1166="","",$H1166*(1-$U1166))</f>
        <v>8.9999999999999993E-3</v>
      </c>
      <c r="T1166" s="9">
        <f>IF($I1166="","",$I1166*(1-$U1166))</f>
        <v>1E-3</v>
      </c>
      <c r="U1166" s="16">
        <f>IFERROR(INDEX(BASE_CCLASSTRIB!$E:$E, MATCH(TEXT($D1166,"000000"), BASE_CCLASSTRIB!$A:$A, 0))/100, 0)</f>
        <v>0</v>
      </c>
      <c r="V1166" s="16">
        <f>IFERROR(INDEX(BASE_CCLASSTRIB!$F:$F, MATCH(TEXT($D1166,"000000"), BASE_CCLASSTRIB!$A:$A, 0))/100, 0)</f>
        <v>0</v>
      </c>
    </row>
    <row r="1167" spans="4:22" ht="32.25" customHeight="1">
      <c r="D1167" s="40"/>
      <c r="E1167" s="27" t="str">
        <f>IF(D1167="","",LEFT(D1167,3))</f>
        <v/>
      </c>
      <c r="F1167" s="28" t="str">
        <f>IF(E1167="","",IFERROR(VLOOKUP(E1167,REGRAS_CST!$A$2:$B$200,2,FALSE),""))</f>
        <v/>
      </c>
      <c r="H1167" s="29">
        <v>8.9999999999999993E-3</v>
      </c>
      <c r="I1167" s="29">
        <v>1E-3</v>
      </c>
      <c r="K1167" s="21" t="str">
        <f>IF(E1167="","",IFERROR(VLOOKUP(E1167,REGRAS_CST!$A$2:$C$200,3,FALSE),""))</f>
        <v/>
      </c>
      <c r="L1167" s="23" t="str">
        <f>IF($G1167="", "", $G1167*(1-$V1167))</f>
        <v/>
      </c>
      <c r="M1167" s="24" t="str">
        <f>IF(OR($L1167="",$S1167=""),"",$L1167*$S1167)</f>
        <v/>
      </c>
      <c r="N1167" s="24" t="str">
        <f>IF(OR($L1167="",$T1167=""),"",$L1167*$T1167)</f>
        <v/>
      </c>
      <c r="O1167" s="15" t="str">
        <f>IF(D1167="","",
IF(AND(K1167&lt;&gt;"SIM",V1167&gt;0),"ERRO: % BC &gt; 0, mas NÃO permitida ❌",
IF(AND(K1167="SIM",V1167=0),"ATENÇÃO: BC permitida, mas % = 0 🔎",
"Base de cálculo aplicada corretamente ✅")))</f>
        <v/>
      </c>
      <c r="P1167" s="31" t="str">
        <f>IF(D1167="","",
IF(AND(Q1167&lt;&gt;"SIM",U1167&gt;0),"ERRO: % alíquota &gt; 0, mas NÃO permitida ❌",
IF(AND(Q1167="SIM",U1167=0),"ATENÇÃO: alíquota permitida, mas % = 0 🔎",
"Alíquota aplicada corretamente ✅")))</f>
        <v/>
      </c>
      <c r="Q1167" s="8" t="str">
        <f>IF(E1167="","",IFERROR(VLOOKUP(E1167,REGRAS_CST!$A$2:$D$200,4,FALSE),""))</f>
        <v/>
      </c>
      <c r="S1167" s="9">
        <f>IF($H1167="","",$H1167*(1-$U1167))</f>
        <v>8.9999999999999993E-3</v>
      </c>
      <c r="T1167" s="9">
        <f>IF($I1167="","",$I1167*(1-$U1167))</f>
        <v>1E-3</v>
      </c>
      <c r="U1167" s="16">
        <f>IFERROR(INDEX(BASE_CCLASSTRIB!$E:$E, MATCH(TEXT($D1167,"000000"), BASE_CCLASSTRIB!$A:$A, 0))/100, 0)</f>
        <v>0</v>
      </c>
      <c r="V1167" s="16">
        <f>IFERROR(INDEX(BASE_CCLASSTRIB!$F:$F, MATCH(TEXT($D1167,"000000"), BASE_CCLASSTRIB!$A:$A, 0))/100, 0)</f>
        <v>0</v>
      </c>
    </row>
    <row r="1168" spans="4:22" ht="32.25" customHeight="1">
      <c r="D1168" s="40"/>
      <c r="E1168" s="27" t="str">
        <f>IF(D1168="","",LEFT(D1168,3))</f>
        <v/>
      </c>
      <c r="F1168" s="28" t="str">
        <f>IF(E1168="","",IFERROR(VLOOKUP(E1168,REGRAS_CST!$A$2:$B$200,2,FALSE),""))</f>
        <v/>
      </c>
      <c r="H1168" s="29">
        <v>8.9999999999999993E-3</v>
      </c>
      <c r="I1168" s="29">
        <v>1E-3</v>
      </c>
      <c r="K1168" s="21" t="str">
        <f>IF(E1168="","",IFERROR(VLOOKUP(E1168,REGRAS_CST!$A$2:$C$200,3,FALSE),""))</f>
        <v/>
      </c>
      <c r="L1168" s="23" t="str">
        <f>IF($G1168="", "", $G1168*(1-$V1168))</f>
        <v/>
      </c>
      <c r="M1168" s="24" t="str">
        <f>IF(OR($L1168="",$S1168=""),"",$L1168*$S1168)</f>
        <v/>
      </c>
      <c r="N1168" s="24" t="str">
        <f>IF(OR($L1168="",$T1168=""),"",$L1168*$T1168)</f>
        <v/>
      </c>
      <c r="O1168" s="15" t="str">
        <f>IF(D1168="","",
IF(AND(K1168&lt;&gt;"SIM",V1168&gt;0),"ERRO: % BC &gt; 0, mas NÃO permitida ❌",
IF(AND(K1168="SIM",V1168=0),"ATENÇÃO: BC permitida, mas % = 0 🔎",
"Base de cálculo aplicada corretamente ✅")))</f>
        <v/>
      </c>
      <c r="P1168" s="31" t="str">
        <f>IF(D1168="","",
IF(AND(Q1168&lt;&gt;"SIM",U1168&gt;0),"ERRO: % alíquota &gt; 0, mas NÃO permitida ❌",
IF(AND(Q1168="SIM",U1168=0),"ATENÇÃO: alíquota permitida, mas % = 0 🔎",
"Alíquota aplicada corretamente ✅")))</f>
        <v/>
      </c>
      <c r="Q1168" s="8" t="str">
        <f>IF(E1168="","",IFERROR(VLOOKUP(E1168,REGRAS_CST!$A$2:$D$200,4,FALSE),""))</f>
        <v/>
      </c>
      <c r="S1168" s="9">
        <f>IF($H1168="","",$H1168*(1-$U1168))</f>
        <v>8.9999999999999993E-3</v>
      </c>
      <c r="T1168" s="9">
        <f>IF($I1168="","",$I1168*(1-$U1168))</f>
        <v>1E-3</v>
      </c>
      <c r="U1168" s="16">
        <f>IFERROR(INDEX(BASE_CCLASSTRIB!$E:$E, MATCH(TEXT($D1168,"000000"), BASE_CCLASSTRIB!$A:$A, 0))/100, 0)</f>
        <v>0</v>
      </c>
      <c r="V1168" s="16">
        <f>IFERROR(INDEX(BASE_CCLASSTRIB!$F:$F, MATCH(TEXT($D1168,"000000"), BASE_CCLASSTRIB!$A:$A, 0))/100, 0)</f>
        <v>0</v>
      </c>
    </row>
    <row r="1169" spans="4:22" ht="32.25" customHeight="1">
      <c r="D1169" s="40"/>
      <c r="E1169" s="27" t="str">
        <f>IF(D1169="","",LEFT(D1169,3))</f>
        <v/>
      </c>
      <c r="F1169" s="28" t="str">
        <f>IF(E1169="","",IFERROR(VLOOKUP(E1169,REGRAS_CST!$A$2:$B$200,2,FALSE),""))</f>
        <v/>
      </c>
      <c r="H1169" s="29">
        <v>8.9999999999999993E-3</v>
      </c>
      <c r="I1169" s="29">
        <v>1E-3</v>
      </c>
      <c r="K1169" s="21" t="str">
        <f>IF(E1169="","",IFERROR(VLOOKUP(E1169,REGRAS_CST!$A$2:$C$200,3,FALSE),""))</f>
        <v/>
      </c>
      <c r="L1169" s="23" t="str">
        <f>IF($G1169="", "", $G1169*(1-$V1169))</f>
        <v/>
      </c>
      <c r="M1169" s="24" t="str">
        <f>IF(OR($L1169="",$S1169=""),"",$L1169*$S1169)</f>
        <v/>
      </c>
      <c r="N1169" s="24" t="str">
        <f>IF(OR($L1169="",$T1169=""),"",$L1169*$T1169)</f>
        <v/>
      </c>
      <c r="O1169" s="15" t="str">
        <f>IF(D1169="","",
IF(AND(K1169&lt;&gt;"SIM",V1169&gt;0),"ERRO: % BC &gt; 0, mas NÃO permitida ❌",
IF(AND(K1169="SIM",V1169=0),"ATENÇÃO: BC permitida, mas % = 0 🔎",
"Base de cálculo aplicada corretamente ✅")))</f>
        <v/>
      </c>
      <c r="P1169" s="31" t="str">
        <f>IF(D1169="","",
IF(AND(Q1169&lt;&gt;"SIM",U1169&gt;0),"ERRO: % alíquota &gt; 0, mas NÃO permitida ❌",
IF(AND(Q1169="SIM",U1169=0),"ATENÇÃO: alíquota permitida, mas % = 0 🔎",
"Alíquota aplicada corretamente ✅")))</f>
        <v/>
      </c>
      <c r="Q1169" s="8" t="str">
        <f>IF(E1169="","",IFERROR(VLOOKUP(E1169,REGRAS_CST!$A$2:$D$200,4,FALSE),""))</f>
        <v/>
      </c>
      <c r="S1169" s="9">
        <f>IF($H1169="","",$H1169*(1-$U1169))</f>
        <v>8.9999999999999993E-3</v>
      </c>
      <c r="T1169" s="9">
        <f>IF($I1169="","",$I1169*(1-$U1169))</f>
        <v>1E-3</v>
      </c>
      <c r="U1169" s="16">
        <f>IFERROR(INDEX(BASE_CCLASSTRIB!$E:$E, MATCH(TEXT($D1169,"000000"), BASE_CCLASSTRIB!$A:$A, 0))/100, 0)</f>
        <v>0</v>
      </c>
      <c r="V1169" s="16">
        <f>IFERROR(INDEX(BASE_CCLASSTRIB!$F:$F, MATCH(TEXT($D1169,"000000"), BASE_CCLASSTRIB!$A:$A, 0))/100, 0)</f>
        <v>0</v>
      </c>
    </row>
    <row r="1170" spans="4:22" ht="32.25" customHeight="1">
      <c r="D1170" s="39"/>
      <c r="E1170" s="27" t="str">
        <f>IF(D1170="","",LEFT(D1170,3))</f>
        <v/>
      </c>
      <c r="F1170" s="28" t="str">
        <f>IF(E1170="","",IFERROR(VLOOKUP(E1170,REGRAS_CST!$A$2:$B$200,2,FALSE),""))</f>
        <v/>
      </c>
      <c r="H1170" s="29">
        <v>8.9999999999999993E-3</v>
      </c>
      <c r="I1170" s="29">
        <v>1E-3</v>
      </c>
      <c r="K1170" s="21" t="str">
        <f>IF(E1170="","",IFERROR(VLOOKUP(E1170,REGRAS_CST!$A$2:$C$200,3,FALSE),""))</f>
        <v/>
      </c>
      <c r="L1170" s="23" t="str">
        <f>IF($G1170="", "", $G1170*(1-$V1170))</f>
        <v/>
      </c>
      <c r="M1170" s="24" t="str">
        <f>IF(OR($L1170="",$S1170=""),"",$L1170*$S1170)</f>
        <v/>
      </c>
      <c r="N1170" s="24" t="str">
        <f>IF(OR($L1170="",$T1170=""),"",$L1170*$T1170)</f>
        <v/>
      </c>
      <c r="O1170" s="15" t="str">
        <f>IF(D1170="","",
IF(AND(K1170&lt;&gt;"SIM",V1170&gt;0),"ERRO: % BC &gt; 0, mas NÃO permitida ❌",
IF(AND(K1170="SIM",V1170=0),"ATENÇÃO: BC permitida, mas % = 0 🔎",
"Base de cálculo aplicada corretamente ✅")))</f>
        <v/>
      </c>
      <c r="P1170" s="31" t="str">
        <f>IF(D1170="","",
IF(AND(Q1170&lt;&gt;"SIM",U1170&gt;0),"ERRO: % alíquota &gt; 0, mas NÃO permitida ❌",
IF(AND(Q1170="SIM",U1170=0),"ATENÇÃO: alíquota permitida, mas % = 0 🔎",
"Alíquota aplicada corretamente ✅")))</f>
        <v/>
      </c>
      <c r="Q1170" s="8" t="str">
        <f>IF(E1170="","",IFERROR(VLOOKUP(E1170,REGRAS_CST!$A$2:$D$200,4,FALSE),""))</f>
        <v/>
      </c>
      <c r="S1170" s="9">
        <f>IF($H1170="","",$H1170*(1-$U1170))</f>
        <v>8.9999999999999993E-3</v>
      </c>
      <c r="T1170" s="9">
        <f>IF($I1170="","",$I1170*(1-$U1170))</f>
        <v>1E-3</v>
      </c>
      <c r="U1170" s="16">
        <f>IFERROR(INDEX(BASE_CCLASSTRIB!$E:$E, MATCH(TEXT($D1170,"000000"), BASE_CCLASSTRIB!$A:$A, 0))/100, 0)</f>
        <v>0</v>
      </c>
      <c r="V1170" s="16">
        <f>IFERROR(INDEX(BASE_CCLASSTRIB!$F:$F, MATCH(TEXT($D1170,"000000"), BASE_CCLASSTRIB!$A:$A, 0))/100, 0)</f>
        <v>0</v>
      </c>
    </row>
    <row r="1171" spans="4:22" ht="32.25" customHeight="1">
      <c r="D1171" s="39"/>
      <c r="E1171" s="27" t="str">
        <f>IF(D1171="","",LEFT(D1171,3))</f>
        <v/>
      </c>
      <c r="F1171" s="28" t="str">
        <f>IF(E1171="","",IFERROR(VLOOKUP(E1171,REGRAS_CST!$A$2:$B$200,2,FALSE),""))</f>
        <v/>
      </c>
      <c r="H1171" s="29">
        <v>8.9999999999999993E-3</v>
      </c>
      <c r="I1171" s="29">
        <v>1E-3</v>
      </c>
      <c r="K1171" s="21" t="str">
        <f>IF(E1171="","",IFERROR(VLOOKUP(E1171,REGRAS_CST!$A$2:$C$200,3,FALSE),""))</f>
        <v/>
      </c>
      <c r="L1171" s="23" t="str">
        <f>IF($G1171="", "", $G1171*(1-$V1171))</f>
        <v/>
      </c>
      <c r="M1171" s="24" t="str">
        <f>IF(OR($L1171="",$S1171=""),"",$L1171*$S1171)</f>
        <v/>
      </c>
      <c r="N1171" s="24" t="str">
        <f>IF(OR($L1171="",$T1171=""),"",$L1171*$T1171)</f>
        <v/>
      </c>
      <c r="O1171" s="15" t="str">
        <f>IF(D1171="","",
IF(AND(K1171&lt;&gt;"SIM",V1171&gt;0),"ERRO: % BC &gt; 0, mas NÃO permitida ❌",
IF(AND(K1171="SIM",V1171=0),"ATENÇÃO: BC permitida, mas % = 0 🔎",
"Base de cálculo aplicada corretamente ✅")))</f>
        <v/>
      </c>
      <c r="P1171" s="31" t="str">
        <f>IF(D1171="","",
IF(AND(Q1171&lt;&gt;"SIM",U1171&gt;0),"ERRO: % alíquota &gt; 0, mas NÃO permitida ❌",
IF(AND(Q1171="SIM",U1171=0),"ATENÇÃO: alíquota permitida, mas % = 0 🔎",
"Alíquota aplicada corretamente ✅")))</f>
        <v/>
      </c>
      <c r="Q1171" s="8" t="str">
        <f>IF(E1171="","",IFERROR(VLOOKUP(E1171,REGRAS_CST!$A$2:$D$200,4,FALSE),""))</f>
        <v/>
      </c>
      <c r="S1171" s="9">
        <f>IF($H1171="","",$H1171*(1-$U1171))</f>
        <v>8.9999999999999993E-3</v>
      </c>
      <c r="T1171" s="9">
        <f>IF($I1171="","",$I1171*(1-$U1171))</f>
        <v>1E-3</v>
      </c>
      <c r="U1171" s="16">
        <f>IFERROR(INDEX(BASE_CCLASSTRIB!$E:$E, MATCH(TEXT($D1171,"000000"), BASE_CCLASSTRIB!$A:$A, 0))/100, 0)</f>
        <v>0</v>
      </c>
      <c r="V1171" s="16">
        <f>IFERROR(INDEX(BASE_CCLASSTRIB!$F:$F, MATCH(TEXT($D1171,"000000"), BASE_CCLASSTRIB!$A:$A, 0))/100, 0)</f>
        <v>0</v>
      </c>
    </row>
    <row r="1172" spans="4:22" ht="32.25" customHeight="1">
      <c r="D1172" s="40"/>
      <c r="E1172" s="27" t="str">
        <f>IF(D1172="","",LEFT(D1172,3))</f>
        <v/>
      </c>
      <c r="F1172" s="28" t="str">
        <f>IF(E1172="","",IFERROR(VLOOKUP(E1172,REGRAS_CST!$A$2:$B$200,2,FALSE),""))</f>
        <v/>
      </c>
      <c r="H1172" s="29">
        <v>8.9999999999999993E-3</v>
      </c>
      <c r="I1172" s="29">
        <v>1E-3</v>
      </c>
      <c r="K1172" s="21" t="str">
        <f>IF(E1172="","",IFERROR(VLOOKUP(E1172,REGRAS_CST!$A$2:$C$200,3,FALSE),""))</f>
        <v/>
      </c>
      <c r="L1172" s="23" t="str">
        <f>IF($G1172="", "", $G1172*(1-$V1172))</f>
        <v/>
      </c>
      <c r="M1172" s="24" t="str">
        <f>IF(OR($L1172="",$S1172=""),"",$L1172*$S1172)</f>
        <v/>
      </c>
      <c r="N1172" s="24" t="str">
        <f>IF(OR($L1172="",$T1172=""),"",$L1172*$T1172)</f>
        <v/>
      </c>
      <c r="O1172" s="15" t="str">
        <f>IF(D1172="","",
IF(AND(K1172&lt;&gt;"SIM",V1172&gt;0),"ERRO: % BC &gt; 0, mas NÃO permitida ❌",
IF(AND(K1172="SIM",V1172=0),"ATENÇÃO: BC permitida, mas % = 0 🔎",
"Base de cálculo aplicada corretamente ✅")))</f>
        <v/>
      </c>
      <c r="P1172" s="31" t="str">
        <f>IF(D1172="","",
IF(AND(Q1172&lt;&gt;"SIM",U1172&gt;0),"ERRO: % alíquota &gt; 0, mas NÃO permitida ❌",
IF(AND(Q1172="SIM",U1172=0),"ATENÇÃO: alíquota permitida, mas % = 0 🔎",
"Alíquota aplicada corretamente ✅")))</f>
        <v/>
      </c>
      <c r="Q1172" s="8" t="str">
        <f>IF(E1172="","",IFERROR(VLOOKUP(E1172,REGRAS_CST!$A$2:$D$200,4,FALSE),""))</f>
        <v/>
      </c>
      <c r="S1172" s="9">
        <f>IF($H1172="","",$H1172*(1-$U1172))</f>
        <v>8.9999999999999993E-3</v>
      </c>
      <c r="T1172" s="9">
        <f>IF($I1172="","",$I1172*(1-$U1172))</f>
        <v>1E-3</v>
      </c>
      <c r="U1172" s="16">
        <f>IFERROR(INDEX(BASE_CCLASSTRIB!$E:$E, MATCH(TEXT($D1172,"000000"), BASE_CCLASSTRIB!$A:$A, 0))/100, 0)</f>
        <v>0</v>
      </c>
      <c r="V1172" s="16">
        <f>IFERROR(INDEX(BASE_CCLASSTRIB!$F:$F, MATCH(TEXT($D1172,"000000"), BASE_CCLASSTRIB!$A:$A, 0))/100, 0)</f>
        <v>0</v>
      </c>
    </row>
    <row r="1173" spans="4:22" ht="32.25" customHeight="1">
      <c r="D1173" s="39"/>
      <c r="E1173" s="27" t="str">
        <f>IF(D1173="","",LEFT(D1173,3))</f>
        <v/>
      </c>
      <c r="F1173" s="28" t="str">
        <f>IF(E1173="","",IFERROR(VLOOKUP(E1173,REGRAS_CST!$A$2:$B$200,2,FALSE),""))</f>
        <v/>
      </c>
      <c r="H1173" s="29">
        <v>8.9999999999999993E-3</v>
      </c>
      <c r="I1173" s="29">
        <v>1E-3</v>
      </c>
      <c r="K1173" s="21" t="str">
        <f>IF(E1173="","",IFERROR(VLOOKUP(E1173,REGRAS_CST!$A$2:$C$200,3,FALSE),""))</f>
        <v/>
      </c>
      <c r="L1173" s="23" t="str">
        <f>IF($G1173="", "", $G1173*(1-$V1173))</f>
        <v/>
      </c>
      <c r="M1173" s="24" t="str">
        <f>IF(OR($L1173="",$S1173=""),"",$L1173*$S1173)</f>
        <v/>
      </c>
      <c r="N1173" s="24" t="str">
        <f>IF(OR($L1173="",$T1173=""),"",$L1173*$T1173)</f>
        <v/>
      </c>
      <c r="O1173" s="15" t="str">
        <f>IF(D1173="","",
IF(AND(K1173&lt;&gt;"SIM",V1173&gt;0),"ERRO: % BC &gt; 0, mas NÃO permitida ❌",
IF(AND(K1173="SIM",V1173=0),"ATENÇÃO: BC permitida, mas % = 0 🔎",
"Base de cálculo aplicada corretamente ✅")))</f>
        <v/>
      </c>
      <c r="P1173" s="31" t="str">
        <f>IF(D1173="","",
IF(AND(Q1173&lt;&gt;"SIM",U1173&gt;0),"ERRO: % alíquota &gt; 0, mas NÃO permitida ❌",
IF(AND(Q1173="SIM",U1173=0),"ATENÇÃO: alíquota permitida, mas % = 0 🔎",
"Alíquota aplicada corretamente ✅")))</f>
        <v/>
      </c>
      <c r="Q1173" s="8" t="str">
        <f>IF(E1173="","",IFERROR(VLOOKUP(E1173,REGRAS_CST!$A$2:$D$200,4,FALSE),""))</f>
        <v/>
      </c>
      <c r="S1173" s="9">
        <f>IF($H1173="","",$H1173*(1-$U1173))</f>
        <v>8.9999999999999993E-3</v>
      </c>
      <c r="T1173" s="9">
        <f>IF($I1173="","",$I1173*(1-$U1173))</f>
        <v>1E-3</v>
      </c>
      <c r="U1173" s="16">
        <f>IFERROR(INDEX(BASE_CCLASSTRIB!$E:$E, MATCH(TEXT($D1173,"000000"), BASE_CCLASSTRIB!$A:$A, 0))/100, 0)</f>
        <v>0</v>
      </c>
      <c r="V1173" s="16">
        <f>IFERROR(INDEX(BASE_CCLASSTRIB!$F:$F, MATCH(TEXT($D1173,"000000"), BASE_CCLASSTRIB!$A:$A, 0))/100, 0)</f>
        <v>0</v>
      </c>
    </row>
    <row r="1174" spans="4:22" ht="32.25" customHeight="1">
      <c r="D1174" s="39"/>
      <c r="E1174" s="27" t="str">
        <f>IF(D1174="","",LEFT(D1174,3))</f>
        <v/>
      </c>
      <c r="F1174" s="28" t="str">
        <f>IF(E1174="","",IFERROR(VLOOKUP(E1174,REGRAS_CST!$A$2:$B$200,2,FALSE),""))</f>
        <v/>
      </c>
      <c r="H1174" s="29">
        <v>8.9999999999999993E-3</v>
      </c>
      <c r="I1174" s="29">
        <v>1E-3</v>
      </c>
      <c r="K1174" s="21" t="str">
        <f>IF(E1174="","",IFERROR(VLOOKUP(E1174,REGRAS_CST!$A$2:$C$200,3,FALSE),""))</f>
        <v/>
      </c>
      <c r="L1174" s="23" t="str">
        <f>IF($G1174="", "", $G1174*(1-$V1174))</f>
        <v/>
      </c>
      <c r="M1174" s="24" t="str">
        <f>IF(OR($L1174="",$S1174=""),"",$L1174*$S1174)</f>
        <v/>
      </c>
      <c r="N1174" s="24" t="str">
        <f>IF(OR($L1174="",$T1174=""),"",$L1174*$T1174)</f>
        <v/>
      </c>
      <c r="O1174" s="15" t="str">
        <f>IF(D1174="","",
IF(AND(K1174&lt;&gt;"SIM",V1174&gt;0),"ERRO: % BC &gt; 0, mas NÃO permitida ❌",
IF(AND(K1174="SIM",V1174=0),"ATENÇÃO: BC permitida, mas % = 0 🔎",
"Base de cálculo aplicada corretamente ✅")))</f>
        <v/>
      </c>
      <c r="P1174" s="31" t="str">
        <f>IF(D1174="","",
IF(AND(Q1174&lt;&gt;"SIM",U1174&gt;0),"ERRO: % alíquota &gt; 0, mas NÃO permitida ❌",
IF(AND(Q1174="SIM",U1174=0),"ATENÇÃO: alíquota permitida, mas % = 0 🔎",
"Alíquota aplicada corretamente ✅")))</f>
        <v/>
      </c>
      <c r="Q1174" s="8" t="str">
        <f>IF(E1174="","",IFERROR(VLOOKUP(E1174,REGRAS_CST!$A$2:$D$200,4,FALSE),""))</f>
        <v/>
      </c>
      <c r="S1174" s="9">
        <f>IF($H1174="","",$H1174*(1-$U1174))</f>
        <v>8.9999999999999993E-3</v>
      </c>
      <c r="T1174" s="9">
        <f>IF($I1174="","",$I1174*(1-$U1174))</f>
        <v>1E-3</v>
      </c>
      <c r="U1174" s="16">
        <f>IFERROR(INDEX(BASE_CCLASSTRIB!$E:$E, MATCH(TEXT($D1174,"000000"), BASE_CCLASSTRIB!$A:$A, 0))/100, 0)</f>
        <v>0</v>
      </c>
      <c r="V1174" s="16">
        <f>IFERROR(INDEX(BASE_CCLASSTRIB!$F:$F, MATCH(TEXT($D1174,"000000"), BASE_CCLASSTRIB!$A:$A, 0))/100, 0)</f>
        <v>0</v>
      </c>
    </row>
    <row r="1175" spans="4:22" ht="32.25" customHeight="1">
      <c r="D1175" s="40"/>
      <c r="E1175" s="27" t="str">
        <f>IF(D1175="","",LEFT(D1175,3))</f>
        <v/>
      </c>
      <c r="F1175" s="28" t="str">
        <f>IF(E1175="","",IFERROR(VLOOKUP(E1175,REGRAS_CST!$A$2:$B$200,2,FALSE),""))</f>
        <v/>
      </c>
      <c r="H1175" s="29">
        <v>8.9999999999999993E-3</v>
      </c>
      <c r="I1175" s="29">
        <v>1E-3</v>
      </c>
      <c r="K1175" s="21" t="str">
        <f>IF(E1175="","",IFERROR(VLOOKUP(E1175,REGRAS_CST!$A$2:$C$200,3,FALSE),""))</f>
        <v/>
      </c>
      <c r="L1175" s="23" t="str">
        <f>IF($G1175="", "", $G1175*(1-$V1175))</f>
        <v/>
      </c>
      <c r="M1175" s="24" t="str">
        <f>IF(OR($L1175="",$S1175=""),"",$L1175*$S1175)</f>
        <v/>
      </c>
      <c r="N1175" s="24" t="str">
        <f>IF(OR($L1175="",$T1175=""),"",$L1175*$T1175)</f>
        <v/>
      </c>
      <c r="O1175" s="15" t="str">
        <f>IF(D1175="","",
IF(AND(K1175&lt;&gt;"SIM",V1175&gt;0),"ERRO: % BC &gt; 0, mas NÃO permitida ❌",
IF(AND(K1175="SIM",V1175=0),"ATENÇÃO: BC permitida, mas % = 0 🔎",
"Base de cálculo aplicada corretamente ✅")))</f>
        <v/>
      </c>
      <c r="P1175" s="31" t="str">
        <f>IF(D1175="","",
IF(AND(Q1175&lt;&gt;"SIM",U1175&gt;0),"ERRO: % alíquota &gt; 0, mas NÃO permitida ❌",
IF(AND(Q1175="SIM",U1175=0),"ATENÇÃO: alíquota permitida, mas % = 0 🔎",
"Alíquota aplicada corretamente ✅")))</f>
        <v/>
      </c>
      <c r="Q1175" s="8" t="str">
        <f>IF(E1175="","",IFERROR(VLOOKUP(E1175,REGRAS_CST!$A$2:$D$200,4,FALSE),""))</f>
        <v/>
      </c>
      <c r="S1175" s="9">
        <f>IF($H1175="","",$H1175*(1-$U1175))</f>
        <v>8.9999999999999993E-3</v>
      </c>
      <c r="T1175" s="9">
        <f>IF($I1175="","",$I1175*(1-$U1175))</f>
        <v>1E-3</v>
      </c>
      <c r="U1175" s="16">
        <f>IFERROR(INDEX(BASE_CCLASSTRIB!$E:$E, MATCH(TEXT($D1175,"000000"), BASE_CCLASSTRIB!$A:$A, 0))/100, 0)</f>
        <v>0</v>
      </c>
      <c r="V1175" s="16">
        <f>IFERROR(INDEX(BASE_CCLASSTRIB!$F:$F, MATCH(TEXT($D1175,"000000"), BASE_CCLASSTRIB!$A:$A, 0))/100, 0)</f>
        <v>0</v>
      </c>
    </row>
    <row r="1176" spans="4:22" ht="32.25" customHeight="1">
      <c r="D1176" s="39"/>
      <c r="E1176" s="27" t="str">
        <f>IF(D1176="","",LEFT(D1176,3))</f>
        <v/>
      </c>
      <c r="F1176" s="28" t="str">
        <f>IF(E1176="","",IFERROR(VLOOKUP(E1176,REGRAS_CST!$A$2:$B$200,2,FALSE),""))</f>
        <v/>
      </c>
      <c r="H1176" s="29">
        <v>8.9999999999999993E-3</v>
      </c>
      <c r="I1176" s="29">
        <v>1E-3</v>
      </c>
      <c r="K1176" s="21" t="str">
        <f>IF(E1176="","",IFERROR(VLOOKUP(E1176,REGRAS_CST!$A$2:$C$200,3,FALSE),""))</f>
        <v/>
      </c>
      <c r="L1176" s="23" t="str">
        <f>IF($G1176="", "", $G1176*(1-$V1176))</f>
        <v/>
      </c>
      <c r="M1176" s="24" t="str">
        <f>IF(OR($L1176="",$S1176=""),"",$L1176*$S1176)</f>
        <v/>
      </c>
      <c r="N1176" s="24" t="str">
        <f>IF(OR($L1176="",$T1176=""),"",$L1176*$T1176)</f>
        <v/>
      </c>
      <c r="O1176" s="15" t="str">
        <f>IF(D1176="","",
IF(AND(K1176&lt;&gt;"SIM",V1176&gt;0),"ERRO: % BC &gt; 0, mas NÃO permitida ❌",
IF(AND(K1176="SIM",V1176=0),"ATENÇÃO: BC permitida, mas % = 0 🔎",
"Base de cálculo aplicada corretamente ✅")))</f>
        <v/>
      </c>
      <c r="P1176" s="31" t="str">
        <f>IF(D1176="","",
IF(AND(Q1176&lt;&gt;"SIM",U1176&gt;0),"ERRO: % alíquota &gt; 0, mas NÃO permitida ❌",
IF(AND(Q1176="SIM",U1176=0),"ATENÇÃO: alíquota permitida, mas % = 0 🔎",
"Alíquota aplicada corretamente ✅")))</f>
        <v/>
      </c>
      <c r="Q1176" s="8" t="str">
        <f>IF(E1176="","",IFERROR(VLOOKUP(E1176,REGRAS_CST!$A$2:$D$200,4,FALSE),""))</f>
        <v/>
      </c>
      <c r="S1176" s="9">
        <f>IF($H1176="","",$H1176*(1-$U1176))</f>
        <v>8.9999999999999993E-3</v>
      </c>
      <c r="T1176" s="9">
        <f>IF($I1176="","",$I1176*(1-$U1176))</f>
        <v>1E-3</v>
      </c>
      <c r="U1176" s="16">
        <f>IFERROR(INDEX(BASE_CCLASSTRIB!$E:$E, MATCH(TEXT($D1176,"000000"), BASE_CCLASSTRIB!$A:$A, 0))/100, 0)</f>
        <v>0</v>
      </c>
      <c r="V1176" s="16">
        <f>IFERROR(INDEX(BASE_CCLASSTRIB!$F:$F, MATCH(TEXT($D1176,"000000"), BASE_CCLASSTRIB!$A:$A, 0))/100, 0)</f>
        <v>0</v>
      </c>
    </row>
    <row r="1177" spans="4:22" ht="32.25" customHeight="1">
      <c r="D1177" s="39"/>
      <c r="E1177" s="27" t="str">
        <f>IF(D1177="","",LEFT(D1177,3))</f>
        <v/>
      </c>
      <c r="F1177" s="28" t="str">
        <f>IF(E1177="","",IFERROR(VLOOKUP(E1177,REGRAS_CST!$A$2:$B$200,2,FALSE),""))</f>
        <v/>
      </c>
      <c r="H1177" s="29">
        <v>8.9999999999999993E-3</v>
      </c>
      <c r="I1177" s="29">
        <v>1E-3</v>
      </c>
      <c r="K1177" s="21" t="str">
        <f>IF(E1177="","",IFERROR(VLOOKUP(E1177,REGRAS_CST!$A$2:$C$200,3,FALSE),""))</f>
        <v/>
      </c>
      <c r="L1177" s="23" t="str">
        <f>IF($G1177="", "", $G1177*(1-$V1177))</f>
        <v/>
      </c>
      <c r="M1177" s="24" t="str">
        <f>IF(OR($L1177="",$S1177=""),"",$L1177*$S1177)</f>
        <v/>
      </c>
      <c r="N1177" s="24" t="str">
        <f>IF(OR($L1177="",$T1177=""),"",$L1177*$T1177)</f>
        <v/>
      </c>
      <c r="O1177" s="15" t="str">
        <f>IF(D1177="","",
IF(AND(K1177&lt;&gt;"SIM",V1177&gt;0),"ERRO: % BC &gt; 0, mas NÃO permitida ❌",
IF(AND(K1177="SIM",V1177=0),"ATENÇÃO: BC permitida, mas % = 0 🔎",
"Base de cálculo aplicada corretamente ✅")))</f>
        <v/>
      </c>
      <c r="P1177" s="31" t="str">
        <f>IF(D1177="","",
IF(AND(Q1177&lt;&gt;"SIM",U1177&gt;0),"ERRO: % alíquota &gt; 0, mas NÃO permitida ❌",
IF(AND(Q1177="SIM",U1177=0),"ATENÇÃO: alíquota permitida, mas % = 0 🔎",
"Alíquota aplicada corretamente ✅")))</f>
        <v/>
      </c>
      <c r="Q1177" s="8" t="str">
        <f>IF(E1177="","",IFERROR(VLOOKUP(E1177,REGRAS_CST!$A$2:$D$200,4,FALSE),""))</f>
        <v/>
      </c>
      <c r="S1177" s="9">
        <f>IF($H1177="","",$H1177*(1-$U1177))</f>
        <v>8.9999999999999993E-3</v>
      </c>
      <c r="T1177" s="9">
        <f>IF($I1177="","",$I1177*(1-$U1177))</f>
        <v>1E-3</v>
      </c>
      <c r="U1177" s="16">
        <f>IFERROR(INDEX(BASE_CCLASSTRIB!$E:$E, MATCH(TEXT($D1177,"000000"), BASE_CCLASSTRIB!$A:$A, 0))/100, 0)</f>
        <v>0</v>
      </c>
      <c r="V1177" s="16">
        <f>IFERROR(INDEX(BASE_CCLASSTRIB!$F:$F, MATCH(TEXT($D1177,"000000"), BASE_CCLASSTRIB!$A:$A, 0))/100, 0)</f>
        <v>0</v>
      </c>
    </row>
    <row r="1178" spans="4:22" ht="32.25" customHeight="1">
      <c r="D1178" s="40"/>
      <c r="E1178" s="27" t="str">
        <f>IF(D1178="","",LEFT(D1178,3))</f>
        <v/>
      </c>
      <c r="F1178" s="28" t="str">
        <f>IF(E1178="","",IFERROR(VLOOKUP(E1178,REGRAS_CST!$A$2:$B$200,2,FALSE),""))</f>
        <v/>
      </c>
      <c r="H1178" s="29">
        <v>8.9999999999999993E-3</v>
      </c>
      <c r="I1178" s="29">
        <v>1E-3</v>
      </c>
      <c r="K1178" s="21" t="str">
        <f>IF(E1178="","",IFERROR(VLOOKUP(E1178,REGRAS_CST!$A$2:$C$200,3,FALSE),""))</f>
        <v/>
      </c>
      <c r="L1178" s="23" t="str">
        <f>IF($G1178="", "", $G1178*(1-$V1178))</f>
        <v/>
      </c>
      <c r="M1178" s="24" t="str">
        <f>IF(OR($L1178="",$S1178=""),"",$L1178*$S1178)</f>
        <v/>
      </c>
      <c r="N1178" s="24" t="str">
        <f>IF(OR($L1178="",$T1178=""),"",$L1178*$T1178)</f>
        <v/>
      </c>
      <c r="O1178" s="15" t="str">
        <f>IF(D1178="","",
IF(AND(K1178&lt;&gt;"SIM",V1178&gt;0),"ERRO: % BC &gt; 0, mas NÃO permitida ❌",
IF(AND(K1178="SIM",V1178=0),"ATENÇÃO: BC permitida, mas % = 0 🔎",
"Base de cálculo aplicada corretamente ✅")))</f>
        <v/>
      </c>
      <c r="P1178" s="31" t="str">
        <f>IF(D1178="","",
IF(AND(Q1178&lt;&gt;"SIM",U1178&gt;0),"ERRO: % alíquota &gt; 0, mas NÃO permitida ❌",
IF(AND(Q1178="SIM",U1178=0),"ATENÇÃO: alíquota permitida, mas % = 0 🔎",
"Alíquota aplicada corretamente ✅")))</f>
        <v/>
      </c>
      <c r="Q1178" s="8" t="str">
        <f>IF(E1178="","",IFERROR(VLOOKUP(E1178,REGRAS_CST!$A$2:$D$200,4,FALSE),""))</f>
        <v/>
      </c>
      <c r="S1178" s="9">
        <f>IF($H1178="","",$H1178*(1-$U1178))</f>
        <v>8.9999999999999993E-3</v>
      </c>
      <c r="T1178" s="9">
        <f>IF($I1178="","",$I1178*(1-$U1178))</f>
        <v>1E-3</v>
      </c>
      <c r="U1178" s="16">
        <f>IFERROR(INDEX(BASE_CCLASSTRIB!$E:$E, MATCH(TEXT($D1178,"000000"), BASE_CCLASSTRIB!$A:$A, 0))/100, 0)</f>
        <v>0</v>
      </c>
      <c r="V1178" s="16">
        <f>IFERROR(INDEX(BASE_CCLASSTRIB!$F:$F, MATCH(TEXT($D1178,"000000"), BASE_CCLASSTRIB!$A:$A, 0))/100, 0)</f>
        <v>0</v>
      </c>
    </row>
    <row r="1179" spans="4:22" ht="32.25" customHeight="1">
      <c r="D1179" s="40"/>
      <c r="E1179" s="27" t="str">
        <f>IF(D1179="","",LEFT(D1179,3))</f>
        <v/>
      </c>
      <c r="F1179" s="28" t="str">
        <f>IF(E1179="","",IFERROR(VLOOKUP(E1179,REGRAS_CST!$A$2:$B$200,2,FALSE),""))</f>
        <v/>
      </c>
      <c r="H1179" s="29">
        <v>8.9999999999999993E-3</v>
      </c>
      <c r="I1179" s="29">
        <v>1E-3</v>
      </c>
      <c r="K1179" s="21" t="str">
        <f>IF(E1179="","",IFERROR(VLOOKUP(E1179,REGRAS_CST!$A$2:$C$200,3,FALSE),""))</f>
        <v/>
      </c>
      <c r="L1179" s="23" t="str">
        <f>IF($G1179="", "", $G1179*(1-$V1179))</f>
        <v/>
      </c>
      <c r="M1179" s="24" t="str">
        <f>IF(OR($L1179="",$S1179=""),"",$L1179*$S1179)</f>
        <v/>
      </c>
      <c r="N1179" s="24" t="str">
        <f>IF(OR($L1179="",$T1179=""),"",$L1179*$T1179)</f>
        <v/>
      </c>
      <c r="O1179" s="15" t="str">
        <f>IF(D1179="","",
IF(AND(K1179&lt;&gt;"SIM",V1179&gt;0),"ERRO: % BC &gt; 0, mas NÃO permitida ❌",
IF(AND(K1179="SIM",V1179=0),"ATENÇÃO: BC permitida, mas % = 0 🔎",
"Base de cálculo aplicada corretamente ✅")))</f>
        <v/>
      </c>
      <c r="P1179" s="31" t="str">
        <f>IF(D1179="","",
IF(AND(Q1179&lt;&gt;"SIM",U1179&gt;0),"ERRO: % alíquota &gt; 0, mas NÃO permitida ❌",
IF(AND(Q1179="SIM",U1179=0),"ATENÇÃO: alíquota permitida, mas % = 0 🔎",
"Alíquota aplicada corretamente ✅")))</f>
        <v/>
      </c>
      <c r="Q1179" s="8" t="str">
        <f>IF(E1179="","",IFERROR(VLOOKUP(E1179,REGRAS_CST!$A$2:$D$200,4,FALSE),""))</f>
        <v/>
      </c>
      <c r="S1179" s="9">
        <f>IF($H1179="","",$H1179*(1-$U1179))</f>
        <v>8.9999999999999993E-3</v>
      </c>
      <c r="T1179" s="9">
        <f>IF($I1179="","",$I1179*(1-$U1179))</f>
        <v>1E-3</v>
      </c>
      <c r="U1179" s="16">
        <f>IFERROR(INDEX(BASE_CCLASSTRIB!$E:$E, MATCH(TEXT($D1179,"000000"), BASE_CCLASSTRIB!$A:$A, 0))/100, 0)</f>
        <v>0</v>
      </c>
      <c r="V1179" s="16">
        <f>IFERROR(INDEX(BASE_CCLASSTRIB!$F:$F, MATCH(TEXT($D1179,"000000"), BASE_CCLASSTRIB!$A:$A, 0))/100, 0)</f>
        <v>0</v>
      </c>
    </row>
    <row r="1180" spans="4:22" ht="32.25" customHeight="1">
      <c r="D1180" s="40"/>
      <c r="E1180" s="27" t="str">
        <f>IF(D1180="","",LEFT(D1180,3))</f>
        <v/>
      </c>
      <c r="F1180" s="28" t="str">
        <f>IF(E1180="","",IFERROR(VLOOKUP(E1180,REGRAS_CST!$A$2:$B$200,2,FALSE),""))</f>
        <v/>
      </c>
      <c r="H1180" s="29">
        <v>8.9999999999999993E-3</v>
      </c>
      <c r="I1180" s="29">
        <v>1E-3</v>
      </c>
      <c r="K1180" s="21" t="str">
        <f>IF(E1180="","",IFERROR(VLOOKUP(E1180,REGRAS_CST!$A$2:$C$200,3,FALSE),""))</f>
        <v/>
      </c>
      <c r="L1180" s="23" t="str">
        <f>IF($G1180="", "", $G1180*(1-$V1180))</f>
        <v/>
      </c>
      <c r="M1180" s="24" t="str">
        <f>IF(OR($L1180="",$S1180=""),"",$L1180*$S1180)</f>
        <v/>
      </c>
      <c r="N1180" s="24" t="str">
        <f>IF(OR($L1180="",$T1180=""),"",$L1180*$T1180)</f>
        <v/>
      </c>
      <c r="O1180" s="15" t="str">
        <f>IF(D1180="","",
IF(AND(K1180&lt;&gt;"SIM",V1180&gt;0),"ERRO: % BC &gt; 0, mas NÃO permitida ❌",
IF(AND(K1180="SIM",V1180=0),"ATENÇÃO: BC permitida, mas % = 0 🔎",
"Base de cálculo aplicada corretamente ✅")))</f>
        <v/>
      </c>
      <c r="P1180" s="31" t="str">
        <f>IF(D1180="","",
IF(AND(Q1180&lt;&gt;"SIM",U1180&gt;0),"ERRO: % alíquota &gt; 0, mas NÃO permitida ❌",
IF(AND(Q1180="SIM",U1180=0),"ATENÇÃO: alíquota permitida, mas % = 0 🔎",
"Alíquota aplicada corretamente ✅")))</f>
        <v/>
      </c>
      <c r="Q1180" s="8" t="str">
        <f>IF(E1180="","",IFERROR(VLOOKUP(E1180,REGRAS_CST!$A$2:$D$200,4,FALSE),""))</f>
        <v/>
      </c>
      <c r="S1180" s="9">
        <f>IF($H1180="","",$H1180*(1-$U1180))</f>
        <v>8.9999999999999993E-3</v>
      </c>
      <c r="T1180" s="9">
        <f>IF($I1180="","",$I1180*(1-$U1180))</f>
        <v>1E-3</v>
      </c>
      <c r="U1180" s="16">
        <f>IFERROR(INDEX(BASE_CCLASSTRIB!$E:$E, MATCH(TEXT($D1180,"000000"), BASE_CCLASSTRIB!$A:$A, 0))/100, 0)</f>
        <v>0</v>
      </c>
      <c r="V1180" s="16">
        <f>IFERROR(INDEX(BASE_CCLASSTRIB!$F:$F, MATCH(TEXT($D1180,"000000"), BASE_CCLASSTRIB!$A:$A, 0))/100, 0)</f>
        <v>0</v>
      </c>
    </row>
    <row r="1181" spans="4:22" ht="32.25" customHeight="1">
      <c r="D1181" s="40"/>
      <c r="E1181" s="27" t="str">
        <f>IF(D1181="","",LEFT(D1181,3))</f>
        <v/>
      </c>
      <c r="F1181" s="28" t="str">
        <f>IF(E1181="","",IFERROR(VLOOKUP(E1181,REGRAS_CST!$A$2:$B$200,2,FALSE),""))</f>
        <v/>
      </c>
      <c r="H1181" s="29">
        <v>8.9999999999999993E-3</v>
      </c>
      <c r="I1181" s="29">
        <v>1E-3</v>
      </c>
      <c r="K1181" s="21" t="str">
        <f>IF(E1181="","",IFERROR(VLOOKUP(E1181,REGRAS_CST!$A$2:$C$200,3,FALSE),""))</f>
        <v/>
      </c>
      <c r="L1181" s="23" t="str">
        <f>IF($G1181="", "", $G1181*(1-$V1181))</f>
        <v/>
      </c>
      <c r="M1181" s="24" t="str">
        <f>IF(OR($L1181="",$S1181=""),"",$L1181*$S1181)</f>
        <v/>
      </c>
      <c r="N1181" s="24" t="str">
        <f>IF(OR($L1181="",$T1181=""),"",$L1181*$T1181)</f>
        <v/>
      </c>
      <c r="O1181" s="15" t="str">
        <f>IF(D1181="","",
IF(AND(K1181&lt;&gt;"SIM",V1181&gt;0),"ERRO: % BC &gt; 0, mas NÃO permitida ❌",
IF(AND(K1181="SIM",V1181=0),"ATENÇÃO: BC permitida, mas % = 0 🔎",
"Base de cálculo aplicada corretamente ✅")))</f>
        <v/>
      </c>
      <c r="P1181" s="31" t="str">
        <f>IF(D1181="","",
IF(AND(Q1181&lt;&gt;"SIM",U1181&gt;0),"ERRO: % alíquota &gt; 0, mas NÃO permitida ❌",
IF(AND(Q1181="SIM",U1181=0),"ATENÇÃO: alíquota permitida, mas % = 0 🔎",
"Alíquota aplicada corretamente ✅")))</f>
        <v/>
      </c>
      <c r="Q1181" s="8" t="str">
        <f>IF(E1181="","",IFERROR(VLOOKUP(E1181,REGRAS_CST!$A$2:$D$200,4,FALSE),""))</f>
        <v/>
      </c>
      <c r="S1181" s="9">
        <f>IF($H1181="","",$H1181*(1-$U1181))</f>
        <v>8.9999999999999993E-3</v>
      </c>
      <c r="T1181" s="9">
        <f>IF($I1181="","",$I1181*(1-$U1181))</f>
        <v>1E-3</v>
      </c>
      <c r="U1181" s="16">
        <f>IFERROR(INDEX(BASE_CCLASSTRIB!$E:$E, MATCH(TEXT($D1181,"000000"), BASE_CCLASSTRIB!$A:$A, 0))/100, 0)</f>
        <v>0</v>
      </c>
      <c r="V1181" s="16">
        <f>IFERROR(INDEX(BASE_CCLASSTRIB!$F:$F, MATCH(TEXT($D1181,"000000"), BASE_CCLASSTRIB!$A:$A, 0))/100, 0)</f>
        <v>0</v>
      </c>
    </row>
    <row r="1182" spans="4:22" ht="32.25" customHeight="1">
      <c r="D1182" s="40"/>
      <c r="E1182" s="27" t="str">
        <f>IF(D1182="","",LEFT(D1182,3))</f>
        <v/>
      </c>
      <c r="F1182" s="28" t="str">
        <f>IF(E1182="","",IFERROR(VLOOKUP(E1182,REGRAS_CST!$A$2:$B$200,2,FALSE),""))</f>
        <v/>
      </c>
      <c r="H1182" s="29">
        <v>8.9999999999999993E-3</v>
      </c>
      <c r="I1182" s="29">
        <v>1E-3</v>
      </c>
      <c r="K1182" s="21" t="str">
        <f>IF(E1182="","",IFERROR(VLOOKUP(E1182,REGRAS_CST!$A$2:$C$200,3,FALSE),""))</f>
        <v/>
      </c>
      <c r="L1182" s="23" t="str">
        <f>IF($G1182="", "", $G1182*(1-$V1182))</f>
        <v/>
      </c>
      <c r="M1182" s="24" t="str">
        <f>IF(OR($L1182="",$S1182=""),"",$L1182*$S1182)</f>
        <v/>
      </c>
      <c r="N1182" s="24" t="str">
        <f>IF(OR($L1182="",$T1182=""),"",$L1182*$T1182)</f>
        <v/>
      </c>
      <c r="O1182" s="15" t="str">
        <f>IF(D1182="","",
IF(AND(K1182&lt;&gt;"SIM",V1182&gt;0),"ERRO: % BC &gt; 0, mas NÃO permitida ❌",
IF(AND(K1182="SIM",V1182=0),"ATENÇÃO: BC permitida, mas % = 0 🔎",
"Base de cálculo aplicada corretamente ✅")))</f>
        <v/>
      </c>
      <c r="P1182" s="31" t="str">
        <f>IF(D1182="","",
IF(AND(Q1182&lt;&gt;"SIM",U1182&gt;0),"ERRO: % alíquota &gt; 0, mas NÃO permitida ❌",
IF(AND(Q1182="SIM",U1182=0),"ATENÇÃO: alíquota permitida, mas % = 0 🔎",
"Alíquota aplicada corretamente ✅")))</f>
        <v/>
      </c>
      <c r="Q1182" s="8" t="str">
        <f>IF(E1182="","",IFERROR(VLOOKUP(E1182,REGRAS_CST!$A$2:$D$200,4,FALSE),""))</f>
        <v/>
      </c>
      <c r="S1182" s="9">
        <f>IF($H1182="","",$H1182*(1-$U1182))</f>
        <v>8.9999999999999993E-3</v>
      </c>
      <c r="T1182" s="9">
        <f>IF($I1182="","",$I1182*(1-$U1182))</f>
        <v>1E-3</v>
      </c>
      <c r="U1182" s="16">
        <f>IFERROR(INDEX(BASE_CCLASSTRIB!$E:$E, MATCH(TEXT($D1182,"000000"), BASE_CCLASSTRIB!$A:$A, 0))/100, 0)</f>
        <v>0</v>
      </c>
      <c r="V1182" s="16">
        <f>IFERROR(INDEX(BASE_CCLASSTRIB!$F:$F, MATCH(TEXT($D1182,"000000"), BASE_CCLASSTRIB!$A:$A, 0))/100, 0)</f>
        <v>0</v>
      </c>
    </row>
    <row r="1183" spans="4:22" ht="32.25" customHeight="1">
      <c r="D1183" s="40"/>
      <c r="E1183" s="27" t="str">
        <f>IF(D1183="","",LEFT(D1183,3))</f>
        <v/>
      </c>
      <c r="F1183" s="28" t="str">
        <f>IF(E1183="","",IFERROR(VLOOKUP(E1183,REGRAS_CST!$A$2:$B$200,2,FALSE),""))</f>
        <v/>
      </c>
      <c r="H1183" s="29">
        <v>8.9999999999999993E-3</v>
      </c>
      <c r="I1183" s="29">
        <v>1E-3</v>
      </c>
      <c r="K1183" s="21" t="str">
        <f>IF(E1183="","",IFERROR(VLOOKUP(E1183,REGRAS_CST!$A$2:$C$200,3,FALSE),""))</f>
        <v/>
      </c>
      <c r="L1183" s="23" t="str">
        <f>IF($G1183="", "", $G1183*(1-$V1183))</f>
        <v/>
      </c>
      <c r="M1183" s="24" t="str">
        <f>IF(OR($L1183="",$S1183=""),"",$L1183*$S1183)</f>
        <v/>
      </c>
      <c r="N1183" s="24" t="str">
        <f>IF(OR($L1183="",$T1183=""),"",$L1183*$T1183)</f>
        <v/>
      </c>
      <c r="O1183" s="15" t="str">
        <f>IF(D1183="","",
IF(AND(K1183&lt;&gt;"SIM",V1183&gt;0),"ERRO: % BC &gt; 0, mas NÃO permitida ❌",
IF(AND(K1183="SIM",V1183=0),"ATENÇÃO: BC permitida, mas % = 0 🔎",
"Base de cálculo aplicada corretamente ✅")))</f>
        <v/>
      </c>
      <c r="P1183" s="31" t="str">
        <f>IF(D1183="","",
IF(AND(Q1183&lt;&gt;"SIM",U1183&gt;0),"ERRO: % alíquota &gt; 0, mas NÃO permitida ❌",
IF(AND(Q1183="SIM",U1183=0),"ATENÇÃO: alíquota permitida, mas % = 0 🔎",
"Alíquota aplicada corretamente ✅")))</f>
        <v/>
      </c>
      <c r="Q1183" s="8" t="str">
        <f>IF(E1183="","",IFERROR(VLOOKUP(E1183,REGRAS_CST!$A$2:$D$200,4,FALSE),""))</f>
        <v/>
      </c>
      <c r="S1183" s="9">
        <f>IF($H1183="","",$H1183*(1-$U1183))</f>
        <v>8.9999999999999993E-3</v>
      </c>
      <c r="T1183" s="9">
        <f>IF($I1183="","",$I1183*(1-$U1183))</f>
        <v>1E-3</v>
      </c>
      <c r="U1183" s="16">
        <f>IFERROR(INDEX(BASE_CCLASSTRIB!$E:$E, MATCH(TEXT($D1183,"000000"), BASE_CCLASSTRIB!$A:$A, 0))/100, 0)</f>
        <v>0</v>
      </c>
      <c r="V1183" s="16">
        <f>IFERROR(INDEX(BASE_CCLASSTRIB!$F:$F, MATCH(TEXT($D1183,"000000"), BASE_CCLASSTRIB!$A:$A, 0))/100, 0)</f>
        <v>0</v>
      </c>
    </row>
    <row r="1184" spans="4:22" ht="32.25" customHeight="1">
      <c r="D1184" s="40"/>
      <c r="E1184" s="27" t="str">
        <f>IF(D1184="","",LEFT(D1184,3))</f>
        <v/>
      </c>
      <c r="F1184" s="28" t="str">
        <f>IF(E1184="","",IFERROR(VLOOKUP(E1184,REGRAS_CST!$A$2:$B$200,2,FALSE),""))</f>
        <v/>
      </c>
      <c r="H1184" s="29">
        <v>8.9999999999999993E-3</v>
      </c>
      <c r="I1184" s="29">
        <v>1E-3</v>
      </c>
      <c r="K1184" s="21" t="str">
        <f>IF(E1184="","",IFERROR(VLOOKUP(E1184,REGRAS_CST!$A$2:$C$200,3,FALSE),""))</f>
        <v/>
      </c>
      <c r="L1184" s="23" t="str">
        <f>IF($G1184="", "", $G1184*(1-$V1184))</f>
        <v/>
      </c>
      <c r="M1184" s="24" t="str">
        <f>IF(OR($L1184="",$S1184=""),"",$L1184*$S1184)</f>
        <v/>
      </c>
      <c r="N1184" s="24" t="str">
        <f>IF(OR($L1184="",$T1184=""),"",$L1184*$T1184)</f>
        <v/>
      </c>
      <c r="O1184" s="15" t="str">
        <f>IF(D1184="","",
IF(AND(K1184&lt;&gt;"SIM",V1184&gt;0),"ERRO: % BC &gt; 0, mas NÃO permitida ❌",
IF(AND(K1184="SIM",V1184=0),"ATENÇÃO: BC permitida, mas % = 0 🔎",
"Base de cálculo aplicada corretamente ✅")))</f>
        <v/>
      </c>
      <c r="P1184" s="31" t="str">
        <f>IF(D1184="","",
IF(AND(Q1184&lt;&gt;"SIM",U1184&gt;0),"ERRO: % alíquota &gt; 0, mas NÃO permitida ❌",
IF(AND(Q1184="SIM",U1184=0),"ATENÇÃO: alíquota permitida, mas % = 0 🔎",
"Alíquota aplicada corretamente ✅")))</f>
        <v/>
      </c>
      <c r="Q1184" s="8" t="str">
        <f>IF(E1184="","",IFERROR(VLOOKUP(E1184,REGRAS_CST!$A$2:$D$200,4,FALSE),""))</f>
        <v/>
      </c>
      <c r="S1184" s="9">
        <f>IF($H1184="","",$H1184*(1-$U1184))</f>
        <v>8.9999999999999993E-3</v>
      </c>
      <c r="T1184" s="9">
        <f>IF($I1184="","",$I1184*(1-$U1184))</f>
        <v>1E-3</v>
      </c>
      <c r="U1184" s="16">
        <f>IFERROR(INDEX(BASE_CCLASSTRIB!$E:$E, MATCH(TEXT($D1184,"000000"), BASE_CCLASSTRIB!$A:$A, 0))/100, 0)</f>
        <v>0</v>
      </c>
      <c r="V1184" s="16">
        <f>IFERROR(INDEX(BASE_CCLASSTRIB!$F:$F, MATCH(TEXT($D1184,"000000"), BASE_CCLASSTRIB!$A:$A, 0))/100, 0)</f>
        <v>0</v>
      </c>
    </row>
    <row r="1185" spans="4:22" ht="32.25" customHeight="1">
      <c r="D1185" s="40"/>
      <c r="E1185" s="27" t="str">
        <f>IF(D1185="","",LEFT(D1185,3))</f>
        <v/>
      </c>
      <c r="F1185" s="28" t="str">
        <f>IF(E1185="","",IFERROR(VLOOKUP(E1185,REGRAS_CST!$A$2:$B$200,2,FALSE),""))</f>
        <v/>
      </c>
      <c r="H1185" s="29">
        <v>8.9999999999999993E-3</v>
      </c>
      <c r="I1185" s="29">
        <v>1E-3</v>
      </c>
      <c r="K1185" s="21" t="str">
        <f>IF(E1185="","",IFERROR(VLOOKUP(E1185,REGRAS_CST!$A$2:$C$200,3,FALSE),""))</f>
        <v/>
      </c>
      <c r="L1185" s="23" t="str">
        <f>IF($G1185="", "", $G1185*(1-$V1185))</f>
        <v/>
      </c>
      <c r="M1185" s="24" t="str">
        <f>IF(OR($L1185="",$S1185=""),"",$L1185*$S1185)</f>
        <v/>
      </c>
      <c r="N1185" s="24" t="str">
        <f>IF(OR($L1185="",$T1185=""),"",$L1185*$T1185)</f>
        <v/>
      </c>
      <c r="O1185" s="15" t="str">
        <f>IF(D1185="","",
IF(AND(K1185&lt;&gt;"SIM",V1185&gt;0),"ERRO: % BC &gt; 0, mas NÃO permitida ❌",
IF(AND(K1185="SIM",V1185=0),"ATENÇÃO: BC permitida, mas % = 0 🔎",
"Base de cálculo aplicada corretamente ✅")))</f>
        <v/>
      </c>
      <c r="P1185" s="31" t="str">
        <f>IF(D1185="","",
IF(AND(Q1185&lt;&gt;"SIM",U1185&gt;0),"ERRO: % alíquota &gt; 0, mas NÃO permitida ❌",
IF(AND(Q1185="SIM",U1185=0),"ATENÇÃO: alíquota permitida, mas % = 0 🔎",
"Alíquota aplicada corretamente ✅")))</f>
        <v/>
      </c>
      <c r="Q1185" s="8" t="str">
        <f>IF(E1185="","",IFERROR(VLOOKUP(E1185,REGRAS_CST!$A$2:$D$200,4,FALSE),""))</f>
        <v/>
      </c>
      <c r="S1185" s="9">
        <f>IF($H1185="","",$H1185*(1-$U1185))</f>
        <v>8.9999999999999993E-3</v>
      </c>
      <c r="T1185" s="9">
        <f>IF($I1185="","",$I1185*(1-$U1185))</f>
        <v>1E-3</v>
      </c>
      <c r="U1185" s="16">
        <f>IFERROR(INDEX(BASE_CCLASSTRIB!$E:$E, MATCH(TEXT($D1185,"000000"), BASE_CCLASSTRIB!$A:$A, 0))/100, 0)</f>
        <v>0</v>
      </c>
      <c r="V1185" s="16">
        <f>IFERROR(INDEX(BASE_CCLASSTRIB!$F:$F, MATCH(TEXT($D1185,"000000"), BASE_CCLASSTRIB!$A:$A, 0))/100, 0)</f>
        <v>0</v>
      </c>
    </row>
    <row r="1186" spans="4:22" ht="32.25" customHeight="1">
      <c r="D1186" s="40"/>
      <c r="E1186" s="27" t="str">
        <f>IF(D1186="","",LEFT(D1186,3))</f>
        <v/>
      </c>
      <c r="F1186" s="28" t="str">
        <f>IF(E1186="","",IFERROR(VLOOKUP(E1186,REGRAS_CST!$A$2:$B$200,2,FALSE),""))</f>
        <v/>
      </c>
      <c r="H1186" s="29">
        <v>8.9999999999999993E-3</v>
      </c>
      <c r="I1186" s="29">
        <v>1E-3</v>
      </c>
      <c r="K1186" s="21" t="str">
        <f>IF(E1186="","",IFERROR(VLOOKUP(E1186,REGRAS_CST!$A$2:$C$200,3,FALSE),""))</f>
        <v/>
      </c>
      <c r="L1186" s="23" t="str">
        <f>IF($G1186="", "", $G1186*(1-$V1186))</f>
        <v/>
      </c>
      <c r="M1186" s="24" t="str">
        <f>IF(OR($L1186="",$S1186=""),"",$L1186*$S1186)</f>
        <v/>
      </c>
      <c r="N1186" s="24" t="str">
        <f>IF(OR($L1186="",$T1186=""),"",$L1186*$T1186)</f>
        <v/>
      </c>
      <c r="O1186" s="15" t="str">
        <f>IF(D1186="","",
IF(AND(K1186&lt;&gt;"SIM",V1186&gt;0),"ERRO: % BC &gt; 0, mas NÃO permitida ❌",
IF(AND(K1186="SIM",V1186=0),"ATENÇÃO: BC permitida, mas % = 0 🔎",
"Base de cálculo aplicada corretamente ✅")))</f>
        <v/>
      </c>
      <c r="P1186" s="31" t="str">
        <f>IF(D1186="","",
IF(AND(Q1186&lt;&gt;"SIM",U1186&gt;0),"ERRO: % alíquota &gt; 0, mas NÃO permitida ❌",
IF(AND(Q1186="SIM",U1186=0),"ATENÇÃO: alíquota permitida, mas % = 0 🔎",
"Alíquota aplicada corretamente ✅")))</f>
        <v/>
      </c>
      <c r="Q1186" s="8" t="str">
        <f>IF(E1186="","",IFERROR(VLOOKUP(E1186,REGRAS_CST!$A$2:$D$200,4,FALSE),""))</f>
        <v/>
      </c>
      <c r="S1186" s="9">
        <f>IF($H1186="","",$H1186*(1-$U1186))</f>
        <v>8.9999999999999993E-3</v>
      </c>
      <c r="T1186" s="9">
        <f>IF($I1186="","",$I1186*(1-$U1186))</f>
        <v>1E-3</v>
      </c>
      <c r="U1186" s="16">
        <f>IFERROR(INDEX(BASE_CCLASSTRIB!$E:$E, MATCH(TEXT($D1186,"000000"), BASE_CCLASSTRIB!$A:$A, 0))/100, 0)</f>
        <v>0</v>
      </c>
      <c r="V1186" s="16">
        <f>IFERROR(INDEX(BASE_CCLASSTRIB!$F:$F, MATCH(TEXT($D1186,"000000"), BASE_CCLASSTRIB!$A:$A, 0))/100, 0)</f>
        <v>0</v>
      </c>
    </row>
    <row r="1187" spans="4:22" ht="32.25" customHeight="1">
      <c r="D1187" s="39"/>
      <c r="E1187" s="27" t="str">
        <f>IF(D1187="","",LEFT(D1187,3))</f>
        <v/>
      </c>
      <c r="F1187" s="28" t="str">
        <f>IF(E1187="","",IFERROR(VLOOKUP(E1187,REGRAS_CST!$A$2:$B$200,2,FALSE),""))</f>
        <v/>
      </c>
      <c r="H1187" s="29">
        <v>8.9999999999999993E-3</v>
      </c>
      <c r="I1187" s="29">
        <v>1E-3</v>
      </c>
      <c r="K1187" s="21" t="str">
        <f>IF(E1187="","",IFERROR(VLOOKUP(E1187,REGRAS_CST!$A$2:$C$200,3,FALSE),""))</f>
        <v/>
      </c>
      <c r="L1187" s="23" t="str">
        <f>IF($G1187="", "", $G1187*(1-$V1187))</f>
        <v/>
      </c>
      <c r="M1187" s="24" t="str">
        <f>IF(OR($L1187="",$S1187=""),"",$L1187*$S1187)</f>
        <v/>
      </c>
      <c r="N1187" s="24" t="str">
        <f>IF(OR($L1187="",$T1187=""),"",$L1187*$T1187)</f>
        <v/>
      </c>
      <c r="O1187" s="15" t="str">
        <f>IF(D1187="","",
IF(AND(K1187&lt;&gt;"SIM",V1187&gt;0),"ERRO: % BC &gt; 0, mas NÃO permitida ❌",
IF(AND(K1187="SIM",V1187=0),"ATENÇÃO: BC permitida, mas % = 0 🔎",
"Base de cálculo aplicada corretamente ✅")))</f>
        <v/>
      </c>
      <c r="P1187" s="31" t="str">
        <f>IF(D1187="","",
IF(AND(Q1187&lt;&gt;"SIM",U1187&gt;0),"ERRO: % alíquota &gt; 0, mas NÃO permitida ❌",
IF(AND(Q1187="SIM",U1187=0),"ATENÇÃO: alíquota permitida, mas % = 0 🔎",
"Alíquota aplicada corretamente ✅")))</f>
        <v/>
      </c>
      <c r="Q1187" s="8" t="str">
        <f>IF(E1187="","",IFERROR(VLOOKUP(E1187,REGRAS_CST!$A$2:$D$200,4,FALSE),""))</f>
        <v/>
      </c>
      <c r="S1187" s="9">
        <f>IF($H1187="","",$H1187*(1-$U1187))</f>
        <v>8.9999999999999993E-3</v>
      </c>
      <c r="T1187" s="9">
        <f>IF($I1187="","",$I1187*(1-$U1187))</f>
        <v>1E-3</v>
      </c>
      <c r="U1187" s="16">
        <f>IFERROR(INDEX(BASE_CCLASSTRIB!$E:$E, MATCH(TEXT($D1187,"000000"), BASE_CCLASSTRIB!$A:$A, 0))/100, 0)</f>
        <v>0</v>
      </c>
      <c r="V1187" s="16">
        <f>IFERROR(INDEX(BASE_CCLASSTRIB!$F:$F, MATCH(TEXT($D1187,"000000"), BASE_CCLASSTRIB!$A:$A, 0))/100, 0)</f>
        <v>0</v>
      </c>
    </row>
    <row r="1188" spans="4:22" ht="32.25" customHeight="1">
      <c r="D1188" s="40"/>
      <c r="E1188" s="27" t="str">
        <f>IF(D1188="","",LEFT(D1188,3))</f>
        <v/>
      </c>
      <c r="F1188" s="28" t="str">
        <f>IF(E1188="","",IFERROR(VLOOKUP(E1188,REGRAS_CST!$A$2:$B$200,2,FALSE),""))</f>
        <v/>
      </c>
      <c r="H1188" s="29">
        <v>8.9999999999999993E-3</v>
      </c>
      <c r="I1188" s="29">
        <v>1E-3</v>
      </c>
      <c r="K1188" s="21" t="str">
        <f>IF(E1188="","",IFERROR(VLOOKUP(E1188,REGRAS_CST!$A$2:$C$200,3,FALSE),""))</f>
        <v/>
      </c>
      <c r="L1188" s="23" t="str">
        <f>IF($G1188="", "", $G1188*(1-$V1188))</f>
        <v/>
      </c>
      <c r="M1188" s="24" t="str">
        <f>IF(OR($L1188="",$S1188=""),"",$L1188*$S1188)</f>
        <v/>
      </c>
      <c r="N1188" s="24" t="str">
        <f>IF(OR($L1188="",$T1188=""),"",$L1188*$T1188)</f>
        <v/>
      </c>
      <c r="O1188" s="15" t="str">
        <f>IF(D1188="","",
IF(AND(K1188&lt;&gt;"SIM",V1188&gt;0),"ERRO: % BC &gt; 0, mas NÃO permitida ❌",
IF(AND(K1188="SIM",V1188=0),"ATENÇÃO: BC permitida, mas % = 0 🔎",
"Base de cálculo aplicada corretamente ✅")))</f>
        <v/>
      </c>
      <c r="P1188" s="31" t="str">
        <f>IF(D1188="","",
IF(AND(Q1188&lt;&gt;"SIM",U1188&gt;0),"ERRO: % alíquota &gt; 0, mas NÃO permitida ❌",
IF(AND(Q1188="SIM",U1188=0),"ATENÇÃO: alíquota permitida, mas % = 0 🔎",
"Alíquota aplicada corretamente ✅")))</f>
        <v/>
      </c>
      <c r="Q1188" s="8" t="str">
        <f>IF(E1188="","",IFERROR(VLOOKUP(E1188,REGRAS_CST!$A$2:$D$200,4,FALSE),""))</f>
        <v/>
      </c>
      <c r="S1188" s="9">
        <f>IF($H1188="","",$H1188*(1-$U1188))</f>
        <v>8.9999999999999993E-3</v>
      </c>
      <c r="T1188" s="9">
        <f>IF($I1188="","",$I1188*(1-$U1188))</f>
        <v>1E-3</v>
      </c>
      <c r="U1188" s="16">
        <f>IFERROR(INDEX(BASE_CCLASSTRIB!$E:$E, MATCH(TEXT($D1188,"000000"), BASE_CCLASSTRIB!$A:$A, 0))/100, 0)</f>
        <v>0</v>
      </c>
      <c r="V1188" s="16">
        <f>IFERROR(INDEX(BASE_CCLASSTRIB!$F:$F, MATCH(TEXT($D1188,"000000"), BASE_CCLASSTRIB!$A:$A, 0))/100, 0)</f>
        <v>0</v>
      </c>
    </row>
    <row r="1189" spans="4:22" ht="32.25" customHeight="1">
      <c r="D1189" s="39"/>
      <c r="E1189" s="27" t="str">
        <f>IF(D1189="","",LEFT(D1189,3))</f>
        <v/>
      </c>
      <c r="F1189" s="28" t="str">
        <f>IF(E1189="","",IFERROR(VLOOKUP(E1189,REGRAS_CST!$A$2:$B$200,2,FALSE),""))</f>
        <v/>
      </c>
      <c r="H1189" s="29">
        <v>8.9999999999999993E-3</v>
      </c>
      <c r="I1189" s="29">
        <v>1E-3</v>
      </c>
      <c r="K1189" s="21" t="str">
        <f>IF(E1189="","",IFERROR(VLOOKUP(E1189,REGRAS_CST!$A$2:$C$200,3,FALSE),""))</f>
        <v/>
      </c>
      <c r="L1189" s="23" t="str">
        <f>IF($G1189="", "", $G1189*(1-$V1189))</f>
        <v/>
      </c>
      <c r="M1189" s="24" t="str">
        <f>IF(OR($L1189="",$S1189=""),"",$L1189*$S1189)</f>
        <v/>
      </c>
      <c r="N1189" s="24" t="str">
        <f>IF(OR($L1189="",$T1189=""),"",$L1189*$T1189)</f>
        <v/>
      </c>
      <c r="O1189" s="15" t="str">
        <f>IF(D1189="","",
IF(AND(K1189&lt;&gt;"SIM",V1189&gt;0),"ERRO: % BC &gt; 0, mas NÃO permitida ❌",
IF(AND(K1189="SIM",V1189=0),"ATENÇÃO: BC permitida, mas % = 0 🔎",
"Base de cálculo aplicada corretamente ✅")))</f>
        <v/>
      </c>
      <c r="P1189" s="31" t="str">
        <f>IF(D1189="","",
IF(AND(Q1189&lt;&gt;"SIM",U1189&gt;0),"ERRO: % alíquota &gt; 0, mas NÃO permitida ❌",
IF(AND(Q1189="SIM",U1189=0),"ATENÇÃO: alíquota permitida, mas % = 0 🔎",
"Alíquota aplicada corretamente ✅")))</f>
        <v/>
      </c>
      <c r="Q1189" s="8" t="str">
        <f>IF(E1189="","",IFERROR(VLOOKUP(E1189,REGRAS_CST!$A$2:$D$200,4,FALSE),""))</f>
        <v/>
      </c>
      <c r="S1189" s="9">
        <f>IF($H1189="","",$H1189*(1-$U1189))</f>
        <v>8.9999999999999993E-3</v>
      </c>
      <c r="T1189" s="9">
        <f>IF($I1189="","",$I1189*(1-$U1189))</f>
        <v>1E-3</v>
      </c>
      <c r="U1189" s="16">
        <f>IFERROR(INDEX(BASE_CCLASSTRIB!$E:$E, MATCH(TEXT($D1189,"000000"), BASE_CCLASSTRIB!$A:$A, 0))/100, 0)</f>
        <v>0</v>
      </c>
      <c r="V1189" s="16">
        <f>IFERROR(INDEX(BASE_CCLASSTRIB!$F:$F, MATCH(TEXT($D1189,"000000"), BASE_CCLASSTRIB!$A:$A, 0))/100, 0)</f>
        <v>0</v>
      </c>
    </row>
    <row r="1190" spans="4:22" ht="32.25" customHeight="1">
      <c r="D1190" s="40"/>
      <c r="E1190" s="27" t="str">
        <f>IF(D1190="","",LEFT(D1190,3))</f>
        <v/>
      </c>
      <c r="F1190" s="28" t="str">
        <f>IF(E1190="","",IFERROR(VLOOKUP(E1190,REGRAS_CST!$A$2:$B$200,2,FALSE),""))</f>
        <v/>
      </c>
      <c r="H1190" s="29">
        <v>8.9999999999999993E-3</v>
      </c>
      <c r="I1190" s="29">
        <v>1E-3</v>
      </c>
      <c r="K1190" s="21" t="str">
        <f>IF(E1190="","",IFERROR(VLOOKUP(E1190,REGRAS_CST!$A$2:$C$200,3,FALSE),""))</f>
        <v/>
      </c>
      <c r="L1190" s="23" t="str">
        <f>IF($G1190="", "", $G1190*(1-$V1190))</f>
        <v/>
      </c>
      <c r="M1190" s="24" t="str">
        <f>IF(OR($L1190="",$S1190=""),"",$L1190*$S1190)</f>
        <v/>
      </c>
      <c r="N1190" s="24" t="str">
        <f>IF(OR($L1190="",$T1190=""),"",$L1190*$T1190)</f>
        <v/>
      </c>
      <c r="O1190" s="15" t="str">
        <f>IF(D1190="","",
IF(AND(K1190&lt;&gt;"SIM",V1190&gt;0),"ERRO: % BC &gt; 0, mas NÃO permitida ❌",
IF(AND(K1190="SIM",V1190=0),"ATENÇÃO: BC permitida, mas % = 0 🔎",
"Base de cálculo aplicada corretamente ✅")))</f>
        <v/>
      </c>
      <c r="P1190" s="31" t="str">
        <f>IF(D1190="","",
IF(AND(Q1190&lt;&gt;"SIM",U1190&gt;0),"ERRO: % alíquota &gt; 0, mas NÃO permitida ❌",
IF(AND(Q1190="SIM",U1190=0),"ATENÇÃO: alíquota permitida, mas % = 0 🔎",
"Alíquota aplicada corretamente ✅")))</f>
        <v/>
      </c>
      <c r="Q1190" s="8" t="str">
        <f>IF(E1190="","",IFERROR(VLOOKUP(E1190,REGRAS_CST!$A$2:$D$200,4,FALSE),""))</f>
        <v/>
      </c>
      <c r="S1190" s="9">
        <f>IF($H1190="","",$H1190*(1-$U1190))</f>
        <v>8.9999999999999993E-3</v>
      </c>
      <c r="T1190" s="9">
        <f>IF($I1190="","",$I1190*(1-$U1190))</f>
        <v>1E-3</v>
      </c>
      <c r="U1190" s="16">
        <f>IFERROR(INDEX(BASE_CCLASSTRIB!$E:$E, MATCH(TEXT($D1190,"000000"), BASE_CCLASSTRIB!$A:$A, 0))/100, 0)</f>
        <v>0</v>
      </c>
      <c r="V1190" s="16">
        <f>IFERROR(INDEX(BASE_CCLASSTRIB!$F:$F, MATCH(TEXT($D1190,"000000"), BASE_CCLASSTRIB!$A:$A, 0))/100, 0)</f>
        <v>0</v>
      </c>
    </row>
    <row r="1191" spans="4:22" ht="32.25" customHeight="1">
      <c r="D1191" s="39"/>
      <c r="E1191" s="27" t="str">
        <f>IF(D1191="","",LEFT(D1191,3))</f>
        <v/>
      </c>
      <c r="F1191" s="28" t="str">
        <f>IF(E1191="","",IFERROR(VLOOKUP(E1191,REGRAS_CST!$A$2:$B$200,2,FALSE),""))</f>
        <v/>
      </c>
      <c r="H1191" s="29">
        <v>8.9999999999999993E-3</v>
      </c>
      <c r="I1191" s="29">
        <v>1E-3</v>
      </c>
      <c r="K1191" s="21" t="str">
        <f>IF(E1191="","",IFERROR(VLOOKUP(E1191,REGRAS_CST!$A$2:$C$200,3,FALSE),""))</f>
        <v/>
      </c>
      <c r="L1191" s="23" t="str">
        <f>IF($G1191="", "", $G1191*(1-$V1191))</f>
        <v/>
      </c>
      <c r="M1191" s="24" t="str">
        <f>IF(OR($L1191="",$S1191=""),"",$L1191*$S1191)</f>
        <v/>
      </c>
      <c r="N1191" s="24" t="str">
        <f>IF(OR($L1191="",$T1191=""),"",$L1191*$T1191)</f>
        <v/>
      </c>
      <c r="O1191" s="15" t="str">
        <f>IF(D1191="","",
IF(AND(K1191&lt;&gt;"SIM",V1191&gt;0),"ERRO: % BC &gt; 0, mas NÃO permitida ❌",
IF(AND(K1191="SIM",V1191=0),"ATENÇÃO: BC permitida, mas % = 0 🔎",
"Base de cálculo aplicada corretamente ✅")))</f>
        <v/>
      </c>
      <c r="P1191" s="31" t="str">
        <f>IF(D1191="","",
IF(AND(Q1191&lt;&gt;"SIM",U1191&gt;0),"ERRO: % alíquota &gt; 0, mas NÃO permitida ❌",
IF(AND(Q1191="SIM",U1191=0),"ATENÇÃO: alíquota permitida, mas % = 0 🔎",
"Alíquota aplicada corretamente ✅")))</f>
        <v/>
      </c>
      <c r="Q1191" s="8" t="str">
        <f>IF(E1191="","",IFERROR(VLOOKUP(E1191,REGRAS_CST!$A$2:$D$200,4,FALSE),""))</f>
        <v/>
      </c>
      <c r="S1191" s="9">
        <f>IF($H1191="","",$H1191*(1-$U1191))</f>
        <v>8.9999999999999993E-3</v>
      </c>
      <c r="T1191" s="9">
        <f>IF($I1191="","",$I1191*(1-$U1191))</f>
        <v>1E-3</v>
      </c>
      <c r="U1191" s="16">
        <f>IFERROR(INDEX(BASE_CCLASSTRIB!$E:$E, MATCH(TEXT($D1191,"000000"), BASE_CCLASSTRIB!$A:$A, 0))/100, 0)</f>
        <v>0</v>
      </c>
      <c r="V1191" s="16">
        <f>IFERROR(INDEX(BASE_CCLASSTRIB!$F:$F, MATCH(TEXT($D1191,"000000"), BASE_CCLASSTRIB!$A:$A, 0))/100, 0)</f>
        <v>0</v>
      </c>
    </row>
    <row r="1192" spans="4:22" ht="32.25" customHeight="1">
      <c r="D1192" s="39"/>
      <c r="E1192" s="27" t="str">
        <f>IF(D1192="","",LEFT(D1192,3))</f>
        <v/>
      </c>
      <c r="F1192" s="28" t="str">
        <f>IF(E1192="","",IFERROR(VLOOKUP(E1192,REGRAS_CST!$A$2:$B$200,2,FALSE),""))</f>
        <v/>
      </c>
      <c r="H1192" s="29">
        <v>8.9999999999999993E-3</v>
      </c>
      <c r="I1192" s="29">
        <v>1E-3</v>
      </c>
      <c r="K1192" s="21" t="str">
        <f>IF(E1192="","",IFERROR(VLOOKUP(E1192,REGRAS_CST!$A$2:$C$200,3,FALSE),""))</f>
        <v/>
      </c>
      <c r="L1192" s="23" t="str">
        <f>IF($G1192="", "", $G1192*(1-$V1192))</f>
        <v/>
      </c>
      <c r="M1192" s="24" t="str">
        <f>IF(OR($L1192="",$S1192=""),"",$L1192*$S1192)</f>
        <v/>
      </c>
      <c r="N1192" s="24" t="str">
        <f>IF(OR($L1192="",$T1192=""),"",$L1192*$T1192)</f>
        <v/>
      </c>
      <c r="O1192" s="15" t="str">
        <f>IF(D1192="","",
IF(AND(K1192&lt;&gt;"SIM",V1192&gt;0),"ERRO: % BC &gt; 0, mas NÃO permitida ❌",
IF(AND(K1192="SIM",V1192=0),"ATENÇÃO: BC permitida, mas % = 0 🔎",
"Base de cálculo aplicada corretamente ✅")))</f>
        <v/>
      </c>
      <c r="P1192" s="31" t="str">
        <f>IF(D1192="","",
IF(AND(Q1192&lt;&gt;"SIM",U1192&gt;0),"ERRO: % alíquota &gt; 0, mas NÃO permitida ❌",
IF(AND(Q1192="SIM",U1192=0),"ATENÇÃO: alíquota permitida, mas % = 0 🔎",
"Alíquota aplicada corretamente ✅")))</f>
        <v/>
      </c>
      <c r="Q1192" s="8" t="str">
        <f>IF(E1192="","",IFERROR(VLOOKUP(E1192,REGRAS_CST!$A$2:$D$200,4,FALSE),""))</f>
        <v/>
      </c>
      <c r="S1192" s="9">
        <f>IF($H1192="","",$H1192*(1-$U1192))</f>
        <v>8.9999999999999993E-3</v>
      </c>
      <c r="T1192" s="9">
        <f>IF($I1192="","",$I1192*(1-$U1192))</f>
        <v>1E-3</v>
      </c>
      <c r="U1192" s="16">
        <f>IFERROR(INDEX(BASE_CCLASSTRIB!$E:$E, MATCH(TEXT($D1192,"000000"), BASE_CCLASSTRIB!$A:$A, 0))/100, 0)</f>
        <v>0</v>
      </c>
      <c r="V1192" s="16">
        <f>IFERROR(INDEX(BASE_CCLASSTRIB!$F:$F, MATCH(TEXT($D1192,"000000"), BASE_CCLASSTRIB!$A:$A, 0))/100, 0)</f>
        <v>0</v>
      </c>
    </row>
    <row r="1193" spans="4:22" ht="32.25" customHeight="1">
      <c r="D1193" s="39"/>
      <c r="E1193" s="27" t="str">
        <f>IF(D1193="","",LEFT(D1193,3))</f>
        <v/>
      </c>
      <c r="F1193" s="28" t="str">
        <f>IF(E1193="","",IFERROR(VLOOKUP(E1193,REGRAS_CST!$A$2:$B$200,2,FALSE),""))</f>
        <v/>
      </c>
      <c r="H1193" s="29">
        <v>8.9999999999999993E-3</v>
      </c>
      <c r="I1193" s="29">
        <v>1E-3</v>
      </c>
      <c r="K1193" s="21" t="str">
        <f>IF(E1193="","",IFERROR(VLOOKUP(E1193,REGRAS_CST!$A$2:$C$200,3,FALSE),""))</f>
        <v/>
      </c>
      <c r="L1193" s="23" t="str">
        <f>IF($G1193="", "", $G1193*(1-$V1193))</f>
        <v/>
      </c>
      <c r="M1193" s="24" t="str">
        <f>IF(OR($L1193="",$S1193=""),"",$L1193*$S1193)</f>
        <v/>
      </c>
      <c r="N1193" s="24" t="str">
        <f>IF(OR($L1193="",$T1193=""),"",$L1193*$T1193)</f>
        <v/>
      </c>
      <c r="O1193" s="15" t="str">
        <f>IF(D1193="","",
IF(AND(K1193&lt;&gt;"SIM",V1193&gt;0),"ERRO: % BC &gt; 0, mas NÃO permitida ❌",
IF(AND(K1193="SIM",V1193=0),"ATENÇÃO: BC permitida, mas % = 0 🔎",
"Base de cálculo aplicada corretamente ✅")))</f>
        <v/>
      </c>
      <c r="P1193" s="31" t="str">
        <f>IF(D1193="","",
IF(AND(Q1193&lt;&gt;"SIM",U1193&gt;0),"ERRO: % alíquota &gt; 0, mas NÃO permitida ❌",
IF(AND(Q1193="SIM",U1193=0),"ATENÇÃO: alíquota permitida, mas % = 0 🔎",
"Alíquota aplicada corretamente ✅")))</f>
        <v/>
      </c>
      <c r="Q1193" s="8" t="str">
        <f>IF(E1193="","",IFERROR(VLOOKUP(E1193,REGRAS_CST!$A$2:$D$200,4,FALSE),""))</f>
        <v/>
      </c>
      <c r="S1193" s="9">
        <f>IF($H1193="","",$H1193*(1-$U1193))</f>
        <v>8.9999999999999993E-3</v>
      </c>
      <c r="T1193" s="9">
        <f>IF($I1193="","",$I1193*(1-$U1193))</f>
        <v>1E-3</v>
      </c>
      <c r="U1193" s="16">
        <f>IFERROR(INDEX(BASE_CCLASSTRIB!$E:$E, MATCH(TEXT($D1193,"000000"), BASE_CCLASSTRIB!$A:$A, 0))/100, 0)</f>
        <v>0</v>
      </c>
      <c r="V1193" s="16">
        <f>IFERROR(INDEX(BASE_CCLASSTRIB!$F:$F, MATCH(TEXT($D1193,"000000"), BASE_CCLASSTRIB!$A:$A, 0))/100, 0)</f>
        <v>0</v>
      </c>
    </row>
    <row r="1194" spans="4:22" ht="32.25" customHeight="1">
      <c r="D1194" s="39"/>
      <c r="E1194" s="27" t="str">
        <f>IF(D1194="","",LEFT(D1194,3))</f>
        <v/>
      </c>
      <c r="F1194" s="28" t="str">
        <f>IF(E1194="","",IFERROR(VLOOKUP(E1194,REGRAS_CST!$A$2:$B$200,2,FALSE),""))</f>
        <v/>
      </c>
      <c r="H1194" s="29">
        <v>8.9999999999999993E-3</v>
      </c>
      <c r="I1194" s="29">
        <v>1E-3</v>
      </c>
      <c r="K1194" s="21" t="str">
        <f>IF(E1194="","",IFERROR(VLOOKUP(E1194,REGRAS_CST!$A$2:$C$200,3,FALSE),""))</f>
        <v/>
      </c>
      <c r="L1194" s="23" t="str">
        <f>IF($G1194="", "", $G1194*(1-$V1194))</f>
        <v/>
      </c>
      <c r="M1194" s="24" t="str">
        <f>IF(OR($L1194="",$S1194=""),"",$L1194*$S1194)</f>
        <v/>
      </c>
      <c r="N1194" s="24" t="str">
        <f>IF(OR($L1194="",$T1194=""),"",$L1194*$T1194)</f>
        <v/>
      </c>
      <c r="O1194" s="15" t="str">
        <f>IF(D1194="","",
IF(AND(K1194&lt;&gt;"SIM",V1194&gt;0),"ERRO: % BC &gt; 0, mas NÃO permitida ❌",
IF(AND(K1194="SIM",V1194=0),"ATENÇÃO: BC permitida, mas % = 0 🔎",
"Base de cálculo aplicada corretamente ✅")))</f>
        <v/>
      </c>
      <c r="P1194" s="31" t="str">
        <f>IF(D1194="","",
IF(AND(Q1194&lt;&gt;"SIM",U1194&gt;0),"ERRO: % alíquota &gt; 0, mas NÃO permitida ❌",
IF(AND(Q1194="SIM",U1194=0),"ATENÇÃO: alíquota permitida, mas % = 0 🔎",
"Alíquota aplicada corretamente ✅")))</f>
        <v/>
      </c>
      <c r="Q1194" s="8" t="str">
        <f>IF(E1194="","",IFERROR(VLOOKUP(E1194,REGRAS_CST!$A$2:$D$200,4,FALSE),""))</f>
        <v/>
      </c>
      <c r="S1194" s="9">
        <f>IF($H1194="","",$H1194*(1-$U1194))</f>
        <v>8.9999999999999993E-3</v>
      </c>
      <c r="T1194" s="9">
        <f>IF($I1194="","",$I1194*(1-$U1194))</f>
        <v>1E-3</v>
      </c>
      <c r="U1194" s="16">
        <f>IFERROR(INDEX(BASE_CCLASSTRIB!$E:$E, MATCH(TEXT($D1194,"000000"), BASE_CCLASSTRIB!$A:$A, 0))/100, 0)</f>
        <v>0</v>
      </c>
      <c r="V1194" s="16">
        <f>IFERROR(INDEX(BASE_CCLASSTRIB!$F:$F, MATCH(TEXT($D1194,"000000"), BASE_CCLASSTRIB!$A:$A, 0))/100, 0)</f>
        <v>0</v>
      </c>
    </row>
    <row r="1195" spans="4:22" ht="32.25" customHeight="1">
      <c r="D1195" s="39"/>
      <c r="E1195" s="27" t="str">
        <f>IF(D1195="","",LEFT(D1195,3))</f>
        <v/>
      </c>
      <c r="F1195" s="28" t="str">
        <f>IF(E1195="","",IFERROR(VLOOKUP(E1195,REGRAS_CST!$A$2:$B$200,2,FALSE),""))</f>
        <v/>
      </c>
      <c r="H1195" s="29">
        <v>8.9999999999999993E-3</v>
      </c>
      <c r="I1195" s="29">
        <v>1E-3</v>
      </c>
      <c r="K1195" s="21" t="str">
        <f>IF(E1195="","",IFERROR(VLOOKUP(E1195,REGRAS_CST!$A$2:$C$200,3,FALSE),""))</f>
        <v/>
      </c>
      <c r="L1195" s="23" t="str">
        <f>IF($G1195="", "", $G1195*(1-$V1195))</f>
        <v/>
      </c>
      <c r="M1195" s="24" t="str">
        <f>IF(OR($L1195="",$S1195=""),"",$L1195*$S1195)</f>
        <v/>
      </c>
      <c r="N1195" s="24" t="str">
        <f>IF(OR($L1195="",$T1195=""),"",$L1195*$T1195)</f>
        <v/>
      </c>
      <c r="O1195" s="15" t="str">
        <f>IF(D1195="","",
IF(AND(K1195&lt;&gt;"SIM",V1195&gt;0),"ERRO: % BC &gt; 0, mas NÃO permitida ❌",
IF(AND(K1195="SIM",V1195=0),"ATENÇÃO: BC permitida, mas % = 0 🔎",
"Base de cálculo aplicada corretamente ✅")))</f>
        <v/>
      </c>
      <c r="P1195" s="31" t="str">
        <f>IF(D1195="","",
IF(AND(Q1195&lt;&gt;"SIM",U1195&gt;0),"ERRO: % alíquota &gt; 0, mas NÃO permitida ❌",
IF(AND(Q1195="SIM",U1195=0),"ATENÇÃO: alíquota permitida, mas % = 0 🔎",
"Alíquota aplicada corretamente ✅")))</f>
        <v/>
      </c>
      <c r="Q1195" s="8" t="str">
        <f>IF(E1195="","",IFERROR(VLOOKUP(E1195,REGRAS_CST!$A$2:$D$200,4,FALSE),""))</f>
        <v/>
      </c>
      <c r="S1195" s="9">
        <f>IF($H1195="","",$H1195*(1-$U1195))</f>
        <v>8.9999999999999993E-3</v>
      </c>
      <c r="T1195" s="9">
        <f>IF($I1195="","",$I1195*(1-$U1195))</f>
        <v>1E-3</v>
      </c>
      <c r="U1195" s="16">
        <f>IFERROR(INDEX(BASE_CCLASSTRIB!$E:$E, MATCH(TEXT($D1195,"000000"), BASE_CCLASSTRIB!$A:$A, 0))/100, 0)</f>
        <v>0</v>
      </c>
      <c r="V1195" s="16">
        <f>IFERROR(INDEX(BASE_CCLASSTRIB!$F:$F, MATCH(TEXT($D1195,"000000"), BASE_CCLASSTRIB!$A:$A, 0))/100, 0)</f>
        <v>0</v>
      </c>
    </row>
    <row r="1196" spans="4:22" ht="32.25" customHeight="1">
      <c r="D1196" s="39"/>
      <c r="E1196" s="27" t="str">
        <f>IF(D1196="","",LEFT(D1196,3))</f>
        <v/>
      </c>
      <c r="F1196" s="28" t="str">
        <f>IF(E1196="","",IFERROR(VLOOKUP(E1196,REGRAS_CST!$A$2:$B$200,2,FALSE),""))</f>
        <v/>
      </c>
      <c r="H1196" s="29">
        <v>8.9999999999999993E-3</v>
      </c>
      <c r="I1196" s="29">
        <v>1E-3</v>
      </c>
      <c r="K1196" s="21" t="str">
        <f>IF(E1196="","",IFERROR(VLOOKUP(E1196,REGRAS_CST!$A$2:$C$200,3,FALSE),""))</f>
        <v/>
      </c>
      <c r="L1196" s="23" t="str">
        <f>IF($G1196="", "", $G1196*(1-$V1196))</f>
        <v/>
      </c>
      <c r="M1196" s="24" t="str">
        <f>IF(OR($L1196="",$S1196=""),"",$L1196*$S1196)</f>
        <v/>
      </c>
      <c r="N1196" s="24" t="str">
        <f>IF(OR($L1196="",$T1196=""),"",$L1196*$T1196)</f>
        <v/>
      </c>
      <c r="O1196" s="15" t="str">
        <f>IF(D1196="","",
IF(AND(K1196&lt;&gt;"SIM",V1196&gt;0),"ERRO: % BC &gt; 0, mas NÃO permitida ❌",
IF(AND(K1196="SIM",V1196=0),"ATENÇÃO: BC permitida, mas % = 0 🔎",
"Base de cálculo aplicada corretamente ✅")))</f>
        <v/>
      </c>
      <c r="P1196" s="31" t="str">
        <f>IF(D1196="","",
IF(AND(Q1196&lt;&gt;"SIM",U1196&gt;0),"ERRO: % alíquota &gt; 0, mas NÃO permitida ❌",
IF(AND(Q1196="SIM",U1196=0),"ATENÇÃO: alíquota permitida, mas % = 0 🔎",
"Alíquota aplicada corretamente ✅")))</f>
        <v/>
      </c>
      <c r="Q1196" s="8" t="str">
        <f>IF(E1196="","",IFERROR(VLOOKUP(E1196,REGRAS_CST!$A$2:$D$200,4,FALSE),""))</f>
        <v/>
      </c>
      <c r="S1196" s="9">
        <f>IF($H1196="","",$H1196*(1-$U1196))</f>
        <v>8.9999999999999993E-3</v>
      </c>
      <c r="T1196" s="9">
        <f>IF($I1196="","",$I1196*(1-$U1196))</f>
        <v>1E-3</v>
      </c>
      <c r="U1196" s="16">
        <f>IFERROR(INDEX(BASE_CCLASSTRIB!$E:$E, MATCH(TEXT($D1196,"000000"), BASE_CCLASSTRIB!$A:$A, 0))/100, 0)</f>
        <v>0</v>
      </c>
      <c r="V1196" s="16">
        <f>IFERROR(INDEX(BASE_CCLASSTRIB!$F:$F, MATCH(TEXT($D1196,"000000"), BASE_CCLASSTRIB!$A:$A, 0))/100, 0)</f>
        <v>0</v>
      </c>
    </row>
    <row r="1197" spans="4:22" ht="32.25" customHeight="1">
      <c r="D1197" s="39"/>
      <c r="E1197" s="27" t="str">
        <f>IF(D1197="","",LEFT(D1197,3))</f>
        <v/>
      </c>
      <c r="F1197" s="28" t="str">
        <f>IF(E1197="","",IFERROR(VLOOKUP(E1197,REGRAS_CST!$A$2:$B$200,2,FALSE),""))</f>
        <v/>
      </c>
      <c r="H1197" s="29">
        <v>8.9999999999999993E-3</v>
      </c>
      <c r="I1197" s="29">
        <v>1E-3</v>
      </c>
      <c r="K1197" s="21" t="str">
        <f>IF(E1197="","",IFERROR(VLOOKUP(E1197,REGRAS_CST!$A$2:$C$200,3,FALSE),""))</f>
        <v/>
      </c>
      <c r="L1197" s="23" t="str">
        <f>IF($G1197="", "", $G1197*(1-$V1197))</f>
        <v/>
      </c>
      <c r="M1197" s="24" t="str">
        <f>IF(OR($L1197="",$S1197=""),"",$L1197*$S1197)</f>
        <v/>
      </c>
      <c r="N1197" s="24" t="str">
        <f>IF(OR($L1197="",$T1197=""),"",$L1197*$T1197)</f>
        <v/>
      </c>
      <c r="O1197" s="15" t="str">
        <f>IF(D1197="","",
IF(AND(K1197&lt;&gt;"SIM",V1197&gt;0),"ERRO: % BC &gt; 0, mas NÃO permitida ❌",
IF(AND(K1197="SIM",V1197=0),"ATENÇÃO: BC permitida, mas % = 0 🔎",
"Base de cálculo aplicada corretamente ✅")))</f>
        <v/>
      </c>
      <c r="P1197" s="31" t="str">
        <f>IF(D1197="","",
IF(AND(Q1197&lt;&gt;"SIM",U1197&gt;0),"ERRO: % alíquota &gt; 0, mas NÃO permitida ❌",
IF(AND(Q1197="SIM",U1197=0),"ATENÇÃO: alíquota permitida, mas % = 0 🔎",
"Alíquota aplicada corretamente ✅")))</f>
        <v/>
      </c>
      <c r="Q1197" s="8" t="str">
        <f>IF(E1197="","",IFERROR(VLOOKUP(E1197,REGRAS_CST!$A$2:$D$200,4,FALSE),""))</f>
        <v/>
      </c>
      <c r="S1197" s="9">
        <f>IF($H1197="","",$H1197*(1-$U1197))</f>
        <v>8.9999999999999993E-3</v>
      </c>
      <c r="T1197" s="9">
        <f>IF($I1197="","",$I1197*(1-$U1197))</f>
        <v>1E-3</v>
      </c>
      <c r="U1197" s="16">
        <f>IFERROR(INDEX(BASE_CCLASSTRIB!$E:$E, MATCH(TEXT($D1197,"000000"), BASE_CCLASSTRIB!$A:$A, 0))/100, 0)</f>
        <v>0</v>
      </c>
      <c r="V1197" s="16">
        <f>IFERROR(INDEX(BASE_CCLASSTRIB!$F:$F, MATCH(TEXT($D1197,"000000"), BASE_CCLASSTRIB!$A:$A, 0))/100, 0)</f>
        <v>0</v>
      </c>
    </row>
    <row r="1198" spans="4:22" ht="32.25" customHeight="1">
      <c r="D1198" s="40"/>
      <c r="E1198" s="27" t="str">
        <f>IF(D1198="","",LEFT(D1198,3))</f>
        <v/>
      </c>
      <c r="F1198" s="28" t="str">
        <f>IF(E1198="","",IFERROR(VLOOKUP(E1198,REGRAS_CST!$A$2:$B$200,2,FALSE),""))</f>
        <v/>
      </c>
      <c r="H1198" s="29">
        <v>8.9999999999999993E-3</v>
      </c>
      <c r="I1198" s="29">
        <v>1E-3</v>
      </c>
      <c r="K1198" s="21" t="str">
        <f>IF(E1198="","",IFERROR(VLOOKUP(E1198,REGRAS_CST!$A$2:$C$200,3,FALSE),""))</f>
        <v/>
      </c>
      <c r="L1198" s="23" t="str">
        <f>IF($G1198="", "", $G1198*(1-$V1198))</f>
        <v/>
      </c>
      <c r="M1198" s="24" t="str">
        <f>IF(OR($L1198="",$S1198=""),"",$L1198*$S1198)</f>
        <v/>
      </c>
      <c r="N1198" s="24" t="str">
        <f>IF(OR($L1198="",$T1198=""),"",$L1198*$T1198)</f>
        <v/>
      </c>
      <c r="O1198" s="15" t="str">
        <f>IF(D1198="","",
IF(AND(K1198&lt;&gt;"SIM",V1198&gt;0),"ERRO: % BC &gt; 0, mas NÃO permitida ❌",
IF(AND(K1198="SIM",V1198=0),"ATENÇÃO: BC permitida, mas % = 0 🔎",
"Base de cálculo aplicada corretamente ✅")))</f>
        <v/>
      </c>
      <c r="P1198" s="31" t="str">
        <f>IF(D1198="","",
IF(AND(Q1198&lt;&gt;"SIM",U1198&gt;0),"ERRO: % alíquota &gt; 0, mas NÃO permitida ❌",
IF(AND(Q1198="SIM",U1198=0),"ATENÇÃO: alíquota permitida, mas % = 0 🔎",
"Alíquota aplicada corretamente ✅")))</f>
        <v/>
      </c>
      <c r="Q1198" s="8" t="str">
        <f>IF(E1198="","",IFERROR(VLOOKUP(E1198,REGRAS_CST!$A$2:$D$200,4,FALSE),""))</f>
        <v/>
      </c>
      <c r="S1198" s="9">
        <f>IF($H1198="","",$H1198*(1-$U1198))</f>
        <v>8.9999999999999993E-3</v>
      </c>
      <c r="T1198" s="9">
        <f>IF($I1198="","",$I1198*(1-$U1198))</f>
        <v>1E-3</v>
      </c>
      <c r="U1198" s="16">
        <f>IFERROR(INDEX(BASE_CCLASSTRIB!$E:$E, MATCH(TEXT($D1198,"000000"), BASE_CCLASSTRIB!$A:$A, 0))/100, 0)</f>
        <v>0</v>
      </c>
      <c r="V1198" s="16">
        <f>IFERROR(INDEX(BASE_CCLASSTRIB!$F:$F, MATCH(TEXT($D1198,"000000"), BASE_CCLASSTRIB!$A:$A, 0))/100, 0)</f>
        <v>0</v>
      </c>
    </row>
    <row r="1199" spans="4:22" ht="32.25" customHeight="1">
      <c r="D1199" s="40"/>
      <c r="E1199" s="27" t="str">
        <f>IF(D1199="","",LEFT(D1199,3))</f>
        <v/>
      </c>
      <c r="F1199" s="28" t="str">
        <f>IF(E1199="","",IFERROR(VLOOKUP(E1199,REGRAS_CST!$A$2:$B$200,2,FALSE),""))</f>
        <v/>
      </c>
      <c r="H1199" s="29">
        <v>8.9999999999999993E-3</v>
      </c>
      <c r="I1199" s="29">
        <v>1E-3</v>
      </c>
      <c r="K1199" s="21" t="str">
        <f>IF(E1199="","",IFERROR(VLOOKUP(E1199,REGRAS_CST!$A$2:$C$200,3,FALSE),""))</f>
        <v/>
      </c>
      <c r="L1199" s="23" t="str">
        <f>IF($G1199="", "", $G1199*(1-$V1199))</f>
        <v/>
      </c>
      <c r="M1199" s="24" t="str">
        <f>IF(OR($L1199="",$S1199=""),"",$L1199*$S1199)</f>
        <v/>
      </c>
      <c r="N1199" s="24" t="str">
        <f>IF(OR($L1199="",$T1199=""),"",$L1199*$T1199)</f>
        <v/>
      </c>
      <c r="O1199" s="15" t="str">
        <f>IF(D1199="","",
IF(AND(K1199&lt;&gt;"SIM",V1199&gt;0),"ERRO: % BC &gt; 0, mas NÃO permitida ❌",
IF(AND(K1199="SIM",V1199=0),"ATENÇÃO: BC permitida, mas % = 0 🔎",
"Base de cálculo aplicada corretamente ✅")))</f>
        <v/>
      </c>
      <c r="P1199" s="31" t="str">
        <f>IF(D1199="","",
IF(AND(Q1199&lt;&gt;"SIM",U1199&gt;0),"ERRO: % alíquota &gt; 0, mas NÃO permitida ❌",
IF(AND(Q1199="SIM",U1199=0),"ATENÇÃO: alíquota permitida, mas % = 0 🔎",
"Alíquota aplicada corretamente ✅")))</f>
        <v/>
      </c>
      <c r="Q1199" s="8" t="str">
        <f>IF(E1199="","",IFERROR(VLOOKUP(E1199,REGRAS_CST!$A$2:$D$200,4,FALSE),""))</f>
        <v/>
      </c>
      <c r="S1199" s="9">
        <f>IF($H1199="","",$H1199*(1-$U1199))</f>
        <v>8.9999999999999993E-3</v>
      </c>
      <c r="T1199" s="9">
        <f>IF($I1199="","",$I1199*(1-$U1199))</f>
        <v>1E-3</v>
      </c>
      <c r="U1199" s="16">
        <f>IFERROR(INDEX(BASE_CCLASSTRIB!$E:$E, MATCH(TEXT($D1199,"000000"), BASE_CCLASSTRIB!$A:$A, 0))/100, 0)</f>
        <v>0</v>
      </c>
      <c r="V1199" s="16">
        <f>IFERROR(INDEX(BASE_CCLASSTRIB!$F:$F, MATCH(TEXT($D1199,"000000"), BASE_CCLASSTRIB!$A:$A, 0))/100, 0)</f>
        <v>0</v>
      </c>
    </row>
    <row r="1200" spans="4:22" ht="32.25" customHeight="1">
      <c r="D1200" s="40"/>
      <c r="E1200" s="27" t="str">
        <f>IF(D1200="","",LEFT(D1200,3))</f>
        <v/>
      </c>
      <c r="F1200" s="28" t="str">
        <f>IF(E1200="","",IFERROR(VLOOKUP(E1200,REGRAS_CST!$A$2:$B$200,2,FALSE),""))</f>
        <v/>
      </c>
      <c r="H1200" s="29">
        <v>8.9999999999999993E-3</v>
      </c>
      <c r="I1200" s="29">
        <v>1E-3</v>
      </c>
      <c r="K1200" s="21" t="str">
        <f>IF(E1200="","",IFERROR(VLOOKUP(E1200,REGRAS_CST!$A$2:$C$200,3,FALSE),""))</f>
        <v/>
      </c>
      <c r="L1200" s="23" t="str">
        <f>IF($G1200="", "", $G1200*(1-$V1200))</f>
        <v/>
      </c>
      <c r="M1200" s="24" t="str">
        <f>IF(OR($L1200="",$S1200=""),"",$L1200*$S1200)</f>
        <v/>
      </c>
      <c r="N1200" s="24" t="str">
        <f>IF(OR($L1200="",$T1200=""),"",$L1200*$T1200)</f>
        <v/>
      </c>
      <c r="O1200" s="15" t="str">
        <f>IF(D1200="","",
IF(AND(K1200&lt;&gt;"SIM",V1200&gt;0),"ERRO: % BC &gt; 0, mas NÃO permitida ❌",
IF(AND(K1200="SIM",V1200=0),"ATENÇÃO: BC permitida, mas % = 0 🔎",
"Base de cálculo aplicada corretamente ✅")))</f>
        <v/>
      </c>
      <c r="P1200" s="31" t="str">
        <f>IF(D1200="","",
IF(AND(Q1200&lt;&gt;"SIM",U1200&gt;0),"ERRO: % alíquota &gt; 0, mas NÃO permitida ❌",
IF(AND(Q1200="SIM",U1200=0),"ATENÇÃO: alíquota permitida, mas % = 0 🔎",
"Alíquota aplicada corretamente ✅")))</f>
        <v/>
      </c>
      <c r="Q1200" s="8" t="str">
        <f>IF(E1200="","",IFERROR(VLOOKUP(E1200,REGRAS_CST!$A$2:$D$200,4,FALSE),""))</f>
        <v/>
      </c>
      <c r="S1200" s="9">
        <f>IF($H1200="","",$H1200*(1-$U1200))</f>
        <v>8.9999999999999993E-3</v>
      </c>
      <c r="T1200" s="9">
        <f>IF($I1200="","",$I1200*(1-$U1200))</f>
        <v>1E-3</v>
      </c>
      <c r="U1200" s="16">
        <f>IFERROR(INDEX(BASE_CCLASSTRIB!$E:$E, MATCH(TEXT($D1200,"000000"), BASE_CCLASSTRIB!$A:$A, 0))/100, 0)</f>
        <v>0</v>
      </c>
      <c r="V1200" s="16">
        <f>IFERROR(INDEX(BASE_CCLASSTRIB!$F:$F, MATCH(TEXT($D1200,"000000"), BASE_CCLASSTRIB!$A:$A, 0))/100, 0)</f>
        <v>0</v>
      </c>
    </row>
    <row r="1201" spans="4:22" ht="32.25" customHeight="1">
      <c r="D1201" s="40"/>
      <c r="E1201" s="27" t="str">
        <f>IF(D1201="","",LEFT(D1201,3))</f>
        <v/>
      </c>
      <c r="F1201" s="28" t="str">
        <f>IF(E1201="","",IFERROR(VLOOKUP(E1201,REGRAS_CST!$A$2:$B$200,2,FALSE),""))</f>
        <v/>
      </c>
      <c r="H1201" s="29">
        <v>8.9999999999999993E-3</v>
      </c>
      <c r="I1201" s="29">
        <v>1E-3</v>
      </c>
      <c r="K1201" s="21" t="str">
        <f>IF(E1201="","",IFERROR(VLOOKUP(E1201,REGRAS_CST!$A$2:$C$200,3,FALSE),""))</f>
        <v/>
      </c>
      <c r="L1201" s="23" t="str">
        <f>IF($G1201="", "", $G1201*(1-$V1201))</f>
        <v/>
      </c>
      <c r="M1201" s="24" t="str">
        <f>IF(OR($L1201="",$S1201=""),"",$L1201*$S1201)</f>
        <v/>
      </c>
      <c r="N1201" s="24" t="str">
        <f>IF(OR($L1201="",$T1201=""),"",$L1201*$T1201)</f>
        <v/>
      </c>
      <c r="O1201" s="15" t="str">
        <f>IF(D1201="","",
IF(AND(K1201&lt;&gt;"SIM",V1201&gt;0),"ERRO: % BC &gt; 0, mas NÃO permitida ❌",
IF(AND(K1201="SIM",V1201=0),"ATENÇÃO: BC permitida, mas % = 0 🔎",
"Base de cálculo aplicada corretamente ✅")))</f>
        <v/>
      </c>
      <c r="P1201" s="31" t="str">
        <f>IF(D1201="","",
IF(AND(Q1201&lt;&gt;"SIM",U1201&gt;0),"ERRO: % alíquota &gt; 0, mas NÃO permitida ❌",
IF(AND(Q1201="SIM",U1201=0),"ATENÇÃO: alíquota permitida, mas % = 0 🔎",
"Alíquota aplicada corretamente ✅")))</f>
        <v/>
      </c>
      <c r="Q1201" s="8" t="str">
        <f>IF(E1201="","",IFERROR(VLOOKUP(E1201,REGRAS_CST!$A$2:$D$200,4,FALSE),""))</f>
        <v/>
      </c>
      <c r="S1201" s="9">
        <f>IF($H1201="","",$H1201*(1-$U1201))</f>
        <v>8.9999999999999993E-3</v>
      </c>
      <c r="T1201" s="9">
        <f>IF($I1201="","",$I1201*(1-$U1201))</f>
        <v>1E-3</v>
      </c>
      <c r="U1201" s="16">
        <f>IFERROR(INDEX(BASE_CCLASSTRIB!$E:$E, MATCH(TEXT($D1201,"000000"), BASE_CCLASSTRIB!$A:$A, 0))/100, 0)</f>
        <v>0</v>
      </c>
      <c r="V1201" s="16">
        <f>IFERROR(INDEX(BASE_CCLASSTRIB!$F:$F, MATCH(TEXT($D1201,"000000"), BASE_CCLASSTRIB!$A:$A, 0))/100, 0)</f>
        <v>0</v>
      </c>
    </row>
    <row r="1202" spans="4:22" ht="32.25" customHeight="1">
      <c r="D1202" s="39"/>
      <c r="E1202" s="27" t="str">
        <f>IF(D1202="","",LEFT(D1202,3))</f>
        <v/>
      </c>
      <c r="F1202" s="28" t="str">
        <f>IF(E1202="","",IFERROR(VLOOKUP(E1202,REGRAS_CST!$A$2:$B$200,2,FALSE),""))</f>
        <v/>
      </c>
      <c r="H1202" s="29">
        <v>8.9999999999999993E-3</v>
      </c>
      <c r="I1202" s="29">
        <v>1E-3</v>
      </c>
      <c r="K1202" s="21" t="str">
        <f>IF(E1202="","",IFERROR(VLOOKUP(E1202,REGRAS_CST!$A$2:$C$200,3,FALSE),""))</f>
        <v/>
      </c>
      <c r="L1202" s="23" t="str">
        <f>IF($G1202="", "", $G1202*(1-$V1202))</f>
        <v/>
      </c>
      <c r="M1202" s="24" t="str">
        <f>IF(OR($L1202="",$S1202=""),"",$L1202*$S1202)</f>
        <v/>
      </c>
      <c r="N1202" s="24" t="str">
        <f>IF(OR($L1202="",$T1202=""),"",$L1202*$T1202)</f>
        <v/>
      </c>
      <c r="O1202" s="15" t="str">
        <f>IF(D1202="","",
IF(AND(K1202&lt;&gt;"SIM",V1202&gt;0),"ERRO: % BC &gt; 0, mas NÃO permitida ❌",
IF(AND(K1202="SIM",V1202=0),"ATENÇÃO: BC permitida, mas % = 0 🔎",
"Base de cálculo aplicada corretamente ✅")))</f>
        <v/>
      </c>
      <c r="P1202" s="31" t="str">
        <f>IF(D1202="","",
IF(AND(Q1202&lt;&gt;"SIM",U1202&gt;0),"ERRO: % alíquota &gt; 0, mas NÃO permitida ❌",
IF(AND(Q1202="SIM",U1202=0),"ATENÇÃO: alíquota permitida, mas % = 0 🔎",
"Alíquota aplicada corretamente ✅")))</f>
        <v/>
      </c>
      <c r="Q1202" s="8" t="str">
        <f>IF(E1202="","",IFERROR(VLOOKUP(E1202,REGRAS_CST!$A$2:$D$200,4,FALSE),""))</f>
        <v/>
      </c>
      <c r="S1202" s="9">
        <f>IF($H1202="","",$H1202*(1-$U1202))</f>
        <v>8.9999999999999993E-3</v>
      </c>
      <c r="T1202" s="9">
        <f>IF($I1202="","",$I1202*(1-$U1202))</f>
        <v>1E-3</v>
      </c>
      <c r="U1202" s="16">
        <f>IFERROR(INDEX(BASE_CCLASSTRIB!$E:$E, MATCH(TEXT($D1202,"000000"), BASE_CCLASSTRIB!$A:$A, 0))/100, 0)</f>
        <v>0</v>
      </c>
      <c r="V1202" s="16">
        <f>IFERROR(INDEX(BASE_CCLASSTRIB!$F:$F, MATCH(TEXT($D1202,"000000"), BASE_CCLASSTRIB!$A:$A, 0))/100, 0)</f>
        <v>0</v>
      </c>
    </row>
    <row r="1203" spans="4:22" ht="32.25" customHeight="1">
      <c r="D1203" s="40"/>
      <c r="E1203" s="27" t="str">
        <f>IF(D1203="","",LEFT(D1203,3))</f>
        <v/>
      </c>
      <c r="F1203" s="28" t="str">
        <f>IF(E1203="","",IFERROR(VLOOKUP(E1203,REGRAS_CST!$A$2:$B$200,2,FALSE),""))</f>
        <v/>
      </c>
      <c r="H1203" s="29">
        <v>8.9999999999999993E-3</v>
      </c>
      <c r="I1203" s="29">
        <v>1E-3</v>
      </c>
      <c r="K1203" s="21" t="str">
        <f>IF(E1203="","",IFERROR(VLOOKUP(E1203,REGRAS_CST!$A$2:$C$200,3,FALSE),""))</f>
        <v/>
      </c>
      <c r="L1203" s="23" t="str">
        <f>IF($G1203="", "", $G1203*(1-$V1203))</f>
        <v/>
      </c>
      <c r="M1203" s="24" t="str">
        <f>IF(OR($L1203="",$S1203=""),"",$L1203*$S1203)</f>
        <v/>
      </c>
      <c r="N1203" s="24" t="str">
        <f>IF(OR($L1203="",$T1203=""),"",$L1203*$T1203)</f>
        <v/>
      </c>
      <c r="O1203" s="15" t="str">
        <f>IF(D1203="","",
IF(AND(K1203&lt;&gt;"SIM",V1203&gt;0),"ERRO: % BC &gt; 0, mas NÃO permitida ❌",
IF(AND(K1203="SIM",V1203=0),"ATENÇÃO: BC permitida, mas % = 0 🔎",
"Base de cálculo aplicada corretamente ✅")))</f>
        <v/>
      </c>
      <c r="P1203" s="31" t="str">
        <f>IF(D1203="","",
IF(AND(Q1203&lt;&gt;"SIM",U1203&gt;0),"ERRO: % alíquota &gt; 0, mas NÃO permitida ❌",
IF(AND(Q1203="SIM",U1203=0),"ATENÇÃO: alíquota permitida, mas % = 0 🔎",
"Alíquota aplicada corretamente ✅")))</f>
        <v/>
      </c>
      <c r="Q1203" s="8" t="str">
        <f>IF(E1203="","",IFERROR(VLOOKUP(E1203,REGRAS_CST!$A$2:$D$200,4,FALSE),""))</f>
        <v/>
      </c>
      <c r="S1203" s="9">
        <f>IF($H1203="","",$H1203*(1-$U1203))</f>
        <v>8.9999999999999993E-3</v>
      </c>
      <c r="T1203" s="9">
        <f>IF($I1203="","",$I1203*(1-$U1203))</f>
        <v>1E-3</v>
      </c>
      <c r="U1203" s="16">
        <f>IFERROR(INDEX(BASE_CCLASSTRIB!$E:$E, MATCH(TEXT($D1203,"000000"), BASE_CCLASSTRIB!$A:$A, 0))/100, 0)</f>
        <v>0</v>
      </c>
      <c r="V1203" s="16">
        <f>IFERROR(INDEX(BASE_CCLASSTRIB!$F:$F, MATCH(TEXT($D1203,"000000"), BASE_CCLASSTRIB!$A:$A, 0))/100, 0)</f>
        <v>0</v>
      </c>
    </row>
    <row r="1204" spans="4:22" ht="32.25" customHeight="1">
      <c r="D1204" s="40"/>
      <c r="E1204" s="27" t="str">
        <f>IF(D1204="","",LEFT(D1204,3))</f>
        <v/>
      </c>
      <c r="F1204" s="28" t="str">
        <f>IF(E1204="","",IFERROR(VLOOKUP(E1204,REGRAS_CST!$A$2:$B$200,2,FALSE),""))</f>
        <v/>
      </c>
      <c r="H1204" s="29">
        <v>8.9999999999999993E-3</v>
      </c>
      <c r="I1204" s="29">
        <v>1E-3</v>
      </c>
      <c r="K1204" s="21" t="str">
        <f>IF(E1204="","",IFERROR(VLOOKUP(E1204,REGRAS_CST!$A$2:$C$200,3,FALSE),""))</f>
        <v/>
      </c>
      <c r="L1204" s="23" t="str">
        <f>IF($G1204="", "", $G1204*(1-$V1204))</f>
        <v/>
      </c>
      <c r="M1204" s="24" t="str">
        <f>IF(OR($L1204="",$S1204=""),"",$L1204*$S1204)</f>
        <v/>
      </c>
      <c r="N1204" s="24" t="str">
        <f>IF(OR($L1204="",$T1204=""),"",$L1204*$T1204)</f>
        <v/>
      </c>
      <c r="O1204" s="15" t="str">
        <f>IF(D1204="","",
IF(AND(K1204&lt;&gt;"SIM",V1204&gt;0),"ERRO: % BC &gt; 0, mas NÃO permitida ❌",
IF(AND(K1204="SIM",V1204=0),"ATENÇÃO: BC permitida, mas % = 0 🔎",
"Base de cálculo aplicada corretamente ✅")))</f>
        <v/>
      </c>
      <c r="P1204" s="31" t="str">
        <f>IF(D1204="","",
IF(AND(Q1204&lt;&gt;"SIM",U1204&gt;0),"ERRO: % alíquota &gt; 0, mas NÃO permitida ❌",
IF(AND(Q1204="SIM",U1204=0),"ATENÇÃO: alíquota permitida, mas % = 0 🔎",
"Alíquota aplicada corretamente ✅")))</f>
        <v/>
      </c>
      <c r="Q1204" s="8" t="str">
        <f>IF(E1204="","",IFERROR(VLOOKUP(E1204,REGRAS_CST!$A$2:$D$200,4,FALSE),""))</f>
        <v/>
      </c>
      <c r="S1204" s="9">
        <f>IF($H1204="","",$H1204*(1-$U1204))</f>
        <v>8.9999999999999993E-3</v>
      </c>
      <c r="T1204" s="9">
        <f>IF($I1204="","",$I1204*(1-$U1204))</f>
        <v>1E-3</v>
      </c>
      <c r="U1204" s="16">
        <f>IFERROR(INDEX(BASE_CCLASSTRIB!$E:$E, MATCH(TEXT($D1204,"000000"), BASE_CCLASSTRIB!$A:$A, 0))/100, 0)</f>
        <v>0</v>
      </c>
      <c r="V1204" s="16">
        <f>IFERROR(INDEX(BASE_CCLASSTRIB!$F:$F, MATCH(TEXT($D1204,"000000"), BASE_CCLASSTRIB!$A:$A, 0))/100, 0)</f>
        <v>0</v>
      </c>
    </row>
    <row r="1205" spans="4:22" ht="32.25" customHeight="1">
      <c r="D1205" s="40"/>
      <c r="E1205" s="27" t="str">
        <f>IF(D1205="","",LEFT(D1205,3))</f>
        <v/>
      </c>
      <c r="F1205" s="28" t="str">
        <f>IF(E1205="","",IFERROR(VLOOKUP(E1205,REGRAS_CST!$A$2:$B$200,2,FALSE),""))</f>
        <v/>
      </c>
      <c r="H1205" s="29">
        <v>8.9999999999999993E-3</v>
      </c>
      <c r="I1205" s="29">
        <v>1E-3</v>
      </c>
      <c r="K1205" s="21" t="str">
        <f>IF(E1205="","",IFERROR(VLOOKUP(E1205,REGRAS_CST!$A$2:$C$200,3,FALSE),""))</f>
        <v/>
      </c>
      <c r="L1205" s="23" t="str">
        <f>IF($G1205="", "", $G1205*(1-$V1205))</f>
        <v/>
      </c>
      <c r="M1205" s="24" t="str">
        <f>IF(OR($L1205="",$S1205=""),"",$L1205*$S1205)</f>
        <v/>
      </c>
      <c r="N1205" s="24" t="str">
        <f>IF(OR($L1205="",$T1205=""),"",$L1205*$T1205)</f>
        <v/>
      </c>
      <c r="O1205" s="15" t="str">
        <f>IF(D1205="","",
IF(AND(K1205&lt;&gt;"SIM",V1205&gt;0),"ERRO: % BC &gt; 0, mas NÃO permitida ❌",
IF(AND(K1205="SIM",V1205=0),"ATENÇÃO: BC permitida, mas % = 0 🔎",
"Base de cálculo aplicada corretamente ✅")))</f>
        <v/>
      </c>
      <c r="P1205" s="31" t="str">
        <f>IF(D1205="","",
IF(AND(Q1205&lt;&gt;"SIM",U1205&gt;0),"ERRO: % alíquota &gt; 0, mas NÃO permitida ❌",
IF(AND(Q1205="SIM",U1205=0),"ATENÇÃO: alíquota permitida, mas % = 0 🔎",
"Alíquota aplicada corretamente ✅")))</f>
        <v/>
      </c>
      <c r="Q1205" s="8" t="str">
        <f>IF(E1205="","",IFERROR(VLOOKUP(E1205,REGRAS_CST!$A$2:$D$200,4,FALSE),""))</f>
        <v/>
      </c>
      <c r="S1205" s="9">
        <f>IF($H1205="","",$H1205*(1-$U1205))</f>
        <v>8.9999999999999993E-3</v>
      </c>
      <c r="T1205" s="9">
        <f>IF($I1205="","",$I1205*(1-$U1205))</f>
        <v>1E-3</v>
      </c>
      <c r="U1205" s="16">
        <f>IFERROR(INDEX(BASE_CCLASSTRIB!$E:$E, MATCH(TEXT($D1205,"000000"), BASE_CCLASSTRIB!$A:$A, 0))/100, 0)</f>
        <v>0</v>
      </c>
      <c r="V1205" s="16">
        <f>IFERROR(INDEX(BASE_CCLASSTRIB!$F:$F, MATCH(TEXT($D1205,"000000"), BASE_CCLASSTRIB!$A:$A, 0))/100, 0)</f>
        <v>0</v>
      </c>
    </row>
    <row r="1206" spans="4:22" ht="32.25" customHeight="1">
      <c r="D1206" s="39"/>
      <c r="E1206" s="27" t="str">
        <f>IF(D1206="","",LEFT(D1206,3))</f>
        <v/>
      </c>
      <c r="F1206" s="28" t="str">
        <f>IF(E1206="","",IFERROR(VLOOKUP(E1206,REGRAS_CST!$A$2:$B$200,2,FALSE),""))</f>
        <v/>
      </c>
      <c r="H1206" s="29">
        <v>8.9999999999999993E-3</v>
      </c>
      <c r="I1206" s="29">
        <v>1E-3</v>
      </c>
      <c r="K1206" s="21" t="str">
        <f>IF(E1206="","",IFERROR(VLOOKUP(E1206,REGRAS_CST!$A$2:$C$200,3,FALSE),""))</f>
        <v/>
      </c>
      <c r="L1206" s="23" t="str">
        <f>IF($G1206="", "", $G1206*(1-$V1206))</f>
        <v/>
      </c>
      <c r="M1206" s="24" t="str">
        <f>IF(OR($L1206="",$S1206=""),"",$L1206*$S1206)</f>
        <v/>
      </c>
      <c r="N1206" s="24" t="str">
        <f>IF(OR($L1206="",$T1206=""),"",$L1206*$T1206)</f>
        <v/>
      </c>
      <c r="O1206" s="15" t="str">
        <f>IF(D1206="","",
IF(AND(K1206&lt;&gt;"SIM",V1206&gt;0),"ERRO: % BC &gt; 0, mas NÃO permitida ❌",
IF(AND(K1206="SIM",V1206=0),"ATENÇÃO: BC permitida, mas % = 0 🔎",
"Base de cálculo aplicada corretamente ✅")))</f>
        <v/>
      </c>
      <c r="P1206" s="31" t="str">
        <f>IF(D1206="","",
IF(AND(Q1206&lt;&gt;"SIM",U1206&gt;0),"ERRO: % alíquota &gt; 0, mas NÃO permitida ❌",
IF(AND(Q1206="SIM",U1206=0),"ATENÇÃO: alíquota permitida, mas % = 0 🔎",
"Alíquota aplicada corretamente ✅")))</f>
        <v/>
      </c>
      <c r="Q1206" s="8" t="str">
        <f>IF(E1206="","",IFERROR(VLOOKUP(E1206,REGRAS_CST!$A$2:$D$200,4,FALSE),""))</f>
        <v/>
      </c>
      <c r="S1206" s="9">
        <f>IF($H1206="","",$H1206*(1-$U1206))</f>
        <v>8.9999999999999993E-3</v>
      </c>
      <c r="T1206" s="9">
        <f>IF($I1206="","",$I1206*(1-$U1206))</f>
        <v>1E-3</v>
      </c>
      <c r="U1206" s="16">
        <f>IFERROR(INDEX(BASE_CCLASSTRIB!$E:$E, MATCH(TEXT($D1206,"000000"), BASE_CCLASSTRIB!$A:$A, 0))/100, 0)</f>
        <v>0</v>
      </c>
      <c r="V1206" s="16">
        <f>IFERROR(INDEX(BASE_CCLASSTRIB!$F:$F, MATCH(TEXT($D1206,"000000"), BASE_CCLASSTRIB!$A:$A, 0))/100, 0)</f>
        <v>0</v>
      </c>
    </row>
    <row r="1207" spans="4:22" ht="32.25" customHeight="1">
      <c r="D1207" s="40"/>
      <c r="E1207" s="27" t="str">
        <f>IF(D1207="","",LEFT(D1207,3))</f>
        <v/>
      </c>
      <c r="F1207" s="28" t="str">
        <f>IF(E1207="","",IFERROR(VLOOKUP(E1207,REGRAS_CST!$A$2:$B$200,2,FALSE),""))</f>
        <v/>
      </c>
      <c r="H1207" s="29">
        <v>8.9999999999999993E-3</v>
      </c>
      <c r="I1207" s="29">
        <v>1E-3</v>
      </c>
      <c r="K1207" s="21" t="str">
        <f>IF(E1207="","",IFERROR(VLOOKUP(E1207,REGRAS_CST!$A$2:$C$200,3,FALSE),""))</f>
        <v/>
      </c>
      <c r="L1207" s="23" t="str">
        <f>IF($G1207="", "", $G1207*(1-$V1207))</f>
        <v/>
      </c>
      <c r="M1207" s="24" t="str">
        <f>IF(OR($L1207="",$S1207=""),"",$L1207*$S1207)</f>
        <v/>
      </c>
      <c r="N1207" s="24" t="str">
        <f>IF(OR($L1207="",$T1207=""),"",$L1207*$T1207)</f>
        <v/>
      </c>
      <c r="O1207" s="15" t="str">
        <f>IF(D1207="","",
IF(AND(K1207&lt;&gt;"SIM",V1207&gt;0),"ERRO: % BC &gt; 0, mas NÃO permitida ❌",
IF(AND(K1207="SIM",V1207=0),"ATENÇÃO: BC permitida, mas % = 0 🔎",
"Base de cálculo aplicada corretamente ✅")))</f>
        <v/>
      </c>
      <c r="P1207" s="31" t="str">
        <f>IF(D1207="","",
IF(AND(Q1207&lt;&gt;"SIM",U1207&gt;0),"ERRO: % alíquota &gt; 0, mas NÃO permitida ❌",
IF(AND(Q1207="SIM",U1207=0),"ATENÇÃO: alíquota permitida, mas % = 0 🔎",
"Alíquota aplicada corretamente ✅")))</f>
        <v/>
      </c>
      <c r="Q1207" s="8" t="str">
        <f>IF(E1207="","",IFERROR(VLOOKUP(E1207,REGRAS_CST!$A$2:$D$200,4,FALSE),""))</f>
        <v/>
      </c>
      <c r="S1207" s="9">
        <f>IF($H1207="","",$H1207*(1-$U1207))</f>
        <v>8.9999999999999993E-3</v>
      </c>
      <c r="T1207" s="9">
        <f>IF($I1207="","",$I1207*(1-$U1207))</f>
        <v>1E-3</v>
      </c>
      <c r="U1207" s="16">
        <f>IFERROR(INDEX(BASE_CCLASSTRIB!$E:$E, MATCH(TEXT($D1207,"000000"), BASE_CCLASSTRIB!$A:$A, 0))/100, 0)</f>
        <v>0</v>
      </c>
      <c r="V1207" s="16">
        <f>IFERROR(INDEX(BASE_CCLASSTRIB!$F:$F, MATCH(TEXT($D1207,"000000"), BASE_CCLASSTRIB!$A:$A, 0))/100, 0)</f>
        <v>0</v>
      </c>
    </row>
    <row r="1208" spans="4:22" ht="32.25" customHeight="1">
      <c r="D1208" s="39"/>
      <c r="E1208" s="27" t="str">
        <f>IF(D1208="","",LEFT(D1208,3))</f>
        <v/>
      </c>
      <c r="F1208" s="28" t="str">
        <f>IF(E1208="","",IFERROR(VLOOKUP(E1208,REGRAS_CST!$A$2:$B$200,2,FALSE),""))</f>
        <v/>
      </c>
      <c r="H1208" s="29">
        <v>8.9999999999999993E-3</v>
      </c>
      <c r="I1208" s="29">
        <v>1E-3</v>
      </c>
      <c r="K1208" s="21" t="str">
        <f>IF(E1208="","",IFERROR(VLOOKUP(E1208,REGRAS_CST!$A$2:$C$200,3,FALSE),""))</f>
        <v/>
      </c>
      <c r="L1208" s="23" t="str">
        <f>IF($G1208="", "", $G1208*(1-$V1208))</f>
        <v/>
      </c>
      <c r="M1208" s="24" t="str">
        <f>IF(OR($L1208="",$S1208=""),"",$L1208*$S1208)</f>
        <v/>
      </c>
      <c r="N1208" s="24" t="str">
        <f>IF(OR($L1208="",$T1208=""),"",$L1208*$T1208)</f>
        <v/>
      </c>
      <c r="O1208" s="15" t="str">
        <f>IF(D1208="","",
IF(AND(K1208&lt;&gt;"SIM",V1208&gt;0),"ERRO: % BC &gt; 0, mas NÃO permitida ❌",
IF(AND(K1208="SIM",V1208=0),"ATENÇÃO: BC permitida, mas % = 0 🔎",
"Base de cálculo aplicada corretamente ✅")))</f>
        <v/>
      </c>
      <c r="P1208" s="31" t="str">
        <f>IF(D1208="","",
IF(AND(Q1208&lt;&gt;"SIM",U1208&gt;0),"ERRO: % alíquota &gt; 0, mas NÃO permitida ❌",
IF(AND(Q1208="SIM",U1208=0),"ATENÇÃO: alíquota permitida, mas % = 0 🔎",
"Alíquota aplicada corretamente ✅")))</f>
        <v/>
      </c>
      <c r="Q1208" s="8" t="str">
        <f>IF(E1208="","",IFERROR(VLOOKUP(E1208,REGRAS_CST!$A$2:$D$200,4,FALSE),""))</f>
        <v/>
      </c>
      <c r="S1208" s="9">
        <f>IF($H1208="","",$H1208*(1-$U1208))</f>
        <v>8.9999999999999993E-3</v>
      </c>
      <c r="T1208" s="9">
        <f>IF($I1208="","",$I1208*(1-$U1208))</f>
        <v>1E-3</v>
      </c>
      <c r="U1208" s="16">
        <f>IFERROR(INDEX(BASE_CCLASSTRIB!$E:$E, MATCH(TEXT($D1208,"000000"), BASE_CCLASSTRIB!$A:$A, 0))/100, 0)</f>
        <v>0</v>
      </c>
      <c r="V1208" s="16">
        <f>IFERROR(INDEX(BASE_CCLASSTRIB!$F:$F, MATCH(TEXT($D1208,"000000"), BASE_CCLASSTRIB!$A:$A, 0))/100, 0)</f>
        <v>0</v>
      </c>
    </row>
    <row r="1209" spans="4:22" ht="32.25" customHeight="1">
      <c r="D1209" s="39"/>
      <c r="E1209" s="27" t="str">
        <f>IF(D1209="","",LEFT(D1209,3))</f>
        <v/>
      </c>
      <c r="F1209" s="28" t="str">
        <f>IF(E1209="","",IFERROR(VLOOKUP(E1209,REGRAS_CST!$A$2:$B$200,2,FALSE),""))</f>
        <v/>
      </c>
      <c r="H1209" s="29">
        <v>8.9999999999999993E-3</v>
      </c>
      <c r="I1209" s="29">
        <v>1E-3</v>
      </c>
      <c r="K1209" s="21" t="str">
        <f>IF(E1209="","",IFERROR(VLOOKUP(E1209,REGRAS_CST!$A$2:$C$200,3,FALSE),""))</f>
        <v/>
      </c>
      <c r="L1209" s="23" t="str">
        <f>IF($G1209="", "", $G1209*(1-$V1209))</f>
        <v/>
      </c>
      <c r="M1209" s="24" t="str">
        <f>IF(OR($L1209="",$S1209=""),"",$L1209*$S1209)</f>
        <v/>
      </c>
      <c r="N1209" s="24" t="str">
        <f>IF(OR($L1209="",$T1209=""),"",$L1209*$T1209)</f>
        <v/>
      </c>
      <c r="O1209" s="15" t="str">
        <f>IF(D1209="","",
IF(AND(K1209&lt;&gt;"SIM",V1209&gt;0),"ERRO: % BC &gt; 0, mas NÃO permitida ❌",
IF(AND(K1209="SIM",V1209=0),"ATENÇÃO: BC permitida, mas % = 0 🔎",
"Base de cálculo aplicada corretamente ✅")))</f>
        <v/>
      </c>
      <c r="P1209" s="31" t="str">
        <f>IF(D1209="","",
IF(AND(Q1209&lt;&gt;"SIM",U1209&gt;0),"ERRO: % alíquota &gt; 0, mas NÃO permitida ❌",
IF(AND(Q1209="SIM",U1209=0),"ATENÇÃO: alíquota permitida, mas % = 0 🔎",
"Alíquota aplicada corretamente ✅")))</f>
        <v/>
      </c>
      <c r="Q1209" s="8" t="str">
        <f>IF(E1209="","",IFERROR(VLOOKUP(E1209,REGRAS_CST!$A$2:$D$200,4,FALSE),""))</f>
        <v/>
      </c>
      <c r="S1209" s="9">
        <f>IF($H1209="","",$H1209*(1-$U1209))</f>
        <v>8.9999999999999993E-3</v>
      </c>
      <c r="T1209" s="9">
        <f>IF($I1209="","",$I1209*(1-$U1209))</f>
        <v>1E-3</v>
      </c>
      <c r="U1209" s="16">
        <f>IFERROR(INDEX(BASE_CCLASSTRIB!$E:$E, MATCH(TEXT($D1209,"000000"), BASE_CCLASSTRIB!$A:$A, 0))/100, 0)</f>
        <v>0</v>
      </c>
      <c r="V1209" s="16">
        <f>IFERROR(INDEX(BASE_CCLASSTRIB!$F:$F, MATCH(TEXT($D1209,"000000"), BASE_CCLASSTRIB!$A:$A, 0))/100, 0)</f>
        <v>0</v>
      </c>
    </row>
    <row r="1210" spans="4:22" ht="32.25" customHeight="1">
      <c r="D1210" s="40"/>
      <c r="E1210" s="27" t="str">
        <f>IF(D1210="","",LEFT(D1210,3))</f>
        <v/>
      </c>
      <c r="F1210" s="28" t="str">
        <f>IF(E1210="","",IFERROR(VLOOKUP(E1210,REGRAS_CST!$A$2:$B$200,2,FALSE),""))</f>
        <v/>
      </c>
      <c r="H1210" s="29">
        <v>8.9999999999999993E-3</v>
      </c>
      <c r="I1210" s="29">
        <v>1E-3</v>
      </c>
      <c r="K1210" s="21" t="str">
        <f>IF(E1210="","",IFERROR(VLOOKUP(E1210,REGRAS_CST!$A$2:$C$200,3,FALSE),""))</f>
        <v/>
      </c>
      <c r="L1210" s="23" t="str">
        <f>IF($G1210="", "", $G1210*(1-$V1210))</f>
        <v/>
      </c>
      <c r="M1210" s="24" t="str">
        <f>IF(OR($L1210="",$S1210=""),"",$L1210*$S1210)</f>
        <v/>
      </c>
      <c r="N1210" s="24" t="str">
        <f>IF(OR($L1210="",$T1210=""),"",$L1210*$T1210)</f>
        <v/>
      </c>
      <c r="O1210" s="15" t="str">
        <f>IF(D1210="","",
IF(AND(K1210&lt;&gt;"SIM",V1210&gt;0),"ERRO: % BC &gt; 0, mas NÃO permitida ❌",
IF(AND(K1210="SIM",V1210=0),"ATENÇÃO: BC permitida, mas % = 0 🔎",
"Base de cálculo aplicada corretamente ✅")))</f>
        <v/>
      </c>
      <c r="P1210" s="31" t="str">
        <f>IF(D1210="","",
IF(AND(Q1210&lt;&gt;"SIM",U1210&gt;0),"ERRO: % alíquota &gt; 0, mas NÃO permitida ❌",
IF(AND(Q1210="SIM",U1210=0),"ATENÇÃO: alíquota permitida, mas % = 0 🔎",
"Alíquota aplicada corretamente ✅")))</f>
        <v/>
      </c>
      <c r="Q1210" s="8" t="str">
        <f>IF(E1210="","",IFERROR(VLOOKUP(E1210,REGRAS_CST!$A$2:$D$200,4,FALSE),""))</f>
        <v/>
      </c>
      <c r="S1210" s="9">
        <f>IF($H1210="","",$H1210*(1-$U1210))</f>
        <v>8.9999999999999993E-3</v>
      </c>
      <c r="T1210" s="9">
        <f>IF($I1210="","",$I1210*(1-$U1210))</f>
        <v>1E-3</v>
      </c>
      <c r="U1210" s="16">
        <f>IFERROR(INDEX(BASE_CCLASSTRIB!$E:$E, MATCH(TEXT($D1210,"000000"), BASE_CCLASSTRIB!$A:$A, 0))/100, 0)</f>
        <v>0</v>
      </c>
      <c r="V1210" s="16">
        <f>IFERROR(INDEX(BASE_CCLASSTRIB!$F:$F, MATCH(TEXT($D1210,"000000"), BASE_CCLASSTRIB!$A:$A, 0))/100, 0)</f>
        <v>0</v>
      </c>
    </row>
    <row r="1211" spans="4:22" ht="32.25" customHeight="1">
      <c r="D1211" s="39"/>
      <c r="E1211" s="27" t="str">
        <f>IF(D1211="","",LEFT(D1211,3))</f>
        <v/>
      </c>
      <c r="F1211" s="28" t="str">
        <f>IF(E1211="","",IFERROR(VLOOKUP(E1211,REGRAS_CST!$A$2:$B$200,2,FALSE),""))</f>
        <v/>
      </c>
      <c r="H1211" s="29">
        <v>8.9999999999999993E-3</v>
      </c>
      <c r="I1211" s="29">
        <v>1E-3</v>
      </c>
      <c r="K1211" s="21" t="str">
        <f>IF(E1211="","",IFERROR(VLOOKUP(E1211,REGRAS_CST!$A$2:$C$200,3,FALSE),""))</f>
        <v/>
      </c>
      <c r="L1211" s="23" t="str">
        <f>IF($G1211="", "", $G1211*(1-$V1211))</f>
        <v/>
      </c>
      <c r="M1211" s="24" t="str">
        <f>IF(OR($L1211="",$S1211=""),"",$L1211*$S1211)</f>
        <v/>
      </c>
      <c r="N1211" s="24" t="str">
        <f>IF(OR($L1211="",$T1211=""),"",$L1211*$T1211)</f>
        <v/>
      </c>
      <c r="O1211" s="15" t="str">
        <f>IF(D1211="","",
IF(AND(K1211&lt;&gt;"SIM",V1211&gt;0),"ERRO: % BC &gt; 0, mas NÃO permitida ❌",
IF(AND(K1211="SIM",V1211=0),"ATENÇÃO: BC permitida, mas % = 0 🔎",
"Base de cálculo aplicada corretamente ✅")))</f>
        <v/>
      </c>
      <c r="P1211" s="31" t="str">
        <f>IF(D1211="","",
IF(AND(Q1211&lt;&gt;"SIM",U1211&gt;0),"ERRO: % alíquota &gt; 0, mas NÃO permitida ❌",
IF(AND(Q1211="SIM",U1211=0),"ATENÇÃO: alíquota permitida, mas % = 0 🔎",
"Alíquota aplicada corretamente ✅")))</f>
        <v/>
      </c>
      <c r="Q1211" s="8" t="str">
        <f>IF(E1211="","",IFERROR(VLOOKUP(E1211,REGRAS_CST!$A$2:$D$200,4,FALSE),""))</f>
        <v/>
      </c>
      <c r="S1211" s="9">
        <f>IF($H1211="","",$H1211*(1-$U1211))</f>
        <v>8.9999999999999993E-3</v>
      </c>
      <c r="T1211" s="9">
        <f>IF($I1211="","",$I1211*(1-$U1211))</f>
        <v>1E-3</v>
      </c>
      <c r="U1211" s="16">
        <f>IFERROR(INDEX(BASE_CCLASSTRIB!$E:$E, MATCH(TEXT($D1211,"000000"), BASE_CCLASSTRIB!$A:$A, 0))/100, 0)</f>
        <v>0</v>
      </c>
      <c r="V1211" s="16">
        <f>IFERROR(INDEX(BASE_CCLASSTRIB!$F:$F, MATCH(TEXT($D1211,"000000"), BASE_CCLASSTRIB!$A:$A, 0))/100, 0)</f>
        <v>0</v>
      </c>
    </row>
    <row r="1212" spans="4:22" ht="32.25" customHeight="1">
      <c r="D1212" s="39"/>
      <c r="E1212" s="27" t="str">
        <f>IF(D1212="","",LEFT(D1212,3))</f>
        <v/>
      </c>
      <c r="F1212" s="28" t="str">
        <f>IF(E1212="","",IFERROR(VLOOKUP(E1212,REGRAS_CST!$A$2:$B$200,2,FALSE),""))</f>
        <v/>
      </c>
      <c r="H1212" s="29">
        <v>8.9999999999999993E-3</v>
      </c>
      <c r="I1212" s="29">
        <v>1E-3</v>
      </c>
      <c r="K1212" s="21" t="str">
        <f>IF(E1212="","",IFERROR(VLOOKUP(E1212,REGRAS_CST!$A$2:$C$200,3,FALSE),""))</f>
        <v/>
      </c>
      <c r="L1212" s="23" t="str">
        <f>IF($G1212="", "", $G1212*(1-$V1212))</f>
        <v/>
      </c>
      <c r="M1212" s="24" t="str">
        <f>IF(OR($L1212="",$S1212=""),"",$L1212*$S1212)</f>
        <v/>
      </c>
      <c r="N1212" s="24" t="str">
        <f>IF(OR($L1212="",$T1212=""),"",$L1212*$T1212)</f>
        <v/>
      </c>
      <c r="O1212" s="15" t="str">
        <f>IF(D1212="","",
IF(AND(K1212&lt;&gt;"SIM",V1212&gt;0),"ERRO: % BC &gt; 0, mas NÃO permitida ❌",
IF(AND(K1212="SIM",V1212=0),"ATENÇÃO: BC permitida, mas % = 0 🔎",
"Base de cálculo aplicada corretamente ✅")))</f>
        <v/>
      </c>
      <c r="P1212" s="31" t="str">
        <f>IF(D1212="","",
IF(AND(Q1212&lt;&gt;"SIM",U1212&gt;0),"ERRO: % alíquota &gt; 0, mas NÃO permitida ❌",
IF(AND(Q1212="SIM",U1212=0),"ATENÇÃO: alíquota permitida, mas % = 0 🔎",
"Alíquota aplicada corretamente ✅")))</f>
        <v/>
      </c>
      <c r="Q1212" s="8" t="str">
        <f>IF(E1212="","",IFERROR(VLOOKUP(E1212,REGRAS_CST!$A$2:$D$200,4,FALSE),""))</f>
        <v/>
      </c>
      <c r="S1212" s="9">
        <f>IF($H1212="","",$H1212*(1-$U1212))</f>
        <v>8.9999999999999993E-3</v>
      </c>
      <c r="T1212" s="9">
        <f>IF($I1212="","",$I1212*(1-$U1212))</f>
        <v>1E-3</v>
      </c>
      <c r="U1212" s="16">
        <f>IFERROR(INDEX(BASE_CCLASSTRIB!$E:$E, MATCH(TEXT($D1212,"000000"), BASE_CCLASSTRIB!$A:$A, 0))/100, 0)</f>
        <v>0</v>
      </c>
      <c r="V1212" s="16">
        <f>IFERROR(INDEX(BASE_CCLASSTRIB!$F:$F, MATCH(TEXT($D1212,"000000"), BASE_CCLASSTRIB!$A:$A, 0))/100, 0)</f>
        <v>0</v>
      </c>
    </row>
    <row r="1213" spans="4:22" ht="32.25" customHeight="1">
      <c r="D1213" s="39"/>
      <c r="E1213" s="27" t="str">
        <f>IF(D1213="","",LEFT(D1213,3))</f>
        <v/>
      </c>
      <c r="F1213" s="28" t="str">
        <f>IF(E1213="","",IFERROR(VLOOKUP(E1213,REGRAS_CST!$A$2:$B$200,2,FALSE),""))</f>
        <v/>
      </c>
      <c r="H1213" s="29">
        <v>8.9999999999999993E-3</v>
      </c>
      <c r="I1213" s="29">
        <v>1E-3</v>
      </c>
      <c r="K1213" s="21" t="str">
        <f>IF(E1213="","",IFERROR(VLOOKUP(E1213,REGRAS_CST!$A$2:$C$200,3,FALSE),""))</f>
        <v/>
      </c>
      <c r="L1213" s="23" t="str">
        <f>IF($G1213="", "", $G1213*(1-$V1213))</f>
        <v/>
      </c>
      <c r="M1213" s="24" t="str">
        <f>IF(OR($L1213="",$S1213=""),"",$L1213*$S1213)</f>
        <v/>
      </c>
      <c r="N1213" s="24" t="str">
        <f>IF(OR($L1213="",$T1213=""),"",$L1213*$T1213)</f>
        <v/>
      </c>
      <c r="O1213" s="15" t="str">
        <f>IF(D1213="","",
IF(AND(K1213&lt;&gt;"SIM",V1213&gt;0),"ERRO: % BC &gt; 0, mas NÃO permitida ❌",
IF(AND(K1213="SIM",V1213=0),"ATENÇÃO: BC permitida, mas % = 0 🔎",
"Base de cálculo aplicada corretamente ✅")))</f>
        <v/>
      </c>
      <c r="P1213" s="31" t="str">
        <f>IF(D1213="","",
IF(AND(Q1213&lt;&gt;"SIM",U1213&gt;0),"ERRO: % alíquota &gt; 0, mas NÃO permitida ❌",
IF(AND(Q1213="SIM",U1213=0),"ATENÇÃO: alíquota permitida, mas % = 0 🔎",
"Alíquota aplicada corretamente ✅")))</f>
        <v/>
      </c>
      <c r="Q1213" s="8" t="str">
        <f>IF(E1213="","",IFERROR(VLOOKUP(E1213,REGRAS_CST!$A$2:$D$200,4,FALSE),""))</f>
        <v/>
      </c>
      <c r="S1213" s="9">
        <f>IF($H1213="","",$H1213*(1-$U1213))</f>
        <v>8.9999999999999993E-3</v>
      </c>
      <c r="T1213" s="9">
        <f>IF($I1213="","",$I1213*(1-$U1213))</f>
        <v>1E-3</v>
      </c>
      <c r="U1213" s="16">
        <f>IFERROR(INDEX(BASE_CCLASSTRIB!$E:$E, MATCH(TEXT($D1213,"000000"), BASE_CCLASSTRIB!$A:$A, 0))/100, 0)</f>
        <v>0</v>
      </c>
      <c r="V1213" s="16">
        <f>IFERROR(INDEX(BASE_CCLASSTRIB!$F:$F, MATCH(TEXT($D1213,"000000"), BASE_CCLASSTRIB!$A:$A, 0))/100, 0)</f>
        <v>0</v>
      </c>
    </row>
    <row r="1214" spans="4:22" ht="32.25" customHeight="1">
      <c r="D1214" s="39"/>
      <c r="E1214" s="27" t="str">
        <f>IF(D1214="","",LEFT(D1214,3))</f>
        <v/>
      </c>
      <c r="F1214" s="28" t="str">
        <f>IF(E1214="","",IFERROR(VLOOKUP(E1214,REGRAS_CST!$A$2:$B$200,2,FALSE),""))</f>
        <v/>
      </c>
      <c r="H1214" s="29">
        <v>8.9999999999999993E-3</v>
      </c>
      <c r="I1214" s="29">
        <v>1E-3</v>
      </c>
      <c r="K1214" s="21" t="str">
        <f>IF(E1214="","",IFERROR(VLOOKUP(E1214,REGRAS_CST!$A$2:$C$200,3,FALSE),""))</f>
        <v/>
      </c>
      <c r="L1214" s="23" t="str">
        <f>IF($G1214="", "", $G1214*(1-$V1214))</f>
        <v/>
      </c>
      <c r="M1214" s="24" t="str">
        <f>IF(OR($L1214="",$S1214=""),"",$L1214*$S1214)</f>
        <v/>
      </c>
      <c r="N1214" s="24" t="str">
        <f>IF(OR($L1214="",$T1214=""),"",$L1214*$T1214)</f>
        <v/>
      </c>
      <c r="O1214" s="15" t="str">
        <f>IF(D1214="","",
IF(AND(K1214&lt;&gt;"SIM",V1214&gt;0),"ERRO: % BC &gt; 0, mas NÃO permitida ❌",
IF(AND(K1214="SIM",V1214=0),"ATENÇÃO: BC permitida, mas % = 0 🔎",
"Base de cálculo aplicada corretamente ✅")))</f>
        <v/>
      </c>
      <c r="P1214" s="31" t="str">
        <f>IF(D1214="","",
IF(AND(Q1214&lt;&gt;"SIM",U1214&gt;0),"ERRO: % alíquota &gt; 0, mas NÃO permitida ❌",
IF(AND(Q1214="SIM",U1214=0),"ATENÇÃO: alíquota permitida, mas % = 0 🔎",
"Alíquota aplicada corretamente ✅")))</f>
        <v/>
      </c>
      <c r="Q1214" s="8" t="str">
        <f>IF(E1214="","",IFERROR(VLOOKUP(E1214,REGRAS_CST!$A$2:$D$200,4,FALSE),""))</f>
        <v/>
      </c>
      <c r="S1214" s="9">
        <f>IF($H1214="","",$H1214*(1-$U1214))</f>
        <v>8.9999999999999993E-3</v>
      </c>
      <c r="T1214" s="9">
        <f>IF($I1214="","",$I1214*(1-$U1214))</f>
        <v>1E-3</v>
      </c>
      <c r="U1214" s="16">
        <f>IFERROR(INDEX(BASE_CCLASSTRIB!$E:$E, MATCH(TEXT($D1214,"000000"), BASE_CCLASSTRIB!$A:$A, 0))/100, 0)</f>
        <v>0</v>
      </c>
      <c r="V1214" s="16">
        <f>IFERROR(INDEX(BASE_CCLASSTRIB!$F:$F, MATCH(TEXT($D1214,"000000"), BASE_CCLASSTRIB!$A:$A, 0))/100, 0)</f>
        <v>0</v>
      </c>
    </row>
    <row r="1215" spans="4:22" ht="32.25" customHeight="1">
      <c r="D1215" s="39"/>
      <c r="E1215" s="27" t="str">
        <f>IF(D1215="","",LEFT(D1215,3))</f>
        <v/>
      </c>
      <c r="F1215" s="28" t="str">
        <f>IF(E1215="","",IFERROR(VLOOKUP(E1215,REGRAS_CST!$A$2:$B$200,2,FALSE),""))</f>
        <v/>
      </c>
      <c r="H1215" s="29">
        <v>8.9999999999999993E-3</v>
      </c>
      <c r="I1215" s="29">
        <v>1E-3</v>
      </c>
      <c r="K1215" s="21" t="str">
        <f>IF(E1215="","",IFERROR(VLOOKUP(E1215,REGRAS_CST!$A$2:$C$200,3,FALSE),""))</f>
        <v/>
      </c>
      <c r="L1215" s="23" t="str">
        <f>IF($G1215="", "", $G1215*(1-$V1215))</f>
        <v/>
      </c>
      <c r="M1215" s="24" t="str">
        <f>IF(OR($L1215="",$S1215=""),"",$L1215*$S1215)</f>
        <v/>
      </c>
      <c r="N1215" s="24" t="str">
        <f>IF(OR($L1215="",$T1215=""),"",$L1215*$T1215)</f>
        <v/>
      </c>
      <c r="O1215" s="15" t="str">
        <f>IF(D1215="","",
IF(AND(K1215&lt;&gt;"SIM",V1215&gt;0),"ERRO: % BC &gt; 0, mas NÃO permitida ❌",
IF(AND(K1215="SIM",V1215=0),"ATENÇÃO: BC permitida, mas % = 0 🔎",
"Base de cálculo aplicada corretamente ✅")))</f>
        <v/>
      </c>
      <c r="P1215" s="31" t="str">
        <f>IF(D1215="","",
IF(AND(Q1215&lt;&gt;"SIM",U1215&gt;0),"ERRO: % alíquota &gt; 0, mas NÃO permitida ❌",
IF(AND(Q1215="SIM",U1215=0),"ATENÇÃO: alíquota permitida, mas % = 0 🔎",
"Alíquota aplicada corretamente ✅")))</f>
        <v/>
      </c>
      <c r="Q1215" s="8" t="str">
        <f>IF(E1215="","",IFERROR(VLOOKUP(E1215,REGRAS_CST!$A$2:$D$200,4,FALSE),""))</f>
        <v/>
      </c>
      <c r="S1215" s="9">
        <f>IF($H1215="","",$H1215*(1-$U1215))</f>
        <v>8.9999999999999993E-3</v>
      </c>
      <c r="T1215" s="9">
        <f>IF($I1215="","",$I1215*(1-$U1215))</f>
        <v>1E-3</v>
      </c>
      <c r="U1215" s="16">
        <f>IFERROR(INDEX(BASE_CCLASSTRIB!$E:$E, MATCH(TEXT($D1215,"000000"), BASE_CCLASSTRIB!$A:$A, 0))/100, 0)</f>
        <v>0</v>
      </c>
      <c r="V1215" s="16">
        <f>IFERROR(INDEX(BASE_CCLASSTRIB!$F:$F, MATCH(TEXT($D1215,"000000"), BASE_CCLASSTRIB!$A:$A, 0))/100, 0)</f>
        <v>0</v>
      </c>
    </row>
    <row r="1216" spans="4:22" ht="32.25" customHeight="1">
      <c r="D1216" s="40"/>
      <c r="E1216" s="27" t="str">
        <f>IF(D1216="","",LEFT(D1216,3))</f>
        <v/>
      </c>
      <c r="F1216" s="28" t="str">
        <f>IF(E1216="","",IFERROR(VLOOKUP(E1216,REGRAS_CST!$A$2:$B$200,2,FALSE),""))</f>
        <v/>
      </c>
      <c r="H1216" s="29">
        <v>8.9999999999999993E-3</v>
      </c>
      <c r="I1216" s="29">
        <v>1E-3</v>
      </c>
      <c r="K1216" s="21" t="str">
        <f>IF(E1216="","",IFERROR(VLOOKUP(E1216,REGRAS_CST!$A$2:$C$200,3,FALSE),""))</f>
        <v/>
      </c>
      <c r="L1216" s="23" t="str">
        <f>IF($G1216="", "", $G1216*(1-$V1216))</f>
        <v/>
      </c>
      <c r="M1216" s="24" t="str">
        <f>IF(OR($L1216="",$S1216=""),"",$L1216*$S1216)</f>
        <v/>
      </c>
      <c r="N1216" s="24" t="str">
        <f>IF(OR($L1216="",$T1216=""),"",$L1216*$T1216)</f>
        <v/>
      </c>
      <c r="O1216" s="15" t="str">
        <f>IF(D1216="","",
IF(AND(K1216&lt;&gt;"SIM",V1216&gt;0),"ERRO: % BC &gt; 0, mas NÃO permitida ❌",
IF(AND(K1216="SIM",V1216=0),"ATENÇÃO: BC permitida, mas % = 0 🔎",
"Base de cálculo aplicada corretamente ✅")))</f>
        <v/>
      </c>
      <c r="P1216" s="31" t="str">
        <f>IF(D1216="","",
IF(AND(Q1216&lt;&gt;"SIM",U1216&gt;0),"ERRO: % alíquota &gt; 0, mas NÃO permitida ❌",
IF(AND(Q1216="SIM",U1216=0),"ATENÇÃO: alíquota permitida, mas % = 0 🔎",
"Alíquota aplicada corretamente ✅")))</f>
        <v/>
      </c>
      <c r="Q1216" s="8" t="str">
        <f>IF(E1216="","",IFERROR(VLOOKUP(E1216,REGRAS_CST!$A$2:$D$200,4,FALSE),""))</f>
        <v/>
      </c>
      <c r="S1216" s="9">
        <f>IF($H1216="","",$H1216*(1-$U1216))</f>
        <v>8.9999999999999993E-3</v>
      </c>
      <c r="T1216" s="9">
        <f>IF($I1216="","",$I1216*(1-$U1216))</f>
        <v>1E-3</v>
      </c>
      <c r="U1216" s="16">
        <f>IFERROR(INDEX(BASE_CCLASSTRIB!$E:$E, MATCH(TEXT($D1216,"000000"), BASE_CCLASSTRIB!$A:$A, 0))/100, 0)</f>
        <v>0</v>
      </c>
      <c r="V1216" s="16">
        <f>IFERROR(INDEX(BASE_CCLASSTRIB!$F:$F, MATCH(TEXT($D1216,"000000"), BASE_CCLASSTRIB!$A:$A, 0))/100, 0)</f>
        <v>0</v>
      </c>
    </row>
    <row r="1217" spans="4:22" ht="32.25" customHeight="1">
      <c r="D1217" s="39"/>
      <c r="E1217" s="27" t="str">
        <f>IF(D1217="","",LEFT(D1217,3))</f>
        <v/>
      </c>
      <c r="F1217" s="28" t="str">
        <f>IF(E1217="","",IFERROR(VLOOKUP(E1217,REGRAS_CST!$A$2:$B$200,2,FALSE),""))</f>
        <v/>
      </c>
      <c r="H1217" s="29">
        <v>8.9999999999999993E-3</v>
      </c>
      <c r="I1217" s="29">
        <v>1E-3</v>
      </c>
      <c r="K1217" s="21" t="str">
        <f>IF(E1217="","",IFERROR(VLOOKUP(E1217,REGRAS_CST!$A$2:$C$200,3,FALSE),""))</f>
        <v/>
      </c>
      <c r="L1217" s="23" t="str">
        <f>IF($G1217="", "", $G1217*(1-$V1217))</f>
        <v/>
      </c>
      <c r="M1217" s="24" t="str">
        <f>IF(OR($L1217="",$S1217=""),"",$L1217*$S1217)</f>
        <v/>
      </c>
      <c r="N1217" s="24" t="str">
        <f>IF(OR($L1217="",$T1217=""),"",$L1217*$T1217)</f>
        <v/>
      </c>
      <c r="O1217" s="15" t="str">
        <f>IF(D1217="","",
IF(AND(K1217&lt;&gt;"SIM",V1217&gt;0),"ERRO: % BC &gt; 0, mas NÃO permitida ❌",
IF(AND(K1217="SIM",V1217=0),"ATENÇÃO: BC permitida, mas % = 0 🔎",
"Base de cálculo aplicada corretamente ✅")))</f>
        <v/>
      </c>
      <c r="P1217" s="31" t="str">
        <f>IF(D1217="","",
IF(AND(Q1217&lt;&gt;"SIM",U1217&gt;0),"ERRO: % alíquota &gt; 0, mas NÃO permitida ❌",
IF(AND(Q1217="SIM",U1217=0),"ATENÇÃO: alíquota permitida, mas % = 0 🔎",
"Alíquota aplicada corretamente ✅")))</f>
        <v/>
      </c>
      <c r="Q1217" s="8" t="str">
        <f>IF(E1217="","",IFERROR(VLOOKUP(E1217,REGRAS_CST!$A$2:$D$200,4,FALSE),""))</f>
        <v/>
      </c>
      <c r="S1217" s="9">
        <f>IF($H1217="","",$H1217*(1-$U1217))</f>
        <v>8.9999999999999993E-3</v>
      </c>
      <c r="T1217" s="9">
        <f>IF($I1217="","",$I1217*(1-$U1217))</f>
        <v>1E-3</v>
      </c>
      <c r="U1217" s="16">
        <f>IFERROR(INDEX(BASE_CCLASSTRIB!$E:$E, MATCH(TEXT($D1217,"000000"), BASE_CCLASSTRIB!$A:$A, 0))/100, 0)</f>
        <v>0</v>
      </c>
      <c r="V1217" s="16">
        <f>IFERROR(INDEX(BASE_CCLASSTRIB!$F:$F, MATCH(TEXT($D1217,"000000"), BASE_CCLASSTRIB!$A:$A, 0))/100, 0)</f>
        <v>0</v>
      </c>
    </row>
    <row r="1218" spans="4:22" ht="32.25" customHeight="1">
      <c r="D1218" s="40"/>
      <c r="E1218" s="27" t="str">
        <f>IF(D1218="","",LEFT(D1218,3))</f>
        <v/>
      </c>
      <c r="F1218" s="28" t="str">
        <f>IF(E1218="","",IFERROR(VLOOKUP(E1218,REGRAS_CST!$A$2:$B$200,2,FALSE),""))</f>
        <v/>
      </c>
      <c r="H1218" s="29">
        <v>8.9999999999999993E-3</v>
      </c>
      <c r="I1218" s="29">
        <v>1E-3</v>
      </c>
      <c r="K1218" s="21" t="str">
        <f>IF(E1218="","",IFERROR(VLOOKUP(E1218,REGRAS_CST!$A$2:$C$200,3,FALSE),""))</f>
        <v/>
      </c>
      <c r="L1218" s="23" t="str">
        <f>IF($G1218="", "", $G1218*(1-$V1218))</f>
        <v/>
      </c>
      <c r="M1218" s="24" t="str">
        <f>IF(OR($L1218="",$S1218=""),"",$L1218*$S1218)</f>
        <v/>
      </c>
      <c r="N1218" s="24" t="str">
        <f>IF(OR($L1218="",$T1218=""),"",$L1218*$T1218)</f>
        <v/>
      </c>
      <c r="O1218" s="15" t="str">
        <f>IF(D1218="","",
IF(AND(K1218&lt;&gt;"SIM",V1218&gt;0),"ERRO: % BC &gt; 0, mas NÃO permitida ❌",
IF(AND(K1218="SIM",V1218=0),"ATENÇÃO: BC permitida, mas % = 0 🔎",
"Base de cálculo aplicada corretamente ✅")))</f>
        <v/>
      </c>
      <c r="P1218" s="31" t="str">
        <f>IF(D1218="","",
IF(AND(Q1218&lt;&gt;"SIM",U1218&gt;0),"ERRO: % alíquota &gt; 0, mas NÃO permitida ❌",
IF(AND(Q1218="SIM",U1218=0),"ATENÇÃO: alíquota permitida, mas % = 0 🔎",
"Alíquota aplicada corretamente ✅")))</f>
        <v/>
      </c>
      <c r="Q1218" s="8" t="str">
        <f>IF(E1218="","",IFERROR(VLOOKUP(E1218,REGRAS_CST!$A$2:$D$200,4,FALSE),""))</f>
        <v/>
      </c>
      <c r="S1218" s="9">
        <f>IF($H1218="","",$H1218*(1-$U1218))</f>
        <v>8.9999999999999993E-3</v>
      </c>
      <c r="T1218" s="9">
        <f>IF($I1218="","",$I1218*(1-$U1218))</f>
        <v>1E-3</v>
      </c>
      <c r="U1218" s="16">
        <f>IFERROR(INDEX(BASE_CCLASSTRIB!$E:$E, MATCH(TEXT($D1218,"000000"), BASE_CCLASSTRIB!$A:$A, 0))/100, 0)</f>
        <v>0</v>
      </c>
      <c r="V1218" s="16">
        <f>IFERROR(INDEX(BASE_CCLASSTRIB!$F:$F, MATCH(TEXT($D1218,"000000"), BASE_CCLASSTRIB!$A:$A, 0))/100, 0)</f>
        <v>0</v>
      </c>
    </row>
    <row r="1219" spans="4:22" ht="32.25" customHeight="1">
      <c r="D1219" s="39"/>
      <c r="E1219" s="27" t="str">
        <f>IF(D1219="","",LEFT(D1219,3))</f>
        <v/>
      </c>
      <c r="F1219" s="28" t="str">
        <f>IF(E1219="","",IFERROR(VLOOKUP(E1219,REGRAS_CST!$A$2:$B$200,2,FALSE),""))</f>
        <v/>
      </c>
      <c r="H1219" s="29">
        <v>8.9999999999999993E-3</v>
      </c>
      <c r="I1219" s="29">
        <v>1E-3</v>
      </c>
      <c r="K1219" s="21" t="str">
        <f>IF(E1219="","",IFERROR(VLOOKUP(E1219,REGRAS_CST!$A$2:$C$200,3,FALSE),""))</f>
        <v/>
      </c>
      <c r="L1219" s="23" t="str">
        <f>IF($G1219="", "", $G1219*(1-$V1219))</f>
        <v/>
      </c>
      <c r="M1219" s="24" t="str">
        <f>IF(OR($L1219="",$S1219=""),"",$L1219*$S1219)</f>
        <v/>
      </c>
      <c r="N1219" s="24" t="str">
        <f>IF(OR($L1219="",$T1219=""),"",$L1219*$T1219)</f>
        <v/>
      </c>
      <c r="O1219" s="15" t="str">
        <f>IF(D1219="","",
IF(AND(K1219&lt;&gt;"SIM",V1219&gt;0),"ERRO: % BC &gt; 0, mas NÃO permitida ❌",
IF(AND(K1219="SIM",V1219=0),"ATENÇÃO: BC permitida, mas % = 0 🔎",
"Base de cálculo aplicada corretamente ✅")))</f>
        <v/>
      </c>
      <c r="P1219" s="31" t="str">
        <f>IF(D1219="","",
IF(AND(Q1219&lt;&gt;"SIM",U1219&gt;0),"ERRO: % alíquota &gt; 0, mas NÃO permitida ❌",
IF(AND(Q1219="SIM",U1219=0),"ATENÇÃO: alíquota permitida, mas % = 0 🔎",
"Alíquota aplicada corretamente ✅")))</f>
        <v/>
      </c>
      <c r="Q1219" s="8" t="str">
        <f>IF(E1219="","",IFERROR(VLOOKUP(E1219,REGRAS_CST!$A$2:$D$200,4,FALSE),""))</f>
        <v/>
      </c>
      <c r="S1219" s="9">
        <f>IF($H1219="","",$H1219*(1-$U1219))</f>
        <v>8.9999999999999993E-3</v>
      </c>
      <c r="T1219" s="9">
        <f>IF($I1219="","",$I1219*(1-$U1219))</f>
        <v>1E-3</v>
      </c>
      <c r="U1219" s="16">
        <f>IFERROR(INDEX(BASE_CCLASSTRIB!$E:$E, MATCH(TEXT($D1219,"000000"), BASE_CCLASSTRIB!$A:$A, 0))/100, 0)</f>
        <v>0</v>
      </c>
      <c r="V1219" s="16">
        <f>IFERROR(INDEX(BASE_CCLASSTRIB!$F:$F, MATCH(TEXT($D1219,"000000"), BASE_CCLASSTRIB!$A:$A, 0))/100, 0)</f>
        <v>0</v>
      </c>
    </row>
    <row r="1220" spans="4:22" ht="32.25" customHeight="1">
      <c r="D1220" s="39"/>
      <c r="E1220" s="27" t="str">
        <f>IF(D1220="","",LEFT(D1220,3))</f>
        <v/>
      </c>
      <c r="F1220" s="28" t="str">
        <f>IF(E1220="","",IFERROR(VLOOKUP(E1220,REGRAS_CST!$A$2:$B$200,2,FALSE),""))</f>
        <v/>
      </c>
      <c r="H1220" s="29">
        <v>8.9999999999999993E-3</v>
      </c>
      <c r="I1220" s="29">
        <v>1E-3</v>
      </c>
      <c r="K1220" s="21" t="str">
        <f>IF(E1220="","",IFERROR(VLOOKUP(E1220,REGRAS_CST!$A$2:$C$200,3,FALSE),""))</f>
        <v/>
      </c>
      <c r="L1220" s="23" t="str">
        <f>IF($G1220="", "", $G1220*(1-$V1220))</f>
        <v/>
      </c>
      <c r="M1220" s="24" t="str">
        <f>IF(OR($L1220="",$S1220=""),"",$L1220*$S1220)</f>
        <v/>
      </c>
      <c r="N1220" s="24" t="str">
        <f>IF(OR($L1220="",$T1220=""),"",$L1220*$T1220)</f>
        <v/>
      </c>
      <c r="O1220" s="15" t="str">
        <f>IF(D1220="","",
IF(AND(K1220&lt;&gt;"SIM",V1220&gt;0),"ERRO: % BC &gt; 0, mas NÃO permitida ❌",
IF(AND(K1220="SIM",V1220=0),"ATENÇÃO: BC permitida, mas % = 0 🔎",
"Base de cálculo aplicada corretamente ✅")))</f>
        <v/>
      </c>
      <c r="P1220" s="31" t="str">
        <f>IF(D1220="","",
IF(AND(Q1220&lt;&gt;"SIM",U1220&gt;0),"ERRO: % alíquota &gt; 0, mas NÃO permitida ❌",
IF(AND(Q1220="SIM",U1220=0),"ATENÇÃO: alíquota permitida, mas % = 0 🔎",
"Alíquota aplicada corretamente ✅")))</f>
        <v/>
      </c>
      <c r="Q1220" s="8" t="str">
        <f>IF(E1220="","",IFERROR(VLOOKUP(E1220,REGRAS_CST!$A$2:$D$200,4,FALSE),""))</f>
        <v/>
      </c>
      <c r="S1220" s="9">
        <f>IF($H1220="","",$H1220*(1-$U1220))</f>
        <v>8.9999999999999993E-3</v>
      </c>
      <c r="T1220" s="9">
        <f>IF($I1220="","",$I1220*(1-$U1220))</f>
        <v>1E-3</v>
      </c>
      <c r="U1220" s="16">
        <f>IFERROR(INDEX(BASE_CCLASSTRIB!$E:$E, MATCH(TEXT($D1220,"000000"), BASE_CCLASSTRIB!$A:$A, 0))/100, 0)</f>
        <v>0</v>
      </c>
      <c r="V1220" s="16">
        <f>IFERROR(INDEX(BASE_CCLASSTRIB!$F:$F, MATCH(TEXT($D1220,"000000"), BASE_CCLASSTRIB!$A:$A, 0))/100, 0)</f>
        <v>0</v>
      </c>
    </row>
    <row r="1221" spans="4:22" ht="32.25" customHeight="1">
      <c r="D1221" s="40"/>
      <c r="E1221" s="27" t="str">
        <f>IF(D1221="","",LEFT(D1221,3))</f>
        <v/>
      </c>
      <c r="F1221" s="28" t="str">
        <f>IF(E1221="","",IFERROR(VLOOKUP(E1221,REGRAS_CST!$A$2:$B$200,2,FALSE),""))</f>
        <v/>
      </c>
      <c r="H1221" s="29">
        <v>8.9999999999999993E-3</v>
      </c>
      <c r="I1221" s="29">
        <v>1E-3</v>
      </c>
      <c r="K1221" s="21" t="str">
        <f>IF(E1221="","",IFERROR(VLOOKUP(E1221,REGRAS_CST!$A$2:$C$200,3,FALSE),""))</f>
        <v/>
      </c>
      <c r="L1221" s="23" t="str">
        <f>IF($G1221="", "", $G1221*(1-$V1221))</f>
        <v/>
      </c>
      <c r="M1221" s="24" t="str">
        <f>IF(OR($L1221="",$S1221=""),"",$L1221*$S1221)</f>
        <v/>
      </c>
      <c r="N1221" s="24" t="str">
        <f>IF(OR($L1221="",$T1221=""),"",$L1221*$T1221)</f>
        <v/>
      </c>
      <c r="O1221" s="15" t="str">
        <f>IF(D1221="","",
IF(AND(K1221&lt;&gt;"SIM",V1221&gt;0),"ERRO: % BC &gt; 0, mas NÃO permitida ❌",
IF(AND(K1221="SIM",V1221=0),"ATENÇÃO: BC permitida, mas % = 0 🔎",
"Base de cálculo aplicada corretamente ✅")))</f>
        <v/>
      </c>
      <c r="P1221" s="31" t="str">
        <f>IF(D1221="","",
IF(AND(Q1221&lt;&gt;"SIM",U1221&gt;0),"ERRO: % alíquota &gt; 0, mas NÃO permitida ❌",
IF(AND(Q1221="SIM",U1221=0),"ATENÇÃO: alíquota permitida, mas % = 0 🔎",
"Alíquota aplicada corretamente ✅")))</f>
        <v/>
      </c>
      <c r="Q1221" s="8" t="str">
        <f>IF(E1221="","",IFERROR(VLOOKUP(E1221,REGRAS_CST!$A$2:$D$200,4,FALSE),""))</f>
        <v/>
      </c>
      <c r="S1221" s="9">
        <f>IF($H1221="","",$H1221*(1-$U1221))</f>
        <v>8.9999999999999993E-3</v>
      </c>
      <c r="T1221" s="9">
        <f>IF($I1221="","",$I1221*(1-$U1221))</f>
        <v>1E-3</v>
      </c>
      <c r="U1221" s="16">
        <f>IFERROR(INDEX(BASE_CCLASSTRIB!$E:$E, MATCH(TEXT($D1221,"000000"), BASE_CCLASSTRIB!$A:$A, 0))/100, 0)</f>
        <v>0</v>
      </c>
      <c r="V1221" s="16">
        <f>IFERROR(INDEX(BASE_CCLASSTRIB!$F:$F, MATCH(TEXT($D1221,"000000"), BASE_CCLASSTRIB!$A:$A, 0))/100, 0)</f>
        <v>0</v>
      </c>
    </row>
    <row r="1222" spans="4:22" ht="32.25" customHeight="1">
      <c r="D1222" s="40"/>
      <c r="E1222" s="27" t="str">
        <f>IF(D1222="","",LEFT(D1222,3))</f>
        <v/>
      </c>
      <c r="F1222" s="28" t="str">
        <f>IF(E1222="","",IFERROR(VLOOKUP(E1222,REGRAS_CST!$A$2:$B$200,2,FALSE),""))</f>
        <v/>
      </c>
      <c r="H1222" s="29">
        <v>8.9999999999999993E-3</v>
      </c>
      <c r="I1222" s="29">
        <v>1E-3</v>
      </c>
      <c r="K1222" s="21" t="str">
        <f>IF(E1222="","",IFERROR(VLOOKUP(E1222,REGRAS_CST!$A$2:$C$200,3,FALSE),""))</f>
        <v/>
      </c>
      <c r="L1222" s="23" t="str">
        <f>IF($G1222="", "", $G1222*(1-$V1222))</f>
        <v/>
      </c>
      <c r="M1222" s="24" t="str">
        <f>IF(OR($L1222="",$S1222=""),"",$L1222*$S1222)</f>
        <v/>
      </c>
      <c r="N1222" s="24" t="str">
        <f>IF(OR($L1222="",$T1222=""),"",$L1222*$T1222)</f>
        <v/>
      </c>
      <c r="O1222" s="15" t="str">
        <f>IF(D1222="","",
IF(AND(K1222&lt;&gt;"SIM",V1222&gt;0),"ERRO: % BC &gt; 0, mas NÃO permitida ❌",
IF(AND(K1222="SIM",V1222=0),"ATENÇÃO: BC permitida, mas % = 0 🔎",
"Base de cálculo aplicada corretamente ✅")))</f>
        <v/>
      </c>
      <c r="P1222" s="31" t="str">
        <f>IF(D1222="","",
IF(AND(Q1222&lt;&gt;"SIM",U1222&gt;0),"ERRO: % alíquota &gt; 0, mas NÃO permitida ❌",
IF(AND(Q1222="SIM",U1222=0),"ATENÇÃO: alíquota permitida, mas % = 0 🔎",
"Alíquota aplicada corretamente ✅")))</f>
        <v/>
      </c>
      <c r="Q1222" s="8" t="str">
        <f>IF(E1222="","",IFERROR(VLOOKUP(E1222,REGRAS_CST!$A$2:$D$200,4,FALSE),""))</f>
        <v/>
      </c>
      <c r="S1222" s="9">
        <f>IF($H1222="","",$H1222*(1-$U1222))</f>
        <v>8.9999999999999993E-3</v>
      </c>
      <c r="T1222" s="9">
        <f>IF($I1222="","",$I1222*(1-$U1222))</f>
        <v>1E-3</v>
      </c>
      <c r="U1222" s="16">
        <f>IFERROR(INDEX(BASE_CCLASSTRIB!$E:$E, MATCH(TEXT($D1222,"000000"), BASE_CCLASSTRIB!$A:$A, 0))/100, 0)</f>
        <v>0</v>
      </c>
      <c r="V1222" s="16">
        <f>IFERROR(INDEX(BASE_CCLASSTRIB!$F:$F, MATCH(TEXT($D1222,"000000"), BASE_CCLASSTRIB!$A:$A, 0))/100, 0)</f>
        <v>0</v>
      </c>
    </row>
    <row r="1223" spans="4:22" ht="32.25" customHeight="1">
      <c r="D1223" s="40"/>
      <c r="E1223" s="27" t="str">
        <f>IF(D1223="","",LEFT(D1223,3))</f>
        <v/>
      </c>
      <c r="F1223" s="28" t="str">
        <f>IF(E1223="","",IFERROR(VLOOKUP(E1223,REGRAS_CST!$A$2:$B$200,2,FALSE),""))</f>
        <v/>
      </c>
      <c r="H1223" s="29">
        <v>8.9999999999999993E-3</v>
      </c>
      <c r="I1223" s="29">
        <v>1E-3</v>
      </c>
      <c r="K1223" s="21" t="str">
        <f>IF(E1223="","",IFERROR(VLOOKUP(E1223,REGRAS_CST!$A$2:$C$200,3,FALSE),""))</f>
        <v/>
      </c>
      <c r="L1223" s="23" t="str">
        <f>IF($G1223="", "", $G1223*(1-$V1223))</f>
        <v/>
      </c>
      <c r="M1223" s="24" t="str">
        <f>IF(OR($L1223="",$S1223=""),"",$L1223*$S1223)</f>
        <v/>
      </c>
      <c r="N1223" s="24" t="str">
        <f>IF(OR($L1223="",$T1223=""),"",$L1223*$T1223)</f>
        <v/>
      </c>
      <c r="O1223" s="15" t="str">
        <f>IF(D1223="","",
IF(AND(K1223&lt;&gt;"SIM",V1223&gt;0),"ERRO: % BC &gt; 0, mas NÃO permitida ❌",
IF(AND(K1223="SIM",V1223=0),"ATENÇÃO: BC permitida, mas % = 0 🔎",
"Base de cálculo aplicada corretamente ✅")))</f>
        <v/>
      </c>
      <c r="P1223" s="31" t="str">
        <f>IF(D1223="","",
IF(AND(Q1223&lt;&gt;"SIM",U1223&gt;0),"ERRO: % alíquota &gt; 0, mas NÃO permitida ❌",
IF(AND(Q1223="SIM",U1223=0),"ATENÇÃO: alíquota permitida, mas % = 0 🔎",
"Alíquota aplicada corretamente ✅")))</f>
        <v/>
      </c>
      <c r="Q1223" s="8" t="str">
        <f>IF(E1223="","",IFERROR(VLOOKUP(E1223,REGRAS_CST!$A$2:$D$200,4,FALSE),""))</f>
        <v/>
      </c>
      <c r="S1223" s="9">
        <f>IF($H1223="","",$H1223*(1-$U1223))</f>
        <v>8.9999999999999993E-3</v>
      </c>
      <c r="T1223" s="9">
        <f>IF($I1223="","",$I1223*(1-$U1223))</f>
        <v>1E-3</v>
      </c>
      <c r="U1223" s="16">
        <f>IFERROR(INDEX(BASE_CCLASSTRIB!$E:$E, MATCH(TEXT($D1223,"000000"), BASE_CCLASSTRIB!$A:$A, 0))/100, 0)</f>
        <v>0</v>
      </c>
      <c r="V1223" s="16">
        <f>IFERROR(INDEX(BASE_CCLASSTRIB!$F:$F, MATCH(TEXT($D1223,"000000"), BASE_CCLASSTRIB!$A:$A, 0))/100, 0)</f>
        <v>0</v>
      </c>
    </row>
    <row r="1224" spans="4:22" ht="32.25" customHeight="1">
      <c r="D1224" s="40"/>
      <c r="E1224" s="27" t="str">
        <f>IF(D1224="","",LEFT(D1224,3))</f>
        <v/>
      </c>
      <c r="F1224" s="28" t="str">
        <f>IF(E1224="","",IFERROR(VLOOKUP(E1224,REGRAS_CST!$A$2:$B$200,2,FALSE),""))</f>
        <v/>
      </c>
      <c r="H1224" s="29">
        <v>8.9999999999999993E-3</v>
      </c>
      <c r="I1224" s="29">
        <v>1E-3</v>
      </c>
      <c r="K1224" s="21" t="str">
        <f>IF(E1224="","",IFERROR(VLOOKUP(E1224,REGRAS_CST!$A$2:$C$200,3,FALSE),""))</f>
        <v/>
      </c>
      <c r="L1224" s="23" t="str">
        <f>IF($G1224="", "", $G1224*(1-$V1224))</f>
        <v/>
      </c>
      <c r="M1224" s="24" t="str">
        <f>IF(OR($L1224="",$S1224=""),"",$L1224*$S1224)</f>
        <v/>
      </c>
      <c r="N1224" s="24" t="str">
        <f>IF(OR($L1224="",$T1224=""),"",$L1224*$T1224)</f>
        <v/>
      </c>
      <c r="O1224" s="15" t="str">
        <f>IF(D1224="","",
IF(AND(K1224&lt;&gt;"SIM",V1224&gt;0),"ERRO: % BC &gt; 0, mas NÃO permitida ❌",
IF(AND(K1224="SIM",V1224=0),"ATENÇÃO: BC permitida, mas % = 0 🔎",
"Base de cálculo aplicada corretamente ✅")))</f>
        <v/>
      </c>
      <c r="P1224" s="31" t="str">
        <f>IF(D1224="","",
IF(AND(Q1224&lt;&gt;"SIM",U1224&gt;0),"ERRO: % alíquota &gt; 0, mas NÃO permitida ❌",
IF(AND(Q1224="SIM",U1224=0),"ATENÇÃO: alíquota permitida, mas % = 0 🔎",
"Alíquota aplicada corretamente ✅")))</f>
        <v/>
      </c>
      <c r="Q1224" s="8" t="str">
        <f>IF(E1224="","",IFERROR(VLOOKUP(E1224,REGRAS_CST!$A$2:$D$200,4,FALSE),""))</f>
        <v/>
      </c>
      <c r="S1224" s="9">
        <f>IF($H1224="","",$H1224*(1-$U1224))</f>
        <v>8.9999999999999993E-3</v>
      </c>
      <c r="T1224" s="9">
        <f>IF($I1224="","",$I1224*(1-$U1224))</f>
        <v>1E-3</v>
      </c>
      <c r="U1224" s="16">
        <f>IFERROR(INDEX(BASE_CCLASSTRIB!$E:$E, MATCH(TEXT($D1224,"000000"), BASE_CCLASSTRIB!$A:$A, 0))/100, 0)</f>
        <v>0</v>
      </c>
      <c r="V1224" s="16">
        <f>IFERROR(INDEX(BASE_CCLASSTRIB!$F:$F, MATCH(TEXT($D1224,"000000"), BASE_CCLASSTRIB!$A:$A, 0))/100, 0)</f>
        <v>0</v>
      </c>
    </row>
    <row r="1225" spans="4:22" ht="32.25" customHeight="1">
      <c r="D1225" s="40"/>
      <c r="E1225" s="27" t="str">
        <f>IF(D1225="","",LEFT(D1225,3))</f>
        <v/>
      </c>
      <c r="F1225" s="28" t="str">
        <f>IF(E1225="","",IFERROR(VLOOKUP(E1225,REGRAS_CST!$A$2:$B$200,2,FALSE),""))</f>
        <v/>
      </c>
      <c r="H1225" s="29">
        <v>8.9999999999999993E-3</v>
      </c>
      <c r="I1225" s="29">
        <v>1E-3</v>
      </c>
      <c r="K1225" s="21" t="str">
        <f>IF(E1225="","",IFERROR(VLOOKUP(E1225,REGRAS_CST!$A$2:$C$200,3,FALSE),""))</f>
        <v/>
      </c>
      <c r="L1225" s="23" t="str">
        <f>IF($G1225="", "", $G1225*(1-$V1225))</f>
        <v/>
      </c>
      <c r="M1225" s="24" t="str">
        <f>IF(OR($L1225="",$S1225=""),"",$L1225*$S1225)</f>
        <v/>
      </c>
      <c r="N1225" s="24" t="str">
        <f>IF(OR($L1225="",$T1225=""),"",$L1225*$T1225)</f>
        <v/>
      </c>
      <c r="O1225" s="15" t="str">
        <f>IF(D1225="","",
IF(AND(K1225&lt;&gt;"SIM",V1225&gt;0),"ERRO: % BC &gt; 0, mas NÃO permitida ❌",
IF(AND(K1225="SIM",V1225=0),"ATENÇÃO: BC permitida, mas % = 0 🔎",
"Base de cálculo aplicada corretamente ✅")))</f>
        <v/>
      </c>
      <c r="P1225" s="31" t="str">
        <f>IF(D1225="","",
IF(AND(Q1225&lt;&gt;"SIM",U1225&gt;0),"ERRO: % alíquota &gt; 0, mas NÃO permitida ❌",
IF(AND(Q1225="SIM",U1225=0),"ATENÇÃO: alíquota permitida, mas % = 0 🔎",
"Alíquota aplicada corretamente ✅")))</f>
        <v/>
      </c>
      <c r="Q1225" s="8" t="str">
        <f>IF(E1225="","",IFERROR(VLOOKUP(E1225,REGRAS_CST!$A$2:$D$200,4,FALSE),""))</f>
        <v/>
      </c>
      <c r="S1225" s="9">
        <f>IF($H1225="","",$H1225*(1-$U1225))</f>
        <v>8.9999999999999993E-3</v>
      </c>
      <c r="T1225" s="9">
        <f>IF($I1225="","",$I1225*(1-$U1225))</f>
        <v>1E-3</v>
      </c>
      <c r="U1225" s="16">
        <f>IFERROR(INDEX(BASE_CCLASSTRIB!$E:$E, MATCH(TEXT($D1225,"000000"), BASE_CCLASSTRIB!$A:$A, 0))/100, 0)</f>
        <v>0</v>
      </c>
      <c r="V1225" s="16">
        <f>IFERROR(INDEX(BASE_CCLASSTRIB!$F:$F, MATCH(TEXT($D1225,"000000"), BASE_CCLASSTRIB!$A:$A, 0))/100, 0)</f>
        <v>0</v>
      </c>
    </row>
    <row r="1226" spans="4:22" ht="32.25" customHeight="1">
      <c r="D1226" s="40"/>
      <c r="E1226" s="27" t="str">
        <f>IF(D1226="","",LEFT(D1226,3))</f>
        <v/>
      </c>
      <c r="F1226" s="28" t="str">
        <f>IF(E1226="","",IFERROR(VLOOKUP(E1226,REGRAS_CST!$A$2:$B$200,2,FALSE),""))</f>
        <v/>
      </c>
      <c r="H1226" s="29">
        <v>8.9999999999999993E-3</v>
      </c>
      <c r="I1226" s="29">
        <v>1E-3</v>
      </c>
      <c r="K1226" s="21" t="str">
        <f>IF(E1226="","",IFERROR(VLOOKUP(E1226,REGRAS_CST!$A$2:$C$200,3,FALSE),""))</f>
        <v/>
      </c>
      <c r="L1226" s="23" t="str">
        <f>IF($G1226="", "", $G1226*(1-$V1226))</f>
        <v/>
      </c>
      <c r="M1226" s="24" t="str">
        <f>IF(OR($L1226="",$S1226=""),"",$L1226*$S1226)</f>
        <v/>
      </c>
      <c r="N1226" s="24" t="str">
        <f>IF(OR($L1226="",$T1226=""),"",$L1226*$T1226)</f>
        <v/>
      </c>
      <c r="O1226" s="15" t="str">
        <f>IF(D1226="","",
IF(AND(K1226&lt;&gt;"SIM",V1226&gt;0),"ERRO: % BC &gt; 0, mas NÃO permitida ❌",
IF(AND(K1226="SIM",V1226=0),"ATENÇÃO: BC permitida, mas % = 0 🔎",
"Base de cálculo aplicada corretamente ✅")))</f>
        <v/>
      </c>
      <c r="P1226" s="31" t="str">
        <f>IF(D1226="","",
IF(AND(Q1226&lt;&gt;"SIM",U1226&gt;0),"ERRO: % alíquota &gt; 0, mas NÃO permitida ❌",
IF(AND(Q1226="SIM",U1226=0),"ATENÇÃO: alíquota permitida, mas % = 0 🔎",
"Alíquota aplicada corretamente ✅")))</f>
        <v/>
      </c>
      <c r="Q1226" s="8" t="str">
        <f>IF(E1226="","",IFERROR(VLOOKUP(E1226,REGRAS_CST!$A$2:$D$200,4,FALSE),""))</f>
        <v/>
      </c>
      <c r="S1226" s="9">
        <f>IF($H1226="","",$H1226*(1-$U1226))</f>
        <v>8.9999999999999993E-3</v>
      </c>
      <c r="T1226" s="9">
        <f>IF($I1226="","",$I1226*(1-$U1226))</f>
        <v>1E-3</v>
      </c>
      <c r="U1226" s="16">
        <f>IFERROR(INDEX(BASE_CCLASSTRIB!$E:$E, MATCH(TEXT($D1226,"000000"), BASE_CCLASSTRIB!$A:$A, 0))/100, 0)</f>
        <v>0</v>
      </c>
      <c r="V1226" s="16">
        <f>IFERROR(INDEX(BASE_CCLASSTRIB!$F:$F, MATCH(TEXT($D1226,"000000"), BASE_CCLASSTRIB!$A:$A, 0))/100, 0)</f>
        <v>0</v>
      </c>
    </row>
    <row r="1227" spans="4:22" ht="32.25" customHeight="1">
      <c r="D1227" s="40"/>
      <c r="E1227" s="27" t="str">
        <f>IF(D1227="","",LEFT(D1227,3))</f>
        <v/>
      </c>
      <c r="F1227" s="28" t="str">
        <f>IF(E1227="","",IFERROR(VLOOKUP(E1227,REGRAS_CST!$A$2:$B$200,2,FALSE),""))</f>
        <v/>
      </c>
      <c r="H1227" s="29">
        <v>8.9999999999999993E-3</v>
      </c>
      <c r="I1227" s="29">
        <v>1E-3</v>
      </c>
      <c r="K1227" s="21" t="str">
        <f>IF(E1227="","",IFERROR(VLOOKUP(E1227,REGRAS_CST!$A$2:$C$200,3,FALSE),""))</f>
        <v/>
      </c>
      <c r="L1227" s="23" t="str">
        <f>IF($G1227="", "", $G1227*(1-$V1227))</f>
        <v/>
      </c>
      <c r="M1227" s="24" t="str">
        <f>IF(OR($L1227="",$S1227=""),"",$L1227*$S1227)</f>
        <v/>
      </c>
      <c r="N1227" s="24" t="str">
        <f>IF(OR($L1227="",$T1227=""),"",$L1227*$T1227)</f>
        <v/>
      </c>
      <c r="O1227" s="15" t="str">
        <f>IF(D1227="","",
IF(AND(K1227&lt;&gt;"SIM",V1227&gt;0),"ERRO: % BC &gt; 0, mas NÃO permitida ❌",
IF(AND(K1227="SIM",V1227=0),"ATENÇÃO: BC permitida, mas % = 0 🔎",
"Base de cálculo aplicada corretamente ✅")))</f>
        <v/>
      </c>
      <c r="P1227" s="31" t="str">
        <f>IF(D1227="","",
IF(AND(Q1227&lt;&gt;"SIM",U1227&gt;0),"ERRO: % alíquota &gt; 0, mas NÃO permitida ❌",
IF(AND(Q1227="SIM",U1227=0),"ATENÇÃO: alíquota permitida, mas % = 0 🔎",
"Alíquota aplicada corretamente ✅")))</f>
        <v/>
      </c>
      <c r="Q1227" s="8" t="str">
        <f>IF(E1227="","",IFERROR(VLOOKUP(E1227,REGRAS_CST!$A$2:$D$200,4,FALSE),""))</f>
        <v/>
      </c>
      <c r="S1227" s="9">
        <f>IF($H1227="","",$H1227*(1-$U1227))</f>
        <v>8.9999999999999993E-3</v>
      </c>
      <c r="T1227" s="9">
        <f>IF($I1227="","",$I1227*(1-$U1227))</f>
        <v>1E-3</v>
      </c>
      <c r="U1227" s="16">
        <f>IFERROR(INDEX(BASE_CCLASSTRIB!$E:$E, MATCH(TEXT($D1227,"000000"), BASE_CCLASSTRIB!$A:$A, 0))/100, 0)</f>
        <v>0</v>
      </c>
      <c r="V1227" s="16">
        <f>IFERROR(INDEX(BASE_CCLASSTRIB!$F:$F, MATCH(TEXT($D1227,"000000"), BASE_CCLASSTRIB!$A:$A, 0))/100, 0)</f>
        <v>0</v>
      </c>
    </row>
    <row r="1228" spans="4:22" ht="32.25" customHeight="1">
      <c r="D1228" s="40"/>
      <c r="E1228" s="27" t="str">
        <f>IF(D1228="","",LEFT(D1228,3))</f>
        <v/>
      </c>
      <c r="F1228" s="28" t="str">
        <f>IF(E1228="","",IFERROR(VLOOKUP(E1228,REGRAS_CST!$A$2:$B$200,2,FALSE),""))</f>
        <v/>
      </c>
      <c r="H1228" s="29">
        <v>8.9999999999999993E-3</v>
      </c>
      <c r="I1228" s="29">
        <v>1E-3</v>
      </c>
      <c r="K1228" s="21" t="str">
        <f>IF(E1228="","",IFERROR(VLOOKUP(E1228,REGRAS_CST!$A$2:$C$200,3,FALSE),""))</f>
        <v/>
      </c>
      <c r="L1228" s="23" t="str">
        <f>IF($G1228="", "", $G1228*(1-$V1228))</f>
        <v/>
      </c>
      <c r="M1228" s="24" t="str">
        <f>IF(OR($L1228="",$S1228=""),"",$L1228*$S1228)</f>
        <v/>
      </c>
      <c r="N1228" s="24" t="str">
        <f>IF(OR($L1228="",$T1228=""),"",$L1228*$T1228)</f>
        <v/>
      </c>
      <c r="O1228" s="15" t="str">
        <f>IF(D1228="","",
IF(AND(K1228&lt;&gt;"SIM",V1228&gt;0),"ERRO: % BC &gt; 0, mas NÃO permitida ❌",
IF(AND(K1228="SIM",V1228=0),"ATENÇÃO: BC permitida, mas % = 0 🔎",
"Base de cálculo aplicada corretamente ✅")))</f>
        <v/>
      </c>
      <c r="P1228" s="31" t="str">
        <f>IF(D1228="","",
IF(AND(Q1228&lt;&gt;"SIM",U1228&gt;0),"ERRO: % alíquota &gt; 0, mas NÃO permitida ❌",
IF(AND(Q1228="SIM",U1228=0),"ATENÇÃO: alíquota permitida, mas % = 0 🔎",
"Alíquota aplicada corretamente ✅")))</f>
        <v/>
      </c>
      <c r="Q1228" s="8" t="str">
        <f>IF(E1228="","",IFERROR(VLOOKUP(E1228,REGRAS_CST!$A$2:$D$200,4,FALSE),""))</f>
        <v/>
      </c>
      <c r="S1228" s="9">
        <f>IF($H1228="","",$H1228*(1-$U1228))</f>
        <v>8.9999999999999993E-3</v>
      </c>
      <c r="T1228" s="9">
        <f>IF($I1228="","",$I1228*(1-$U1228))</f>
        <v>1E-3</v>
      </c>
      <c r="U1228" s="16">
        <f>IFERROR(INDEX(BASE_CCLASSTRIB!$E:$E, MATCH(TEXT($D1228,"000000"), BASE_CCLASSTRIB!$A:$A, 0))/100, 0)</f>
        <v>0</v>
      </c>
      <c r="V1228" s="16">
        <f>IFERROR(INDEX(BASE_CCLASSTRIB!$F:$F, MATCH(TEXT($D1228,"000000"), BASE_CCLASSTRIB!$A:$A, 0))/100, 0)</f>
        <v>0</v>
      </c>
    </row>
    <row r="1229" spans="4:22" ht="32.25" customHeight="1">
      <c r="D1229" s="39"/>
      <c r="E1229" s="27" t="str">
        <f>IF(D1229="","",LEFT(D1229,3))</f>
        <v/>
      </c>
      <c r="F1229" s="28" t="str">
        <f>IF(E1229="","",IFERROR(VLOOKUP(E1229,REGRAS_CST!$A$2:$B$200,2,FALSE),""))</f>
        <v/>
      </c>
      <c r="H1229" s="29">
        <v>8.9999999999999993E-3</v>
      </c>
      <c r="I1229" s="29">
        <v>1E-3</v>
      </c>
      <c r="K1229" s="21" t="str">
        <f>IF(E1229="","",IFERROR(VLOOKUP(E1229,REGRAS_CST!$A$2:$C$200,3,FALSE),""))</f>
        <v/>
      </c>
      <c r="L1229" s="23" t="str">
        <f>IF($G1229="", "", $G1229*(1-$V1229))</f>
        <v/>
      </c>
      <c r="M1229" s="24" t="str">
        <f>IF(OR($L1229="",$S1229=""),"",$L1229*$S1229)</f>
        <v/>
      </c>
      <c r="N1229" s="24" t="str">
        <f>IF(OR($L1229="",$T1229=""),"",$L1229*$T1229)</f>
        <v/>
      </c>
      <c r="O1229" s="15" t="str">
        <f>IF(D1229="","",
IF(AND(K1229&lt;&gt;"SIM",V1229&gt;0),"ERRO: % BC &gt; 0, mas NÃO permitida ❌",
IF(AND(K1229="SIM",V1229=0),"ATENÇÃO: BC permitida, mas % = 0 🔎",
"Base de cálculo aplicada corretamente ✅")))</f>
        <v/>
      </c>
      <c r="P1229" s="31" t="str">
        <f>IF(D1229="","",
IF(AND(Q1229&lt;&gt;"SIM",U1229&gt;0),"ERRO: % alíquota &gt; 0, mas NÃO permitida ❌",
IF(AND(Q1229="SIM",U1229=0),"ATENÇÃO: alíquota permitida, mas % = 0 🔎",
"Alíquota aplicada corretamente ✅")))</f>
        <v/>
      </c>
      <c r="Q1229" s="8" t="str">
        <f>IF(E1229="","",IFERROR(VLOOKUP(E1229,REGRAS_CST!$A$2:$D$200,4,FALSE),""))</f>
        <v/>
      </c>
      <c r="S1229" s="9">
        <f>IF($H1229="","",$H1229*(1-$U1229))</f>
        <v>8.9999999999999993E-3</v>
      </c>
      <c r="T1229" s="9">
        <f>IF($I1229="","",$I1229*(1-$U1229))</f>
        <v>1E-3</v>
      </c>
      <c r="U1229" s="16">
        <f>IFERROR(INDEX(BASE_CCLASSTRIB!$E:$E, MATCH(TEXT($D1229,"000000"), BASE_CCLASSTRIB!$A:$A, 0))/100, 0)</f>
        <v>0</v>
      </c>
      <c r="V1229" s="16">
        <f>IFERROR(INDEX(BASE_CCLASSTRIB!$F:$F, MATCH(TEXT($D1229,"000000"), BASE_CCLASSTRIB!$A:$A, 0))/100, 0)</f>
        <v>0</v>
      </c>
    </row>
    <row r="1230" spans="4:22" ht="32.25" customHeight="1">
      <c r="D1230" s="40"/>
      <c r="E1230" s="27" t="str">
        <f>IF(D1230="","",LEFT(D1230,3))</f>
        <v/>
      </c>
      <c r="F1230" s="28" t="str">
        <f>IF(E1230="","",IFERROR(VLOOKUP(E1230,REGRAS_CST!$A$2:$B$200,2,FALSE),""))</f>
        <v/>
      </c>
      <c r="H1230" s="29">
        <v>8.9999999999999993E-3</v>
      </c>
      <c r="I1230" s="29">
        <v>1E-3</v>
      </c>
      <c r="K1230" s="21" t="str">
        <f>IF(E1230="","",IFERROR(VLOOKUP(E1230,REGRAS_CST!$A$2:$C$200,3,FALSE),""))</f>
        <v/>
      </c>
      <c r="L1230" s="23" t="str">
        <f>IF($G1230="", "", $G1230*(1-$V1230))</f>
        <v/>
      </c>
      <c r="M1230" s="24" t="str">
        <f>IF(OR($L1230="",$S1230=""),"",$L1230*$S1230)</f>
        <v/>
      </c>
      <c r="N1230" s="24" t="str">
        <f>IF(OR($L1230="",$T1230=""),"",$L1230*$T1230)</f>
        <v/>
      </c>
      <c r="O1230" s="15" t="str">
        <f>IF(D1230="","",
IF(AND(K1230&lt;&gt;"SIM",V1230&gt;0),"ERRO: % BC &gt; 0, mas NÃO permitida ❌",
IF(AND(K1230="SIM",V1230=0),"ATENÇÃO: BC permitida, mas % = 0 🔎",
"Base de cálculo aplicada corretamente ✅")))</f>
        <v/>
      </c>
      <c r="P1230" s="31" t="str">
        <f>IF(D1230="","",
IF(AND(Q1230&lt;&gt;"SIM",U1230&gt;0),"ERRO: % alíquota &gt; 0, mas NÃO permitida ❌",
IF(AND(Q1230="SIM",U1230=0),"ATENÇÃO: alíquota permitida, mas % = 0 🔎",
"Alíquota aplicada corretamente ✅")))</f>
        <v/>
      </c>
      <c r="Q1230" s="8" t="str">
        <f>IF(E1230="","",IFERROR(VLOOKUP(E1230,REGRAS_CST!$A$2:$D$200,4,FALSE),""))</f>
        <v/>
      </c>
      <c r="S1230" s="9">
        <f>IF($H1230="","",$H1230*(1-$U1230))</f>
        <v>8.9999999999999993E-3</v>
      </c>
      <c r="T1230" s="9">
        <f>IF($I1230="","",$I1230*(1-$U1230))</f>
        <v>1E-3</v>
      </c>
      <c r="U1230" s="16">
        <f>IFERROR(INDEX(BASE_CCLASSTRIB!$E:$E, MATCH(TEXT($D1230,"000000"), BASE_CCLASSTRIB!$A:$A, 0))/100, 0)</f>
        <v>0</v>
      </c>
      <c r="V1230" s="16">
        <f>IFERROR(INDEX(BASE_CCLASSTRIB!$F:$F, MATCH(TEXT($D1230,"000000"), BASE_CCLASSTRIB!$A:$A, 0))/100, 0)</f>
        <v>0</v>
      </c>
    </row>
    <row r="1231" spans="4:22" ht="32.25" customHeight="1">
      <c r="D1231" s="39"/>
      <c r="E1231" s="27" t="str">
        <f>IF(D1231="","",LEFT(D1231,3))</f>
        <v/>
      </c>
      <c r="F1231" s="28" t="str">
        <f>IF(E1231="","",IFERROR(VLOOKUP(E1231,REGRAS_CST!$A$2:$B$200,2,FALSE),""))</f>
        <v/>
      </c>
      <c r="H1231" s="29">
        <v>8.9999999999999993E-3</v>
      </c>
      <c r="I1231" s="29">
        <v>1E-3</v>
      </c>
      <c r="K1231" s="21" t="str">
        <f>IF(E1231="","",IFERROR(VLOOKUP(E1231,REGRAS_CST!$A$2:$C$200,3,FALSE),""))</f>
        <v/>
      </c>
      <c r="L1231" s="23" t="str">
        <f>IF($G1231="", "", $G1231*(1-$V1231))</f>
        <v/>
      </c>
      <c r="M1231" s="24" t="str">
        <f>IF(OR($L1231="",$S1231=""),"",$L1231*$S1231)</f>
        <v/>
      </c>
      <c r="N1231" s="24" t="str">
        <f>IF(OR($L1231="",$T1231=""),"",$L1231*$T1231)</f>
        <v/>
      </c>
      <c r="O1231" s="15" t="str">
        <f>IF(D1231="","",
IF(AND(K1231&lt;&gt;"SIM",V1231&gt;0),"ERRO: % BC &gt; 0, mas NÃO permitida ❌",
IF(AND(K1231="SIM",V1231=0),"ATENÇÃO: BC permitida, mas % = 0 🔎",
"Base de cálculo aplicada corretamente ✅")))</f>
        <v/>
      </c>
      <c r="P1231" s="31" t="str">
        <f>IF(D1231="","",
IF(AND(Q1231&lt;&gt;"SIM",U1231&gt;0),"ERRO: % alíquota &gt; 0, mas NÃO permitida ❌",
IF(AND(Q1231="SIM",U1231=0),"ATENÇÃO: alíquota permitida, mas % = 0 🔎",
"Alíquota aplicada corretamente ✅")))</f>
        <v/>
      </c>
      <c r="Q1231" s="8" t="str">
        <f>IF(E1231="","",IFERROR(VLOOKUP(E1231,REGRAS_CST!$A$2:$D$200,4,FALSE),""))</f>
        <v/>
      </c>
      <c r="S1231" s="9">
        <f>IF($H1231="","",$H1231*(1-$U1231))</f>
        <v>8.9999999999999993E-3</v>
      </c>
      <c r="T1231" s="9">
        <f>IF($I1231="","",$I1231*(1-$U1231))</f>
        <v>1E-3</v>
      </c>
      <c r="U1231" s="16">
        <f>IFERROR(INDEX(BASE_CCLASSTRIB!$E:$E, MATCH(TEXT($D1231,"000000"), BASE_CCLASSTRIB!$A:$A, 0))/100, 0)</f>
        <v>0</v>
      </c>
      <c r="V1231" s="16">
        <f>IFERROR(INDEX(BASE_CCLASSTRIB!$F:$F, MATCH(TEXT($D1231,"000000"), BASE_CCLASSTRIB!$A:$A, 0))/100, 0)</f>
        <v>0</v>
      </c>
    </row>
    <row r="1232" spans="4:22" ht="32.25" customHeight="1">
      <c r="D1232" s="39"/>
      <c r="E1232" s="27" t="str">
        <f>IF(D1232="","",LEFT(D1232,3))</f>
        <v/>
      </c>
      <c r="F1232" s="28" t="str">
        <f>IF(E1232="","",IFERROR(VLOOKUP(E1232,REGRAS_CST!$A$2:$B$200,2,FALSE),""))</f>
        <v/>
      </c>
      <c r="H1232" s="29">
        <v>8.9999999999999993E-3</v>
      </c>
      <c r="I1232" s="29">
        <v>1E-3</v>
      </c>
      <c r="K1232" s="21" t="str">
        <f>IF(E1232="","",IFERROR(VLOOKUP(E1232,REGRAS_CST!$A$2:$C$200,3,FALSE),""))</f>
        <v/>
      </c>
      <c r="L1232" s="23" t="str">
        <f>IF($G1232="", "", $G1232*(1-$V1232))</f>
        <v/>
      </c>
      <c r="M1232" s="24" t="str">
        <f>IF(OR($L1232="",$S1232=""),"",$L1232*$S1232)</f>
        <v/>
      </c>
      <c r="N1232" s="24" t="str">
        <f>IF(OR($L1232="",$T1232=""),"",$L1232*$T1232)</f>
        <v/>
      </c>
      <c r="O1232" s="15" t="str">
        <f>IF(D1232="","",
IF(AND(K1232&lt;&gt;"SIM",V1232&gt;0),"ERRO: % BC &gt; 0, mas NÃO permitida ❌",
IF(AND(K1232="SIM",V1232=0),"ATENÇÃO: BC permitida, mas % = 0 🔎",
"Base de cálculo aplicada corretamente ✅")))</f>
        <v/>
      </c>
      <c r="P1232" s="31" t="str">
        <f>IF(D1232="","",
IF(AND(Q1232&lt;&gt;"SIM",U1232&gt;0),"ERRO: % alíquota &gt; 0, mas NÃO permitida ❌",
IF(AND(Q1232="SIM",U1232=0),"ATENÇÃO: alíquota permitida, mas % = 0 🔎",
"Alíquota aplicada corretamente ✅")))</f>
        <v/>
      </c>
      <c r="Q1232" s="8" t="str">
        <f>IF(E1232="","",IFERROR(VLOOKUP(E1232,REGRAS_CST!$A$2:$D$200,4,FALSE),""))</f>
        <v/>
      </c>
      <c r="S1232" s="9">
        <f>IF($H1232="","",$H1232*(1-$U1232))</f>
        <v>8.9999999999999993E-3</v>
      </c>
      <c r="T1232" s="9">
        <f>IF($I1232="","",$I1232*(1-$U1232))</f>
        <v>1E-3</v>
      </c>
      <c r="U1232" s="16">
        <f>IFERROR(INDEX(BASE_CCLASSTRIB!$E:$E, MATCH(TEXT($D1232,"000000"), BASE_CCLASSTRIB!$A:$A, 0))/100, 0)</f>
        <v>0</v>
      </c>
      <c r="V1232" s="16">
        <f>IFERROR(INDEX(BASE_CCLASSTRIB!$F:$F, MATCH(TEXT($D1232,"000000"), BASE_CCLASSTRIB!$A:$A, 0))/100, 0)</f>
        <v>0</v>
      </c>
    </row>
    <row r="1233" spans="4:22" ht="32.25" customHeight="1">
      <c r="D1233" s="40"/>
      <c r="E1233" s="27" t="str">
        <f>IF(D1233="","",LEFT(D1233,3))</f>
        <v/>
      </c>
      <c r="F1233" s="28" t="str">
        <f>IF(E1233="","",IFERROR(VLOOKUP(E1233,REGRAS_CST!$A$2:$B$200,2,FALSE),""))</f>
        <v/>
      </c>
      <c r="H1233" s="29">
        <v>8.9999999999999993E-3</v>
      </c>
      <c r="I1233" s="29">
        <v>1E-3</v>
      </c>
      <c r="K1233" s="21" t="str">
        <f>IF(E1233="","",IFERROR(VLOOKUP(E1233,REGRAS_CST!$A$2:$C$200,3,FALSE),""))</f>
        <v/>
      </c>
      <c r="L1233" s="23" t="str">
        <f>IF($G1233="", "", $G1233*(1-$V1233))</f>
        <v/>
      </c>
      <c r="M1233" s="24" t="str">
        <f>IF(OR($L1233="",$S1233=""),"",$L1233*$S1233)</f>
        <v/>
      </c>
      <c r="N1233" s="24" t="str">
        <f>IF(OR($L1233="",$T1233=""),"",$L1233*$T1233)</f>
        <v/>
      </c>
      <c r="O1233" s="15" t="str">
        <f>IF(D1233="","",
IF(AND(K1233&lt;&gt;"SIM",V1233&gt;0),"ERRO: % BC &gt; 0, mas NÃO permitida ❌",
IF(AND(K1233="SIM",V1233=0),"ATENÇÃO: BC permitida, mas % = 0 🔎",
"Base de cálculo aplicada corretamente ✅")))</f>
        <v/>
      </c>
      <c r="P1233" s="31" t="str">
        <f>IF(D1233="","",
IF(AND(Q1233&lt;&gt;"SIM",U1233&gt;0),"ERRO: % alíquota &gt; 0, mas NÃO permitida ❌",
IF(AND(Q1233="SIM",U1233=0),"ATENÇÃO: alíquota permitida, mas % = 0 🔎",
"Alíquota aplicada corretamente ✅")))</f>
        <v/>
      </c>
      <c r="Q1233" s="8" t="str">
        <f>IF(E1233="","",IFERROR(VLOOKUP(E1233,REGRAS_CST!$A$2:$D$200,4,FALSE),""))</f>
        <v/>
      </c>
      <c r="S1233" s="9">
        <f>IF($H1233="","",$H1233*(1-$U1233))</f>
        <v>8.9999999999999993E-3</v>
      </c>
      <c r="T1233" s="9">
        <f>IF($I1233="","",$I1233*(1-$U1233))</f>
        <v>1E-3</v>
      </c>
      <c r="U1233" s="16">
        <f>IFERROR(INDEX(BASE_CCLASSTRIB!$E:$E, MATCH(TEXT($D1233,"000000"), BASE_CCLASSTRIB!$A:$A, 0))/100, 0)</f>
        <v>0</v>
      </c>
      <c r="V1233" s="16">
        <f>IFERROR(INDEX(BASE_CCLASSTRIB!$F:$F, MATCH(TEXT($D1233,"000000"), BASE_CCLASSTRIB!$A:$A, 0))/100, 0)</f>
        <v>0</v>
      </c>
    </row>
    <row r="1234" spans="4:22" ht="32.25" customHeight="1">
      <c r="D1234" s="39"/>
      <c r="E1234" s="27" t="str">
        <f>IF(D1234="","",LEFT(D1234,3))</f>
        <v/>
      </c>
      <c r="F1234" s="28" t="str">
        <f>IF(E1234="","",IFERROR(VLOOKUP(E1234,REGRAS_CST!$A$2:$B$200,2,FALSE),""))</f>
        <v/>
      </c>
      <c r="H1234" s="29">
        <v>8.9999999999999993E-3</v>
      </c>
      <c r="I1234" s="29">
        <v>1E-3</v>
      </c>
      <c r="K1234" s="21" t="str">
        <f>IF(E1234="","",IFERROR(VLOOKUP(E1234,REGRAS_CST!$A$2:$C$200,3,FALSE),""))</f>
        <v/>
      </c>
      <c r="L1234" s="23" t="str">
        <f>IF($G1234="", "", $G1234*(1-$V1234))</f>
        <v/>
      </c>
      <c r="M1234" s="24" t="str">
        <f>IF(OR($L1234="",$S1234=""),"",$L1234*$S1234)</f>
        <v/>
      </c>
      <c r="N1234" s="24" t="str">
        <f>IF(OR($L1234="",$T1234=""),"",$L1234*$T1234)</f>
        <v/>
      </c>
      <c r="O1234" s="15" t="str">
        <f>IF(D1234="","",
IF(AND(K1234&lt;&gt;"SIM",V1234&gt;0),"ERRO: % BC &gt; 0, mas NÃO permitida ❌",
IF(AND(K1234="SIM",V1234=0),"ATENÇÃO: BC permitida, mas % = 0 🔎",
"Base de cálculo aplicada corretamente ✅")))</f>
        <v/>
      </c>
      <c r="P1234" s="31" t="str">
        <f>IF(D1234="","",
IF(AND(Q1234&lt;&gt;"SIM",U1234&gt;0),"ERRO: % alíquota &gt; 0, mas NÃO permitida ❌",
IF(AND(Q1234="SIM",U1234=0),"ATENÇÃO: alíquota permitida, mas % = 0 🔎",
"Alíquota aplicada corretamente ✅")))</f>
        <v/>
      </c>
      <c r="Q1234" s="8" t="str">
        <f>IF(E1234="","",IFERROR(VLOOKUP(E1234,REGRAS_CST!$A$2:$D$200,4,FALSE),""))</f>
        <v/>
      </c>
      <c r="S1234" s="9">
        <f>IF($H1234="","",$H1234*(1-$U1234))</f>
        <v>8.9999999999999993E-3</v>
      </c>
      <c r="T1234" s="9">
        <f>IF($I1234="","",$I1234*(1-$U1234))</f>
        <v>1E-3</v>
      </c>
      <c r="U1234" s="16">
        <f>IFERROR(INDEX(BASE_CCLASSTRIB!$E:$E, MATCH(TEXT($D1234,"000000"), BASE_CCLASSTRIB!$A:$A, 0))/100, 0)</f>
        <v>0</v>
      </c>
      <c r="V1234" s="16">
        <f>IFERROR(INDEX(BASE_CCLASSTRIB!$F:$F, MATCH(TEXT($D1234,"000000"), BASE_CCLASSTRIB!$A:$A, 0))/100, 0)</f>
        <v>0</v>
      </c>
    </row>
    <row r="1235" spans="4:22" ht="32.25" customHeight="1">
      <c r="D1235" s="40"/>
      <c r="E1235" s="27" t="str">
        <f>IF(D1235="","",LEFT(D1235,3))</f>
        <v/>
      </c>
      <c r="F1235" s="28" t="str">
        <f>IF(E1235="","",IFERROR(VLOOKUP(E1235,REGRAS_CST!$A$2:$B$200,2,FALSE),""))</f>
        <v/>
      </c>
      <c r="H1235" s="29">
        <v>8.9999999999999993E-3</v>
      </c>
      <c r="I1235" s="29">
        <v>1E-3</v>
      </c>
      <c r="K1235" s="21" t="str">
        <f>IF(E1235="","",IFERROR(VLOOKUP(E1235,REGRAS_CST!$A$2:$C$200,3,FALSE),""))</f>
        <v/>
      </c>
      <c r="L1235" s="23" t="str">
        <f>IF($G1235="", "", $G1235*(1-$V1235))</f>
        <v/>
      </c>
      <c r="M1235" s="24" t="str">
        <f>IF(OR($L1235="",$S1235=""),"",$L1235*$S1235)</f>
        <v/>
      </c>
      <c r="N1235" s="24" t="str">
        <f>IF(OR($L1235="",$T1235=""),"",$L1235*$T1235)</f>
        <v/>
      </c>
      <c r="O1235" s="15" t="str">
        <f>IF(D1235="","",
IF(AND(K1235&lt;&gt;"SIM",V1235&gt;0),"ERRO: % BC &gt; 0, mas NÃO permitida ❌",
IF(AND(K1235="SIM",V1235=0),"ATENÇÃO: BC permitida, mas % = 0 🔎",
"Base de cálculo aplicada corretamente ✅")))</f>
        <v/>
      </c>
      <c r="P1235" s="31" t="str">
        <f>IF(D1235="","",
IF(AND(Q1235&lt;&gt;"SIM",U1235&gt;0),"ERRO: % alíquota &gt; 0, mas NÃO permitida ❌",
IF(AND(Q1235="SIM",U1235=0),"ATENÇÃO: alíquota permitida, mas % = 0 🔎",
"Alíquota aplicada corretamente ✅")))</f>
        <v/>
      </c>
      <c r="Q1235" s="8" t="str">
        <f>IF(E1235="","",IFERROR(VLOOKUP(E1235,REGRAS_CST!$A$2:$D$200,4,FALSE),""))</f>
        <v/>
      </c>
      <c r="S1235" s="9">
        <f>IF($H1235="","",$H1235*(1-$U1235))</f>
        <v>8.9999999999999993E-3</v>
      </c>
      <c r="T1235" s="9">
        <f>IF($I1235="","",$I1235*(1-$U1235))</f>
        <v>1E-3</v>
      </c>
      <c r="U1235" s="16">
        <f>IFERROR(INDEX(BASE_CCLASSTRIB!$E:$E, MATCH(TEXT($D1235,"000000"), BASE_CCLASSTRIB!$A:$A, 0))/100, 0)</f>
        <v>0</v>
      </c>
      <c r="V1235" s="16">
        <f>IFERROR(INDEX(BASE_CCLASSTRIB!$F:$F, MATCH(TEXT($D1235,"000000"), BASE_CCLASSTRIB!$A:$A, 0))/100, 0)</f>
        <v>0</v>
      </c>
    </row>
    <row r="1236" spans="4:22" ht="32.25" customHeight="1">
      <c r="D1236" s="39"/>
      <c r="E1236" s="27" t="str">
        <f>IF(D1236="","",LEFT(D1236,3))</f>
        <v/>
      </c>
      <c r="F1236" s="28" t="str">
        <f>IF(E1236="","",IFERROR(VLOOKUP(E1236,REGRAS_CST!$A$2:$B$200,2,FALSE),""))</f>
        <v/>
      </c>
      <c r="H1236" s="29">
        <v>8.9999999999999993E-3</v>
      </c>
      <c r="I1236" s="29">
        <v>1E-3</v>
      </c>
      <c r="K1236" s="21" t="str">
        <f>IF(E1236="","",IFERROR(VLOOKUP(E1236,REGRAS_CST!$A$2:$C$200,3,FALSE),""))</f>
        <v/>
      </c>
      <c r="L1236" s="23" t="str">
        <f>IF($G1236="", "", $G1236*(1-$V1236))</f>
        <v/>
      </c>
      <c r="M1236" s="24" t="str">
        <f>IF(OR($L1236="",$S1236=""),"",$L1236*$S1236)</f>
        <v/>
      </c>
      <c r="N1236" s="24" t="str">
        <f>IF(OR($L1236="",$T1236=""),"",$L1236*$T1236)</f>
        <v/>
      </c>
      <c r="O1236" s="15" t="str">
        <f>IF(D1236="","",
IF(AND(K1236&lt;&gt;"SIM",V1236&gt;0),"ERRO: % BC &gt; 0, mas NÃO permitida ❌",
IF(AND(K1236="SIM",V1236=0),"ATENÇÃO: BC permitida, mas % = 0 🔎",
"Base de cálculo aplicada corretamente ✅")))</f>
        <v/>
      </c>
      <c r="P1236" s="31" t="str">
        <f>IF(D1236="","",
IF(AND(Q1236&lt;&gt;"SIM",U1236&gt;0),"ERRO: % alíquota &gt; 0, mas NÃO permitida ❌",
IF(AND(Q1236="SIM",U1236=0),"ATENÇÃO: alíquota permitida, mas % = 0 🔎",
"Alíquota aplicada corretamente ✅")))</f>
        <v/>
      </c>
      <c r="Q1236" s="8" t="str">
        <f>IF(E1236="","",IFERROR(VLOOKUP(E1236,REGRAS_CST!$A$2:$D$200,4,FALSE),""))</f>
        <v/>
      </c>
      <c r="S1236" s="9">
        <f>IF($H1236="","",$H1236*(1-$U1236))</f>
        <v>8.9999999999999993E-3</v>
      </c>
      <c r="T1236" s="9">
        <f>IF($I1236="","",$I1236*(1-$U1236))</f>
        <v>1E-3</v>
      </c>
      <c r="U1236" s="16">
        <f>IFERROR(INDEX(BASE_CCLASSTRIB!$E:$E, MATCH(TEXT($D1236,"000000"), BASE_CCLASSTRIB!$A:$A, 0))/100, 0)</f>
        <v>0</v>
      </c>
      <c r="V1236" s="16">
        <f>IFERROR(INDEX(BASE_CCLASSTRIB!$F:$F, MATCH(TEXT($D1236,"000000"), BASE_CCLASSTRIB!$A:$A, 0))/100, 0)</f>
        <v>0</v>
      </c>
    </row>
    <row r="1237" spans="4:22" ht="32.25" customHeight="1">
      <c r="D1237" s="39"/>
      <c r="E1237" s="27" t="str">
        <f>IF(D1237="","",LEFT(D1237,3))</f>
        <v/>
      </c>
      <c r="F1237" s="28" t="str">
        <f>IF(E1237="","",IFERROR(VLOOKUP(E1237,REGRAS_CST!$A$2:$B$200,2,FALSE),""))</f>
        <v/>
      </c>
      <c r="H1237" s="29">
        <v>8.9999999999999993E-3</v>
      </c>
      <c r="I1237" s="29">
        <v>1E-3</v>
      </c>
      <c r="K1237" s="21" t="str">
        <f>IF(E1237="","",IFERROR(VLOOKUP(E1237,REGRAS_CST!$A$2:$C$200,3,FALSE),""))</f>
        <v/>
      </c>
      <c r="L1237" s="23" t="str">
        <f>IF($G1237="", "", $G1237*(1-$V1237))</f>
        <v/>
      </c>
      <c r="M1237" s="24" t="str">
        <f>IF(OR($L1237="",$S1237=""),"",$L1237*$S1237)</f>
        <v/>
      </c>
      <c r="N1237" s="24" t="str">
        <f>IF(OR($L1237="",$T1237=""),"",$L1237*$T1237)</f>
        <v/>
      </c>
      <c r="O1237" s="15" t="str">
        <f>IF(D1237="","",
IF(AND(K1237&lt;&gt;"SIM",V1237&gt;0),"ERRO: % BC &gt; 0, mas NÃO permitida ❌",
IF(AND(K1237="SIM",V1237=0),"ATENÇÃO: BC permitida, mas % = 0 🔎",
"Base de cálculo aplicada corretamente ✅")))</f>
        <v/>
      </c>
      <c r="P1237" s="31" t="str">
        <f>IF(D1237="","",
IF(AND(Q1237&lt;&gt;"SIM",U1237&gt;0),"ERRO: % alíquota &gt; 0, mas NÃO permitida ❌",
IF(AND(Q1237="SIM",U1237=0),"ATENÇÃO: alíquota permitida, mas % = 0 🔎",
"Alíquota aplicada corretamente ✅")))</f>
        <v/>
      </c>
      <c r="Q1237" s="8" t="str">
        <f>IF(E1237="","",IFERROR(VLOOKUP(E1237,REGRAS_CST!$A$2:$D$200,4,FALSE),""))</f>
        <v/>
      </c>
      <c r="S1237" s="9">
        <f>IF($H1237="","",$H1237*(1-$U1237))</f>
        <v>8.9999999999999993E-3</v>
      </c>
      <c r="T1237" s="9">
        <f>IF($I1237="","",$I1237*(1-$U1237))</f>
        <v>1E-3</v>
      </c>
      <c r="U1237" s="16">
        <f>IFERROR(INDEX(BASE_CCLASSTRIB!$E:$E, MATCH(TEXT($D1237,"000000"), BASE_CCLASSTRIB!$A:$A, 0))/100, 0)</f>
        <v>0</v>
      </c>
      <c r="V1237" s="16">
        <f>IFERROR(INDEX(BASE_CCLASSTRIB!$F:$F, MATCH(TEXT($D1237,"000000"), BASE_CCLASSTRIB!$A:$A, 0))/100, 0)</f>
        <v>0</v>
      </c>
    </row>
    <row r="1238" spans="4:22" ht="32.25" customHeight="1">
      <c r="D1238" s="39"/>
      <c r="E1238" s="27" t="str">
        <f>IF(D1238="","",LEFT(D1238,3))</f>
        <v/>
      </c>
      <c r="F1238" s="28" t="str">
        <f>IF(E1238="","",IFERROR(VLOOKUP(E1238,REGRAS_CST!$A$2:$B$200,2,FALSE),""))</f>
        <v/>
      </c>
      <c r="H1238" s="29">
        <v>8.9999999999999993E-3</v>
      </c>
      <c r="I1238" s="29">
        <v>1E-3</v>
      </c>
      <c r="K1238" s="21" t="str">
        <f>IF(E1238="","",IFERROR(VLOOKUP(E1238,REGRAS_CST!$A$2:$C$200,3,FALSE),""))</f>
        <v/>
      </c>
      <c r="L1238" s="23" t="str">
        <f>IF($G1238="", "", $G1238*(1-$V1238))</f>
        <v/>
      </c>
      <c r="M1238" s="24" t="str">
        <f>IF(OR($L1238="",$S1238=""),"",$L1238*$S1238)</f>
        <v/>
      </c>
      <c r="N1238" s="24" t="str">
        <f>IF(OR($L1238="",$T1238=""),"",$L1238*$T1238)</f>
        <v/>
      </c>
      <c r="O1238" s="15" t="str">
        <f>IF(D1238="","",
IF(AND(K1238&lt;&gt;"SIM",V1238&gt;0),"ERRO: % BC &gt; 0, mas NÃO permitida ❌",
IF(AND(K1238="SIM",V1238=0),"ATENÇÃO: BC permitida, mas % = 0 🔎",
"Base de cálculo aplicada corretamente ✅")))</f>
        <v/>
      </c>
      <c r="P1238" s="31" t="str">
        <f>IF(D1238="","",
IF(AND(Q1238&lt;&gt;"SIM",U1238&gt;0),"ERRO: % alíquota &gt; 0, mas NÃO permitida ❌",
IF(AND(Q1238="SIM",U1238=0),"ATENÇÃO: alíquota permitida, mas % = 0 🔎",
"Alíquota aplicada corretamente ✅")))</f>
        <v/>
      </c>
      <c r="Q1238" s="8" t="str">
        <f>IF(E1238="","",IFERROR(VLOOKUP(E1238,REGRAS_CST!$A$2:$D$200,4,FALSE),""))</f>
        <v/>
      </c>
      <c r="S1238" s="9">
        <f>IF($H1238="","",$H1238*(1-$U1238))</f>
        <v>8.9999999999999993E-3</v>
      </c>
      <c r="T1238" s="9">
        <f>IF($I1238="","",$I1238*(1-$U1238))</f>
        <v>1E-3</v>
      </c>
      <c r="U1238" s="16">
        <f>IFERROR(INDEX(BASE_CCLASSTRIB!$E:$E, MATCH(TEXT($D1238,"000000"), BASE_CCLASSTRIB!$A:$A, 0))/100, 0)</f>
        <v>0</v>
      </c>
      <c r="V1238" s="16">
        <f>IFERROR(INDEX(BASE_CCLASSTRIB!$F:$F, MATCH(TEXT($D1238,"000000"), BASE_CCLASSTRIB!$A:$A, 0))/100, 0)</f>
        <v>0</v>
      </c>
    </row>
    <row r="1239" spans="4:22" ht="32.25" customHeight="1">
      <c r="D1239" s="39"/>
      <c r="E1239" s="27" t="str">
        <f>IF(D1239="","",LEFT(D1239,3))</f>
        <v/>
      </c>
      <c r="F1239" s="28" t="str">
        <f>IF(E1239="","",IFERROR(VLOOKUP(E1239,REGRAS_CST!$A$2:$B$200,2,FALSE),""))</f>
        <v/>
      </c>
      <c r="H1239" s="29">
        <v>8.9999999999999993E-3</v>
      </c>
      <c r="I1239" s="29">
        <v>1E-3</v>
      </c>
      <c r="K1239" s="21" t="str">
        <f>IF(E1239="","",IFERROR(VLOOKUP(E1239,REGRAS_CST!$A$2:$C$200,3,FALSE),""))</f>
        <v/>
      </c>
      <c r="L1239" s="23" t="str">
        <f>IF($G1239="", "", $G1239*(1-$V1239))</f>
        <v/>
      </c>
      <c r="M1239" s="24" t="str">
        <f>IF(OR($L1239="",$S1239=""),"",$L1239*$S1239)</f>
        <v/>
      </c>
      <c r="N1239" s="24" t="str">
        <f>IF(OR($L1239="",$T1239=""),"",$L1239*$T1239)</f>
        <v/>
      </c>
      <c r="O1239" s="15" t="str">
        <f>IF(D1239="","",
IF(AND(K1239&lt;&gt;"SIM",V1239&gt;0),"ERRO: % BC &gt; 0, mas NÃO permitida ❌",
IF(AND(K1239="SIM",V1239=0),"ATENÇÃO: BC permitida, mas % = 0 🔎",
"Base de cálculo aplicada corretamente ✅")))</f>
        <v/>
      </c>
      <c r="P1239" s="31" t="str">
        <f>IF(D1239="","",
IF(AND(Q1239&lt;&gt;"SIM",U1239&gt;0),"ERRO: % alíquota &gt; 0, mas NÃO permitida ❌",
IF(AND(Q1239="SIM",U1239=0),"ATENÇÃO: alíquota permitida, mas % = 0 🔎",
"Alíquota aplicada corretamente ✅")))</f>
        <v/>
      </c>
      <c r="Q1239" s="8" t="str">
        <f>IF(E1239="","",IFERROR(VLOOKUP(E1239,REGRAS_CST!$A$2:$D$200,4,FALSE),""))</f>
        <v/>
      </c>
      <c r="S1239" s="9">
        <f>IF($H1239="","",$H1239*(1-$U1239))</f>
        <v>8.9999999999999993E-3</v>
      </c>
      <c r="T1239" s="9">
        <f>IF($I1239="","",$I1239*(1-$U1239))</f>
        <v>1E-3</v>
      </c>
      <c r="U1239" s="16">
        <f>IFERROR(INDEX(BASE_CCLASSTRIB!$E:$E, MATCH(TEXT($D1239,"000000"), BASE_CCLASSTRIB!$A:$A, 0))/100, 0)</f>
        <v>0</v>
      </c>
      <c r="V1239" s="16">
        <f>IFERROR(INDEX(BASE_CCLASSTRIB!$F:$F, MATCH(TEXT($D1239,"000000"), BASE_CCLASSTRIB!$A:$A, 0))/100, 0)</f>
        <v>0</v>
      </c>
    </row>
    <row r="1240" spans="4:22" ht="32.25" customHeight="1">
      <c r="D1240" s="40"/>
      <c r="E1240" s="27" t="str">
        <f>IF(D1240="","",LEFT(D1240,3))</f>
        <v/>
      </c>
      <c r="F1240" s="28" t="str">
        <f>IF(E1240="","",IFERROR(VLOOKUP(E1240,REGRAS_CST!$A$2:$B$200,2,FALSE),""))</f>
        <v/>
      </c>
      <c r="H1240" s="29">
        <v>8.9999999999999993E-3</v>
      </c>
      <c r="I1240" s="29">
        <v>1E-3</v>
      </c>
      <c r="K1240" s="21" t="str">
        <f>IF(E1240="","",IFERROR(VLOOKUP(E1240,REGRAS_CST!$A$2:$C$200,3,FALSE),""))</f>
        <v/>
      </c>
      <c r="L1240" s="23" t="str">
        <f>IF($G1240="", "", $G1240*(1-$V1240))</f>
        <v/>
      </c>
      <c r="M1240" s="24" t="str">
        <f>IF(OR($L1240="",$S1240=""),"",$L1240*$S1240)</f>
        <v/>
      </c>
      <c r="N1240" s="24" t="str">
        <f>IF(OR($L1240="",$T1240=""),"",$L1240*$T1240)</f>
        <v/>
      </c>
      <c r="O1240" s="15" t="str">
        <f>IF(D1240="","",
IF(AND(K1240&lt;&gt;"SIM",V1240&gt;0),"ERRO: % BC &gt; 0, mas NÃO permitida ❌",
IF(AND(K1240="SIM",V1240=0),"ATENÇÃO: BC permitida, mas % = 0 🔎",
"Base de cálculo aplicada corretamente ✅")))</f>
        <v/>
      </c>
      <c r="P1240" s="31" t="str">
        <f>IF(D1240="","",
IF(AND(Q1240&lt;&gt;"SIM",U1240&gt;0),"ERRO: % alíquota &gt; 0, mas NÃO permitida ❌",
IF(AND(Q1240="SIM",U1240=0),"ATENÇÃO: alíquota permitida, mas % = 0 🔎",
"Alíquota aplicada corretamente ✅")))</f>
        <v/>
      </c>
      <c r="Q1240" s="8" t="str">
        <f>IF(E1240="","",IFERROR(VLOOKUP(E1240,REGRAS_CST!$A$2:$D$200,4,FALSE),""))</f>
        <v/>
      </c>
      <c r="S1240" s="9">
        <f>IF($H1240="","",$H1240*(1-$U1240))</f>
        <v>8.9999999999999993E-3</v>
      </c>
      <c r="T1240" s="9">
        <f>IF($I1240="","",$I1240*(1-$U1240))</f>
        <v>1E-3</v>
      </c>
      <c r="U1240" s="16">
        <f>IFERROR(INDEX(BASE_CCLASSTRIB!$E:$E, MATCH(TEXT($D1240,"000000"), BASE_CCLASSTRIB!$A:$A, 0))/100, 0)</f>
        <v>0</v>
      </c>
      <c r="V1240" s="16">
        <f>IFERROR(INDEX(BASE_CCLASSTRIB!$F:$F, MATCH(TEXT($D1240,"000000"), BASE_CCLASSTRIB!$A:$A, 0))/100, 0)</f>
        <v>0</v>
      </c>
    </row>
    <row r="1241" spans="4:22" ht="32.25" customHeight="1">
      <c r="D1241" s="39"/>
      <c r="E1241" s="27" t="str">
        <f>IF(D1241="","",LEFT(D1241,3))</f>
        <v/>
      </c>
      <c r="F1241" s="28" t="str">
        <f>IF(E1241="","",IFERROR(VLOOKUP(E1241,REGRAS_CST!$A$2:$B$200,2,FALSE),""))</f>
        <v/>
      </c>
      <c r="H1241" s="29">
        <v>8.9999999999999993E-3</v>
      </c>
      <c r="I1241" s="29">
        <v>1E-3</v>
      </c>
      <c r="K1241" s="21" t="str">
        <f>IF(E1241="","",IFERROR(VLOOKUP(E1241,REGRAS_CST!$A$2:$C$200,3,FALSE),""))</f>
        <v/>
      </c>
      <c r="L1241" s="23" t="str">
        <f>IF($G1241="", "", $G1241*(1-$V1241))</f>
        <v/>
      </c>
      <c r="M1241" s="24" t="str">
        <f>IF(OR($L1241="",$S1241=""),"",$L1241*$S1241)</f>
        <v/>
      </c>
      <c r="N1241" s="24" t="str">
        <f>IF(OR($L1241="",$T1241=""),"",$L1241*$T1241)</f>
        <v/>
      </c>
      <c r="O1241" s="15" t="str">
        <f>IF(D1241="","",
IF(AND(K1241&lt;&gt;"SIM",V1241&gt;0),"ERRO: % BC &gt; 0, mas NÃO permitida ❌",
IF(AND(K1241="SIM",V1241=0),"ATENÇÃO: BC permitida, mas % = 0 🔎",
"Base de cálculo aplicada corretamente ✅")))</f>
        <v/>
      </c>
      <c r="P1241" s="31" t="str">
        <f>IF(D1241="","",
IF(AND(Q1241&lt;&gt;"SIM",U1241&gt;0),"ERRO: % alíquota &gt; 0, mas NÃO permitida ❌",
IF(AND(Q1241="SIM",U1241=0),"ATENÇÃO: alíquota permitida, mas % = 0 🔎",
"Alíquota aplicada corretamente ✅")))</f>
        <v/>
      </c>
      <c r="Q1241" s="8" t="str">
        <f>IF(E1241="","",IFERROR(VLOOKUP(E1241,REGRAS_CST!$A$2:$D$200,4,FALSE),""))</f>
        <v/>
      </c>
      <c r="S1241" s="9">
        <f>IF($H1241="","",$H1241*(1-$U1241))</f>
        <v>8.9999999999999993E-3</v>
      </c>
      <c r="T1241" s="9">
        <f>IF($I1241="","",$I1241*(1-$U1241))</f>
        <v>1E-3</v>
      </c>
      <c r="U1241" s="16">
        <f>IFERROR(INDEX(BASE_CCLASSTRIB!$E:$E, MATCH(TEXT($D1241,"000000"), BASE_CCLASSTRIB!$A:$A, 0))/100, 0)</f>
        <v>0</v>
      </c>
      <c r="V1241" s="16">
        <f>IFERROR(INDEX(BASE_CCLASSTRIB!$F:$F, MATCH(TEXT($D1241,"000000"), BASE_CCLASSTRIB!$A:$A, 0))/100, 0)</f>
        <v>0</v>
      </c>
    </row>
    <row r="1242" spans="4:22" ht="32.25" customHeight="1">
      <c r="D1242" s="40"/>
      <c r="E1242" s="27" t="str">
        <f>IF(D1242="","",LEFT(D1242,3))</f>
        <v/>
      </c>
      <c r="F1242" s="28" t="str">
        <f>IF(E1242="","",IFERROR(VLOOKUP(E1242,REGRAS_CST!$A$2:$B$200,2,FALSE),""))</f>
        <v/>
      </c>
      <c r="H1242" s="29">
        <v>8.9999999999999993E-3</v>
      </c>
      <c r="I1242" s="29">
        <v>1E-3</v>
      </c>
      <c r="K1242" s="21" t="str">
        <f>IF(E1242="","",IFERROR(VLOOKUP(E1242,REGRAS_CST!$A$2:$C$200,3,FALSE),""))</f>
        <v/>
      </c>
      <c r="L1242" s="23" t="str">
        <f>IF($G1242="", "", $G1242*(1-$V1242))</f>
        <v/>
      </c>
      <c r="M1242" s="24" t="str">
        <f>IF(OR($L1242="",$S1242=""),"",$L1242*$S1242)</f>
        <v/>
      </c>
      <c r="N1242" s="24" t="str">
        <f>IF(OR($L1242="",$T1242=""),"",$L1242*$T1242)</f>
        <v/>
      </c>
      <c r="O1242" s="15" t="str">
        <f>IF(D1242="","",
IF(AND(K1242&lt;&gt;"SIM",V1242&gt;0),"ERRO: % BC &gt; 0, mas NÃO permitida ❌",
IF(AND(K1242="SIM",V1242=0),"ATENÇÃO: BC permitida, mas % = 0 🔎",
"Base de cálculo aplicada corretamente ✅")))</f>
        <v/>
      </c>
      <c r="P1242" s="31" t="str">
        <f>IF(D1242="","",
IF(AND(Q1242&lt;&gt;"SIM",U1242&gt;0),"ERRO: % alíquota &gt; 0, mas NÃO permitida ❌",
IF(AND(Q1242="SIM",U1242=0),"ATENÇÃO: alíquota permitida, mas % = 0 🔎",
"Alíquota aplicada corretamente ✅")))</f>
        <v/>
      </c>
      <c r="Q1242" s="8" t="str">
        <f>IF(E1242="","",IFERROR(VLOOKUP(E1242,REGRAS_CST!$A$2:$D$200,4,FALSE),""))</f>
        <v/>
      </c>
      <c r="S1242" s="9">
        <f>IF($H1242="","",$H1242*(1-$U1242))</f>
        <v>8.9999999999999993E-3</v>
      </c>
      <c r="T1242" s="9">
        <f>IF($I1242="","",$I1242*(1-$U1242))</f>
        <v>1E-3</v>
      </c>
      <c r="U1242" s="16">
        <f>IFERROR(INDEX(BASE_CCLASSTRIB!$E:$E, MATCH(TEXT($D1242,"000000"), BASE_CCLASSTRIB!$A:$A, 0))/100, 0)</f>
        <v>0</v>
      </c>
      <c r="V1242" s="16">
        <f>IFERROR(INDEX(BASE_CCLASSTRIB!$F:$F, MATCH(TEXT($D1242,"000000"), BASE_CCLASSTRIB!$A:$A, 0))/100, 0)</f>
        <v>0</v>
      </c>
    </row>
    <row r="1243" spans="4:22" ht="32.25" customHeight="1">
      <c r="D1243" s="39"/>
      <c r="E1243" s="27" t="str">
        <f>IF(D1243="","",LEFT(D1243,3))</f>
        <v/>
      </c>
      <c r="F1243" s="28" t="str">
        <f>IF(E1243="","",IFERROR(VLOOKUP(E1243,REGRAS_CST!$A$2:$B$200,2,FALSE),""))</f>
        <v/>
      </c>
      <c r="H1243" s="29">
        <v>8.9999999999999993E-3</v>
      </c>
      <c r="I1243" s="29">
        <v>1E-3</v>
      </c>
      <c r="K1243" s="21" t="str">
        <f>IF(E1243="","",IFERROR(VLOOKUP(E1243,REGRAS_CST!$A$2:$C$200,3,FALSE),""))</f>
        <v/>
      </c>
      <c r="L1243" s="23" t="str">
        <f>IF($G1243="", "", $G1243*(1-$V1243))</f>
        <v/>
      </c>
      <c r="M1243" s="24" t="str">
        <f>IF(OR($L1243="",$S1243=""),"",$L1243*$S1243)</f>
        <v/>
      </c>
      <c r="N1243" s="24" t="str">
        <f>IF(OR($L1243="",$T1243=""),"",$L1243*$T1243)</f>
        <v/>
      </c>
      <c r="O1243" s="15" t="str">
        <f>IF(D1243="","",
IF(AND(K1243&lt;&gt;"SIM",V1243&gt;0),"ERRO: % BC &gt; 0, mas NÃO permitida ❌",
IF(AND(K1243="SIM",V1243=0),"ATENÇÃO: BC permitida, mas % = 0 🔎",
"Base de cálculo aplicada corretamente ✅")))</f>
        <v/>
      </c>
      <c r="P1243" s="31" t="str">
        <f>IF(D1243="","",
IF(AND(Q1243&lt;&gt;"SIM",U1243&gt;0),"ERRO: % alíquota &gt; 0, mas NÃO permitida ❌",
IF(AND(Q1243="SIM",U1243=0),"ATENÇÃO: alíquota permitida, mas % = 0 🔎",
"Alíquota aplicada corretamente ✅")))</f>
        <v/>
      </c>
      <c r="Q1243" s="8" t="str">
        <f>IF(E1243="","",IFERROR(VLOOKUP(E1243,REGRAS_CST!$A$2:$D$200,4,FALSE),""))</f>
        <v/>
      </c>
      <c r="S1243" s="9">
        <f>IF($H1243="","",$H1243*(1-$U1243))</f>
        <v>8.9999999999999993E-3</v>
      </c>
      <c r="T1243" s="9">
        <f>IF($I1243="","",$I1243*(1-$U1243))</f>
        <v>1E-3</v>
      </c>
      <c r="U1243" s="16">
        <f>IFERROR(INDEX(BASE_CCLASSTRIB!$E:$E, MATCH(TEXT($D1243,"000000"), BASE_CCLASSTRIB!$A:$A, 0))/100, 0)</f>
        <v>0</v>
      </c>
      <c r="V1243" s="16">
        <f>IFERROR(INDEX(BASE_CCLASSTRIB!$F:$F, MATCH(TEXT($D1243,"000000"), BASE_CCLASSTRIB!$A:$A, 0))/100, 0)</f>
        <v>0</v>
      </c>
    </row>
    <row r="1244" spans="4:22" ht="32.25" customHeight="1">
      <c r="D1244" s="40"/>
      <c r="E1244" s="27" t="str">
        <f>IF(D1244="","",LEFT(D1244,3))</f>
        <v/>
      </c>
      <c r="F1244" s="28" t="str">
        <f>IF(E1244="","",IFERROR(VLOOKUP(E1244,REGRAS_CST!$A$2:$B$200,2,FALSE),""))</f>
        <v/>
      </c>
      <c r="H1244" s="29">
        <v>8.9999999999999993E-3</v>
      </c>
      <c r="I1244" s="29">
        <v>1E-3</v>
      </c>
      <c r="K1244" s="21" t="str">
        <f>IF(E1244="","",IFERROR(VLOOKUP(E1244,REGRAS_CST!$A$2:$C$200,3,FALSE),""))</f>
        <v/>
      </c>
      <c r="L1244" s="23" t="str">
        <f>IF($G1244="", "", $G1244*(1-$V1244))</f>
        <v/>
      </c>
      <c r="M1244" s="24" t="str">
        <f>IF(OR($L1244="",$S1244=""),"",$L1244*$S1244)</f>
        <v/>
      </c>
      <c r="N1244" s="24" t="str">
        <f>IF(OR($L1244="",$T1244=""),"",$L1244*$T1244)</f>
        <v/>
      </c>
      <c r="O1244" s="15" t="str">
        <f>IF(D1244="","",
IF(AND(K1244&lt;&gt;"SIM",V1244&gt;0),"ERRO: % BC &gt; 0, mas NÃO permitida ❌",
IF(AND(K1244="SIM",V1244=0),"ATENÇÃO: BC permitida, mas % = 0 🔎",
"Base de cálculo aplicada corretamente ✅")))</f>
        <v/>
      </c>
      <c r="P1244" s="31" t="str">
        <f>IF(D1244="","",
IF(AND(Q1244&lt;&gt;"SIM",U1244&gt;0),"ERRO: % alíquota &gt; 0, mas NÃO permitida ❌",
IF(AND(Q1244="SIM",U1244=0),"ATENÇÃO: alíquota permitida, mas % = 0 🔎",
"Alíquota aplicada corretamente ✅")))</f>
        <v/>
      </c>
      <c r="Q1244" s="8" t="str">
        <f>IF(E1244="","",IFERROR(VLOOKUP(E1244,REGRAS_CST!$A$2:$D$200,4,FALSE),""))</f>
        <v/>
      </c>
      <c r="S1244" s="9">
        <f>IF($H1244="","",$H1244*(1-$U1244))</f>
        <v>8.9999999999999993E-3</v>
      </c>
      <c r="T1244" s="9">
        <f>IF($I1244="","",$I1244*(1-$U1244))</f>
        <v>1E-3</v>
      </c>
      <c r="U1244" s="16">
        <f>IFERROR(INDEX(BASE_CCLASSTRIB!$E:$E, MATCH(TEXT($D1244,"000000"), BASE_CCLASSTRIB!$A:$A, 0))/100, 0)</f>
        <v>0</v>
      </c>
      <c r="V1244" s="16">
        <f>IFERROR(INDEX(BASE_CCLASSTRIB!$F:$F, MATCH(TEXT($D1244,"000000"), BASE_CCLASSTRIB!$A:$A, 0))/100, 0)</f>
        <v>0</v>
      </c>
    </row>
    <row r="1245" spans="4:22" ht="32.25" customHeight="1">
      <c r="D1245" s="40"/>
      <c r="E1245" s="27" t="str">
        <f>IF(D1245="","",LEFT(D1245,3))</f>
        <v/>
      </c>
      <c r="F1245" s="28" t="str">
        <f>IF(E1245="","",IFERROR(VLOOKUP(E1245,REGRAS_CST!$A$2:$B$200,2,FALSE),""))</f>
        <v/>
      </c>
      <c r="H1245" s="29">
        <v>8.9999999999999993E-3</v>
      </c>
      <c r="I1245" s="29">
        <v>1E-3</v>
      </c>
      <c r="K1245" s="21" t="str">
        <f>IF(E1245="","",IFERROR(VLOOKUP(E1245,REGRAS_CST!$A$2:$C$200,3,FALSE),""))</f>
        <v/>
      </c>
      <c r="L1245" s="23" t="str">
        <f>IF($G1245="", "", $G1245*(1-$V1245))</f>
        <v/>
      </c>
      <c r="M1245" s="24" t="str">
        <f>IF(OR($L1245="",$S1245=""),"",$L1245*$S1245)</f>
        <v/>
      </c>
      <c r="N1245" s="24" t="str">
        <f>IF(OR($L1245="",$T1245=""),"",$L1245*$T1245)</f>
        <v/>
      </c>
      <c r="O1245" s="15" t="str">
        <f>IF(D1245="","",
IF(AND(K1245&lt;&gt;"SIM",V1245&gt;0),"ERRO: % BC &gt; 0, mas NÃO permitida ❌",
IF(AND(K1245="SIM",V1245=0),"ATENÇÃO: BC permitida, mas % = 0 🔎",
"Base de cálculo aplicada corretamente ✅")))</f>
        <v/>
      </c>
      <c r="P1245" s="31" t="str">
        <f>IF(D1245="","",
IF(AND(Q1245&lt;&gt;"SIM",U1245&gt;0),"ERRO: % alíquota &gt; 0, mas NÃO permitida ❌",
IF(AND(Q1245="SIM",U1245=0),"ATENÇÃO: alíquota permitida, mas % = 0 🔎",
"Alíquota aplicada corretamente ✅")))</f>
        <v/>
      </c>
      <c r="Q1245" s="8" t="str">
        <f>IF(E1245="","",IFERROR(VLOOKUP(E1245,REGRAS_CST!$A$2:$D$200,4,FALSE),""))</f>
        <v/>
      </c>
      <c r="S1245" s="9">
        <f>IF($H1245="","",$H1245*(1-$U1245))</f>
        <v>8.9999999999999993E-3</v>
      </c>
      <c r="T1245" s="9">
        <f>IF($I1245="","",$I1245*(1-$U1245))</f>
        <v>1E-3</v>
      </c>
      <c r="U1245" s="16">
        <f>IFERROR(INDEX(BASE_CCLASSTRIB!$E:$E, MATCH(TEXT($D1245,"000000"), BASE_CCLASSTRIB!$A:$A, 0))/100, 0)</f>
        <v>0</v>
      </c>
      <c r="V1245" s="16">
        <f>IFERROR(INDEX(BASE_CCLASSTRIB!$F:$F, MATCH(TEXT($D1245,"000000"), BASE_CCLASSTRIB!$A:$A, 0))/100, 0)</f>
        <v>0</v>
      </c>
    </row>
    <row r="1246" spans="4:22" ht="32.25" customHeight="1">
      <c r="D1246" s="40"/>
      <c r="E1246" s="27" t="str">
        <f>IF(D1246="","",LEFT(D1246,3))</f>
        <v/>
      </c>
      <c r="F1246" s="28" t="str">
        <f>IF(E1246="","",IFERROR(VLOOKUP(E1246,REGRAS_CST!$A$2:$B$200,2,FALSE),""))</f>
        <v/>
      </c>
      <c r="H1246" s="29">
        <v>8.9999999999999993E-3</v>
      </c>
      <c r="I1246" s="29">
        <v>1E-3</v>
      </c>
      <c r="K1246" s="21" t="str">
        <f>IF(E1246="","",IFERROR(VLOOKUP(E1246,REGRAS_CST!$A$2:$C$200,3,FALSE),""))</f>
        <v/>
      </c>
      <c r="L1246" s="23" t="str">
        <f>IF($G1246="", "", $G1246*(1-$V1246))</f>
        <v/>
      </c>
      <c r="M1246" s="24" t="str">
        <f>IF(OR($L1246="",$S1246=""),"",$L1246*$S1246)</f>
        <v/>
      </c>
      <c r="N1246" s="24" t="str">
        <f>IF(OR($L1246="",$T1246=""),"",$L1246*$T1246)</f>
        <v/>
      </c>
      <c r="O1246" s="15" t="str">
        <f>IF(D1246="","",
IF(AND(K1246&lt;&gt;"SIM",V1246&gt;0),"ERRO: % BC &gt; 0, mas NÃO permitida ❌",
IF(AND(K1246="SIM",V1246=0),"ATENÇÃO: BC permitida, mas % = 0 🔎",
"Base de cálculo aplicada corretamente ✅")))</f>
        <v/>
      </c>
      <c r="P1246" s="31" t="str">
        <f>IF(D1246="","",
IF(AND(Q1246&lt;&gt;"SIM",U1246&gt;0),"ERRO: % alíquota &gt; 0, mas NÃO permitida ❌",
IF(AND(Q1246="SIM",U1246=0),"ATENÇÃO: alíquota permitida, mas % = 0 🔎",
"Alíquota aplicada corretamente ✅")))</f>
        <v/>
      </c>
      <c r="Q1246" s="8" t="str">
        <f>IF(E1246="","",IFERROR(VLOOKUP(E1246,REGRAS_CST!$A$2:$D$200,4,FALSE),""))</f>
        <v/>
      </c>
      <c r="S1246" s="9">
        <f>IF($H1246="","",$H1246*(1-$U1246))</f>
        <v>8.9999999999999993E-3</v>
      </c>
      <c r="T1246" s="9">
        <f>IF($I1246="","",$I1246*(1-$U1246))</f>
        <v>1E-3</v>
      </c>
      <c r="U1246" s="16">
        <f>IFERROR(INDEX(BASE_CCLASSTRIB!$E:$E, MATCH(TEXT($D1246,"000000"), BASE_CCLASSTRIB!$A:$A, 0))/100, 0)</f>
        <v>0</v>
      </c>
      <c r="V1246" s="16">
        <f>IFERROR(INDEX(BASE_CCLASSTRIB!$F:$F, MATCH(TEXT($D1246,"000000"), BASE_CCLASSTRIB!$A:$A, 0))/100, 0)</f>
        <v>0</v>
      </c>
    </row>
    <row r="1247" spans="4:22" ht="32.25" customHeight="1">
      <c r="D1247" s="40"/>
      <c r="E1247" s="27" t="str">
        <f>IF(D1247="","",LEFT(D1247,3))</f>
        <v/>
      </c>
      <c r="F1247" s="28" t="str">
        <f>IF(E1247="","",IFERROR(VLOOKUP(E1247,REGRAS_CST!$A$2:$B$200,2,FALSE),""))</f>
        <v/>
      </c>
      <c r="H1247" s="29">
        <v>8.9999999999999993E-3</v>
      </c>
      <c r="I1247" s="29">
        <v>1E-3</v>
      </c>
      <c r="K1247" s="21" t="str">
        <f>IF(E1247="","",IFERROR(VLOOKUP(E1247,REGRAS_CST!$A$2:$C$200,3,FALSE),""))</f>
        <v/>
      </c>
      <c r="L1247" s="23" t="str">
        <f>IF($G1247="", "", $G1247*(1-$V1247))</f>
        <v/>
      </c>
      <c r="M1247" s="24" t="str">
        <f>IF(OR($L1247="",$S1247=""),"",$L1247*$S1247)</f>
        <v/>
      </c>
      <c r="N1247" s="24" t="str">
        <f>IF(OR($L1247="",$T1247=""),"",$L1247*$T1247)</f>
        <v/>
      </c>
      <c r="O1247" s="15" t="str">
        <f>IF(D1247="","",
IF(AND(K1247&lt;&gt;"SIM",V1247&gt;0),"ERRO: % BC &gt; 0, mas NÃO permitida ❌",
IF(AND(K1247="SIM",V1247=0),"ATENÇÃO: BC permitida, mas % = 0 🔎",
"Base de cálculo aplicada corretamente ✅")))</f>
        <v/>
      </c>
      <c r="P1247" s="31" t="str">
        <f>IF(D1247="","",
IF(AND(Q1247&lt;&gt;"SIM",U1247&gt;0),"ERRO: % alíquota &gt; 0, mas NÃO permitida ❌",
IF(AND(Q1247="SIM",U1247=0),"ATENÇÃO: alíquota permitida, mas % = 0 🔎",
"Alíquota aplicada corretamente ✅")))</f>
        <v/>
      </c>
      <c r="Q1247" s="8" t="str">
        <f>IF(E1247="","",IFERROR(VLOOKUP(E1247,REGRAS_CST!$A$2:$D$200,4,FALSE),""))</f>
        <v/>
      </c>
      <c r="S1247" s="9">
        <f>IF($H1247="","",$H1247*(1-$U1247))</f>
        <v>8.9999999999999993E-3</v>
      </c>
      <c r="T1247" s="9">
        <f>IF($I1247="","",$I1247*(1-$U1247))</f>
        <v>1E-3</v>
      </c>
      <c r="U1247" s="16">
        <f>IFERROR(INDEX(BASE_CCLASSTRIB!$E:$E, MATCH(TEXT($D1247,"000000"), BASE_CCLASSTRIB!$A:$A, 0))/100, 0)</f>
        <v>0</v>
      </c>
      <c r="V1247" s="16">
        <f>IFERROR(INDEX(BASE_CCLASSTRIB!$F:$F, MATCH(TEXT($D1247,"000000"), BASE_CCLASSTRIB!$A:$A, 0))/100, 0)</f>
        <v>0</v>
      </c>
    </row>
    <row r="1248" spans="4:22" ht="32.25" customHeight="1">
      <c r="D1248" s="39"/>
      <c r="E1248" s="27" t="str">
        <f>IF(D1248="","",LEFT(D1248,3))</f>
        <v/>
      </c>
      <c r="F1248" s="28" t="str">
        <f>IF(E1248="","",IFERROR(VLOOKUP(E1248,REGRAS_CST!$A$2:$B$200,2,FALSE),""))</f>
        <v/>
      </c>
      <c r="H1248" s="29">
        <v>8.9999999999999993E-3</v>
      </c>
      <c r="I1248" s="29">
        <v>1E-3</v>
      </c>
      <c r="K1248" s="21" t="str">
        <f>IF(E1248="","",IFERROR(VLOOKUP(E1248,REGRAS_CST!$A$2:$C$200,3,FALSE),""))</f>
        <v/>
      </c>
      <c r="L1248" s="23" t="str">
        <f>IF($G1248="", "", $G1248*(1-$V1248))</f>
        <v/>
      </c>
      <c r="M1248" s="24" t="str">
        <f>IF(OR($L1248="",$S1248=""),"",$L1248*$S1248)</f>
        <v/>
      </c>
      <c r="N1248" s="24" t="str">
        <f>IF(OR($L1248="",$T1248=""),"",$L1248*$T1248)</f>
        <v/>
      </c>
      <c r="O1248" s="15" t="str">
        <f>IF(D1248="","",
IF(AND(K1248&lt;&gt;"SIM",V1248&gt;0),"ERRO: % BC &gt; 0, mas NÃO permitida ❌",
IF(AND(K1248="SIM",V1248=0),"ATENÇÃO: BC permitida, mas % = 0 🔎",
"Base de cálculo aplicada corretamente ✅")))</f>
        <v/>
      </c>
      <c r="P1248" s="31" t="str">
        <f>IF(D1248="","",
IF(AND(Q1248&lt;&gt;"SIM",U1248&gt;0),"ERRO: % alíquota &gt; 0, mas NÃO permitida ❌",
IF(AND(Q1248="SIM",U1248=0),"ATENÇÃO: alíquota permitida, mas % = 0 🔎",
"Alíquota aplicada corretamente ✅")))</f>
        <v/>
      </c>
      <c r="Q1248" s="8" t="str">
        <f>IF(E1248="","",IFERROR(VLOOKUP(E1248,REGRAS_CST!$A$2:$D$200,4,FALSE),""))</f>
        <v/>
      </c>
      <c r="S1248" s="9">
        <f>IF($H1248="","",$H1248*(1-$U1248))</f>
        <v>8.9999999999999993E-3</v>
      </c>
      <c r="T1248" s="9">
        <f>IF($I1248="","",$I1248*(1-$U1248))</f>
        <v>1E-3</v>
      </c>
      <c r="U1248" s="16">
        <f>IFERROR(INDEX(BASE_CCLASSTRIB!$E:$E, MATCH(TEXT($D1248,"000000"), BASE_CCLASSTRIB!$A:$A, 0))/100, 0)</f>
        <v>0</v>
      </c>
      <c r="V1248" s="16">
        <f>IFERROR(INDEX(BASE_CCLASSTRIB!$F:$F, MATCH(TEXT($D1248,"000000"), BASE_CCLASSTRIB!$A:$A, 0))/100, 0)</f>
        <v>0</v>
      </c>
    </row>
    <row r="1249" spans="4:22" ht="32.25" customHeight="1">
      <c r="D1249" s="40"/>
      <c r="E1249" s="27" t="str">
        <f>IF(D1249="","",LEFT(D1249,3))</f>
        <v/>
      </c>
      <c r="F1249" s="28" t="str">
        <f>IF(E1249="","",IFERROR(VLOOKUP(E1249,REGRAS_CST!$A$2:$B$200,2,FALSE),""))</f>
        <v/>
      </c>
      <c r="H1249" s="29">
        <v>8.9999999999999993E-3</v>
      </c>
      <c r="I1249" s="29">
        <v>1E-3</v>
      </c>
      <c r="K1249" s="21" t="str">
        <f>IF(E1249="","",IFERROR(VLOOKUP(E1249,REGRAS_CST!$A$2:$C$200,3,FALSE),""))</f>
        <v/>
      </c>
      <c r="L1249" s="23" t="str">
        <f>IF($G1249="", "", $G1249*(1-$V1249))</f>
        <v/>
      </c>
      <c r="M1249" s="24" t="str">
        <f>IF(OR($L1249="",$S1249=""),"",$L1249*$S1249)</f>
        <v/>
      </c>
      <c r="N1249" s="24" t="str">
        <f>IF(OR($L1249="",$T1249=""),"",$L1249*$T1249)</f>
        <v/>
      </c>
      <c r="O1249" s="15" t="str">
        <f>IF(D1249="","",
IF(AND(K1249&lt;&gt;"SIM",V1249&gt;0),"ERRO: % BC &gt; 0, mas NÃO permitida ❌",
IF(AND(K1249="SIM",V1249=0),"ATENÇÃO: BC permitida, mas % = 0 🔎",
"Base de cálculo aplicada corretamente ✅")))</f>
        <v/>
      </c>
      <c r="P1249" s="31" t="str">
        <f>IF(D1249="","",
IF(AND(Q1249&lt;&gt;"SIM",U1249&gt;0),"ERRO: % alíquota &gt; 0, mas NÃO permitida ❌",
IF(AND(Q1249="SIM",U1249=0),"ATENÇÃO: alíquota permitida, mas % = 0 🔎",
"Alíquota aplicada corretamente ✅")))</f>
        <v/>
      </c>
      <c r="Q1249" s="8" t="str">
        <f>IF(E1249="","",IFERROR(VLOOKUP(E1249,REGRAS_CST!$A$2:$D$200,4,FALSE),""))</f>
        <v/>
      </c>
      <c r="S1249" s="9">
        <f>IF($H1249="","",$H1249*(1-$U1249))</f>
        <v>8.9999999999999993E-3</v>
      </c>
      <c r="T1249" s="9">
        <f>IF($I1249="","",$I1249*(1-$U1249))</f>
        <v>1E-3</v>
      </c>
      <c r="U1249" s="16">
        <f>IFERROR(INDEX(BASE_CCLASSTRIB!$E:$E, MATCH(TEXT($D1249,"000000"), BASE_CCLASSTRIB!$A:$A, 0))/100, 0)</f>
        <v>0</v>
      </c>
      <c r="V1249" s="16">
        <f>IFERROR(INDEX(BASE_CCLASSTRIB!$F:$F, MATCH(TEXT($D1249,"000000"), BASE_CCLASSTRIB!$A:$A, 0))/100, 0)</f>
        <v>0</v>
      </c>
    </row>
    <row r="1250" spans="4:22" ht="32.25" customHeight="1">
      <c r="D1250" s="40"/>
      <c r="E1250" s="27" t="str">
        <f>IF(D1250="","",LEFT(D1250,3))</f>
        <v/>
      </c>
      <c r="F1250" s="28" t="str">
        <f>IF(E1250="","",IFERROR(VLOOKUP(E1250,REGRAS_CST!$A$2:$B$200,2,FALSE),""))</f>
        <v/>
      </c>
      <c r="H1250" s="29">
        <v>8.9999999999999993E-3</v>
      </c>
      <c r="I1250" s="29">
        <v>1E-3</v>
      </c>
      <c r="K1250" s="21" t="str">
        <f>IF(E1250="","",IFERROR(VLOOKUP(E1250,REGRAS_CST!$A$2:$C$200,3,FALSE),""))</f>
        <v/>
      </c>
      <c r="L1250" s="23" t="str">
        <f>IF($G1250="", "", $G1250*(1-$V1250))</f>
        <v/>
      </c>
      <c r="M1250" s="24" t="str">
        <f>IF(OR($L1250="",$S1250=""),"",$L1250*$S1250)</f>
        <v/>
      </c>
      <c r="N1250" s="24" t="str">
        <f>IF(OR($L1250="",$T1250=""),"",$L1250*$T1250)</f>
        <v/>
      </c>
      <c r="O1250" s="15" t="str">
        <f>IF(D1250="","",
IF(AND(K1250&lt;&gt;"SIM",V1250&gt;0),"ERRO: % BC &gt; 0, mas NÃO permitida ❌",
IF(AND(K1250="SIM",V1250=0),"ATENÇÃO: BC permitida, mas % = 0 🔎",
"Base de cálculo aplicada corretamente ✅")))</f>
        <v/>
      </c>
      <c r="P1250" s="31" t="str">
        <f>IF(D1250="","",
IF(AND(Q1250&lt;&gt;"SIM",U1250&gt;0),"ERRO: % alíquota &gt; 0, mas NÃO permitida ❌",
IF(AND(Q1250="SIM",U1250=0),"ATENÇÃO: alíquota permitida, mas % = 0 🔎",
"Alíquota aplicada corretamente ✅")))</f>
        <v/>
      </c>
      <c r="Q1250" s="8" t="str">
        <f>IF(E1250="","",IFERROR(VLOOKUP(E1250,REGRAS_CST!$A$2:$D$200,4,FALSE),""))</f>
        <v/>
      </c>
      <c r="S1250" s="9">
        <f>IF($H1250="","",$H1250*(1-$U1250))</f>
        <v>8.9999999999999993E-3</v>
      </c>
      <c r="T1250" s="9">
        <f>IF($I1250="","",$I1250*(1-$U1250))</f>
        <v>1E-3</v>
      </c>
      <c r="U1250" s="16">
        <f>IFERROR(INDEX(BASE_CCLASSTRIB!$E:$E, MATCH(TEXT($D1250,"000000"), BASE_CCLASSTRIB!$A:$A, 0))/100, 0)</f>
        <v>0</v>
      </c>
      <c r="V1250" s="16">
        <f>IFERROR(INDEX(BASE_CCLASSTRIB!$F:$F, MATCH(TEXT($D1250,"000000"), BASE_CCLASSTRIB!$A:$A, 0))/100, 0)</f>
        <v>0</v>
      </c>
    </row>
    <row r="1251" spans="4:22" ht="32.25" customHeight="1">
      <c r="D1251" s="40"/>
      <c r="E1251" s="27" t="str">
        <f>IF(D1251="","",LEFT(D1251,3))</f>
        <v/>
      </c>
      <c r="F1251" s="28" t="str">
        <f>IF(E1251="","",IFERROR(VLOOKUP(E1251,REGRAS_CST!$A$2:$B$200,2,FALSE),""))</f>
        <v/>
      </c>
      <c r="H1251" s="29">
        <v>8.9999999999999993E-3</v>
      </c>
      <c r="I1251" s="29">
        <v>1E-3</v>
      </c>
      <c r="K1251" s="21" t="str">
        <f>IF(E1251="","",IFERROR(VLOOKUP(E1251,REGRAS_CST!$A$2:$C$200,3,FALSE),""))</f>
        <v/>
      </c>
      <c r="L1251" s="23" t="str">
        <f>IF($G1251="", "", $G1251*(1-$V1251))</f>
        <v/>
      </c>
      <c r="M1251" s="24" t="str">
        <f>IF(OR($L1251="",$S1251=""),"",$L1251*$S1251)</f>
        <v/>
      </c>
      <c r="N1251" s="24" t="str">
        <f>IF(OR($L1251="",$T1251=""),"",$L1251*$T1251)</f>
        <v/>
      </c>
      <c r="O1251" s="15" t="str">
        <f>IF(D1251="","",
IF(AND(K1251&lt;&gt;"SIM",V1251&gt;0),"ERRO: % BC &gt; 0, mas NÃO permitida ❌",
IF(AND(K1251="SIM",V1251=0),"ATENÇÃO: BC permitida, mas % = 0 🔎",
"Base de cálculo aplicada corretamente ✅")))</f>
        <v/>
      </c>
      <c r="P1251" s="31" t="str">
        <f>IF(D1251="","",
IF(AND(Q1251&lt;&gt;"SIM",U1251&gt;0),"ERRO: % alíquota &gt; 0, mas NÃO permitida ❌",
IF(AND(Q1251="SIM",U1251=0),"ATENÇÃO: alíquota permitida, mas % = 0 🔎",
"Alíquota aplicada corretamente ✅")))</f>
        <v/>
      </c>
      <c r="Q1251" s="8" t="str">
        <f>IF(E1251="","",IFERROR(VLOOKUP(E1251,REGRAS_CST!$A$2:$D$200,4,FALSE),""))</f>
        <v/>
      </c>
      <c r="S1251" s="9">
        <f>IF($H1251="","",$H1251*(1-$U1251))</f>
        <v>8.9999999999999993E-3</v>
      </c>
      <c r="T1251" s="9">
        <f>IF($I1251="","",$I1251*(1-$U1251))</f>
        <v>1E-3</v>
      </c>
      <c r="U1251" s="16">
        <f>IFERROR(INDEX(BASE_CCLASSTRIB!$E:$E, MATCH(TEXT($D1251,"000000"), BASE_CCLASSTRIB!$A:$A, 0))/100, 0)</f>
        <v>0</v>
      </c>
      <c r="V1251" s="16">
        <f>IFERROR(INDEX(BASE_CCLASSTRIB!$F:$F, MATCH(TEXT($D1251,"000000"), BASE_CCLASSTRIB!$A:$A, 0))/100, 0)</f>
        <v>0</v>
      </c>
    </row>
    <row r="1252" spans="4:22" ht="32.25" customHeight="1">
      <c r="D1252" s="39"/>
      <c r="E1252" s="27" t="str">
        <f>IF(D1252="","",LEFT(D1252,3))</f>
        <v/>
      </c>
      <c r="F1252" s="28" t="str">
        <f>IF(E1252="","",IFERROR(VLOOKUP(E1252,REGRAS_CST!$A$2:$B$200,2,FALSE),""))</f>
        <v/>
      </c>
      <c r="H1252" s="29">
        <v>8.9999999999999993E-3</v>
      </c>
      <c r="I1252" s="29">
        <v>1E-3</v>
      </c>
      <c r="K1252" s="21" t="str">
        <f>IF(E1252="","",IFERROR(VLOOKUP(E1252,REGRAS_CST!$A$2:$C$200,3,FALSE),""))</f>
        <v/>
      </c>
      <c r="L1252" s="23" t="str">
        <f>IF($G1252="", "", $G1252*(1-$V1252))</f>
        <v/>
      </c>
      <c r="M1252" s="24" t="str">
        <f>IF(OR($L1252="",$S1252=""),"",$L1252*$S1252)</f>
        <v/>
      </c>
      <c r="N1252" s="24" t="str">
        <f>IF(OR($L1252="",$T1252=""),"",$L1252*$T1252)</f>
        <v/>
      </c>
      <c r="O1252" s="15" t="str">
        <f>IF(D1252="","",
IF(AND(K1252&lt;&gt;"SIM",V1252&gt;0),"ERRO: % BC &gt; 0, mas NÃO permitida ❌",
IF(AND(K1252="SIM",V1252=0),"ATENÇÃO: BC permitida, mas % = 0 🔎",
"Base de cálculo aplicada corretamente ✅")))</f>
        <v/>
      </c>
      <c r="P1252" s="31" t="str">
        <f>IF(D1252="","",
IF(AND(Q1252&lt;&gt;"SIM",U1252&gt;0),"ERRO: % alíquota &gt; 0, mas NÃO permitida ❌",
IF(AND(Q1252="SIM",U1252=0),"ATENÇÃO: alíquota permitida, mas % = 0 🔎",
"Alíquota aplicada corretamente ✅")))</f>
        <v/>
      </c>
      <c r="Q1252" s="8" t="str">
        <f>IF(E1252="","",IFERROR(VLOOKUP(E1252,REGRAS_CST!$A$2:$D$200,4,FALSE),""))</f>
        <v/>
      </c>
      <c r="S1252" s="9">
        <f>IF($H1252="","",$H1252*(1-$U1252))</f>
        <v>8.9999999999999993E-3</v>
      </c>
      <c r="T1252" s="9">
        <f>IF($I1252="","",$I1252*(1-$U1252))</f>
        <v>1E-3</v>
      </c>
      <c r="U1252" s="16">
        <f>IFERROR(INDEX(BASE_CCLASSTRIB!$E:$E, MATCH(TEXT($D1252,"000000"), BASE_CCLASSTRIB!$A:$A, 0))/100, 0)</f>
        <v>0</v>
      </c>
      <c r="V1252" s="16">
        <f>IFERROR(INDEX(BASE_CCLASSTRIB!$F:$F, MATCH(TEXT($D1252,"000000"), BASE_CCLASSTRIB!$A:$A, 0))/100, 0)</f>
        <v>0</v>
      </c>
    </row>
    <row r="1253" spans="4:22" ht="32.25" customHeight="1">
      <c r="D1253" s="40"/>
      <c r="E1253" s="27" t="str">
        <f>IF(D1253="","",LEFT(D1253,3))</f>
        <v/>
      </c>
      <c r="F1253" s="28" t="str">
        <f>IF(E1253="","",IFERROR(VLOOKUP(E1253,REGRAS_CST!$A$2:$B$200,2,FALSE),""))</f>
        <v/>
      </c>
      <c r="H1253" s="29">
        <v>8.9999999999999993E-3</v>
      </c>
      <c r="I1253" s="29">
        <v>1E-3</v>
      </c>
      <c r="K1253" s="21" t="str">
        <f>IF(E1253="","",IFERROR(VLOOKUP(E1253,REGRAS_CST!$A$2:$C$200,3,FALSE),""))</f>
        <v/>
      </c>
      <c r="L1253" s="23" t="str">
        <f>IF($G1253="", "", $G1253*(1-$V1253))</f>
        <v/>
      </c>
      <c r="M1253" s="24" t="str">
        <f>IF(OR($L1253="",$S1253=""),"",$L1253*$S1253)</f>
        <v/>
      </c>
      <c r="N1253" s="24" t="str">
        <f>IF(OR($L1253="",$T1253=""),"",$L1253*$T1253)</f>
        <v/>
      </c>
      <c r="O1253" s="15" t="str">
        <f>IF(D1253="","",
IF(AND(K1253&lt;&gt;"SIM",V1253&gt;0),"ERRO: % BC &gt; 0, mas NÃO permitida ❌",
IF(AND(K1253="SIM",V1253=0),"ATENÇÃO: BC permitida, mas % = 0 🔎",
"Base de cálculo aplicada corretamente ✅")))</f>
        <v/>
      </c>
      <c r="P1253" s="31" t="str">
        <f>IF(D1253="","",
IF(AND(Q1253&lt;&gt;"SIM",U1253&gt;0),"ERRO: % alíquota &gt; 0, mas NÃO permitida ❌",
IF(AND(Q1253="SIM",U1253=0),"ATENÇÃO: alíquota permitida, mas % = 0 🔎",
"Alíquota aplicada corretamente ✅")))</f>
        <v/>
      </c>
      <c r="Q1253" s="8" t="str">
        <f>IF(E1253="","",IFERROR(VLOOKUP(E1253,REGRAS_CST!$A$2:$D$200,4,FALSE),""))</f>
        <v/>
      </c>
      <c r="S1253" s="9">
        <f>IF($H1253="","",$H1253*(1-$U1253))</f>
        <v>8.9999999999999993E-3</v>
      </c>
      <c r="T1253" s="9">
        <f>IF($I1253="","",$I1253*(1-$U1253))</f>
        <v>1E-3</v>
      </c>
      <c r="U1253" s="16">
        <f>IFERROR(INDEX(BASE_CCLASSTRIB!$E:$E, MATCH(TEXT($D1253,"000000"), BASE_CCLASSTRIB!$A:$A, 0))/100, 0)</f>
        <v>0</v>
      </c>
      <c r="V1253" s="16">
        <f>IFERROR(INDEX(BASE_CCLASSTRIB!$F:$F, MATCH(TEXT($D1253,"000000"), BASE_CCLASSTRIB!$A:$A, 0))/100, 0)</f>
        <v>0</v>
      </c>
    </row>
    <row r="1254" spans="4:22" ht="32.25" customHeight="1">
      <c r="D1254" s="39"/>
      <c r="E1254" s="27" t="str">
        <f>IF(D1254="","",LEFT(D1254,3))</f>
        <v/>
      </c>
      <c r="F1254" s="28" t="str">
        <f>IF(E1254="","",IFERROR(VLOOKUP(E1254,REGRAS_CST!$A$2:$B$200,2,FALSE),""))</f>
        <v/>
      </c>
      <c r="H1254" s="29">
        <v>8.9999999999999993E-3</v>
      </c>
      <c r="I1254" s="29">
        <v>1E-3</v>
      </c>
      <c r="K1254" s="21" t="str">
        <f>IF(E1254="","",IFERROR(VLOOKUP(E1254,REGRAS_CST!$A$2:$C$200,3,FALSE),""))</f>
        <v/>
      </c>
      <c r="L1254" s="23" t="str">
        <f>IF($G1254="", "", $G1254*(1-$V1254))</f>
        <v/>
      </c>
      <c r="M1254" s="24" t="str">
        <f>IF(OR($L1254="",$S1254=""),"",$L1254*$S1254)</f>
        <v/>
      </c>
      <c r="N1254" s="24" t="str">
        <f>IF(OR($L1254="",$T1254=""),"",$L1254*$T1254)</f>
        <v/>
      </c>
      <c r="O1254" s="15" t="str">
        <f>IF(D1254="","",
IF(AND(K1254&lt;&gt;"SIM",V1254&gt;0),"ERRO: % BC &gt; 0, mas NÃO permitida ❌",
IF(AND(K1254="SIM",V1254=0),"ATENÇÃO: BC permitida, mas % = 0 🔎",
"Base de cálculo aplicada corretamente ✅")))</f>
        <v/>
      </c>
      <c r="P1254" s="31" t="str">
        <f>IF(D1254="","",
IF(AND(Q1254&lt;&gt;"SIM",U1254&gt;0),"ERRO: % alíquota &gt; 0, mas NÃO permitida ❌",
IF(AND(Q1254="SIM",U1254=0),"ATENÇÃO: alíquota permitida, mas % = 0 🔎",
"Alíquota aplicada corretamente ✅")))</f>
        <v/>
      </c>
      <c r="Q1254" s="8" t="str">
        <f>IF(E1254="","",IFERROR(VLOOKUP(E1254,REGRAS_CST!$A$2:$D$200,4,FALSE),""))</f>
        <v/>
      </c>
      <c r="S1254" s="9">
        <f>IF($H1254="","",$H1254*(1-$U1254))</f>
        <v>8.9999999999999993E-3</v>
      </c>
      <c r="T1254" s="9">
        <f>IF($I1254="","",$I1254*(1-$U1254))</f>
        <v>1E-3</v>
      </c>
      <c r="U1254" s="16">
        <f>IFERROR(INDEX(BASE_CCLASSTRIB!$E:$E, MATCH(TEXT($D1254,"000000"), BASE_CCLASSTRIB!$A:$A, 0))/100, 0)</f>
        <v>0</v>
      </c>
      <c r="V1254" s="16">
        <f>IFERROR(INDEX(BASE_CCLASSTRIB!$F:$F, MATCH(TEXT($D1254,"000000"), BASE_CCLASSTRIB!$A:$A, 0))/100, 0)</f>
        <v>0</v>
      </c>
    </row>
    <row r="1255" spans="4:22" ht="32.25" customHeight="1">
      <c r="D1255" s="39"/>
      <c r="E1255" s="27" t="str">
        <f>IF(D1255="","",LEFT(D1255,3))</f>
        <v/>
      </c>
      <c r="F1255" s="28" t="str">
        <f>IF(E1255="","",IFERROR(VLOOKUP(E1255,REGRAS_CST!$A$2:$B$200,2,FALSE),""))</f>
        <v/>
      </c>
      <c r="H1255" s="29">
        <v>8.9999999999999993E-3</v>
      </c>
      <c r="I1255" s="29">
        <v>1E-3</v>
      </c>
      <c r="K1255" s="21" t="str">
        <f>IF(E1255="","",IFERROR(VLOOKUP(E1255,REGRAS_CST!$A$2:$C$200,3,FALSE),""))</f>
        <v/>
      </c>
      <c r="L1255" s="23" t="str">
        <f>IF($G1255="", "", $G1255*(1-$V1255))</f>
        <v/>
      </c>
      <c r="M1255" s="24" t="str">
        <f>IF(OR($L1255="",$S1255=""),"",$L1255*$S1255)</f>
        <v/>
      </c>
      <c r="N1255" s="24" t="str">
        <f>IF(OR($L1255="",$T1255=""),"",$L1255*$T1255)</f>
        <v/>
      </c>
      <c r="O1255" s="15" t="str">
        <f>IF(D1255="","",
IF(AND(K1255&lt;&gt;"SIM",V1255&gt;0),"ERRO: % BC &gt; 0, mas NÃO permitida ❌",
IF(AND(K1255="SIM",V1255=0),"ATENÇÃO: BC permitida, mas % = 0 🔎",
"Base de cálculo aplicada corretamente ✅")))</f>
        <v/>
      </c>
      <c r="P1255" s="31" t="str">
        <f>IF(D1255="","",
IF(AND(Q1255&lt;&gt;"SIM",U1255&gt;0),"ERRO: % alíquota &gt; 0, mas NÃO permitida ❌",
IF(AND(Q1255="SIM",U1255=0),"ATENÇÃO: alíquota permitida, mas % = 0 🔎",
"Alíquota aplicada corretamente ✅")))</f>
        <v/>
      </c>
      <c r="Q1255" s="8" t="str">
        <f>IF(E1255="","",IFERROR(VLOOKUP(E1255,REGRAS_CST!$A$2:$D$200,4,FALSE),""))</f>
        <v/>
      </c>
      <c r="S1255" s="9">
        <f>IF($H1255="","",$H1255*(1-$U1255))</f>
        <v>8.9999999999999993E-3</v>
      </c>
      <c r="T1255" s="9">
        <f>IF($I1255="","",$I1255*(1-$U1255))</f>
        <v>1E-3</v>
      </c>
      <c r="U1255" s="16">
        <f>IFERROR(INDEX(BASE_CCLASSTRIB!$E:$E, MATCH(TEXT($D1255,"000000"), BASE_CCLASSTRIB!$A:$A, 0))/100, 0)</f>
        <v>0</v>
      </c>
      <c r="V1255" s="16">
        <f>IFERROR(INDEX(BASE_CCLASSTRIB!$F:$F, MATCH(TEXT($D1255,"000000"), BASE_CCLASSTRIB!$A:$A, 0))/100, 0)</f>
        <v>0</v>
      </c>
    </row>
    <row r="1256" spans="4:22" ht="32.25" customHeight="1">
      <c r="D1256" s="40"/>
      <c r="E1256" s="27" t="str">
        <f>IF(D1256="","",LEFT(D1256,3))</f>
        <v/>
      </c>
      <c r="F1256" s="28" t="str">
        <f>IF(E1256="","",IFERROR(VLOOKUP(E1256,REGRAS_CST!$A$2:$B$200,2,FALSE),""))</f>
        <v/>
      </c>
      <c r="H1256" s="29">
        <v>8.9999999999999993E-3</v>
      </c>
      <c r="I1256" s="29">
        <v>1E-3</v>
      </c>
      <c r="K1256" s="21" t="str">
        <f>IF(E1256="","",IFERROR(VLOOKUP(E1256,REGRAS_CST!$A$2:$C$200,3,FALSE),""))</f>
        <v/>
      </c>
      <c r="L1256" s="23" t="str">
        <f>IF($G1256="", "", $G1256*(1-$V1256))</f>
        <v/>
      </c>
      <c r="M1256" s="24" t="str">
        <f>IF(OR($L1256="",$S1256=""),"",$L1256*$S1256)</f>
        <v/>
      </c>
      <c r="N1256" s="24" t="str">
        <f>IF(OR($L1256="",$T1256=""),"",$L1256*$T1256)</f>
        <v/>
      </c>
      <c r="O1256" s="15" t="str">
        <f>IF(D1256="","",
IF(AND(K1256&lt;&gt;"SIM",V1256&gt;0),"ERRO: % BC &gt; 0, mas NÃO permitida ❌",
IF(AND(K1256="SIM",V1256=0),"ATENÇÃO: BC permitida, mas % = 0 🔎",
"Base de cálculo aplicada corretamente ✅")))</f>
        <v/>
      </c>
      <c r="P1256" s="31" t="str">
        <f>IF(D1256="","",
IF(AND(Q1256&lt;&gt;"SIM",U1256&gt;0),"ERRO: % alíquota &gt; 0, mas NÃO permitida ❌",
IF(AND(Q1256="SIM",U1256=0),"ATENÇÃO: alíquota permitida, mas % = 0 🔎",
"Alíquota aplicada corretamente ✅")))</f>
        <v/>
      </c>
      <c r="Q1256" s="8" t="str">
        <f>IF(E1256="","",IFERROR(VLOOKUP(E1256,REGRAS_CST!$A$2:$D$200,4,FALSE),""))</f>
        <v/>
      </c>
      <c r="S1256" s="9">
        <f>IF($H1256="","",$H1256*(1-$U1256))</f>
        <v>8.9999999999999993E-3</v>
      </c>
      <c r="T1256" s="9">
        <f>IF($I1256="","",$I1256*(1-$U1256))</f>
        <v>1E-3</v>
      </c>
      <c r="U1256" s="16">
        <f>IFERROR(INDEX(BASE_CCLASSTRIB!$E:$E, MATCH(TEXT($D1256,"000000"), BASE_CCLASSTRIB!$A:$A, 0))/100, 0)</f>
        <v>0</v>
      </c>
      <c r="V1256" s="16">
        <f>IFERROR(INDEX(BASE_CCLASSTRIB!$F:$F, MATCH(TEXT($D1256,"000000"), BASE_CCLASSTRIB!$A:$A, 0))/100, 0)</f>
        <v>0</v>
      </c>
    </row>
    <row r="1257" spans="4:22" ht="32.25" customHeight="1">
      <c r="D1257" s="40"/>
      <c r="E1257" s="27" t="str">
        <f>IF(D1257="","",LEFT(D1257,3))</f>
        <v/>
      </c>
      <c r="F1257" s="28" t="str">
        <f>IF(E1257="","",IFERROR(VLOOKUP(E1257,REGRAS_CST!$A$2:$B$200,2,FALSE),""))</f>
        <v/>
      </c>
      <c r="H1257" s="29">
        <v>8.9999999999999993E-3</v>
      </c>
      <c r="I1257" s="29">
        <v>1E-3</v>
      </c>
      <c r="K1257" s="21" t="str">
        <f>IF(E1257="","",IFERROR(VLOOKUP(E1257,REGRAS_CST!$A$2:$C$200,3,FALSE),""))</f>
        <v/>
      </c>
      <c r="L1257" s="23" t="str">
        <f>IF($G1257="", "", $G1257*(1-$V1257))</f>
        <v/>
      </c>
      <c r="M1257" s="24" t="str">
        <f>IF(OR($L1257="",$S1257=""),"",$L1257*$S1257)</f>
        <v/>
      </c>
      <c r="N1257" s="24" t="str">
        <f>IF(OR($L1257="",$T1257=""),"",$L1257*$T1257)</f>
        <v/>
      </c>
      <c r="O1257" s="15" t="str">
        <f>IF(D1257="","",
IF(AND(K1257&lt;&gt;"SIM",V1257&gt;0),"ERRO: % BC &gt; 0, mas NÃO permitida ❌",
IF(AND(K1257="SIM",V1257=0),"ATENÇÃO: BC permitida, mas % = 0 🔎",
"Base de cálculo aplicada corretamente ✅")))</f>
        <v/>
      </c>
      <c r="P1257" s="31" t="str">
        <f>IF(D1257="","",
IF(AND(Q1257&lt;&gt;"SIM",U1257&gt;0),"ERRO: % alíquota &gt; 0, mas NÃO permitida ❌",
IF(AND(Q1257="SIM",U1257=0),"ATENÇÃO: alíquota permitida, mas % = 0 🔎",
"Alíquota aplicada corretamente ✅")))</f>
        <v/>
      </c>
      <c r="Q1257" s="8" t="str">
        <f>IF(E1257="","",IFERROR(VLOOKUP(E1257,REGRAS_CST!$A$2:$D$200,4,FALSE),""))</f>
        <v/>
      </c>
      <c r="S1257" s="9">
        <f>IF($H1257="","",$H1257*(1-$U1257))</f>
        <v>8.9999999999999993E-3</v>
      </c>
      <c r="T1257" s="9">
        <f>IF($I1257="","",$I1257*(1-$U1257))</f>
        <v>1E-3</v>
      </c>
      <c r="U1257" s="16">
        <f>IFERROR(INDEX(BASE_CCLASSTRIB!$E:$E, MATCH(TEXT($D1257,"000000"), BASE_CCLASSTRIB!$A:$A, 0))/100, 0)</f>
        <v>0</v>
      </c>
      <c r="V1257" s="16">
        <f>IFERROR(INDEX(BASE_CCLASSTRIB!$F:$F, MATCH(TEXT($D1257,"000000"), BASE_CCLASSTRIB!$A:$A, 0))/100, 0)</f>
        <v>0</v>
      </c>
    </row>
    <row r="1258" spans="4:22" ht="32.25" customHeight="1">
      <c r="D1258" s="39"/>
      <c r="E1258" s="27" t="str">
        <f>IF(D1258="","",LEFT(D1258,3))</f>
        <v/>
      </c>
      <c r="F1258" s="28" t="str">
        <f>IF(E1258="","",IFERROR(VLOOKUP(E1258,REGRAS_CST!$A$2:$B$200,2,FALSE),""))</f>
        <v/>
      </c>
      <c r="H1258" s="29">
        <v>8.9999999999999993E-3</v>
      </c>
      <c r="I1258" s="29">
        <v>1E-3</v>
      </c>
      <c r="K1258" s="21" t="str">
        <f>IF(E1258="","",IFERROR(VLOOKUP(E1258,REGRAS_CST!$A$2:$C$200,3,FALSE),""))</f>
        <v/>
      </c>
      <c r="L1258" s="23" t="str">
        <f>IF($G1258="", "", $G1258*(1-$V1258))</f>
        <v/>
      </c>
      <c r="M1258" s="24" t="str">
        <f>IF(OR($L1258="",$S1258=""),"",$L1258*$S1258)</f>
        <v/>
      </c>
      <c r="N1258" s="24" t="str">
        <f>IF(OR($L1258="",$T1258=""),"",$L1258*$T1258)</f>
        <v/>
      </c>
      <c r="O1258" s="15" t="str">
        <f>IF(D1258="","",
IF(AND(K1258&lt;&gt;"SIM",V1258&gt;0),"ERRO: % BC &gt; 0, mas NÃO permitida ❌",
IF(AND(K1258="SIM",V1258=0),"ATENÇÃO: BC permitida, mas % = 0 🔎",
"Base de cálculo aplicada corretamente ✅")))</f>
        <v/>
      </c>
      <c r="P1258" s="31" t="str">
        <f>IF(D1258="","",
IF(AND(Q1258&lt;&gt;"SIM",U1258&gt;0),"ERRO: % alíquota &gt; 0, mas NÃO permitida ❌",
IF(AND(Q1258="SIM",U1258=0),"ATENÇÃO: alíquota permitida, mas % = 0 🔎",
"Alíquota aplicada corretamente ✅")))</f>
        <v/>
      </c>
      <c r="Q1258" s="8" t="str">
        <f>IF(E1258="","",IFERROR(VLOOKUP(E1258,REGRAS_CST!$A$2:$D$200,4,FALSE),""))</f>
        <v/>
      </c>
      <c r="S1258" s="9">
        <f>IF($H1258="","",$H1258*(1-$U1258))</f>
        <v>8.9999999999999993E-3</v>
      </c>
      <c r="T1258" s="9">
        <f>IF($I1258="","",$I1258*(1-$U1258))</f>
        <v>1E-3</v>
      </c>
      <c r="U1258" s="16">
        <f>IFERROR(INDEX(BASE_CCLASSTRIB!$E:$E, MATCH(TEXT($D1258,"000000"), BASE_CCLASSTRIB!$A:$A, 0))/100, 0)</f>
        <v>0</v>
      </c>
      <c r="V1258" s="16">
        <f>IFERROR(INDEX(BASE_CCLASSTRIB!$F:$F, MATCH(TEXT($D1258,"000000"), BASE_CCLASSTRIB!$A:$A, 0))/100, 0)</f>
        <v>0</v>
      </c>
    </row>
    <row r="1259" spans="4:22" ht="32.25" customHeight="1">
      <c r="D1259" s="39"/>
      <c r="E1259" s="27" t="str">
        <f>IF(D1259="","",LEFT(D1259,3))</f>
        <v/>
      </c>
      <c r="F1259" s="28" t="str">
        <f>IF(E1259="","",IFERROR(VLOOKUP(E1259,REGRAS_CST!$A$2:$B$200,2,FALSE),""))</f>
        <v/>
      </c>
      <c r="H1259" s="29">
        <v>8.9999999999999993E-3</v>
      </c>
      <c r="I1259" s="29">
        <v>1E-3</v>
      </c>
      <c r="K1259" s="21" t="str">
        <f>IF(E1259="","",IFERROR(VLOOKUP(E1259,REGRAS_CST!$A$2:$C$200,3,FALSE),""))</f>
        <v/>
      </c>
      <c r="L1259" s="23" t="str">
        <f>IF($G1259="", "", $G1259*(1-$V1259))</f>
        <v/>
      </c>
      <c r="M1259" s="24" t="str">
        <f>IF(OR($L1259="",$S1259=""),"",$L1259*$S1259)</f>
        <v/>
      </c>
      <c r="N1259" s="24" t="str">
        <f>IF(OR($L1259="",$T1259=""),"",$L1259*$T1259)</f>
        <v/>
      </c>
      <c r="O1259" s="15" t="str">
        <f>IF(D1259="","",
IF(AND(K1259&lt;&gt;"SIM",V1259&gt;0),"ERRO: % BC &gt; 0, mas NÃO permitida ❌",
IF(AND(K1259="SIM",V1259=0),"ATENÇÃO: BC permitida, mas % = 0 🔎",
"Base de cálculo aplicada corretamente ✅")))</f>
        <v/>
      </c>
      <c r="P1259" s="31" t="str">
        <f>IF(D1259="","",
IF(AND(Q1259&lt;&gt;"SIM",U1259&gt;0),"ERRO: % alíquota &gt; 0, mas NÃO permitida ❌",
IF(AND(Q1259="SIM",U1259=0),"ATENÇÃO: alíquota permitida, mas % = 0 🔎",
"Alíquota aplicada corretamente ✅")))</f>
        <v/>
      </c>
      <c r="Q1259" s="8" t="str">
        <f>IF(E1259="","",IFERROR(VLOOKUP(E1259,REGRAS_CST!$A$2:$D$200,4,FALSE),""))</f>
        <v/>
      </c>
      <c r="S1259" s="9">
        <f>IF($H1259="","",$H1259*(1-$U1259))</f>
        <v>8.9999999999999993E-3</v>
      </c>
      <c r="T1259" s="9">
        <f>IF($I1259="","",$I1259*(1-$U1259))</f>
        <v>1E-3</v>
      </c>
      <c r="U1259" s="16">
        <f>IFERROR(INDEX(BASE_CCLASSTRIB!$E:$E, MATCH(TEXT($D1259,"000000"), BASE_CCLASSTRIB!$A:$A, 0))/100, 0)</f>
        <v>0</v>
      </c>
      <c r="V1259" s="16">
        <f>IFERROR(INDEX(BASE_CCLASSTRIB!$F:$F, MATCH(TEXT($D1259,"000000"), BASE_CCLASSTRIB!$A:$A, 0))/100, 0)</f>
        <v>0</v>
      </c>
    </row>
    <row r="1260" spans="4:22" ht="32.25" customHeight="1">
      <c r="D1260" s="39"/>
      <c r="E1260" s="27" t="str">
        <f>IF(D1260="","",LEFT(D1260,3))</f>
        <v/>
      </c>
      <c r="F1260" s="28" t="str">
        <f>IF(E1260="","",IFERROR(VLOOKUP(E1260,REGRAS_CST!$A$2:$B$200,2,FALSE),""))</f>
        <v/>
      </c>
      <c r="H1260" s="29">
        <v>8.9999999999999993E-3</v>
      </c>
      <c r="I1260" s="29">
        <v>1E-3</v>
      </c>
      <c r="K1260" s="21" t="str">
        <f>IF(E1260="","",IFERROR(VLOOKUP(E1260,REGRAS_CST!$A$2:$C$200,3,FALSE),""))</f>
        <v/>
      </c>
      <c r="L1260" s="23" t="str">
        <f>IF($G1260="", "", $G1260*(1-$V1260))</f>
        <v/>
      </c>
      <c r="M1260" s="24" t="str">
        <f>IF(OR($L1260="",$S1260=""),"",$L1260*$S1260)</f>
        <v/>
      </c>
      <c r="N1260" s="24" t="str">
        <f>IF(OR($L1260="",$T1260=""),"",$L1260*$T1260)</f>
        <v/>
      </c>
      <c r="O1260" s="15" t="str">
        <f>IF(D1260="","",
IF(AND(K1260&lt;&gt;"SIM",V1260&gt;0),"ERRO: % BC &gt; 0, mas NÃO permitida ❌",
IF(AND(K1260="SIM",V1260=0),"ATENÇÃO: BC permitida, mas % = 0 🔎",
"Base de cálculo aplicada corretamente ✅")))</f>
        <v/>
      </c>
      <c r="P1260" s="31" t="str">
        <f>IF(D1260="","",
IF(AND(Q1260&lt;&gt;"SIM",U1260&gt;0),"ERRO: % alíquota &gt; 0, mas NÃO permitida ❌",
IF(AND(Q1260="SIM",U1260=0),"ATENÇÃO: alíquota permitida, mas % = 0 🔎",
"Alíquota aplicada corretamente ✅")))</f>
        <v/>
      </c>
      <c r="Q1260" s="8" t="str">
        <f>IF(E1260="","",IFERROR(VLOOKUP(E1260,REGRAS_CST!$A$2:$D$200,4,FALSE),""))</f>
        <v/>
      </c>
      <c r="S1260" s="9">
        <f>IF($H1260="","",$H1260*(1-$U1260))</f>
        <v>8.9999999999999993E-3</v>
      </c>
      <c r="T1260" s="9">
        <f>IF($I1260="","",$I1260*(1-$U1260))</f>
        <v>1E-3</v>
      </c>
      <c r="U1260" s="16">
        <f>IFERROR(INDEX(BASE_CCLASSTRIB!$E:$E, MATCH(TEXT($D1260,"000000"), BASE_CCLASSTRIB!$A:$A, 0))/100, 0)</f>
        <v>0</v>
      </c>
      <c r="V1260" s="16">
        <f>IFERROR(INDEX(BASE_CCLASSTRIB!$F:$F, MATCH(TEXT($D1260,"000000"), BASE_CCLASSTRIB!$A:$A, 0))/100, 0)</f>
        <v>0</v>
      </c>
    </row>
    <row r="1261" spans="4:22" ht="32.25" customHeight="1">
      <c r="D1261" s="40"/>
      <c r="E1261" s="27" t="str">
        <f>IF(D1261="","",LEFT(D1261,3))</f>
        <v/>
      </c>
      <c r="F1261" s="28" t="str">
        <f>IF(E1261="","",IFERROR(VLOOKUP(E1261,REGRAS_CST!$A$2:$B$200,2,FALSE),""))</f>
        <v/>
      </c>
      <c r="H1261" s="29">
        <v>8.9999999999999993E-3</v>
      </c>
      <c r="I1261" s="29">
        <v>1E-3</v>
      </c>
      <c r="K1261" s="21" t="str">
        <f>IF(E1261="","",IFERROR(VLOOKUP(E1261,REGRAS_CST!$A$2:$C$200,3,FALSE),""))</f>
        <v/>
      </c>
      <c r="L1261" s="23" t="str">
        <f>IF($G1261="", "", $G1261*(1-$V1261))</f>
        <v/>
      </c>
      <c r="M1261" s="24" t="str">
        <f>IF(OR($L1261="",$S1261=""),"",$L1261*$S1261)</f>
        <v/>
      </c>
      <c r="N1261" s="24" t="str">
        <f>IF(OR($L1261="",$T1261=""),"",$L1261*$T1261)</f>
        <v/>
      </c>
      <c r="O1261" s="15" t="str">
        <f>IF(D1261="","",
IF(AND(K1261&lt;&gt;"SIM",V1261&gt;0),"ERRO: % BC &gt; 0, mas NÃO permitida ❌",
IF(AND(K1261="SIM",V1261=0),"ATENÇÃO: BC permitida, mas % = 0 🔎",
"Base de cálculo aplicada corretamente ✅")))</f>
        <v/>
      </c>
      <c r="P1261" s="31" t="str">
        <f>IF(D1261="","",
IF(AND(Q1261&lt;&gt;"SIM",U1261&gt;0),"ERRO: % alíquota &gt; 0, mas NÃO permitida ❌",
IF(AND(Q1261="SIM",U1261=0),"ATENÇÃO: alíquota permitida, mas % = 0 🔎",
"Alíquota aplicada corretamente ✅")))</f>
        <v/>
      </c>
      <c r="Q1261" s="8" t="str">
        <f>IF(E1261="","",IFERROR(VLOOKUP(E1261,REGRAS_CST!$A$2:$D$200,4,FALSE),""))</f>
        <v/>
      </c>
      <c r="S1261" s="9">
        <f>IF($H1261="","",$H1261*(1-$U1261))</f>
        <v>8.9999999999999993E-3</v>
      </c>
      <c r="T1261" s="9">
        <f>IF($I1261="","",$I1261*(1-$U1261))</f>
        <v>1E-3</v>
      </c>
      <c r="U1261" s="16">
        <f>IFERROR(INDEX(BASE_CCLASSTRIB!$E:$E, MATCH(TEXT($D1261,"000000"), BASE_CCLASSTRIB!$A:$A, 0))/100, 0)</f>
        <v>0</v>
      </c>
      <c r="V1261" s="16">
        <f>IFERROR(INDEX(BASE_CCLASSTRIB!$F:$F, MATCH(TEXT($D1261,"000000"), BASE_CCLASSTRIB!$A:$A, 0))/100, 0)</f>
        <v>0</v>
      </c>
    </row>
    <row r="1262" spans="4:22" ht="32.25" customHeight="1">
      <c r="D1262" s="39"/>
      <c r="E1262" s="27" t="str">
        <f>IF(D1262="","",LEFT(D1262,3))</f>
        <v/>
      </c>
      <c r="F1262" s="28" t="str">
        <f>IF(E1262="","",IFERROR(VLOOKUP(E1262,REGRAS_CST!$A$2:$B$200,2,FALSE),""))</f>
        <v/>
      </c>
      <c r="H1262" s="29">
        <v>8.9999999999999993E-3</v>
      </c>
      <c r="I1262" s="29">
        <v>1E-3</v>
      </c>
      <c r="K1262" s="21" t="str">
        <f>IF(E1262="","",IFERROR(VLOOKUP(E1262,REGRAS_CST!$A$2:$C$200,3,FALSE),""))</f>
        <v/>
      </c>
      <c r="L1262" s="23" t="str">
        <f>IF($G1262="", "", $G1262*(1-$V1262))</f>
        <v/>
      </c>
      <c r="M1262" s="24" t="str">
        <f>IF(OR($L1262="",$S1262=""),"",$L1262*$S1262)</f>
        <v/>
      </c>
      <c r="N1262" s="24" t="str">
        <f>IF(OR($L1262="",$T1262=""),"",$L1262*$T1262)</f>
        <v/>
      </c>
      <c r="O1262" s="15" t="str">
        <f>IF(D1262="","",
IF(AND(K1262&lt;&gt;"SIM",V1262&gt;0),"ERRO: % BC &gt; 0, mas NÃO permitida ❌",
IF(AND(K1262="SIM",V1262=0),"ATENÇÃO: BC permitida, mas % = 0 🔎",
"Base de cálculo aplicada corretamente ✅")))</f>
        <v/>
      </c>
      <c r="P1262" s="31" t="str">
        <f>IF(D1262="","",
IF(AND(Q1262&lt;&gt;"SIM",U1262&gt;0),"ERRO: % alíquota &gt; 0, mas NÃO permitida ❌",
IF(AND(Q1262="SIM",U1262=0),"ATENÇÃO: alíquota permitida, mas % = 0 🔎",
"Alíquota aplicada corretamente ✅")))</f>
        <v/>
      </c>
      <c r="Q1262" s="8" t="str">
        <f>IF(E1262="","",IFERROR(VLOOKUP(E1262,REGRAS_CST!$A$2:$D$200,4,FALSE),""))</f>
        <v/>
      </c>
      <c r="S1262" s="9">
        <f>IF($H1262="","",$H1262*(1-$U1262))</f>
        <v>8.9999999999999993E-3</v>
      </c>
      <c r="T1262" s="9">
        <f>IF($I1262="","",$I1262*(1-$U1262))</f>
        <v>1E-3</v>
      </c>
      <c r="U1262" s="16">
        <f>IFERROR(INDEX(BASE_CCLASSTRIB!$E:$E, MATCH(TEXT($D1262,"000000"), BASE_CCLASSTRIB!$A:$A, 0))/100, 0)</f>
        <v>0</v>
      </c>
      <c r="V1262" s="16">
        <f>IFERROR(INDEX(BASE_CCLASSTRIB!$F:$F, MATCH(TEXT($D1262,"000000"), BASE_CCLASSTRIB!$A:$A, 0))/100, 0)</f>
        <v>0</v>
      </c>
    </row>
    <row r="1263" spans="4:22" ht="32.25" customHeight="1">
      <c r="D1263" s="40"/>
      <c r="E1263" s="27" t="str">
        <f>IF(D1263="","",LEFT(D1263,3))</f>
        <v/>
      </c>
      <c r="F1263" s="28" t="str">
        <f>IF(E1263="","",IFERROR(VLOOKUP(E1263,REGRAS_CST!$A$2:$B$200,2,FALSE),""))</f>
        <v/>
      </c>
      <c r="H1263" s="29">
        <v>8.9999999999999993E-3</v>
      </c>
      <c r="I1263" s="29">
        <v>1E-3</v>
      </c>
      <c r="K1263" s="21" t="str">
        <f>IF(E1263="","",IFERROR(VLOOKUP(E1263,REGRAS_CST!$A$2:$C$200,3,FALSE),""))</f>
        <v/>
      </c>
      <c r="L1263" s="23" t="str">
        <f>IF($G1263="", "", $G1263*(1-$V1263))</f>
        <v/>
      </c>
      <c r="M1263" s="24" t="str">
        <f>IF(OR($L1263="",$S1263=""),"",$L1263*$S1263)</f>
        <v/>
      </c>
      <c r="N1263" s="24" t="str">
        <f>IF(OR($L1263="",$T1263=""),"",$L1263*$T1263)</f>
        <v/>
      </c>
      <c r="O1263" s="15" t="str">
        <f>IF(D1263="","",
IF(AND(K1263&lt;&gt;"SIM",V1263&gt;0),"ERRO: % BC &gt; 0, mas NÃO permitida ❌",
IF(AND(K1263="SIM",V1263=0),"ATENÇÃO: BC permitida, mas % = 0 🔎",
"Base de cálculo aplicada corretamente ✅")))</f>
        <v/>
      </c>
      <c r="P1263" s="31" t="str">
        <f>IF(D1263="","",
IF(AND(Q1263&lt;&gt;"SIM",U1263&gt;0),"ERRO: % alíquota &gt; 0, mas NÃO permitida ❌",
IF(AND(Q1263="SIM",U1263=0),"ATENÇÃO: alíquota permitida, mas % = 0 🔎",
"Alíquota aplicada corretamente ✅")))</f>
        <v/>
      </c>
      <c r="Q1263" s="8" t="str">
        <f>IF(E1263="","",IFERROR(VLOOKUP(E1263,REGRAS_CST!$A$2:$D$200,4,FALSE),""))</f>
        <v/>
      </c>
      <c r="S1263" s="9">
        <f>IF($H1263="","",$H1263*(1-$U1263))</f>
        <v>8.9999999999999993E-3</v>
      </c>
      <c r="T1263" s="9">
        <f>IF($I1263="","",$I1263*(1-$U1263))</f>
        <v>1E-3</v>
      </c>
      <c r="U1263" s="16">
        <f>IFERROR(INDEX(BASE_CCLASSTRIB!$E:$E, MATCH(TEXT($D1263,"000000"), BASE_CCLASSTRIB!$A:$A, 0))/100, 0)</f>
        <v>0</v>
      </c>
      <c r="V1263" s="16">
        <f>IFERROR(INDEX(BASE_CCLASSTRIB!$F:$F, MATCH(TEXT($D1263,"000000"), BASE_CCLASSTRIB!$A:$A, 0))/100, 0)</f>
        <v>0</v>
      </c>
    </row>
    <row r="1264" spans="4:22" ht="32.25" customHeight="1">
      <c r="D1264" s="39"/>
      <c r="E1264" s="27" t="str">
        <f>IF(D1264="","",LEFT(D1264,3))</f>
        <v/>
      </c>
      <c r="F1264" s="28" t="str">
        <f>IF(E1264="","",IFERROR(VLOOKUP(E1264,REGRAS_CST!$A$2:$B$200,2,FALSE),""))</f>
        <v/>
      </c>
      <c r="H1264" s="29">
        <v>8.9999999999999993E-3</v>
      </c>
      <c r="I1264" s="29">
        <v>1E-3</v>
      </c>
      <c r="K1264" s="21" t="str">
        <f>IF(E1264="","",IFERROR(VLOOKUP(E1264,REGRAS_CST!$A$2:$C$200,3,FALSE),""))</f>
        <v/>
      </c>
      <c r="L1264" s="23" t="str">
        <f>IF($G1264="", "", $G1264*(1-$V1264))</f>
        <v/>
      </c>
      <c r="M1264" s="24" t="str">
        <f>IF(OR($L1264="",$S1264=""),"",$L1264*$S1264)</f>
        <v/>
      </c>
      <c r="N1264" s="24" t="str">
        <f>IF(OR($L1264="",$T1264=""),"",$L1264*$T1264)</f>
        <v/>
      </c>
      <c r="O1264" s="15" t="str">
        <f>IF(D1264="","",
IF(AND(K1264&lt;&gt;"SIM",V1264&gt;0),"ERRO: % BC &gt; 0, mas NÃO permitida ❌",
IF(AND(K1264="SIM",V1264=0),"ATENÇÃO: BC permitida, mas % = 0 🔎",
"Base de cálculo aplicada corretamente ✅")))</f>
        <v/>
      </c>
      <c r="P1264" s="31" t="str">
        <f>IF(D1264="","",
IF(AND(Q1264&lt;&gt;"SIM",U1264&gt;0),"ERRO: % alíquota &gt; 0, mas NÃO permitida ❌",
IF(AND(Q1264="SIM",U1264=0),"ATENÇÃO: alíquota permitida, mas % = 0 🔎",
"Alíquota aplicada corretamente ✅")))</f>
        <v/>
      </c>
      <c r="Q1264" s="8" t="str">
        <f>IF(E1264="","",IFERROR(VLOOKUP(E1264,REGRAS_CST!$A$2:$D$200,4,FALSE),""))</f>
        <v/>
      </c>
      <c r="S1264" s="9">
        <f>IF($H1264="","",$H1264*(1-$U1264))</f>
        <v>8.9999999999999993E-3</v>
      </c>
      <c r="T1264" s="9">
        <f>IF($I1264="","",$I1264*(1-$U1264))</f>
        <v>1E-3</v>
      </c>
      <c r="U1264" s="16">
        <f>IFERROR(INDEX(BASE_CCLASSTRIB!$E:$E, MATCH(TEXT($D1264,"000000"), BASE_CCLASSTRIB!$A:$A, 0))/100, 0)</f>
        <v>0</v>
      </c>
      <c r="V1264" s="16">
        <f>IFERROR(INDEX(BASE_CCLASSTRIB!$F:$F, MATCH(TEXT($D1264,"000000"), BASE_CCLASSTRIB!$A:$A, 0))/100, 0)</f>
        <v>0</v>
      </c>
    </row>
    <row r="1265" spans="4:22" ht="32.25" customHeight="1">
      <c r="D1265" s="40"/>
      <c r="E1265" s="27" t="str">
        <f>IF(D1265="","",LEFT(D1265,3))</f>
        <v/>
      </c>
      <c r="F1265" s="28" t="str">
        <f>IF(E1265="","",IFERROR(VLOOKUP(E1265,REGRAS_CST!$A$2:$B$200,2,FALSE),""))</f>
        <v/>
      </c>
      <c r="H1265" s="29">
        <v>8.9999999999999993E-3</v>
      </c>
      <c r="I1265" s="29">
        <v>1E-3</v>
      </c>
      <c r="K1265" s="21" t="str">
        <f>IF(E1265="","",IFERROR(VLOOKUP(E1265,REGRAS_CST!$A$2:$C$200,3,FALSE),""))</f>
        <v/>
      </c>
      <c r="L1265" s="23" t="str">
        <f>IF($G1265="", "", $G1265*(1-$V1265))</f>
        <v/>
      </c>
      <c r="M1265" s="24" t="str">
        <f>IF(OR($L1265="",$S1265=""),"",$L1265*$S1265)</f>
        <v/>
      </c>
      <c r="N1265" s="24" t="str">
        <f>IF(OR($L1265="",$T1265=""),"",$L1265*$T1265)</f>
        <v/>
      </c>
      <c r="O1265" s="15" t="str">
        <f>IF(D1265="","",
IF(AND(K1265&lt;&gt;"SIM",V1265&gt;0),"ERRO: % BC &gt; 0, mas NÃO permitida ❌",
IF(AND(K1265="SIM",V1265=0),"ATENÇÃO: BC permitida, mas % = 0 🔎",
"Base de cálculo aplicada corretamente ✅")))</f>
        <v/>
      </c>
      <c r="P1265" s="31" t="str">
        <f>IF(D1265="","",
IF(AND(Q1265&lt;&gt;"SIM",U1265&gt;0),"ERRO: % alíquota &gt; 0, mas NÃO permitida ❌",
IF(AND(Q1265="SIM",U1265=0),"ATENÇÃO: alíquota permitida, mas % = 0 🔎",
"Alíquota aplicada corretamente ✅")))</f>
        <v/>
      </c>
      <c r="Q1265" s="8" t="str">
        <f>IF(E1265="","",IFERROR(VLOOKUP(E1265,REGRAS_CST!$A$2:$D$200,4,FALSE),""))</f>
        <v/>
      </c>
      <c r="S1265" s="9">
        <f>IF($H1265="","",$H1265*(1-$U1265))</f>
        <v>8.9999999999999993E-3</v>
      </c>
      <c r="T1265" s="9">
        <f>IF($I1265="","",$I1265*(1-$U1265))</f>
        <v>1E-3</v>
      </c>
      <c r="U1265" s="16">
        <f>IFERROR(INDEX(BASE_CCLASSTRIB!$E:$E, MATCH(TEXT($D1265,"000000"), BASE_CCLASSTRIB!$A:$A, 0))/100, 0)</f>
        <v>0</v>
      </c>
      <c r="V1265" s="16">
        <f>IFERROR(INDEX(BASE_CCLASSTRIB!$F:$F, MATCH(TEXT($D1265,"000000"), BASE_CCLASSTRIB!$A:$A, 0))/100, 0)</f>
        <v>0</v>
      </c>
    </row>
    <row r="1266" spans="4:22" ht="32.25" customHeight="1">
      <c r="D1266" s="39"/>
      <c r="E1266" s="27" t="str">
        <f>IF(D1266="","",LEFT(D1266,3))</f>
        <v/>
      </c>
      <c r="F1266" s="28" t="str">
        <f>IF(E1266="","",IFERROR(VLOOKUP(E1266,REGRAS_CST!$A$2:$B$200,2,FALSE),""))</f>
        <v/>
      </c>
      <c r="H1266" s="29">
        <v>8.9999999999999993E-3</v>
      </c>
      <c r="I1266" s="29">
        <v>1E-3</v>
      </c>
      <c r="K1266" s="21" t="str">
        <f>IF(E1266="","",IFERROR(VLOOKUP(E1266,REGRAS_CST!$A$2:$C$200,3,FALSE),""))</f>
        <v/>
      </c>
      <c r="L1266" s="23" t="str">
        <f>IF($G1266="", "", $G1266*(1-$V1266))</f>
        <v/>
      </c>
      <c r="M1266" s="24" t="str">
        <f>IF(OR($L1266="",$S1266=""),"",$L1266*$S1266)</f>
        <v/>
      </c>
      <c r="N1266" s="24" t="str">
        <f>IF(OR($L1266="",$T1266=""),"",$L1266*$T1266)</f>
        <v/>
      </c>
      <c r="O1266" s="15" t="str">
        <f>IF(D1266="","",
IF(AND(K1266&lt;&gt;"SIM",V1266&gt;0),"ERRO: % BC &gt; 0, mas NÃO permitida ❌",
IF(AND(K1266="SIM",V1266=0),"ATENÇÃO: BC permitida, mas % = 0 🔎",
"Base de cálculo aplicada corretamente ✅")))</f>
        <v/>
      </c>
      <c r="P1266" s="31" t="str">
        <f>IF(D1266="","",
IF(AND(Q1266&lt;&gt;"SIM",U1266&gt;0),"ERRO: % alíquota &gt; 0, mas NÃO permitida ❌",
IF(AND(Q1266="SIM",U1266=0),"ATENÇÃO: alíquota permitida, mas % = 0 🔎",
"Alíquota aplicada corretamente ✅")))</f>
        <v/>
      </c>
      <c r="Q1266" s="8" t="str">
        <f>IF(E1266="","",IFERROR(VLOOKUP(E1266,REGRAS_CST!$A$2:$D$200,4,FALSE),""))</f>
        <v/>
      </c>
      <c r="S1266" s="9">
        <f>IF($H1266="","",$H1266*(1-$U1266))</f>
        <v>8.9999999999999993E-3</v>
      </c>
      <c r="T1266" s="9">
        <f>IF($I1266="","",$I1266*(1-$U1266))</f>
        <v>1E-3</v>
      </c>
      <c r="U1266" s="16">
        <f>IFERROR(INDEX(BASE_CCLASSTRIB!$E:$E, MATCH(TEXT($D1266,"000000"), BASE_CCLASSTRIB!$A:$A, 0))/100, 0)</f>
        <v>0</v>
      </c>
      <c r="V1266" s="16">
        <f>IFERROR(INDEX(BASE_CCLASSTRIB!$F:$F, MATCH(TEXT($D1266,"000000"), BASE_CCLASSTRIB!$A:$A, 0))/100, 0)</f>
        <v>0</v>
      </c>
    </row>
    <row r="1267" spans="4:22" ht="32.25" customHeight="1">
      <c r="D1267" s="40"/>
      <c r="E1267" s="27" t="str">
        <f>IF(D1267="","",LEFT(D1267,3))</f>
        <v/>
      </c>
      <c r="F1267" s="28" t="str">
        <f>IF(E1267="","",IFERROR(VLOOKUP(E1267,REGRAS_CST!$A$2:$B$200,2,FALSE),""))</f>
        <v/>
      </c>
      <c r="H1267" s="29">
        <v>8.9999999999999993E-3</v>
      </c>
      <c r="I1267" s="29">
        <v>1E-3</v>
      </c>
      <c r="K1267" s="21" t="str">
        <f>IF(E1267="","",IFERROR(VLOOKUP(E1267,REGRAS_CST!$A$2:$C$200,3,FALSE),""))</f>
        <v/>
      </c>
      <c r="L1267" s="23" t="str">
        <f>IF($G1267="", "", $G1267*(1-$V1267))</f>
        <v/>
      </c>
      <c r="M1267" s="24" t="str">
        <f>IF(OR($L1267="",$S1267=""),"",$L1267*$S1267)</f>
        <v/>
      </c>
      <c r="N1267" s="24" t="str">
        <f>IF(OR($L1267="",$T1267=""),"",$L1267*$T1267)</f>
        <v/>
      </c>
      <c r="O1267" s="15" t="str">
        <f>IF(D1267="","",
IF(AND(K1267&lt;&gt;"SIM",V1267&gt;0),"ERRO: % BC &gt; 0, mas NÃO permitida ❌",
IF(AND(K1267="SIM",V1267=0),"ATENÇÃO: BC permitida, mas % = 0 🔎",
"Base de cálculo aplicada corretamente ✅")))</f>
        <v/>
      </c>
      <c r="P1267" s="31" t="str">
        <f>IF(D1267="","",
IF(AND(Q1267&lt;&gt;"SIM",U1267&gt;0),"ERRO: % alíquota &gt; 0, mas NÃO permitida ❌",
IF(AND(Q1267="SIM",U1267=0),"ATENÇÃO: alíquota permitida, mas % = 0 🔎",
"Alíquota aplicada corretamente ✅")))</f>
        <v/>
      </c>
      <c r="Q1267" s="8" t="str">
        <f>IF(E1267="","",IFERROR(VLOOKUP(E1267,REGRAS_CST!$A$2:$D$200,4,FALSE),""))</f>
        <v/>
      </c>
      <c r="S1267" s="9">
        <f>IF($H1267="","",$H1267*(1-$U1267))</f>
        <v>8.9999999999999993E-3</v>
      </c>
      <c r="T1267" s="9">
        <f>IF($I1267="","",$I1267*(1-$U1267))</f>
        <v>1E-3</v>
      </c>
      <c r="U1267" s="16">
        <f>IFERROR(INDEX(BASE_CCLASSTRIB!$E:$E, MATCH(TEXT($D1267,"000000"), BASE_CCLASSTRIB!$A:$A, 0))/100, 0)</f>
        <v>0</v>
      </c>
      <c r="V1267" s="16">
        <f>IFERROR(INDEX(BASE_CCLASSTRIB!$F:$F, MATCH(TEXT($D1267,"000000"), BASE_CCLASSTRIB!$A:$A, 0))/100, 0)</f>
        <v>0</v>
      </c>
    </row>
    <row r="1268" spans="4:22" ht="32.25" customHeight="1">
      <c r="D1268" s="40"/>
      <c r="E1268" s="27" t="str">
        <f>IF(D1268="","",LEFT(D1268,3))</f>
        <v/>
      </c>
      <c r="F1268" s="28" t="str">
        <f>IF(E1268="","",IFERROR(VLOOKUP(E1268,REGRAS_CST!$A$2:$B$200,2,FALSE),""))</f>
        <v/>
      </c>
      <c r="H1268" s="29">
        <v>8.9999999999999993E-3</v>
      </c>
      <c r="I1268" s="29">
        <v>1E-3</v>
      </c>
      <c r="K1268" s="21" t="str">
        <f>IF(E1268="","",IFERROR(VLOOKUP(E1268,REGRAS_CST!$A$2:$C$200,3,FALSE),""))</f>
        <v/>
      </c>
      <c r="L1268" s="23" t="str">
        <f>IF($G1268="", "", $G1268*(1-$V1268))</f>
        <v/>
      </c>
      <c r="M1268" s="24" t="str">
        <f>IF(OR($L1268="",$S1268=""),"",$L1268*$S1268)</f>
        <v/>
      </c>
      <c r="N1268" s="24" t="str">
        <f>IF(OR($L1268="",$T1268=""),"",$L1268*$T1268)</f>
        <v/>
      </c>
      <c r="O1268" s="15" t="str">
        <f>IF(D1268="","",
IF(AND(K1268&lt;&gt;"SIM",V1268&gt;0),"ERRO: % BC &gt; 0, mas NÃO permitida ❌",
IF(AND(K1268="SIM",V1268=0),"ATENÇÃO: BC permitida, mas % = 0 🔎",
"Base de cálculo aplicada corretamente ✅")))</f>
        <v/>
      </c>
      <c r="P1268" s="31" t="str">
        <f>IF(D1268="","",
IF(AND(Q1268&lt;&gt;"SIM",U1268&gt;0),"ERRO: % alíquota &gt; 0, mas NÃO permitida ❌",
IF(AND(Q1268="SIM",U1268=0),"ATENÇÃO: alíquota permitida, mas % = 0 🔎",
"Alíquota aplicada corretamente ✅")))</f>
        <v/>
      </c>
      <c r="Q1268" s="8" t="str">
        <f>IF(E1268="","",IFERROR(VLOOKUP(E1268,REGRAS_CST!$A$2:$D$200,4,FALSE),""))</f>
        <v/>
      </c>
      <c r="S1268" s="9">
        <f>IF($H1268="","",$H1268*(1-$U1268))</f>
        <v>8.9999999999999993E-3</v>
      </c>
      <c r="T1268" s="9">
        <f>IF($I1268="","",$I1268*(1-$U1268))</f>
        <v>1E-3</v>
      </c>
      <c r="U1268" s="16">
        <f>IFERROR(INDEX(BASE_CCLASSTRIB!$E:$E, MATCH(TEXT($D1268,"000000"), BASE_CCLASSTRIB!$A:$A, 0))/100, 0)</f>
        <v>0</v>
      </c>
      <c r="V1268" s="16">
        <f>IFERROR(INDEX(BASE_CCLASSTRIB!$F:$F, MATCH(TEXT($D1268,"000000"), BASE_CCLASSTRIB!$A:$A, 0))/100, 0)</f>
        <v>0</v>
      </c>
    </row>
    <row r="1269" spans="4:22" ht="32.25" customHeight="1">
      <c r="D1269" s="40"/>
      <c r="E1269" s="27" t="str">
        <f>IF(D1269="","",LEFT(D1269,3))</f>
        <v/>
      </c>
      <c r="F1269" s="28" t="str">
        <f>IF(E1269="","",IFERROR(VLOOKUP(E1269,REGRAS_CST!$A$2:$B$200,2,FALSE),""))</f>
        <v/>
      </c>
      <c r="H1269" s="29">
        <v>8.9999999999999993E-3</v>
      </c>
      <c r="I1269" s="29">
        <v>1E-3</v>
      </c>
      <c r="K1269" s="21" t="str">
        <f>IF(E1269="","",IFERROR(VLOOKUP(E1269,REGRAS_CST!$A$2:$C$200,3,FALSE),""))</f>
        <v/>
      </c>
      <c r="L1269" s="23" t="str">
        <f>IF($G1269="", "", $G1269*(1-$V1269))</f>
        <v/>
      </c>
      <c r="M1269" s="24" t="str">
        <f>IF(OR($L1269="",$S1269=""),"",$L1269*$S1269)</f>
        <v/>
      </c>
      <c r="N1269" s="24" t="str">
        <f>IF(OR($L1269="",$T1269=""),"",$L1269*$T1269)</f>
        <v/>
      </c>
      <c r="O1269" s="15" t="str">
        <f>IF(D1269="","",
IF(AND(K1269&lt;&gt;"SIM",V1269&gt;0),"ERRO: % BC &gt; 0, mas NÃO permitida ❌",
IF(AND(K1269="SIM",V1269=0),"ATENÇÃO: BC permitida, mas % = 0 🔎",
"Base de cálculo aplicada corretamente ✅")))</f>
        <v/>
      </c>
      <c r="P1269" s="31" t="str">
        <f>IF(D1269="","",
IF(AND(Q1269&lt;&gt;"SIM",U1269&gt;0),"ERRO: % alíquota &gt; 0, mas NÃO permitida ❌",
IF(AND(Q1269="SIM",U1269=0),"ATENÇÃO: alíquota permitida, mas % = 0 🔎",
"Alíquota aplicada corretamente ✅")))</f>
        <v/>
      </c>
      <c r="Q1269" s="8" t="str">
        <f>IF(E1269="","",IFERROR(VLOOKUP(E1269,REGRAS_CST!$A$2:$D$200,4,FALSE),""))</f>
        <v/>
      </c>
      <c r="S1269" s="9">
        <f>IF($H1269="","",$H1269*(1-$U1269))</f>
        <v>8.9999999999999993E-3</v>
      </c>
      <c r="T1269" s="9">
        <f>IF($I1269="","",$I1269*(1-$U1269))</f>
        <v>1E-3</v>
      </c>
      <c r="U1269" s="16">
        <f>IFERROR(INDEX(BASE_CCLASSTRIB!$E:$E, MATCH(TEXT($D1269,"000000"), BASE_CCLASSTRIB!$A:$A, 0))/100, 0)</f>
        <v>0</v>
      </c>
      <c r="V1269" s="16">
        <f>IFERROR(INDEX(BASE_CCLASSTRIB!$F:$F, MATCH(TEXT($D1269,"000000"), BASE_CCLASSTRIB!$A:$A, 0))/100, 0)</f>
        <v>0</v>
      </c>
    </row>
    <row r="1270" spans="4:22" ht="32.25" customHeight="1">
      <c r="D1270" s="40"/>
      <c r="E1270" s="27" t="str">
        <f>IF(D1270="","",LEFT(D1270,3))</f>
        <v/>
      </c>
      <c r="F1270" s="28" t="str">
        <f>IF(E1270="","",IFERROR(VLOOKUP(E1270,REGRAS_CST!$A$2:$B$200,2,FALSE),""))</f>
        <v/>
      </c>
      <c r="H1270" s="29">
        <v>8.9999999999999993E-3</v>
      </c>
      <c r="I1270" s="29">
        <v>1E-3</v>
      </c>
      <c r="K1270" s="21" t="str">
        <f>IF(E1270="","",IFERROR(VLOOKUP(E1270,REGRAS_CST!$A$2:$C$200,3,FALSE),""))</f>
        <v/>
      </c>
      <c r="L1270" s="23" t="str">
        <f>IF($G1270="", "", $G1270*(1-$V1270))</f>
        <v/>
      </c>
      <c r="M1270" s="24" t="str">
        <f>IF(OR($L1270="",$S1270=""),"",$L1270*$S1270)</f>
        <v/>
      </c>
      <c r="N1270" s="24" t="str">
        <f>IF(OR($L1270="",$T1270=""),"",$L1270*$T1270)</f>
        <v/>
      </c>
      <c r="O1270" s="15" t="str">
        <f>IF(D1270="","",
IF(AND(K1270&lt;&gt;"SIM",V1270&gt;0),"ERRO: % BC &gt; 0, mas NÃO permitida ❌",
IF(AND(K1270="SIM",V1270=0),"ATENÇÃO: BC permitida, mas % = 0 🔎",
"Base de cálculo aplicada corretamente ✅")))</f>
        <v/>
      </c>
      <c r="P1270" s="31" t="str">
        <f>IF(D1270="","",
IF(AND(Q1270&lt;&gt;"SIM",U1270&gt;0),"ERRO: % alíquota &gt; 0, mas NÃO permitida ❌",
IF(AND(Q1270="SIM",U1270=0),"ATENÇÃO: alíquota permitida, mas % = 0 🔎",
"Alíquota aplicada corretamente ✅")))</f>
        <v/>
      </c>
      <c r="Q1270" s="8" t="str">
        <f>IF(E1270="","",IFERROR(VLOOKUP(E1270,REGRAS_CST!$A$2:$D$200,4,FALSE),""))</f>
        <v/>
      </c>
      <c r="S1270" s="9">
        <f>IF($H1270="","",$H1270*(1-$U1270))</f>
        <v>8.9999999999999993E-3</v>
      </c>
      <c r="T1270" s="9">
        <f>IF($I1270="","",$I1270*(1-$U1270))</f>
        <v>1E-3</v>
      </c>
      <c r="U1270" s="16">
        <f>IFERROR(INDEX(BASE_CCLASSTRIB!$E:$E, MATCH(TEXT($D1270,"000000"), BASE_CCLASSTRIB!$A:$A, 0))/100, 0)</f>
        <v>0</v>
      </c>
      <c r="V1270" s="16">
        <f>IFERROR(INDEX(BASE_CCLASSTRIB!$F:$F, MATCH(TEXT($D1270,"000000"), BASE_CCLASSTRIB!$A:$A, 0))/100, 0)</f>
        <v>0</v>
      </c>
    </row>
    <row r="1271" spans="4:22" ht="32.25" customHeight="1">
      <c r="D1271" s="39"/>
      <c r="E1271" s="27" t="str">
        <f>IF(D1271="","",LEFT(D1271,3))</f>
        <v/>
      </c>
      <c r="F1271" s="28" t="str">
        <f>IF(E1271="","",IFERROR(VLOOKUP(E1271,REGRAS_CST!$A$2:$B$200,2,FALSE),""))</f>
        <v/>
      </c>
      <c r="H1271" s="29">
        <v>8.9999999999999993E-3</v>
      </c>
      <c r="I1271" s="29">
        <v>1E-3</v>
      </c>
      <c r="K1271" s="21" t="str">
        <f>IF(E1271="","",IFERROR(VLOOKUP(E1271,REGRAS_CST!$A$2:$C$200,3,FALSE),""))</f>
        <v/>
      </c>
      <c r="L1271" s="23" t="str">
        <f>IF($G1271="", "", $G1271*(1-$V1271))</f>
        <v/>
      </c>
      <c r="M1271" s="24" t="str">
        <f>IF(OR($L1271="",$S1271=""),"",$L1271*$S1271)</f>
        <v/>
      </c>
      <c r="N1271" s="24" t="str">
        <f>IF(OR($L1271="",$T1271=""),"",$L1271*$T1271)</f>
        <v/>
      </c>
      <c r="O1271" s="15" t="str">
        <f>IF(D1271="","",
IF(AND(K1271&lt;&gt;"SIM",V1271&gt;0),"ERRO: % BC &gt; 0, mas NÃO permitida ❌",
IF(AND(K1271="SIM",V1271=0),"ATENÇÃO: BC permitida, mas % = 0 🔎",
"Base de cálculo aplicada corretamente ✅")))</f>
        <v/>
      </c>
      <c r="P1271" s="31" t="str">
        <f>IF(D1271="","",
IF(AND(Q1271&lt;&gt;"SIM",U1271&gt;0),"ERRO: % alíquota &gt; 0, mas NÃO permitida ❌",
IF(AND(Q1271="SIM",U1271=0),"ATENÇÃO: alíquota permitida, mas % = 0 🔎",
"Alíquota aplicada corretamente ✅")))</f>
        <v/>
      </c>
      <c r="Q1271" s="8" t="str">
        <f>IF(E1271="","",IFERROR(VLOOKUP(E1271,REGRAS_CST!$A$2:$D$200,4,FALSE),""))</f>
        <v/>
      </c>
      <c r="S1271" s="9">
        <f>IF($H1271="","",$H1271*(1-$U1271))</f>
        <v>8.9999999999999993E-3</v>
      </c>
      <c r="T1271" s="9">
        <f>IF($I1271="","",$I1271*(1-$U1271))</f>
        <v>1E-3</v>
      </c>
      <c r="U1271" s="16">
        <f>IFERROR(INDEX(BASE_CCLASSTRIB!$E:$E, MATCH(TEXT($D1271,"000000"), BASE_CCLASSTRIB!$A:$A, 0))/100, 0)</f>
        <v>0</v>
      </c>
      <c r="V1271" s="16">
        <f>IFERROR(INDEX(BASE_CCLASSTRIB!$F:$F, MATCH(TEXT($D1271,"000000"), BASE_CCLASSTRIB!$A:$A, 0))/100, 0)</f>
        <v>0</v>
      </c>
    </row>
    <row r="1272" spans="4:22" ht="32.25" customHeight="1">
      <c r="D1272" s="40"/>
      <c r="E1272" s="27" t="str">
        <f>IF(D1272="","",LEFT(D1272,3))</f>
        <v/>
      </c>
      <c r="F1272" s="28" t="str">
        <f>IF(E1272="","",IFERROR(VLOOKUP(E1272,REGRAS_CST!$A$2:$B$200,2,FALSE),""))</f>
        <v/>
      </c>
      <c r="H1272" s="29">
        <v>8.9999999999999993E-3</v>
      </c>
      <c r="I1272" s="29">
        <v>1E-3</v>
      </c>
      <c r="K1272" s="21" t="str">
        <f>IF(E1272="","",IFERROR(VLOOKUP(E1272,REGRAS_CST!$A$2:$C$200,3,FALSE),""))</f>
        <v/>
      </c>
      <c r="L1272" s="23" t="str">
        <f>IF($G1272="", "", $G1272*(1-$V1272))</f>
        <v/>
      </c>
      <c r="M1272" s="24" t="str">
        <f>IF(OR($L1272="",$S1272=""),"",$L1272*$S1272)</f>
        <v/>
      </c>
      <c r="N1272" s="24" t="str">
        <f>IF(OR($L1272="",$T1272=""),"",$L1272*$T1272)</f>
        <v/>
      </c>
      <c r="O1272" s="15" t="str">
        <f>IF(D1272="","",
IF(AND(K1272&lt;&gt;"SIM",V1272&gt;0),"ERRO: % BC &gt; 0, mas NÃO permitida ❌",
IF(AND(K1272="SIM",V1272=0),"ATENÇÃO: BC permitida, mas % = 0 🔎",
"Base de cálculo aplicada corretamente ✅")))</f>
        <v/>
      </c>
      <c r="P1272" s="31" t="str">
        <f>IF(D1272="","",
IF(AND(Q1272&lt;&gt;"SIM",U1272&gt;0),"ERRO: % alíquota &gt; 0, mas NÃO permitida ❌",
IF(AND(Q1272="SIM",U1272=0),"ATENÇÃO: alíquota permitida, mas % = 0 🔎",
"Alíquota aplicada corretamente ✅")))</f>
        <v/>
      </c>
      <c r="Q1272" s="8" t="str">
        <f>IF(E1272="","",IFERROR(VLOOKUP(E1272,REGRAS_CST!$A$2:$D$200,4,FALSE),""))</f>
        <v/>
      </c>
      <c r="S1272" s="9">
        <f>IF($H1272="","",$H1272*(1-$U1272))</f>
        <v>8.9999999999999993E-3</v>
      </c>
      <c r="T1272" s="9">
        <f>IF($I1272="","",$I1272*(1-$U1272))</f>
        <v>1E-3</v>
      </c>
      <c r="U1272" s="16">
        <f>IFERROR(INDEX(BASE_CCLASSTRIB!$E:$E, MATCH(TEXT($D1272,"000000"), BASE_CCLASSTRIB!$A:$A, 0))/100, 0)</f>
        <v>0</v>
      </c>
      <c r="V1272" s="16">
        <f>IFERROR(INDEX(BASE_CCLASSTRIB!$F:$F, MATCH(TEXT($D1272,"000000"), BASE_CCLASSTRIB!$A:$A, 0))/100, 0)</f>
        <v>0</v>
      </c>
    </row>
    <row r="1273" spans="4:22" ht="32.25" customHeight="1">
      <c r="D1273" s="39"/>
      <c r="E1273" s="27" t="str">
        <f>IF(D1273="","",LEFT(D1273,3))</f>
        <v/>
      </c>
      <c r="F1273" s="28" t="str">
        <f>IF(E1273="","",IFERROR(VLOOKUP(E1273,REGRAS_CST!$A$2:$B$200,2,FALSE),""))</f>
        <v/>
      </c>
      <c r="H1273" s="29">
        <v>8.9999999999999993E-3</v>
      </c>
      <c r="I1273" s="29">
        <v>1E-3</v>
      </c>
      <c r="K1273" s="21" t="str">
        <f>IF(E1273="","",IFERROR(VLOOKUP(E1273,REGRAS_CST!$A$2:$C$200,3,FALSE),""))</f>
        <v/>
      </c>
      <c r="L1273" s="23" t="str">
        <f>IF($G1273="", "", $G1273*(1-$V1273))</f>
        <v/>
      </c>
      <c r="M1273" s="24" t="str">
        <f>IF(OR($L1273="",$S1273=""),"",$L1273*$S1273)</f>
        <v/>
      </c>
      <c r="N1273" s="24" t="str">
        <f>IF(OR($L1273="",$T1273=""),"",$L1273*$T1273)</f>
        <v/>
      </c>
      <c r="O1273" s="15" t="str">
        <f>IF(D1273="","",
IF(AND(K1273&lt;&gt;"SIM",V1273&gt;0),"ERRO: % BC &gt; 0, mas NÃO permitida ❌",
IF(AND(K1273="SIM",V1273=0),"ATENÇÃO: BC permitida, mas % = 0 🔎",
"Base de cálculo aplicada corretamente ✅")))</f>
        <v/>
      </c>
      <c r="P1273" s="31" t="str">
        <f>IF(D1273="","",
IF(AND(Q1273&lt;&gt;"SIM",U1273&gt;0),"ERRO: % alíquota &gt; 0, mas NÃO permitida ❌",
IF(AND(Q1273="SIM",U1273=0),"ATENÇÃO: alíquota permitida, mas % = 0 🔎",
"Alíquota aplicada corretamente ✅")))</f>
        <v/>
      </c>
      <c r="Q1273" s="8" t="str">
        <f>IF(E1273="","",IFERROR(VLOOKUP(E1273,REGRAS_CST!$A$2:$D$200,4,FALSE),""))</f>
        <v/>
      </c>
      <c r="S1273" s="9">
        <f>IF($H1273="","",$H1273*(1-$U1273))</f>
        <v>8.9999999999999993E-3</v>
      </c>
      <c r="T1273" s="9">
        <f>IF($I1273="","",$I1273*(1-$U1273))</f>
        <v>1E-3</v>
      </c>
      <c r="U1273" s="16">
        <f>IFERROR(INDEX(BASE_CCLASSTRIB!$E:$E, MATCH(TEXT($D1273,"000000"), BASE_CCLASSTRIB!$A:$A, 0))/100, 0)</f>
        <v>0</v>
      </c>
      <c r="V1273" s="16">
        <f>IFERROR(INDEX(BASE_CCLASSTRIB!$F:$F, MATCH(TEXT($D1273,"000000"), BASE_CCLASSTRIB!$A:$A, 0))/100, 0)</f>
        <v>0</v>
      </c>
    </row>
    <row r="1274" spans="4:22" ht="32.25" customHeight="1">
      <c r="D1274" s="39"/>
      <c r="E1274" s="27" t="str">
        <f>IF(D1274="","",LEFT(D1274,3))</f>
        <v/>
      </c>
      <c r="F1274" s="28" t="str">
        <f>IF(E1274="","",IFERROR(VLOOKUP(E1274,REGRAS_CST!$A$2:$B$200,2,FALSE),""))</f>
        <v/>
      </c>
      <c r="H1274" s="29">
        <v>8.9999999999999993E-3</v>
      </c>
      <c r="I1274" s="29">
        <v>1E-3</v>
      </c>
      <c r="K1274" s="21" t="str">
        <f>IF(E1274="","",IFERROR(VLOOKUP(E1274,REGRAS_CST!$A$2:$C$200,3,FALSE),""))</f>
        <v/>
      </c>
      <c r="L1274" s="23" t="str">
        <f>IF($G1274="", "", $G1274*(1-$V1274))</f>
        <v/>
      </c>
      <c r="M1274" s="24" t="str">
        <f>IF(OR($L1274="",$S1274=""),"",$L1274*$S1274)</f>
        <v/>
      </c>
      <c r="N1274" s="24" t="str">
        <f>IF(OR($L1274="",$T1274=""),"",$L1274*$T1274)</f>
        <v/>
      </c>
      <c r="O1274" s="15" t="str">
        <f>IF(D1274="","",
IF(AND(K1274&lt;&gt;"SIM",V1274&gt;0),"ERRO: % BC &gt; 0, mas NÃO permitida ❌",
IF(AND(K1274="SIM",V1274=0),"ATENÇÃO: BC permitida, mas % = 0 🔎",
"Base de cálculo aplicada corretamente ✅")))</f>
        <v/>
      </c>
      <c r="P1274" s="31" t="str">
        <f>IF(D1274="","",
IF(AND(Q1274&lt;&gt;"SIM",U1274&gt;0),"ERRO: % alíquota &gt; 0, mas NÃO permitida ❌",
IF(AND(Q1274="SIM",U1274=0),"ATENÇÃO: alíquota permitida, mas % = 0 🔎",
"Alíquota aplicada corretamente ✅")))</f>
        <v/>
      </c>
      <c r="Q1274" s="8" t="str">
        <f>IF(E1274="","",IFERROR(VLOOKUP(E1274,REGRAS_CST!$A$2:$D$200,4,FALSE),""))</f>
        <v/>
      </c>
      <c r="S1274" s="9">
        <f>IF($H1274="","",$H1274*(1-$U1274))</f>
        <v>8.9999999999999993E-3</v>
      </c>
      <c r="T1274" s="9">
        <f>IF($I1274="","",$I1274*(1-$U1274))</f>
        <v>1E-3</v>
      </c>
      <c r="U1274" s="16">
        <f>IFERROR(INDEX(BASE_CCLASSTRIB!$E:$E, MATCH(TEXT($D1274,"000000"), BASE_CCLASSTRIB!$A:$A, 0))/100, 0)</f>
        <v>0</v>
      </c>
      <c r="V1274" s="16">
        <f>IFERROR(INDEX(BASE_CCLASSTRIB!$F:$F, MATCH(TEXT($D1274,"000000"), BASE_CCLASSTRIB!$A:$A, 0))/100, 0)</f>
        <v>0</v>
      </c>
    </row>
    <row r="1275" spans="4:22" ht="32.25" customHeight="1">
      <c r="D1275" s="39"/>
      <c r="E1275" s="27" t="str">
        <f>IF(D1275="","",LEFT(D1275,3))</f>
        <v/>
      </c>
      <c r="F1275" s="28" t="str">
        <f>IF(E1275="","",IFERROR(VLOOKUP(E1275,REGRAS_CST!$A$2:$B$200,2,FALSE),""))</f>
        <v/>
      </c>
      <c r="H1275" s="29">
        <v>8.9999999999999993E-3</v>
      </c>
      <c r="I1275" s="29">
        <v>1E-3</v>
      </c>
      <c r="K1275" s="21" t="str">
        <f>IF(E1275="","",IFERROR(VLOOKUP(E1275,REGRAS_CST!$A$2:$C$200,3,FALSE),""))</f>
        <v/>
      </c>
      <c r="L1275" s="23" t="str">
        <f>IF($G1275="", "", $G1275*(1-$V1275))</f>
        <v/>
      </c>
      <c r="M1275" s="24" t="str">
        <f>IF(OR($L1275="",$S1275=""),"",$L1275*$S1275)</f>
        <v/>
      </c>
      <c r="N1275" s="24" t="str">
        <f>IF(OR($L1275="",$T1275=""),"",$L1275*$T1275)</f>
        <v/>
      </c>
      <c r="O1275" s="15" t="str">
        <f>IF(D1275="","",
IF(AND(K1275&lt;&gt;"SIM",V1275&gt;0),"ERRO: % BC &gt; 0, mas NÃO permitida ❌",
IF(AND(K1275="SIM",V1275=0),"ATENÇÃO: BC permitida, mas % = 0 🔎",
"Base de cálculo aplicada corretamente ✅")))</f>
        <v/>
      </c>
      <c r="P1275" s="31" t="str">
        <f>IF(D1275="","",
IF(AND(Q1275&lt;&gt;"SIM",U1275&gt;0),"ERRO: % alíquota &gt; 0, mas NÃO permitida ❌",
IF(AND(Q1275="SIM",U1275=0),"ATENÇÃO: alíquota permitida, mas % = 0 🔎",
"Alíquota aplicada corretamente ✅")))</f>
        <v/>
      </c>
      <c r="Q1275" s="8" t="str">
        <f>IF(E1275="","",IFERROR(VLOOKUP(E1275,REGRAS_CST!$A$2:$D$200,4,FALSE),""))</f>
        <v/>
      </c>
      <c r="S1275" s="9">
        <f>IF($H1275="","",$H1275*(1-$U1275))</f>
        <v>8.9999999999999993E-3</v>
      </c>
      <c r="T1275" s="9">
        <f>IF($I1275="","",$I1275*(1-$U1275))</f>
        <v>1E-3</v>
      </c>
      <c r="U1275" s="16">
        <f>IFERROR(INDEX(BASE_CCLASSTRIB!$E:$E, MATCH(TEXT($D1275,"000000"), BASE_CCLASSTRIB!$A:$A, 0))/100, 0)</f>
        <v>0</v>
      </c>
      <c r="V1275" s="16">
        <f>IFERROR(INDEX(BASE_CCLASSTRIB!$F:$F, MATCH(TEXT($D1275,"000000"), BASE_CCLASSTRIB!$A:$A, 0))/100, 0)</f>
        <v>0</v>
      </c>
    </row>
    <row r="1276" spans="4:22" ht="32.25" customHeight="1">
      <c r="D1276" s="39"/>
      <c r="E1276" s="27" t="str">
        <f>IF(D1276="","",LEFT(D1276,3))</f>
        <v/>
      </c>
      <c r="F1276" s="28" t="str">
        <f>IF(E1276="","",IFERROR(VLOOKUP(E1276,REGRAS_CST!$A$2:$B$200,2,FALSE),""))</f>
        <v/>
      </c>
      <c r="H1276" s="29">
        <v>8.9999999999999993E-3</v>
      </c>
      <c r="I1276" s="29">
        <v>1E-3</v>
      </c>
      <c r="K1276" s="21" t="str">
        <f>IF(E1276="","",IFERROR(VLOOKUP(E1276,REGRAS_CST!$A$2:$C$200,3,FALSE),""))</f>
        <v/>
      </c>
      <c r="L1276" s="23" t="str">
        <f>IF($G1276="", "", $G1276*(1-$V1276))</f>
        <v/>
      </c>
      <c r="M1276" s="24" t="str">
        <f>IF(OR($L1276="",$S1276=""),"",$L1276*$S1276)</f>
        <v/>
      </c>
      <c r="N1276" s="24" t="str">
        <f>IF(OR($L1276="",$T1276=""),"",$L1276*$T1276)</f>
        <v/>
      </c>
      <c r="O1276" s="15" t="str">
        <f>IF(D1276="","",
IF(AND(K1276&lt;&gt;"SIM",V1276&gt;0),"ERRO: % BC &gt; 0, mas NÃO permitida ❌",
IF(AND(K1276="SIM",V1276=0),"ATENÇÃO: BC permitida, mas % = 0 🔎",
"Base de cálculo aplicada corretamente ✅")))</f>
        <v/>
      </c>
      <c r="P1276" s="31" t="str">
        <f>IF(D1276="","",
IF(AND(Q1276&lt;&gt;"SIM",U1276&gt;0),"ERRO: % alíquota &gt; 0, mas NÃO permitida ❌",
IF(AND(Q1276="SIM",U1276=0),"ATENÇÃO: alíquota permitida, mas % = 0 🔎",
"Alíquota aplicada corretamente ✅")))</f>
        <v/>
      </c>
      <c r="Q1276" s="8" t="str">
        <f>IF(E1276="","",IFERROR(VLOOKUP(E1276,REGRAS_CST!$A$2:$D$200,4,FALSE),""))</f>
        <v/>
      </c>
      <c r="S1276" s="9">
        <f>IF($H1276="","",$H1276*(1-$U1276))</f>
        <v>8.9999999999999993E-3</v>
      </c>
      <c r="T1276" s="9">
        <f>IF($I1276="","",$I1276*(1-$U1276))</f>
        <v>1E-3</v>
      </c>
      <c r="U1276" s="16">
        <f>IFERROR(INDEX(BASE_CCLASSTRIB!$E:$E, MATCH(TEXT($D1276,"000000"), BASE_CCLASSTRIB!$A:$A, 0))/100, 0)</f>
        <v>0</v>
      </c>
      <c r="V1276" s="16">
        <f>IFERROR(INDEX(BASE_CCLASSTRIB!$F:$F, MATCH(TEXT($D1276,"000000"), BASE_CCLASSTRIB!$A:$A, 0))/100, 0)</f>
        <v>0</v>
      </c>
    </row>
    <row r="1277" spans="4:22" ht="32.25" customHeight="1">
      <c r="D1277" s="39"/>
      <c r="E1277" s="27" t="str">
        <f>IF(D1277="","",LEFT(D1277,3))</f>
        <v/>
      </c>
      <c r="F1277" s="28" t="str">
        <f>IF(E1277="","",IFERROR(VLOOKUP(E1277,REGRAS_CST!$A$2:$B$200,2,FALSE),""))</f>
        <v/>
      </c>
      <c r="H1277" s="29">
        <v>8.9999999999999993E-3</v>
      </c>
      <c r="I1277" s="29">
        <v>1E-3</v>
      </c>
      <c r="K1277" s="21" t="str">
        <f>IF(E1277="","",IFERROR(VLOOKUP(E1277,REGRAS_CST!$A$2:$C$200,3,FALSE),""))</f>
        <v/>
      </c>
      <c r="L1277" s="23" t="str">
        <f>IF($G1277="", "", $G1277*(1-$V1277))</f>
        <v/>
      </c>
      <c r="M1277" s="24" t="str">
        <f>IF(OR($L1277="",$S1277=""),"",$L1277*$S1277)</f>
        <v/>
      </c>
      <c r="N1277" s="24" t="str">
        <f>IF(OR($L1277="",$T1277=""),"",$L1277*$T1277)</f>
        <v/>
      </c>
      <c r="O1277" s="15" t="str">
        <f>IF(D1277="","",
IF(AND(K1277&lt;&gt;"SIM",V1277&gt;0),"ERRO: % BC &gt; 0, mas NÃO permitida ❌",
IF(AND(K1277="SIM",V1277=0),"ATENÇÃO: BC permitida, mas % = 0 🔎",
"Base de cálculo aplicada corretamente ✅")))</f>
        <v/>
      </c>
      <c r="P1277" s="31" t="str">
        <f>IF(D1277="","",
IF(AND(Q1277&lt;&gt;"SIM",U1277&gt;0),"ERRO: % alíquota &gt; 0, mas NÃO permitida ❌",
IF(AND(Q1277="SIM",U1277=0),"ATENÇÃO: alíquota permitida, mas % = 0 🔎",
"Alíquota aplicada corretamente ✅")))</f>
        <v/>
      </c>
      <c r="Q1277" s="8" t="str">
        <f>IF(E1277="","",IFERROR(VLOOKUP(E1277,REGRAS_CST!$A$2:$D$200,4,FALSE),""))</f>
        <v/>
      </c>
      <c r="S1277" s="9">
        <f>IF($H1277="","",$H1277*(1-$U1277))</f>
        <v>8.9999999999999993E-3</v>
      </c>
      <c r="T1277" s="9">
        <f>IF($I1277="","",$I1277*(1-$U1277))</f>
        <v>1E-3</v>
      </c>
      <c r="U1277" s="16">
        <f>IFERROR(INDEX(BASE_CCLASSTRIB!$E:$E, MATCH(TEXT($D1277,"000000"), BASE_CCLASSTRIB!$A:$A, 0))/100, 0)</f>
        <v>0</v>
      </c>
      <c r="V1277" s="16">
        <f>IFERROR(INDEX(BASE_CCLASSTRIB!$F:$F, MATCH(TEXT($D1277,"000000"), BASE_CCLASSTRIB!$A:$A, 0))/100, 0)</f>
        <v>0</v>
      </c>
    </row>
    <row r="1278" spans="4:22" ht="32.25" customHeight="1">
      <c r="D1278" s="40"/>
      <c r="E1278" s="27" t="str">
        <f>IF(D1278="","",LEFT(D1278,3))</f>
        <v/>
      </c>
      <c r="F1278" s="28" t="str">
        <f>IF(E1278="","",IFERROR(VLOOKUP(E1278,REGRAS_CST!$A$2:$B$200,2,FALSE),""))</f>
        <v/>
      </c>
      <c r="H1278" s="29">
        <v>8.9999999999999993E-3</v>
      </c>
      <c r="I1278" s="29">
        <v>1E-3</v>
      </c>
      <c r="K1278" s="21" t="str">
        <f>IF(E1278="","",IFERROR(VLOOKUP(E1278,REGRAS_CST!$A$2:$C$200,3,FALSE),""))</f>
        <v/>
      </c>
      <c r="L1278" s="23" t="str">
        <f>IF($G1278="", "", $G1278*(1-$V1278))</f>
        <v/>
      </c>
      <c r="M1278" s="24" t="str">
        <f>IF(OR($L1278="",$S1278=""),"",$L1278*$S1278)</f>
        <v/>
      </c>
      <c r="N1278" s="24" t="str">
        <f>IF(OR($L1278="",$T1278=""),"",$L1278*$T1278)</f>
        <v/>
      </c>
      <c r="O1278" s="15" t="str">
        <f>IF(D1278="","",
IF(AND(K1278&lt;&gt;"SIM",V1278&gt;0),"ERRO: % BC &gt; 0, mas NÃO permitida ❌",
IF(AND(K1278="SIM",V1278=0),"ATENÇÃO: BC permitida, mas % = 0 🔎",
"Base de cálculo aplicada corretamente ✅")))</f>
        <v/>
      </c>
      <c r="P1278" s="31" t="str">
        <f>IF(D1278="","",
IF(AND(Q1278&lt;&gt;"SIM",U1278&gt;0),"ERRO: % alíquota &gt; 0, mas NÃO permitida ❌",
IF(AND(Q1278="SIM",U1278=0),"ATENÇÃO: alíquota permitida, mas % = 0 🔎",
"Alíquota aplicada corretamente ✅")))</f>
        <v/>
      </c>
      <c r="Q1278" s="8" t="str">
        <f>IF(E1278="","",IFERROR(VLOOKUP(E1278,REGRAS_CST!$A$2:$D$200,4,FALSE),""))</f>
        <v/>
      </c>
      <c r="S1278" s="9">
        <f>IF($H1278="","",$H1278*(1-$U1278))</f>
        <v>8.9999999999999993E-3</v>
      </c>
      <c r="T1278" s="9">
        <f>IF($I1278="","",$I1278*(1-$U1278))</f>
        <v>1E-3</v>
      </c>
      <c r="U1278" s="16">
        <f>IFERROR(INDEX(BASE_CCLASSTRIB!$E:$E, MATCH(TEXT($D1278,"000000"), BASE_CCLASSTRIB!$A:$A, 0))/100, 0)</f>
        <v>0</v>
      </c>
      <c r="V1278" s="16">
        <f>IFERROR(INDEX(BASE_CCLASSTRIB!$F:$F, MATCH(TEXT($D1278,"000000"), BASE_CCLASSTRIB!$A:$A, 0))/100, 0)</f>
        <v>0</v>
      </c>
    </row>
    <row r="1279" spans="4:22" ht="32.25" customHeight="1">
      <c r="D1279" s="39"/>
      <c r="E1279" s="27" t="str">
        <f>IF(D1279="","",LEFT(D1279,3))</f>
        <v/>
      </c>
      <c r="F1279" s="28" t="str">
        <f>IF(E1279="","",IFERROR(VLOOKUP(E1279,REGRAS_CST!$A$2:$B$200,2,FALSE),""))</f>
        <v/>
      </c>
      <c r="H1279" s="29">
        <v>8.9999999999999993E-3</v>
      </c>
      <c r="I1279" s="29">
        <v>1E-3</v>
      </c>
      <c r="K1279" s="21" t="str">
        <f>IF(E1279="","",IFERROR(VLOOKUP(E1279,REGRAS_CST!$A$2:$C$200,3,FALSE),""))</f>
        <v/>
      </c>
      <c r="L1279" s="23" t="str">
        <f>IF($G1279="", "", $G1279*(1-$V1279))</f>
        <v/>
      </c>
      <c r="M1279" s="24" t="str">
        <f>IF(OR($L1279="",$S1279=""),"",$L1279*$S1279)</f>
        <v/>
      </c>
      <c r="N1279" s="24" t="str">
        <f>IF(OR($L1279="",$T1279=""),"",$L1279*$T1279)</f>
        <v/>
      </c>
      <c r="O1279" s="15" t="str">
        <f>IF(D1279="","",
IF(AND(K1279&lt;&gt;"SIM",V1279&gt;0),"ERRO: % BC &gt; 0, mas NÃO permitida ❌",
IF(AND(K1279="SIM",V1279=0),"ATENÇÃO: BC permitida, mas % = 0 🔎",
"Base de cálculo aplicada corretamente ✅")))</f>
        <v/>
      </c>
      <c r="P1279" s="31" t="str">
        <f>IF(D1279="","",
IF(AND(Q1279&lt;&gt;"SIM",U1279&gt;0),"ERRO: % alíquota &gt; 0, mas NÃO permitida ❌",
IF(AND(Q1279="SIM",U1279=0),"ATENÇÃO: alíquota permitida, mas % = 0 🔎",
"Alíquota aplicada corretamente ✅")))</f>
        <v/>
      </c>
      <c r="Q1279" s="8" t="str">
        <f>IF(E1279="","",IFERROR(VLOOKUP(E1279,REGRAS_CST!$A$2:$D$200,4,FALSE),""))</f>
        <v/>
      </c>
      <c r="S1279" s="9">
        <f>IF($H1279="","",$H1279*(1-$U1279))</f>
        <v>8.9999999999999993E-3</v>
      </c>
      <c r="T1279" s="9">
        <f>IF($I1279="","",$I1279*(1-$U1279))</f>
        <v>1E-3</v>
      </c>
      <c r="U1279" s="16">
        <f>IFERROR(INDEX(BASE_CCLASSTRIB!$E:$E, MATCH(TEXT($D1279,"000000"), BASE_CCLASSTRIB!$A:$A, 0))/100, 0)</f>
        <v>0</v>
      </c>
      <c r="V1279" s="16">
        <f>IFERROR(INDEX(BASE_CCLASSTRIB!$F:$F, MATCH(TEXT($D1279,"000000"), BASE_CCLASSTRIB!$A:$A, 0))/100, 0)</f>
        <v>0</v>
      </c>
    </row>
    <row r="1280" spans="4:22" ht="32.25" customHeight="1">
      <c r="D1280" s="39"/>
      <c r="E1280" s="27" t="str">
        <f>IF(D1280="","",LEFT(D1280,3))</f>
        <v/>
      </c>
      <c r="F1280" s="28" t="str">
        <f>IF(E1280="","",IFERROR(VLOOKUP(E1280,REGRAS_CST!$A$2:$B$200,2,FALSE),""))</f>
        <v/>
      </c>
      <c r="H1280" s="29">
        <v>8.9999999999999993E-3</v>
      </c>
      <c r="I1280" s="29">
        <v>1E-3</v>
      </c>
      <c r="K1280" s="21" t="str">
        <f>IF(E1280="","",IFERROR(VLOOKUP(E1280,REGRAS_CST!$A$2:$C$200,3,FALSE),""))</f>
        <v/>
      </c>
      <c r="L1280" s="23" t="str">
        <f>IF($G1280="", "", $G1280*(1-$V1280))</f>
        <v/>
      </c>
      <c r="M1280" s="24" t="str">
        <f>IF(OR($L1280="",$S1280=""),"",$L1280*$S1280)</f>
        <v/>
      </c>
      <c r="N1280" s="24" t="str">
        <f>IF(OR($L1280="",$T1280=""),"",$L1280*$T1280)</f>
        <v/>
      </c>
      <c r="O1280" s="15" t="str">
        <f>IF(D1280="","",
IF(AND(K1280&lt;&gt;"SIM",V1280&gt;0),"ERRO: % BC &gt; 0, mas NÃO permitida ❌",
IF(AND(K1280="SIM",V1280=0),"ATENÇÃO: BC permitida, mas % = 0 🔎",
"Base de cálculo aplicada corretamente ✅")))</f>
        <v/>
      </c>
      <c r="P1280" s="31" t="str">
        <f>IF(D1280="","",
IF(AND(Q1280&lt;&gt;"SIM",U1280&gt;0),"ERRO: % alíquota &gt; 0, mas NÃO permitida ❌",
IF(AND(Q1280="SIM",U1280=0),"ATENÇÃO: alíquota permitida, mas % = 0 🔎",
"Alíquota aplicada corretamente ✅")))</f>
        <v/>
      </c>
      <c r="Q1280" s="8" t="str">
        <f>IF(E1280="","",IFERROR(VLOOKUP(E1280,REGRAS_CST!$A$2:$D$200,4,FALSE),""))</f>
        <v/>
      </c>
      <c r="S1280" s="9">
        <f>IF($H1280="","",$H1280*(1-$U1280))</f>
        <v>8.9999999999999993E-3</v>
      </c>
      <c r="T1280" s="9">
        <f>IF($I1280="","",$I1280*(1-$U1280))</f>
        <v>1E-3</v>
      </c>
      <c r="U1280" s="16">
        <f>IFERROR(INDEX(BASE_CCLASSTRIB!$E:$E, MATCH(TEXT($D1280,"000000"), BASE_CCLASSTRIB!$A:$A, 0))/100, 0)</f>
        <v>0</v>
      </c>
      <c r="V1280" s="16">
        <f>IFERROR(INDEX(BASE_CCLASSTRIB!$F:$F, MATCH(TEXT($D1280,"000000"), BASE_CCLASSTRIB!$A:$A, 0))/100, 0)</f>
        <v>0</v>
      </c>
    </row>
    <row r="1281" spans="4:22" ht="32.25" customHeight="1">
      <c r="D1281" s="39"/>
      <c r="E1281" s="27" t="str">
        <f>IF(D1281="","",LEFT(D1281,3))</f>
        <v/>
      </c>
      <c r="F1281" s="28" t="str">
        <f>IF(E1281="","",IFERROR(VLOOKUP(E1281,REGRAS_CST!$A$2:$B$200,2,FALSE),""))</f>
        <v/>
      </c>
      <c r="H1281" s="29">
        <v>8.9999999999999993E-3</v>
      </c>
      <c r="I1281" s="29">
        <v>1E-3</v>
      </c>
      <c r="K1281" s="21" t="str">
        <f>IF(E1281="","",IFERROR(VLOOKUP(E1281,REGRAS_CST!$A$2:$C$200,3,FALSE),""))</f>
        <v/>
      </c>
      <c r="L1281" s="23" t="str">
        <f>IF($G1281="", "", $G1281*(1-$V1281))</f>
        <v/>
      </c>
      <c r="M1281" s="24" t="str">
        <f>IF(OR($L1281="",$S1281=""),"",$L1281*$S1281)</f>
        <v/>
      </c>
      <c r="N1281" s="24" t="str">
        <f>IF(OR($L1281="",$T1281=""),"",$L1281*$T1281)</f>
        <v/>
      </c>
      <c r="O1281" s="15" t="str">
        <f>IF(D1281="","",
IF(AND(K1281&lt;&gt;"SIM",V1281&gt;0),"ERRO: % BC &gt; 0, mas NÃO permitida ❌",
IF(AND(K1281="SIM",V1281=0),"ATENÇÃO: BC permitida, mas % = 0 🔎",
"Base de cálculo aplicada corretamente ✅")))</f>
        <v/>
      </c>
      <c r="P1281" s="31" t="str">
        <f>IF(D1281="","",
IF(AND(Q1281&lt;&gt;"SIM",U1281&gt;0),"ERRO: % alíquota &gt; 0, mas NÃO permitida ❌",
IF(AND(Q1281="SIM",U1281=0),"ATENÇÃO: alíquota permitida, mas % = 0 🔎",
"Alíquota aplicada corretamente ✅")))</f>
        <v/>
      </c>
      <c r="Q1281" s="8" t="str">
        <f>IF(E1281="","",IFERROR(VLOOKUP(E1281,REGRAS_CST!$A$2:$D$200,4,FALSE),""))</f>
        <v/>
      </c>
      <c r="S1281" s="9">
        <f>IF($H1281="","",$H1281*(1-$U1281))</f>
        <v>8.9999999999999993E-3</v>
      </c>
      <c r="T1281" s="9">
        <f>IF($I1281="","",$I1281*(1-$U1281))</f>
        <v>1E-3</v>
      </c>
      <c r="U1281" s="16">
        <f>IFERROR(INDEX(BASE_CCLASSTRIB!$E:$E, MATCH(TEXT($D1281,"000000"), BASE_CCLASSTRIB!$A:$A, 0))/100, 0)</f>
        <v>0</v>
      </c>
      <c r="V1281" s="16">
        <f>IFERROR(INDEX(BASE_CCLASSTRIB!$F:$F, MATCH(TEXT($D1281,"000000"), BASE_CCLASSTRIB!$A:$A, 0))/100, 0)</f>
        <v>0</v>
      </c>
    </row>
    <row r="1282" spans="4:22" ht="32.25" customHeight="1">
      <c r="D1282" s="39"/>
      <c r="E1282" s="27" t="str">
        <f>IF(D1282="","",LEFT(D1282,3))</f>
        <v/>
      </c>
      <c r="F1282" s="28" t="str">
        <f>IF(E1282="","",IFERROR(VLOOKUP(E1282,REGRAS_CST!$A$2:$B$200,2,FALSE),""))</f>
        <v/>
      </c>
      <c r="H1282" s="29">
        <v>8.9999999999999993E-3</v>
      </c>
      <c r="I1282" s="29">
        <v>1E-3</v>
      </c>
      <c r="K1282" s="21" t="str">
        <f>IF(E1282="","",IFERROR(VLOOKUP(E1282,REGRAS_CST!$A$2:$C$200,3,FALSE),""))</f>
        <v/>
      </c>
      <c r="L1282" s="23" t="str">
        <f>IF($G1282="", "", $G1282*(1-$V1282))</f>
        <v/>
      </c>
      <c r="M1282" s="24" t="str">
        <f>IF(OR($L1282="",$S1282=""),"",$L1282*$S1282)</f>
        <v/>
      </c>
      <c r="N1282" s="24" t="str">
        <f>IF(OR($L1282="",$T1282=""),"",$L1282*$T1282)</f>
        <v/>
      </c>
      <c r="O1282" s="15" t="str">
        <f>IF(D1282="","",
IF(AND(K1282&lt;&gt;"SIM",V1282&gt;0),"ERRO: % BC &gt; 0, mas NÃO permitida ❌",
IF(AND(K1282="SIM",V1282=0),"ATENÇÃO: BC permitida, mas % = 0 🔎",
"Base de cálculo aplicada corretamente ✅")))</f>
        <v/>
      </c>
      <c r="P1282" s="31" t="str">
        <f>IF(D1282="","",
IF(AND(Q1282&lt;&gt;"SIM",U1282&gt;0),"ERRO: % alíquota &gt; 0, mas NÃO permitida ❌",
IF(AND(Q1282="SIM",U1282=0),"ATENÇÃO: alíquota permitida, mas % = 0 🔎",
"Alíquota aplicada corretamente ✅")))</f>
        <v/>
      </c>
      <c r="Q1282" s="8" t="str">
        <f>IF(E1282="","",IFERROR(VLOOKUP(E1282,REGRAS_CST!$A$2:$D$200,4,FALSE),""))</f>
        <v/>
      </c>
      <c r="S1282" s="9">
        <f>IF($H1282="","",$H1282*(1-$U1282))</f>
        <v>8.9999999999999993E-3</v>
      </c>
      <c r="T1282" s="9">
        <f>IF($I1282="","",$I1282*(1-$U1282))</f>
        <v>1E-3</v>
      </c>
      <c r="U1282" s="16">
        <f>IFERROR(INDEX(BASE_CCLASSTRIB!$E:$E, MATCH(TEXT($D1282,"000000"), BASE_CCLASSTRIB!$A:$A, 0))/100, 0)</f>
        <v>0</v>
      </c>
      <c r="V1282" s="16">
        <f>IFERROR(INDEX(BASE_CCLASSTRIB!$F:$F, MATCH(TEXT($D1282,"000000"), BASE_CCLASSTRIB!$A:$A, 0))/100, 0)</f>
        <v>0</v>
      </c>
    </row>
    <row r="1283" spans="4:22" ht="32.25" customHeight="1">
      <c r="D1283" s="39"/>
      <c r="E1283" s="27" t="str">
        <f>IF(D1283="","",LEFT(D1283,3))</f>
        <v/>
      </c>
      <c r="F1283" s="28" t="str">
        <f>IF(E1283="","",IFERROR(VLOOKUP(E1283,REGRAS_CST!$A$2:$B$200,2,FALSE),""))</f>
        <v/>
      </c>
      <c r="H1283" s="29">
        <v>8.9999999999999993E-3</v>
      </c>
      <c r="I1283" s="29">
        <v>1E-3</v>
      </c>
      <c r="K1283" s="21" t="str">
        <f>IF(E1283="","",IFERROR(VLOOKUP(E1283,REGRAS_CST!$A$2:$C$200,3,FALSE),""))</f>
        <v/>
      </c>
      <c r="L1283" s="23" t="str">
        <f>IF($G1283="", "", $G1283*(1-$V1283))</f>
        <v/>
      </c>
      <c r="M1283" s="24" t="str">
        <f>IF(OR($L1283="",$S1283=""),"",$L1283*$S1283)</f>
        <v/>
      </c>
      <c r="N1283" s="24" t="str">
        <f>IF(OR($L1283="",$T1283=""),"",$L1283*$T1283)</f>
        <v/>
      </c>
      <c r="O1283" s="15" t="str">
        <f>IF(D1283="","",
IF(AND(K1283&lt;&gt;"SIM",V1283&gt;0),"ERRO: % BC &gt; 0, mas NÃO permitida ❌",
IF(AND(K1283="SIM",V1283=0),"ATENÇÃO: BC permitida, mas % = 0 🔎",
"Base de cálculo aplicada corretamente ✅")))</f>
        <v/>
      </c>
      <c r="P1283" s="31" t="str">
        <f>IF(D1283="","",
IF(AND(Q1283&lt;&gt;"SIM",U1283&gt;0),"ERRO: % alíquota &gt; 0, mas NÃO permitida ❌",
IF(AND(Q1283="SIM",U1283=0),"ATENÇÃO: alíquota permitida, mas % = 0 🔎",
"Alíquota aplicada corretamente ✅")))</f>
        <v/>
      </c>
      <c r="Q1283" s="8" t="str">
        <f>IF(E1283="","",IFERROR(VLOOKUP(E1283,REGRAS_CST!$A$2:$D$200,4,FALSE),""))</f>
        <v/>
      </c>
      <c r="S1283" s="9">
        <f>IF($H1283="","",$H1283*(1-$U1283))</f>
        <v>8.9999999999999993E-3</v>
      </c>
      <c r="T1283" s="9">
        <f>IF($I1283="","",$I1283*(1-$U1283))</f>
        <v>1E-3</v>
      </c>
      <c r="U1283" s="16">
        <f>IFERROR(INDEX(BASE_CCLASSTRIB!$E:$E, MATCH(TEXT($D1283,"000000"), BASE_CCLASSTRIB!$A:$A, 0))/100, 0)</f>
        <v>0</v>
      </c>
      <c r="V1283" s="16">
        <f>IFERROR(INDEX(BASE_CCLASSTRIB!$F:$F, MATCH(TEXT($D1283,"000000"), BASE_CCLASSTRIB!$A:$A, 0))/100, 0)</f>
        <v>0</v>
      </c>
    </row>
    <row r="1284" spans="4:22" ht="32.25" customHeight="1">
      <c r="D1284" s="40"/>
      <c r="E1284" s="27" t="str">
        <f>IF(D1284="","",LEFT(D1284,3))</f>
        <v/>
      </c>
      <c r="F1284" s="28" t="str">
        <f>IF(E1284="","",IFERROR(VLOOKUP(E1284,REGRAS_CST!$A$2:$B$200,2,FALSE),""))</f>
        <v/>
      </c>
      <c r="H1284" s="29">
        <v>8.9999999999999993E-3</v>
      </c>
      <c r="I1284" s="29">
        <v>1E-3</v>
      </c>
      <c r="K1284" s="21" t="str">
        <f>IF(E1284="","",IFERROR(VLOOKUP(E1284,REGRAS_CST!$A$2:$C$200,3,FALSE),""))</f>
        <v/>
      </c>
      <c r="L1284" s="23" t="str">
        <f>IF($G1284="", "", $G1284*(1-$V1284))</f>
        <v/>
      </c>
      <c r="M1284" s="24" t="str">
        <f>IF(OR($L1284="",$S1284=""),"",$L1284*$S1284)</f>
        <v/>
      </c>
      <c r="N1284" s="24" t="str">
        <f>IF(OR($L1284="",$T1284=""),"",$L1284*$T1284)</f>
        <v/>
      </c>
      <c r="O1284" s="15" t="str">
        <f>IF(D1284="","",
IF(AND(K1284&lt;&gt;"SIM",V1284&gt;0),"ERRO: % BC &gt; 0, mas NÃO permitida ❌",
IF(AND(K1284="SIM",V1284=0),"ATENÇÃO: BC permitida, mas % = 0 🔎",
"Base de cálculo aplicada corretamente ✅")))</f>
        <v/>
      </c>
      <c r="P1284" s="31" t="str">
        <f>IF(D1284="","",
IF(AND(Q1284&lt;&gt;"SIM",U1284&gt;0),"ERRO: % alíquota &gt; 0, mas NÃO permitida ❌",
IF(AND(Q1284="SIM",U1284=0),"ATENÇÃO: alíquota permitida, mas % = 0 🔎",
"Alíquota aplicada corretamente ✅")))</f>
        <v/>
      </c>
      <c r="Q1284" s="8" t="str">
        <f>IF(E1284="","",IFERROR(VLOOKUP(E1284,REGRAS_CST!$A$2:$D$200,4,FALSE),""))</f>
        <v/>
      </c>
      <c r="S1284" s="9">
        <f>IF($H1284="","",$H1284*(1-$U1284))</f>
        <v>8.9999999999999993E-3</v>
      </c>
      <c r="T1284" s="9">
        <f>IF($I1284="","",$I1284*(1-$U1284))</f>
        <v>1E-3</v>
      </c>
      <c r="U1284" s="16">
        <f>IFERROR(INDEX(BASE_CCLASSTRIB!$E:$E, MATCH(TEXT($D1284,"000000"), BASE_CCLASSTRIB!$A:$A, 0))/100, 0)</f>
        <v>0</v>
      </c>
      <c r="V1284" s="16">
        <f>IFERROR(INDEX(BASE_CCLASSTRIB!$F:$F, MATCH(TEXT($D1284,"000000"), BASE_CCLASSTRIB!$A:$A, 0))/100, 0)</f>
        <v>0</v>
      </c>
    </row>
    <row r="1285" spans="4:22" ht="32.25" customHeight="1">
      <c r="D1285" s="39"/>
      <c r="E1285" s="27" t="str">
        <f>IF(D1285="","",LEFT(D1285,3))</f>
        <v/>
      </c>
      <c r="F1285" s="28" t="str">
        <f>IF(E1285="","",IFERROR(VLOOKUP(E1285,REGRAS_CST!$A$2:$B$200,2,FALSE),""))</f>
        <v/>
      </c>
      <c r="H1285" s="29">
        <v>8.9999999999999993E-3</v>
      </c>
      <c r="I1285" s="29">
        <v>1E-3</v>
      </c>
      <c r="K1285" s="21" t="str">
        <f>IF(E1285="","",IFERROR(VLOOKUP(E1285,REGRAS_CST!$A$2:$C$200,3,FALSE),""))</f>
        <v/>
      </c>
      <c r="L1285" s="23" t="str">
        <f>IF($G1285="", "", $G1285*(1-$V1285))</f>
        <v/>
      </c>
      <c r="M1285" s="24" t="str">
        <f>IF(OR($L1285="",$S1285=""),"",$L1285*$S1285)</f>
        <v/>
      </c>
      <c r="N1285" s="24" t="str">
        <f>IF(OR($L1285="",$T1285=""),"",$L1285*$T1285)</f>
        <v/>
      </c>
      <c r="O1285" s="15" t="str">
        <f>IF(D1285="","",
IF(AND(K1285&lt;&gt;"SIM",V1285&gt;0),"ERRO: % BC &gt; 0, mas NÃO permitida ❌",
IF(AND(K1285="SIM",V1285=0),"ATENÇÃO: BC permitida, mas % = 0 🔎",
"Base de cálculo aplicada corretamente ✅")))</f>
        <v/>
      </c>
      <c r="P1285" s="31" t="str">
        <f>IF(D1285="","",
IF(AND(Q1285&lt;&gt;"SIM",U1285&gt;0),"ERRO: % alíquota &gt; 0, mas NÃO permitida ❌",
IF(AND(Q1285="SIM",U1285=0),"ATENÇÃO: alíquota permitida, mas % = 0 🔎",
"Alíquota aplicada corretamente ✅")))</f>
        <v/>
      </c>
      <c r="Q1285" s="8" t="str">
        <f>IF(E1285="","",IFERROR(VLOOKUP(E1285,REGRAS_CST!$A$2:$D$200,4,FALSE),""))</f>
        <v/>
      </c>
      <c r="S1285" s="9">
        <f>IF($H1285="","",$H1285*(1-$U1285))</f>
        <v>8.9999999999999993E-3</v>
      </c>
      <c r="T1285" s="9">
        <f>IF($I1285="","",$I1285*(1-$U1285))</f>
        <v>1E-3</v>
      </c>
      <c r="U1285" s="16">
        <f>IFERROR(INDEX(BASE_CCLASSTRIB!$E:$E, MATCH(TEXT($D1285,"000000"), BASE_CCLASSTRIB!$A:$A, 0))/100, 0)</f>
        <v>0</v>
      </c>
      <c r="V1285" s="16">
        <f>IFERROR(INDEX(BASE_CCLASSTRIB!$F:$F, MATCH(TEXT($D1285,"000000"), BASE_CCLASSTRIB!$A:$A, 0))/100, 0)</f>
        <v>0</v>
      </c>
    </row>
    <row r="1286" spans="4:22" ht="32.25" customHeight="1">
      <c r="D1286" s="39"/>
      <c r="E1286" s="27" t="str">
        <f>IF(D1286="","",LEFT(D1286,3))</f>
        <v/>
      </c>
      <c r="F1286" s="28" t="str">
        <f>IF(E1286="","",IFERROR(VLOOKUP(E1286,REGRAS_CST!$A$2:$B$200,2,FALSE),""))</f>
        <v/>
      </c>
      <c r="H1286" s="29">
        <v>8.9999999999999993E-3</v>
      </c>
      <c r="I1286" s="29">
        <v>1E-3</v>
      </c>
      <c r="K1286" s="21" t="str">
        <f>IF(E1286="","",IFERROR(VLOOKUP(E1286,REGRAS_CST!$A$2:$C$200,3,FALSE),""))</f>
        <v/>
      </c>
      <c r="L1286" s="23" t="str">
        <f>IF($G1286="", "", $G1286*(1-$V1286))</f>
        <v/>
      </c>
      <c r="M1286" s="24" t="str">
        <f>IF(OR($L1286="",$S1286=""),"",$L1286*$S1286)</f>
        <v/>
      </c>
      <c r="N1286" s="24" t="str">
        <f>IF(OR($L1286="",$T1286=""),"",$L1286*$T1286)</f>
        <v/>
      </c>
      <c r="O1286" s="15" t="str">
        <f>IF(D1286="","",
IF(AND(K1286&lt;&gt;"SIM",V1286&gt;0),"ERRO: % BC &gt; 0, mas NÃO permitida ❌",
IF(AND(K1286="SIM",V1286=0),"ATENÇÃO: BC permitida, mas % = 0 🔎",
"Base de cálculo aplicada corretamente ✅")))</f>
        <v/>
      </c>
      <c r="P1286" s="31" t="str">
        <f>IF(D1286="","",
IF(AND(Q1286&lt;&gt;"SIM",U1286&gt;0),"ERRO: % alíquota &gt; 0, mas NÃO permitida ❌",
IF(AND(Q1286="SIM",U1286=0),"ATENÇÃO: alíquota permitida, mas % = 0 🔎",
"Alíquota aplicada corretamente ✅")))</f>
        <v/>
      </c>
      <c r="Q1286" s="8" t="str">
        <f>IF(E1286="","",IFERROR(VLOOKUP(E1286,REGRAS_CST!$A$2:$D$200,4,FALSE),""))</f>
        <v/>
      </c>
      <c r="S1286" s="9">
        <f>IF($H1286="","",$H1286*(1-$U1286))</f>
        <v>8.9999999999999993E-3</v>
      </c>
      <c r="T1286" s="9">
        <f>IF($I1286="","",$I1286*(1-$U1286))</f>
        <v>1E-3</v>
      </c>
      <c r="U1286" s="16">
        <f>IFERROR(INDEX(BASE_CCLASSTRIB!$E:$E, MATCH(TEXT($D1286,"000000"), BASE_CCLASSTRIB!$A:$A, 0))/100, 0)</f>
        <v>0</v>
      </c>
      <c r="V1286" s="16">
        <f>IFERROR(INDEX(BASE_CCLASSTRIB!$F:$F, MATCH(TEXT($D1286,"000000"), BASE_CCLASSTRIB!$A:$A, 0))/100, 0)</f>
        <v>0</v>
      </c>
    </row>
    <row r="1287" spans="4:22" ht="32.25" customHeight="1">
      <c r="D1287" s="39"/>
      <c r="E1287" s="27" t="str">
        <f>IF(D1287="","",LEFT(D1287,3))</f>
        <v/>
      </c>
      <c r="F1287" s="28" t="str">
        <f>IF(E1287="","",IFERROR(VLOOKUP(E1287,REGRAS_CST!$A$2:$B$200,2,FALSE),""))</f>
        <v/>
      </c>
      <c r="H1287" s="29">
        <v>8.9999999999999993E-3</v>
      </c>
      <c r="I1287" s="29">
        <v>1E-3</v>
      </c>
      <c r="K1287" s="21" t="str">
        <f>IF(E1287="","",IFERROR(VLOOKUP(E1287,REGRAS_CST!$A$2:$C$200,3,FALSE),""))</f>
        <v/>
      </c>
      <c r="L1287" s="23" t="str">
        <f>IF($G1287="", "", $G1287*(1-$V1287))</f>
        <v/>
      </c>
      <c r="M1287" s="24" t="str">
        <f>IF(OR($L1287="",$S1287=""),"",$L1287*$S1287)</f>
        <v/>
      </c>
      <c r="N1287" s="24" t="str">
        <f>IF(OR($L1287="",$T1287=""),"",$L1287*$T1287)</f>
        <v/>
      </c>
      <c r="O1287" s="15" t="str">
        <f>IF(D1287="","",
IF(AND(K1287&lt;&gt;"SIM",V1287&gt;0),"ERRO: % BC &gt; 0, mas NÃO permitida ❌",
IF(AND(K1287="SIM",V1287=0),"ATENÇÃO: BC permitida, mas % = 0 🔎",
"Base de cálculo aplicada corretamente ✅")))</f>
        <v/>
      </c>
      <c r="P1287" s="31" t="str">
        <f>IF(D1287="","",
IF(AND(Q1287&lt;&gt;"SIM",U1287&gt;0),"ERRO: % alíquota &gt; 0, mas NÃO permitida ❌",
IF(AND(Q1287="SIM",U1287=0),"ATENÇÃO: alíquota permitida, mas % = 0 🔎",
"Alíquota aplicada corretamente ✅")))</f>
        <v/>
      </c>
      <c r="Q1287" s="8" t="str">
        <f>IF(E1287="","",IFERROR(VLOOKUP(E1287,REGRAS_CST!$A$2:$D$200,4,FALSE),""))</f>
        <v/>
      </c>
      <c r="S1287" s="9">
        <f>IF($H1287="","",$H1287*(1-$U1287))</f>
        <v>8.9999999999999993E-3</v>
      </c>
      <c r="T1287" s="9">
        <f>IF($I1287="","",$I1287*(1-$U1287))</f>
        <v>1E-3</v>
      </c>
      <c r="U1287" s="16">
        <f>IFERROR(INDEX(BASE_CCLASSTRIB!$E:$E, MATCH(TEXT($D1287,"000000"), BASE_CCLASSTRIB!$A:$A, 0))/100, 0)</f>
        <v>0</v>
      </c>
      <c r="V1287" s="16">
        <f>IFERROR(INDEX(BASE_CCLASSTRIB!$F:$F, MATCH(TEXT($D1287,"000000"), BASE_CCLASSTRIB!$A:$A, 0))/100, 0)</f>
        <v>0</v>
      </c>
    </row>
    <row r="1288" spans="4:22" ht="32.25" customHeight="1">
      <c r="D1288" s="40"/>
      <c r="E1288" s="27" t="str">
        <f>IF(D1288="","",LEFT(D1288,3))</f>
        <v/>
      </c>
      <c r="F1288" s="28" t="str">
        <f>IF(E1288="","",IFERROR(VLOOKUP(E1288,REGRAS_CST!$A$2:$B$200,2,FALSE),""))</f>
        <v/>
      </c>
      <c r="H1288" s="29">
        <v>8.9999999999999993E-3</v>
      </c>
      <c r="I1288" s="29">
        <v>1E-3</v>
      </c>
      <c r="K1288" s="21" t="str">
        <f>IF(E1288="","",IFERROR(VLOOKUP(E1288,REGRAS_CST!$A$2:$C$200,3,FALSE),""))</f>
        <v/>
      </c>
      <c r="L1288" s="23" t="str">
        <f>IF($G1288="", "", $G1288*(1-$V1288))</f>
        <v/>
      </c>
      <c r="M1288" s="24" t="str">
        <f>IF(OR($L1288="",$S1288=""),"",$L1288*$S1288)</f>
        <v/>
      </c>
      <c r="N1288" s="24" t="str">
        <f>IF(OR($L1288="",$T1288=""),"",$L1288*$T1288)</f>
        <v/>
      </c>
      <c r="O1288" s="15" t="str">
        <f>IF(D1288="","",
IF(AND(K1288&lt;&gt;"SIM",V1288&gt;0),"ERRO: % BC &gt; 0, mas NÃO permitida ❌",
IF(AND(K1288="SIM",V1288=0),"ATENÇÃO: BC permitida, mas % = 0 🔎",
"Base de cálculo aplicada corretamente ✅")))</f>
        <v/>
      </c>
      <c r="P1288" s="31" t="str">
        <f>IF(D1288="","",
IF(AND(Q1288&lt;&gt;"SIM",U1288&gt;0),"ERRO: % alíquota &gt; 0, mas NÃO permitida ❌",
IF(AND(Q1288="SIM",U1288=0),"ATENÇÃO: alíquota permitida, mas % = 0 🔎",
"Alíquota aplicada corretamente ✅")))</f>
        <v/>
      </c>
      <c r="Q1288" s="8" t="str">
        <f>IF(E1288="","",IFERROR(VLOOKUP(E1288,REGRAS_CST!$A$2:$D$200,4,FALSE),""))</f>
        <v/>
      </c>
      <c r="S1288" s="9">
        <f>IF($H1288="","",$H1288*(1-$U1288))</f>
        <v>8.9999999999999993E-3</v>
      </c>
      <c r="T1288" s="9">
        <f>IF($I1288="","",$I1288*(1-$U1288))</f>
        <v>1E-3</v>
      </c>
      <c r="U1288" s="16">
        <f>IFERROR(INDEX(BASE_CCLASSTRIB!$E:$E, MATCH(TEXT($D1288,"000000"), BASE_CCLASSTRIB!$A:$A, 0))/100, 0)</f>
        <v>0</v>
      </c>
      <c r="V1288" s="16">
        <f>IFERROR(INDEX(BASE_CCLASSTRIB!$F:$F, MATCH(TEXT($D1288,"000000"), BASE_CCLASSTRIB!$A:$A, 0))/100, 0)</f>
        <v>0</v>
      </c>
    </row>
    <row r="1289" spans="4:22" ht="32.25" customHeight="1">
      <c r="D1289" s="39"/>
      <c r="E1289" s="27" t="str">
        <f>IF(D1289="","",LEFT(D1289,3))</f>
        <v/>
      </c>
      <c r="F1289" s="28" t="str">
        <f>IF(E1289="","",IFERROR(VLOOKUP(E1289,REGRAS_CST!$A$2:$B$200,2,FALSE),""))</f>
        <v/>
      </c>
      <c r="H1289" s="29">
        <v>8.9999999999999993E-3</v>
      </c>
      <c r="I1289" s="29">
        <v>1E-3</v>
      </c>
      <c r="K1289" s="21" t="str">
        <f>IF(E1289="","",IFERROR(VLOOKUP(E1289,REGRAS_CST!$A$2:$C$200,3,FALSE),""))</f>
        <v/>
      </c>
      <c r="L1289" s="23" t="str">
        <f>IF($G1289="", "", $G1289*(1-$V1289))</f>
        <v/>
      </c>
      <c r="M1289" s="24" t="str">
        <f>IF(OR($L1289="",$S1289=""),"",$L1289*$S1289)</f>
        <v/>
      </c>
      <c r="N1289" s="24" t="str">
        <f>IF(OR($L1289="",$T1289=""),"",$L1289*$T1289)</f>
        <v/>
      </c>
      <c r="O1289" s="15" t="str">
        <f>IF(D1289="","",
IF(AND(K1289&lt;&gt;"SIM",V1289&gt;0),"ERRO: % BC &gt; 0, mas NÃO permitida ❌",
IF(AND(K1289="SIM",V1289=0),"ATENÇÃO: BC permitida, mas % = 0 🔎",
"Base de cálculo aplicada corretamente ✅")))</f>
        <v/>
      </c>
      <c r="P1289" s="31" t="str">
        <f>IF(D1289="","",
IF(AND(Q1289&lt;&gt;"SIM",U1289&gt;0),"ERRO: % alíquota &gt; 0, mas NÃO permitida ❌",
IF(AND(Q1289="SIM",U1289=0),"ATENÇÃO: alíquota permitida, mas % = 0 🔎",
"Alíquota aplicada corretamente ✅")))</f>
        <v/>
      </c>
      <c r="Q1289" s="8" t="str">
        <f>IF(E1289="","",IFERROR(VLOOKUP(E1289,REGRAS_CST!$A$2:$D$200,4,FALSE),""))</f>
        <v/>
      </c>
      <c r="S1289" s="9">
        <f>IF($H1289="","",$H1289*(1-$U1289))</f>
        <v>8.9999999999999993E-3</v>
      </c>
      <c r="T1289" s="9">
        <f>IF($I1289="","",$I1289*(1-$U1289))</f>
        <v>1E-3</v>
      </c>
      <c r="U1289" s="16">
        <f>IFERROR(INDEX(BASE_CCLASSTRIB!$E:$E, MATCH(TEXT($D1289,"000000"), BASE_CCLASSTRIB!$A:$A, 0))/100, 0)</f>
        <v>0</v>
      </c>
      <c r="V1289" s="16">
        <f>IFERROR(INDEX(BASE_CCLASSTRIB!$F:$F, MATCH(TEXT($D1289,"000000"), BASE_CCLASSTRIB!$A:$A, 0))/100, 0)</f>
        <v>0</v>
      </c>
    </row>
    <row r="1290" spans="4:22" ht="32.25" customHeight="1">
      <c r="D1290" s="39"/>
      <c r="E1290" s="27" t="str">
        <f>IF(D1290="","",LEFT(D1290,3))</f>
        <v/>
      </c>
      <c r="F1290" s="28" t="str">
        <f>IF(E1290="","",IFERROR(VLOOKUP(E1290,REGRAS_CST!$A$2:$B$200,2,FALSE),""))</f>
        <v/>
      </c>
      <c r="H1290" s="29">
        <v>8.9999999999999993E-3</v>
      </c>
      <c r="I1290" s="29">
        <v>1E-3</v>
      </c>
      <c r="K1290" s="21" t="str">
        <f>IF(E1290="","",IFERROR(VLOOKUP(E1290,REGRAS_CST!$A$2:$C$200,3,FALSE),""))</f>
        <v/>
      </c>
      <c r="L1290" s="23" t="str">
        <f>IF($G1290="", "", $G1290*(1-$V1290))</f>
        <v/>
      </c>
      <c r="M1290" s="24" t="str">
        <f>IF(OR($L1290="",$S1290=""),"",$L1290*$S1290)</f>
        <v/>
      </c>
      <c r="N1290" s="24" t="str">
        <f>IF(OR($L1290="",$T1290=""),"",$L1290*$T1290)</f>
        <v/>
      </c>
      <c r="O1290" s="15" t="str">
        <f>IF(D1290="","",
IF(AND(K1290&lt;&gt;"SIM",V1290&gt;0),"ERRO: % BC &gt; 0, mas NÃO permitida ❌",
IF(AND(K1290="SIM",V1290=0),"ATENÇÃO: BC permitida, mas % = 0 🔎",
"Base de cálculo aplicada corretamente ✅")))</f>
        <v/>
      </c>
      <c r="P1290" s="31" t="str">
        <f>IF(D1290="","",
IF(AND(Q1290&lt;&gt;"SIM",U1290&gt;0),"ERRO: % alíquota &gt; 0, mas NÃO permitida ❌",
IF(AND(Q1290="SIM",U1290=0),"ATENÇÃO: alíquota permitida, mas % = 0 🔎",
"Alíquota aplicada corretamente ✅")))</f>
        <v/>
      </c>
      <c r="Q1290" s="8" t="str">
        <f>IF(E1290="","",IFERROR(VLOOKUP(E1290,REGRAS_CST!$A$2:$D$200,4,FALSE),""))</f>
        <v/>
      </c>
      <c r="S1290" s="9">
        <f>IF($H1290="","",$H1290*(1-$U1290))</f>
        <v>8.9999999999999993E-3</v>
      </c>
      <c r="T1290" s="9">
        <f>IF($I1290="","",$I1290*(1-$U1290))</f>
        <v>1E-3</v>
      </c>
      <c r="U1290" s="16">
        <f>IFERROR(INDEX(BASE_CCLASSTRIB!$E:$E, MATCH(TEXT($D1290,"000000"), BASE_CCLASSTRIB!$A:$A, 0))/100, 0)</f>
        <v>0</v>
      </c>
      <c r="V1290" s="16">
        <f>IFERROR(INDEX(BASE_CCLASSTRIB!$F:$F, MATCH(TEXT($D1290,"000000"), BASE_CCLASSTRIB!$A:$A, 0))/100, 0)</f>
        <v>0</v>
      </c>
    </row>
    <row r="1291" spans="4:22" ht="32.25" customHeight="1">
      <c r="D1291" s="39"/>
      <c r="E1291" s="27" t="str">
        <f>IF(D1291="","",LEFT(D1291,3))</f>
        <v/>
      </c>
      <c r="F1291" s="28" t="str">
        <f>IF(E1291="","",IFERROR(VLOOKUP(E1291,REGRAS_CST!$A$2:$B$200,2,FALSE),""))</f>
        <v/>
      </c>
      <c r="H1291" s="29">
        <v>8.9999999999999993E-3</v>
      </c>
      <c r="I1291" s="29">
        <v>1E-3</v>
      </c>
      <c r="K1291" s="21" t="str">
        <f>IF(E1291="","",IFERROR(VLOOKUP(E1291,REGRAS_CST!$A$2:$C$200,3,FALSE),""))</f>
        <v/>
      </c>
      <c r="L1291" s="23" t="str">
        <f>IF($G1291="", "", $G1291*(1-$V1291))</f>
        <v/>
      </c>
      <c r="M1291" s="24" t="str">
        <f>IF(OR($L1291="",$S1291=""),"",$L1291*$S1291)</f>
        <v/>
      </c>
      <c r="N1291" s="24" t="str">
        <f>IF(OR($L1291="",$T1291=""),"",$L1291*$T1291)</f>
        <v/>
      </c>
      <c r="O1291" s="15" t="str">
        <f>IF(D1291="","",
IF(AND(K1291&lt;&gt;"SIM",V1291&gt;0),"ERRO: % BC &gt; 0, mas NÃO permitida ❌",
IF(AND(K1291="SIM",V1291=0),"ATENÇÃO: BC permitida, mas % = 0 🔎",
"Base de cálculo aplicada corretamente ✅")))</f>
        <v/>
      </c>
      <c r="P1291" s="31" t="str">
        <f>IF(D1291="","",
IF(AND(Q1291&lt;&gt;"SIM",U1291&gt;0),"ERRO: % alíquota &gt; 0, mas NÃO permitida ❌",
IF(AND(Q1291="SIM",U1291=0),"ATENÇÃO: alíquota permitida, mas % = 0 🔎",
"Alíquota aplicada corretamente ✅")))</f>
        <v/>
      </c>
      <c r="Q1291" s="8" t="str">
        <f>IF(E1291="","",IFERROR(VLOOKUP(E1291,REGRAS_CST!$A$2:$D$200,4,FALSE),""))</f>
        <v/>
      </c>
      <c r="S1291" s="9">
        <f>IF($H1291="","",$H1291*(1-$U1291))</f>
        <v>8.9999999999999993E-3</v>
      </c>
      <c r="T1291" s="9">
        <f>IF($I1291="","",$I1291*(1-$U1291))</f>
        <v>1E-3</v>
      </c>
      <c r="U1291" s="16">
        <f>IFERROR(INDEX(BASE_CCLASSTRIB!$E:$E, MATCH(TEXT($D1291,"000000"), BASE_CCLASSTRIB!$A:$A, 0))/100, 0)</f>
        <v>0</v>
      </c>
      <c r="V1291" s="16">
        <f>IFERROR(INDEX(BASE_CCLASSTRIB!$F:$F, MATCH(TEXT($D1291,"000000"), BASE_CCLASSTRIB!$A:$A, 0))/100, 0)</f>
        <v>0</v>
      </c>
    </row>
    <row r="1292" spans="4:22" ht="32.25" customHeight="1">
      <c r="D1292" s="39"/>
      <c r="E1292" s="27" t="str">
        <f>IF(D1292="","",LEFT(D1292,3))</f>
        <v/>
      </c>
      <c r="F1292" s="28" t="str">
        <f>IF(E1292="","",IFERROR(VLOOKUP(E1292,REGRAS_CST!$A$2:$B$200,2,FALSE),""))</f>
        <v/>
      </c>
      <c r="H1292" s="29">
        <v>8.9999999999999993E-3</v>
      </c>
      <c r="I1292" s="29">
        <v>1E-3</v>
      </c>
      <c r="K1292" s="21" t="str">
        <f>IF(E1292="","",IFERROR(VLOOKUP(E1292,REGRAS_CST!$A$2:$C$200,3,FALSE),""))</f>
        <v/>
      </c>
      <c r="L1292" s="23" t="str">
        <f>IF($G1292="", "", $G1292*(1-$V1292))</f>
        <v/>
      </c>
      <c r="M1292" s="24" t="str">
        <f>IF(OR($L1292="",$S1292=""),"",$L1292*$S1292)</f>
        <v/>
      </c>
      <c r="N1292" s="24" t="str">
        <f>IF(OR($L1292="",$T1292=""),"",$L1292*$T1292)</f>
        <v/>
      </c>
      <c r="O1292" s="15" t="str">
        <f>IF(D1292="","",
IF(AND(K1292&lt;&gt;"SIM",V1292&gt;0),"ERRO: % BC &gt; 0, mas NÃO permitida ❌",
IF(AND(K1292="SIM",V1292=0),"ATENÇÃO: BC permitida, mas % = 0 🔎",
"Base de cálculo aplicada corretamente ✅")))</f>
        <v/>
      </c>
      <c r="P1292" s="31" t="str">
        <f>IF(D1292="","",
IF(AND(Q1292&lt;&gt;"SIM",U1292&gt;0),"ERRO: % alíquota &gt; 0, mas NÃO permitida ❌",
IF(AND(Q1292="SIM",U1292=0),"ATENÇÃO: alíquota permitida, mas % = 0 🔎",
"Alíquota aplicada corretamente ✅")))</f>
        <v/>
      </c>
      <c r="Q1292" s="8" t="str">
        <f>IF(E1292="","",IFERROR(VLOOKUP(E1292,REGRAS_CST!$A$2:$D$200,4,FALSE),""))</f>
        <v/>
      </c>
      <c r="S1292" s="9">
        <f>IF($H1292="","",$H1292*(1-$U1292))</f>
        <v>8.9999999999999993E-3</v>
      </c>
      <c r="T1292" s="9">
        <f>IF($I1292="","",$I1292*(1-$U1292))</f>
        <v>1E-3</v>
      </c>
      <c r="U1292" s="16">
        <f>IFERROR(INDEX(BASE_CCLASSTRIB!$E:$E, MATCH(TEXT($D1292,"000000"), BASE_CCLASSTRIB!$A:$A, 0))/100, 0)</f>
        <v>0</v>
      </c>
      <c r="V1292" s="16">
        <f>IFERROR(INDEX(BASE_CCLASSTRIB!$F:$F, MATCH(TEXT($D1292,"000000"), BASE_CCLASSTRIB!$A:$A, 0))/100, 0)</f>
        <v>0</v>
      </c>
    </row>
    <row r="1293" spans="4:22" ht="32.25" customHeight="1">
      <c r="D1293" s="39"/>
      <c r="E1293" s="27" t="str">
        <f>IF(D1293="","",LEFT(D1293,3))</f>
        <v/>
      </c>
      <c r="F1293" s="28" t="str">
        <f>IF(E1293="","",IFERROR(VLOOKUP(E1293,REGRAS_CST!$A$2:$B$200,2,FALSE),""))</f>
        <v/>
      </c>
      <c r="H1293" s="29">
        <v>8.9999999999999993E-3</v>
      </c>
      <c r="I1293" s="29">
        <v>1E-3</v>
      </c>
      <c r="K1293" s="21" t="str">
        <f>IF(E1293="","",IFERROR(VLOOKUP(E1293,REGRAS_CST!$A$2:$C$200,3,FALSE),""))</f>
        <v/>
      </c>
      <c r="L1293" s="23" t="str">
        <f>IF($G1293="", "", $G1293*(1-$V1293))</f>
        <v/>
      </c>
      <c r="M1293" s="24" t="str">
        <f>IF(OR($L1293="",$S1293=""),"",$L1293*$S1293)</f>
        <v/>
      </c>
      <c r="N1293" s="24" t="str">
        <f>IF(OR($L1293="",$T1293=""),"",$L1293*$T1293)</f>
        <v/>
      </c>
      <c r="O1293" s="15" t="str">
        <f>IF(D1293="","",
IF(AND(K1293&lt;&gt;"SIM",V1293&gt;0),"ERRO: % BC &gt; 0, mas NÃO permitida ❌",
IF(AND(K1293="SIM",V1293=0),"ATENÇÃO: BC permitida, mas % = 0 🔎",
"Base de cálculo aplicada corretamente ✅")))</f>
        <v/>
      </c>
      <c r="P1293" s="31" t="str">
        <f>IF(D1293="","",
IF(AND(Q1293&lt;&gt;"SIM",U1293&gt;0),"ERRO: % alíquota &gt; 0, mas NÃO permitida ❌",
IF(AND(Q1293="SIM",U1293=0),"ATENÇÃO: alíquota permitida, mas % = 0 🔎",
"Alíquota aplicada corretamente ✅")))</f>
        <v/>
      </c>
      <c r="Q1293" s="8" t="str">
        <f>IF(E1293="","",IFERROR(VLOOKUP(E1293,REGRAS_CST!$A$2:$D$200,4,FALSE),""))</f>
        <v/>
      </c>
      <c r="S1293" s="9">
        <f>IF($H1293="","",$H1293*(1-$U1293))</f>
        <v>8.9999999999999993E-3</v>
      </c>
      <c r="T1293" s="9">
        <f>IF($I1293="","",$I1293*(1-$U1293))</f>
        <v>1E-3</v>
      </c>
      <c r="U1293" s="16">
        <f>IFERROR(INDEX(BASE_CCLASSTRIB!$E:$E, MATCH(TEXT($D1293,"000000"), BASE_CCLASSTRIB!$A:$A, 0))/100, 0)</f>
        <v>0</v>
      </c>
      <c r="V1293" s="16">
        <f>IFERROR(INDEX(BASE_CCLASSTRIB!$F:$F, MATCH(TEXT($D1293,"000000"), BASE_CCLASSTRIB!$A:$A, 0))/100, 0)</f>
        <v>0</v>
      </c>
    </row>
    <row r="1294" spans="4:22" ht="32.25" customHeight="1">
      <c r="D1294" s="39"/>
      <c r="E1294" s="27" t="str">
        <f>IF(D1294="","",LEFT(D1294,3))</f>
        <v/>
      </c>
      <c r="F1294" s="28" t="str">
        <f>IF(E1294="","",IFERROR(VLOOKUP(E1294,REGRAS_CST!$A$2:$B$200,2,FALSE),""))</f>
        <v/>
      </c>
      <c r="H1294" s="29">
        <v>8.9999999999999993E-3</v>
      </c>
      <c r="I1294" s="29">
        <v>1E-3</v>
      </c>
      <c r="K1294" s="21" t="str">
        <f>IF(E1294="","",IFERROR(VLOOKUP(E1294,REGRAS_CST!$A$2:$C$200,3,FALSE),""))</f>
        <v/>
      </c>
      <c r="L1294" s="23" t="str">
        <f>IF($G1294="", "", $G1294*(1-$V1294))</f>
        <v/>
      </c>
      <c r="M1294" s="24" t="str">
        <f>IF(OR($L1294="",$S1294=""),"",$L1294*$S1294)</f>
        <v/>
      </c>
      <c r="N1294" s="24" t="str">
        <f>IF(OR($L1294="",$T1294=""),"",$L1294*$T1294)</f>
        <v/>
      </c>
      <c r="O1294" s="15" t="str">
        <f>IF(D1294="","",
IF(AND(K1294&lt;&gt;"SIM",V1294&gt;0),"ERRO: % BC &gt; 0, mas NÃO permitida ❌",
IF(AND(K1294="SIM",V1294=0),"ATENÇÃO: BC permitida, mas % = 0 🔎",
"Base de cálculo aplicada corretamente ✅")))</f>
        <v/>
      </c>
      <c r="P1294" s="31" t="str">
        <f>IF(D1294="","",
IF(AND(Q1294&lt;&gt;"SIM",U1294&gt;0),"ERRO: % alíquota &gt; 0, mas NÃO permitida ❌",
IF(AND(Q1294="SIM",U1294=0),"ATENÇÃO: alíquota permitida, mas % = 0 🔎",
"Alíquota aplicada corretamente ✅")))</f>
        <v/>
      </c>
      <c r="Q1294" s="8" t="str">
        <f>IF(E1294="","",IFERROR(VLOOKUP(E1294,REGRAS_CST!$A$2:$D$200,4,FALSE),""))</f>
        <v/>
      </c>
      <c r="S1294" s="9">
        <f>IF($H1294="","",$H1294*(1-$U1294))</f>
        <v>8.9999999999999993E-3</v>
      </c>
      <c r="T1294" s="9">
        <f>IF($I1294="","",$I1294*(1-$U1294))</f>
        <v>1E-3</v>
      </c>
      <c r="U1294" s="16">
        <f>IFERROR(INDEX(BASE_CCLASSTRIB!$E:$E, MATCH(TEXT($D1294,"000000"), BASE_CCLASSTRIB!$A:$A, 0))/100, 0)</f>
        <v>0</v>
      </c>
      <c r="V1294" s="16">
        <f>IFERROR(INDEX(BASE_CCLASSTRIB!$F:$F, MATCH(TEXT($D1294,"000000"), BASE_CCLASSTRIB!$A:$A, 0))/100, 0)</f>
        <v>0</v>
      </c>
    </row>
    <row r="1295" spans="4:22" ht="32.25" customHeight="1">
      <c r="D1295" s="40"/>
      <c r="E1295" s="27" t="str">
        <f>IF(D1295="","",LEFT(D1295,3))</f>
        <v/>
      </c>
      <c r="F1295" s="28" t="str">
        <f>IF(E1295="","",IFERROR(VLOOKUP(E1295,REGRAS_CST!$A$2:$B$200,2,FALSE),""))</f>
        <v/>
      </c>
      <c r="H1295" s="29">
        <v>8.9999999999999993E-3</v>
      </c>
      <c r="I1295" s="29">
        <v>1E-3</v>
      </c>
      <c r="K1295" s="21" t="str">
        <f>IF(E1295="","",IFERROR(VLOOKUP(E1295,REGRAS_CST!$A$2:$C$200,3,FALSE),""))</f>
        <v/>
      </c>
      <c r="L1295" s="23" t="str">
        <f>IF($G1295="", "", $G1295*(1-$V1295))</f>
        <v/>
      </c>
      <c r="M1295" s="24" t="str">
        <f>IF(OR($L1295="",$S1295=""),"",$L1295*$S1295)</f>
        <v/>
      </c>
      <c r="N1295" s="24" t="str">
        <f>IF(OR($L1295="",$T1295=""),"",$L1295*$T1295)</f>
        <v/>
      </c>
      <c r="O1295" s="15" t="str">
        <f>IF(D1295="","",
IF(AND(K1295&lt;&gt;"SIM",V1295&gt;0),"ERRO: % BC &gt; 0, mas NÃO permitida ❌",
IF(AND(K1295="SIM",V1295=0),"ATENÇÃO: BC permitida, mas % = 0 🔎",
"Base de cálculo aplicada corretamente ✅")))</f>
        <v/>
      </c>
      <c r="P1295" s="31" t="str">
        <f>IF(D1295="","",
IF(AND(Q1295&lt;&gt;"SIM",U1295&gt;0),"ERRO: % alíquota &gt; 0, mas NÃO permitida ❌",
IF(AND(Q1295="SIM",U1295=0),"ATENÇÃO: alíquota permitida, mas % = 0 🔎",
"Alíquota aplicada corretamente ✅")))</f>
        <v/>
      </c>
      <c r="Q1295" s="8" t="str">
        <f>IF(E1295="","",IFERROR(VLOOKUP(E1295,REGRAS_CST!$A$2:$D$200,4,FALSE),""))</f>
        <v/>
      </c>
      <c r="S1295" s="9">
        <f>IF($H1295="","",$H1295*(1-$U1295))</f>
        <v>8.9999999999999993E-3</v>
      </c>
      <c r="T1295" s="9">
        <f>IF($I1295="","",$I1295*(1-$U1295))</f>
        <v>1E-3</v>
      </c>
      <c r="U1295" s="16">
        <f>IFERROR(INDEX(BASE_CCLASSTRIB!$E:$E, MATCH(TEXT($D1295,"000000"), BASE_CCLASSTRIB!$A:$A, 0))/100, 0)</f>
        <v>0</v>
      </c>
      <c r="V1295" s="16">
        <f>IFERROR(INDEX(BASE_CCLASSTRIB!$F:$F, MATCH(TEXT($D1295,"000000"), BASE_CCLASSTRIB!$A:$A, 0))/100, 0)</f>
        <v>0</v>
      </c>
    </row>
    <row r="1296" spans="4:22" ht="32.25" customHeight="1">
      <c r="D1296" s="40"/>
      <c r="E1296" s="27" t="str">
        <f>IF(D1296="","",LEFT(D1296,3))</f>
        <v/>
      </c>
      <c r="F1296" s="28" t="str">
        <f>IF(E1296="","",IFERROR(VLOOKUP(E1296,REGRAS_CST!$A$2:$B$200,2,FALSE),""))</f>
        <v/>
      </c>
      <c r="H1296" s="29">
        <v>8.9999999999999993E-3</v>
      </c>
      <c r="I1296" s="29">
        <v>1E-3</v>
      </c>
      <c r="K1296" s="21" t="str">
        <f>IF(E1296="","",IFERROR(VLOOKUP(E1296,REGRAS_CST!$A$2:$C$200,3,FALSE),""))</f>
        <v/>
      </c>
      <c r="L1296" s="23" t="str">
        <f>IF($G1296="", "", $G1296*(1-$V1296))</f>
        <v/>
      </c>
      <c r="M1296" s="24" t="str">
        <f>IF(OR($L1296="",$S1296=""),"",$L1296*$S1296)</f>
        <v/>
      </c>
      <c r="N1296" s="24" t="str">
        <f>IF(OR($L1296="",$T1296=""),"",$L1296*$T1296)</f>
        <v/>
      </c>
      <c r="O1296" s="15" t="str">
        <f>IF(D1296="","",
IF(AND(K1296&lt;&gt;"SIM",V1296&gt;0),"ERRO: % BC &gt; 0, mas NÃO permitida ❌",
IF(AND(K1296="SIM",V1296=0),"ATENÇÃO: BC permitida, mas % = 0 🔎",
"Base de cálculo aplicada corretamente ✅")))</f>
        <v/>
      </c>
      <c r="P1296" s="31" t="str">
        <f>IF(D1296="","",
IF(AND(Q1296&lt;&gt;"SIM",U1296&gt;0),"ERRO: % alíquota &gt; 0, mas NÃO permitida ❌",
IF(AND(Q1296="SIM",U1296=0),"ATENÇÃO: alíquota permitida, mas % = 0 🔎",
"Alíquota aplicada corretamente ✅")))</f>
        <v/>
      </c>
      <c r="Q1296" s="8" t="str">
        <f>IF(E1296="","",IFERROR(VLOOKUP(E1296,REGRAS_CST!$A$2:$D$200,4,FALSE),""))</f>
        <v/>
      </c>
      <c r="S1296" s="9">
        <f>IF($H1296="","",$H1296*(1-$U1296))</f>
        <v>8.9999999999999993E-3</v>
      </c>
      <c r="T1296" s="9">
        <f>IF($I1296="","",$I1296*(1-$U1296))</f>
        <v>1E-3</v>
      </c>
      <c r="U1296" s="16">
        <f>IFERROR(INDEX(BASE_CCLASSTRIB!$E:$E, MATCH(TEXT($D1296,"000000"), BASE_CCLASSTRIB!$A:$A, 0))/100, 0)</f>
        <v>0</v>
      </c>
      <c r="V1296" s="16">
        <f>IFERROR(INDEX(BASE_CCLASSTRIB!$F:$F, MATCH(TEXT($D1296,"000000"), BASE_CCLASSTRIB!$A:$A, 0))/100, 0)</f>
        <v>0</v>
      </c>
    </row>
    <row r="1297" spans="4:22" ht="32.25" customHeight="1">
      <c r="D1297" s="39"/>
      <c r="E1297" s="27" t="str">
        <f>IF(D1297="","",LEFT(D1297,3))</f>
        <v/>
      </c>
      <c r="F1297" s="28" t="str">
        <f>IF(E1297="","",IFERROR(VLOOKUP(E1297,REGRAS_CST!$A$2:$B$200,2,FALSE),""))</f>
        <v/>
      </c>
      <c r="H1297" s="29">
        <v>8.9999999999999993E-3</v>
      </c>
      <c r="I1297" s="29">
        <v>1E-3</v>
      </c>
      <c r="K1297" s="21" t="str">
        <f>IF(E1297="","",IFERROR(VLOOKUP(E1297,REGRAS_CST!$A$2:$C$200,3,FALSE),""))</f>
        <v/>
      </c>
      <c r="L1297" s="23" t="str">
        <f>IF($G1297="", "", $G1297*(1-$V1297))</f>
        <v/>
      </c>
      <c r="M1297" s="24" t="str">
        <f>IF(OR($L1297="",$S1297=""),"",$L1297*$S1297)</f>
        <v/>
      </c>
      <c r="N1297" s="24" t="str">
        <f>IF(OR($L1297="",$T1297=""),"",$L1297*$T1297)</f>
        <v/>
      </c>
      <c r="O1297" s="15" t="str">
        <f>IF(D1297="","",
IF(AND(K1297&lt;&gt;"SIM",V1297&gt;0),"ERRO: % BC &gt; 0, mas NÃO permitida ❌",
IF(AND(K1297="SIM",V1297=0),"ATENÇÃO: BC permitida, mas % = 0 🔎",
"Base de cálculo aplicada corretamente ✅")))</f>
        <v/>
      </c>
      <c r="P1297" s="31" t="str">
        <f>IF(D1297="","",
IF(AND(Q1297&lt;&gt;"SIM",U1297&gt;0),"ERRO: % alíquota &gt; 0, mas NÃO permitida ❌",
IF(AND(Q1297="SIM",U1297=0),"ATENÇÃO: alíquota permitida, mas % = 0 🔎",
"Alíquota aplicada corretamente ✅")))</f>
        <v/>
      </c>
      <c r="Q1297" s="8" t="str">
        <f>IF(E1297="","",IFERROR(VLOOKUP(E1297,REGRAS_CST!$A$2:$D$200,4,FALSE),""))</f>
        <v/>
      </c>
      <c r="S1297" s="9">
        <f>IF($H1297="","",$H1297*(1-$U1297))</f>
        <v>8.9999999999999993E-3</v>
      </c>
      <c r="T1297" s="9">
        <f>IF($I1297="","",$I1297*(1-$U1297))</f>
        <v>1E-3</v>
      </c>
      <c r="U1297" s="16">
        <f>IFERROR(INDEX(BASE_CCLASSTRIB!$E:$E, MATCH(TEXT($D1297,"000000"), BASE_CCLASSTRIB!$A:$A, 0))/100, 0)</f>
        <v>0</v>
      </c>
      <c r="V1297" s="16">
        <f>IFERROR(INDEX(BASE_CCLASSTRIB!$F:$F, MATCH(TEXT($D1297,"000000"), BASE_CCLASSTRIB!$A:$A, 0))/100, 0)</f>
        <v>0</v>
      </c>
    </row>
    <row r="1298" spans="4:22" ht="32.25" customHeight="1">
      <c r="D1298" s="39"/>
      <c r="E1298" s="27" t="str">
        <f>IF(D1298="","",LEFT(D1298,3))</f>
        <v/>
      </c>
      <c r="F1298" s="28" t="str">
        <f>IF(E1298="","",IFERROR(VLOOKUP(E1298,REGRAS_CST!$A$2:$B$200,2,FALSE),""))</f>
        <v/>
      </c>
      <c r="H1298" s="29">
        <v>8.9999999999999993E-3</v>
      </c>
      <c r="I1298" s="29">
        <v>1E-3</v>
      </c>
      <c r="K1298" s="21" t="str">
        <f>IF(E1298="","",IFERROR(VLOOKUP(E1298,REGRAS_CST!$A$2:$C$200,3,FALSE),""))</f>
        <v/>
      </c>
      <c r="L1298" s="23" t="str">
        <f>IF($G1298="", "", $G1298*(1-$V1298))</f>
        <v/>
      </c>
      <c r="M1298" s="24" t="str">
        <f>IF(OR($L1298="",$S1298=""),"",$L1298*$S1298)</f>
        <v/>
      </c>
      <c r="N1298" s="24" t="str">
        <f>IF(OR($L1298="",$T1298=""),"",$L1298*$T1298)</f>
        <v/>
      </c>
      <c r="O1298" s="15" t="str">
        <f>IF(D1298="","",
IF(AND(K1298&lt;&gt;"SIM",V1298&gt;0),"ERRO: % BC &gt; 0, mas NÃO permitida ❌",
IF(AND(K1298="SIM",V1298=0),"ATENÇÃO: BC permitida, mas % = 0 🔎",
"Base de cálculo aplicada corretamente ✅")))</f>
        <v/>
      </c>
      <c r="P1298" s="31" t="str">
        <f>IF(D1298="","",
IF(AND(Q1298&lt;&gt;"SIM",U1298&gt;0),"ERRO: % alíquota &gt; 0, mas NÃO permitida ❌",
IF(AND(Q1298="SIM",U1298=0),"ATENÇÃO: alíquota permitida, mas % = 0 🔎",
"Alíquota aplicada corretamente ✅")))</f>
        <v/>
      </c>
      <c r="Q1298" s="8" t="str">
        <f>IF(E1298="","",IFERROR(VLOOKUP(E1298,REGRAS_CST!$A$2:$D$200,4,FALSE),""))</f>
        <v/>
      </c>
      <c r="S1298" s="9">
        <f>IF($H1298="","",$H1298*(1-$U1298))</f>
        <v>8.9999999999999993E-3</v>
      </c>
      <c r="T1298" s="9">
        <f>IF($I1298="","",$I1298*(1-$U1298))</f>
        <v>1E-3</v>
      </c>
      <c r="U1298" s="16">
        <f>IFERROR(INDEX(BASE_CCLASSTRIB!$E:$E, MATCH(TEXT($D1298,"000000"), BASE_CCLASSTRIB!$A:$A, 0))/100, 0)</f>
        <v>0</v>
      </c>
      <c r="V1298" s="16">
        <f>IFERROR(INDEX(BASE_CCLASSTRIB!$F:$F, MATCH(TEXT($D1298,"000000"), BASE_CCLASSTRIB!$A:$A, 0))/100, 0)</f>
        <v>0</v>
      </c>
    </row>
    <row r="1299" spans="4:22" ht="32.25" customHeight="1">
      <c r="D1299" s="40"/>
      <c r="E1299" s="27" t="str">
        <f>IF(D1299="","",LEFT(D1299,3))</f>
        <v/>
      </c>
      <c r="F1299" s="28" t="str">
        <f>IF(E1299="","",IFERROR(VLOOKUP(E1299,REGRAS_CST!$A$2:$B$200,2,FALSE),""))</f>
        <v/>
      </c>
      <c r="H1299" s="29">
        <v>8.9999999999999993E-3</v>
      </c>
      <c r="I1299" s="29">
        <v>1E-3</v>
      </c>
      <c r="K1299" s="21" t="str">
        <f>IF(E1299="","",IFERROR(VLOOKUP(E1299,REGRAS_CST!$A$2:$C$200,3,FALSE),""))</f>
        <v/>
      </c>
      <c r="L1299" s="23" t="str">
        <f>IF($G1299="", "", $G1299*(1-$V1299))</f>
        <v/>
      </c>
      <c r="M1299" s="24" t="str">
        <f>IF(OR($L1299="",$S1299=""),"",$L1299*$S1299)</f>
        <v/>
      </c>
      <c r="N1299" s="24" t="str">
        <f>IF(OR($L1299="",$T1299=""),"",$L1299*$T1299)</f>
        <v/>
      </c>
      <c r="O1299" s="15" t="str">
        <f>IF(D1299="","",
IF(AND(K1299&lt;&gt;"SIM",V1299&gt;0),"ERRO: % BC &gt; 0, mas NÃO permitida ❌",
IF(AND(K1299="SIM",V1299=0),"ATENÇÃO: BC permitida, mas % = 0 🔎",
"Base de cálculo aplicada corretamente ✅")))</f>
        <v/>
      </c>
      <c r="P1299" s="31" t="str">
        <f>IF(D1299="","",
IF(AND(Q1299&lt;&gt;"SIM",U1299&gt;0),"ERRO: % alíquota &gt; 0, mas NÃO permitida ❌",
IF(AND(Q1299="SIM",U1299=0),"ATENÇÃO: alíquota permitida, mas % = 0 🔎",
"Alíquota aplicada corretamente ✅")))</f>
        <v/>
      </c>
      <c r="Q1299" s="8" t="str">
        <f>IF(E1299="","",IFERROR(VLOOKUP(E1299,REGRAS_CST!$A$2:$D$200,4,FALSE),""))</f>
        <v/>
      </c>
      <c r="S1299" s="9">
        <f>IF($H1299="","",$H1299*(1-$U1299))</f>
        <v>8.9999999999999993E-3</v>
      </c>
      <c r="T1299" s="9">
        <f>IF($I1299="","",$I1299*(1-$U1299))</f>
        <v>1E-3</v>
      </c>
      <c r="U1299" s="16">
        <f>IFERROR(INDEX(BASE_CCLASSTRIB!$E:$E, MATCH(TEXT($D1299,"000000"), BASE_CCLASSTRIB!$A:$A, 0))/100, 0)</f>
        <v>0</v>
      </c>
      <c r="V1299" s="16">
        <f>IFERROR(INDEX(BASE_CCLASSTRIB!$F:$F, MATCH(TEXT($D1299,"000000"), BASE_CCLASSTRIB!$A:$A, 0))/100, 0)</f>
        <v>0</v>
      </c>
    </row>
    <row r="1300" spans="4:22" ht="32.25" customHeight="1">
      <c r="D1300" s="40"/>
      <c r="E1300" s="27" t="str">
        <f>IF(D1300="","",LEFT(D1300,3))</f>
        <v/>
      </c>
      <c r="F1300" s="28" t="str">
        <f>IF(E1300="","",IFERROR(VLOOKUP(E1300,REGRAS_CST!$A$2:$B$200,2,FALSE),""))</f>
        <v/>
      </c>
      <c r="H1300" s="29">
        <v>8.9999999999999993E-3</v>
      </c>
      <c r="I1300" s="29">
        <v>1E-3</v>
      </c>
      <c r="K1300" s="21" t="str">
        <f>IF(E1300="","",IFERROR(VLOOKUP(E1300,REGRAS_CST!$A$2:$C$200,3,FALSE),""))</f>
        <v/>
      </c>
      <c r="L1300" s="23" t="str">
        <f>IF($G1300="", "", $G1300*(1-$V1300))</f>
        <v/>
      </c>
      <c r="M1300" s="24" t="str">
        <f>IF(OR($L1300="",$S1300=""),"",$L1300*$S1300)</f>
        <v/>
      </c>
      <c r="N1300" s="24" t="str">
        <f>IF(OR($L1300="",$T1300=""),"",$L1300*$T1300)</f>
        <v/>
      </c>
      <c r="O1300" s="15" t="str">
        <f>IF(D1300="","",
IF(AND(K1300&lt;&gt;"SIM",V1300&gt;0),"ERRO: % BC &gt; 0, mas NÃO permitida ❌",
IF(AND(K1300="SIM",V1300=0),"ATENÇÃO: BC permitida, mas % = 0 🔎",
"Base de cálculo aplicada corretamente ✅")))</f>
        <v/>
      </c>
      <c r="P1300" s="31" t="str">
        <f>IF(D1300="","",
IF(AND(Q1300&lt;&gt;"SIM",U1300&gt;0),"ERRO: % alíquota &gt; 0, mas NÃO permitida ❌",
IF(AND(Q1300="SIM",U1300=0),"ATENÇÃO: alíquota permitida, mas % = 0 🔎",
"Alíquota aplicada corretamente ✅")))</f>
        <v/>
      </c>
      <c r="Q1300" s="8" t="str">
        <f>IF(E1300="","",IFERROR(VLOOKUP(E1300,REGRAS_CST!$A$2:$D$200,4,FALSE),""))</f>
        <v/>
      </c>
      <c r="S1300" s="9">
        <f>IF($H1300="","",$H1300*(1-$U1300))</f>
        <v>8.9999999999999993E-3</v>
      </c>
      <c r="T1300" s="9">
        <f>IF($I1300="","",$I1300*(1-$U1300))</f>
        <v>1E-3</v>
      </c>
      <c r="U1300" s="16">
        <f>IFERROR(INDEX(BASE_CCLASSTRIB!$E:$E, MATCH(TEXT($D1300,"000000"), BASE_CCLASSTRIB!$A:$A, 0))/100, 0)</f>
        <v>0</v>
      </c>
      <c r="V1300" s="16">
        <f>IFERROR(INDEX(BASE_CCLASSTRIB!$F:$F, MATCH(TEXT($D1300,"000000"), BASE_CCLASSTRIB!$A:$A, 0))/100, 0)</f>
        <v>0</v>
      </c>
    </row>
    <row r="1301" spans="4:22" ht="32.25" customHeight="1">
      <c r="D1301" s="39"/>
      <c r="E1301" s="27" t="str">
        <f>IF(D1301="","",LEFT(D1301,3))</f>
        <v/>
      </c>
      <c r="F1301" s="28" t="str">
        <f>IF(E1301="","",IFERROR(VLOOKUP(E1301,REGRAS_CST!$A$2:$B$200,2,FALSE),""))</f>
        <v/>
      </c>
      <c r="H1301" s="29">
        <v>8.9999999999999993E-3</v>
      </c>
      <c r="I1301" s="29">
        <v>1E-3</v>
      </c>
      <c r="K1301" s="21" t="str">
        <f>IF(E1301="","",IFERROR(VLOOKUP(E1301,REGRAS_CST!$A$2:$C$200,3,FALSE),""))</f>
        <v/>
      </c>
      <c r="L1301" s="23" t="str">
        <f>IF($G1301="", "", $G1301*(1-$V1301))</f>
        <v/>
      </c>
      <c r="M1301" s="24" t="str">
        <f>IF(OR($L1301="",$S1301=""),"",$L1301*$S1301)</f>
        <v/>
      </c>
      <c r="N1301" s="24" t="str">
        <f>IF(OR($L1301="",$T1301=""),"",$L1301*$T1301)</f>
        <v/>
      </c>
      <c r="O1301" s="15" t="str">
        <f>IF(D1301="","",
IF(AND(K1301&lt;&gt;"SIM",V1301&gt;0),"ERRO: % BC &gt; 0, mas NÃO permitida ❌",
IF(AND(K1301="SIM",V1301=0),"ATENÇÃO: BC permitida, mas % = 0 🔎",
"Base de cálculo aplicada corretamente ✅")))</f>
        <v/>
      </c>
      <c r="P1301" s="31" t="str">
        <f>IF(D1301="","",
IF(AND(Q1301&lt;&gt;"SIM",U1301&gt;0),"ERRO: % alíquota &gt; 0, mas NÃO permitida ❌",
IF(AND(Q1301="SIM",U1301=0),"ATENÇÃO: alíquota permitida, mas % = 0 🔎",
"Alíquota aplicada corretamente ✅")))</f>
        <v/>
      </c>
      <c r="Q1301" s="8" t="str">
        <f>IF(E1301="","",IFERROR(VLOOKUP(E1301,REGRAS_CST!$A$2:$D$200,4,FALSE),""))</f>
        <v/>
      </c>
      <c r="S1301" s="9">
        <f>IF($H1301="","",$H1301*(1-$U1301))</f>
        <v>8.9999999999999993E-3</v>
      </c>
      <c r="T1301" s="9">
        <f>IF($I1301="","",$I1301*(1-$U1301))</f>
        <v>1E-3</v>
      </c>
      <c r="U1301" s="16">
        <f>IFERROR(INDEX(BASE_CCLASSTRIB!$E:$E, MATCH(TEXT($D1301,"000000"), BASE_CCLASSTRIB!$A:$A, 0))/100, 0)</f>
        <v>0</v>
      </c>
      <c r="V1301" s="16">
        <f>IFERROR(INDEX(BASE_CCLASSTRIB!$F:$F, MATCH(TEXT($D1301,"000000"), BASE_CCLASSTRIB!$A:$A, 0))/100, 0)</f>
        <v>0</v>
      </c>
    </row>
    <row r="1302" spans="4:22" ht="32.25" customHeight="1">
      <c r="D1302" s="39"/>
      <c r="E1302" s="27" t="str">
        <f>IF(D1302="","",LEFT(D1302,3))</f>
        <v/>
      </c>
      <c r="F1302" s="28" t="str">
        <f>IF(E1302="","",IFERROR(VLOOKUP(E1302,REGRAS_CST!$A$2:$B$200,2,FALSE),""))</f>
        <v/>
      </c>
      <c r="H1302" s="29">
        <v>8.9999999999999993E-3</v>
      </c>
      <c r="I1302" s="29">
        <v>1E-3</v>
      </c>
      <c r="K1302" s="21" t="str">
        <f>IF(E1302="","",IFERROR(VLOOKUP(E1302,REGRAS_CST!$A$2:$C$200,3,FALSE),""))</f>
        <v/>
      </c>
      <c r="L1302" s="23" t="str">
        <f>IF($G1302="", "", $G1302*(1-$V1302))</f>
        <v/>
      </c>
      <c r="M1302" s="24" t="str">
        <f>IF(OR($L1302="",$S1302=""),"",$L1302*$S1302)</f>
        <v/>
      </c>
      <c r="N1302" s="24" t="str">
        <f>IF(OR($L1302="",$T1302=""),"",$L1302*$T1302)</f>
        <v/>
      </c>
      <c r="O1302" s="15" t="str">
        <f>IF(D1302="","",
IF(AND(K1302&lt;&gt;"SIM",V1302&gt;0),"ERRO: % BC &gt; 0, mas NÃO permitida ❌",
IF(AND(K1302="SIM",V1302=0),"ATENÇÃO: BC permitida, mas % = 0 🔎",
"Base de cálculo aplicada corretamente ✅")))</f>
        <v/>
      </c>
      <c r="P1302" s="31" t="str">
        <f>IF(D1302="","",
IF(AND(Q1302&lt;&gt;"SIM",U1302&gt;0),"ERRO: % alíquota &gt; 0, mas NÃO permitida ❌",
IF(AND(Q1302="SIM",U1302=0),"ATENÇÃO: alíquota permitida, mas % = 0 🔎",
"Alíquota aplicada corretamente ✅")))</f>
        <v/>
      </c>
      <c r="Q1302" s="8" t="str">
        <f>IF(E1302="","",IFERROR(VLOOKUP(E1302,REGRAS_CST!$A$2:$D$200,4,FALSE),""))</f>
        <v/>
      </c>
      <c r="S1302" s="9">
        <f>IF($H1302="","",$H1302*(1-$U1302))</f>
        <v>8.9999999999999993E-3</v>
      </c>
      <c r="T1302" s="9">
        <f>IF($I1302="","",$I1302*(1-$U1302))</f>
        <v>1E-3</v>
      </c>
      <c r="U1302" s="16">
        <f>IFERROR(INDEX(BASE_CCLASSTRIB!$E:$E, MATCH(TEXT($D1302,"000000"), BASE_CCLASSTRIB!$A:$A, 0))/100, 0)</f>
        <v>0</v>
      </c>
      <c r="V1302" s="16">
        <f>IFERROR(INDEX(BASE_CCLASSTRIB!$F:$F, MATCH(TEXT($D1302,"000000"), BASE_CCLASSTRIB!$A:$A, 0))/100, 0)</f>
        <v>0</v>
      </c>
    </row>
    <row r="1303" spans="4:22" ht="32.25" customHeight="1">
      <c r="D1303" s="39"/>
      <c r="E1303" s="27" t="str">
        <f>IF(D1303="","",LEFT(D1303,3))</f>
        <v/>
      </c>
      <c r="F1303" s="28" t="str">
        <f>IF(E1303="","",IFERROR(VLOOKUP(E1303,REGRAS_CST!$A$2:$B$200,2,FALSE),""))</f>
        <v/>
      </c>
      <c r="H1303" s="29">
        <v>8.9999999999999993E-3</v>
      </c>
      <c r="I1303" s="29">
        <v>1E-3</v>
      </c>
      <c r="K1303" s="21" t="str">
        <f>IF(E1303="","",IFERROR(VLOOKUP(E1303,REGRAS_CST!$A$2:$C$200,3,FALSE),""))</f>
        <v/>
      </c>
      <c r="L1303" s="23" t="str">
        <f>IF($G1303="", "", $G1303*(1-$V1303))</f>
        <v/>
      </c>
      <c r="M1303" s="24" t="str">
        <f>IF(OR($L1303="",$S1303=""),"",$L1303*$S1303)</f>
        <v/>
      </c>
      <c r="N1303" s="24" t="str">
        <f>IF(OR($L1303="",$T1303=""),"",$L1303*$T1303)</f>
        <v/>
      </c>
      <c r="O1303" s="15" t="str">
        <f>IF(D1303="","",
IF(AND(K1303&lt;&gt;"SIM",V1303&gt;0),"ERRO: % BC &gt; 0, mas NÃO permitida ❌",
IF(AND(K1303="SIM",V1303=0),"ATENÇÃO: BC permitida, mas % = 0 🔎",
"Base de cálculo aplicada corretamente ✅")))</f>
        <v/>
      </c>
      <c r="P1303" s="31" t="str">
        <f>IF(D1303="","",
IF(AND(Q1303&lt;&gt;"SIM",U1303&gt;0),"ERRO: % alíquota &gt; 0, mas NÃO permitida ❌",
IF(AND(Q1303="SIM",U1303=0),"ATENÇÃO: alíquota permitida, mas % = 0 🔎",
"Alíquota aplicada corretamente ✅")))</f>
        <v/>
      </c>
      <c r="Q1303" s="8" t="str">
        <f>IF(E1303="","",IFERROR(VLOOKUP(E1303,REGRAS_CST!$A$2:$D$200,4,FALSE),""))</f>
        <v/>
      </c>
      <c r="S1303" s="9">
        <f>IF($H1303="","",$H1303*(1-$U1303))</f>
        <v>8.9999999999999993E-3</v>
      </c>
      <c r="T1303" s="9">
        <f>IF($I1303="","",$I1303*(1-$U1303))</f>
        <v>1E-3</v>
      </c>
      <c r="U1303" s="16">
        <f>IFERROR(INDEX(BASE_CCLASSTRIB!$E:$E, MATCH(TEXT($D1303,"000000"), BASE_CCLASSTRIB!$A:$A, 0))/100, 0)</f>
        <v>0</v>
      </c>
      <c r="V1303" s="16">
        <f>IFERROR(INDEX(BASE_CCLASSTRIB!$F:$F, MATCH(TEXT($D1303,"000000"), BASE_CCLASSTRIB!$A:$A, 0))/100, 0)</f>
        <v>0</v>
      </c>
    </row>
    <row r="1304" spans="4:22" ht="32.25" customHeight="1">
      <c r="D1304" s="40"/>
      <c r="E1304" s="27" t="str">
        <f>IF(D1304="","",LEFT(D1304,3))</f>
        <v/>
      </c>
      <c r="F1304" s="28" t="str">
        <f>IF(E1304="","",IFERROR(VLOOKUP(E1304,REGRAS_CST!$A$2:$B$200,2,FALSE),""))</f>
        <v/>
      </c>
      <c r="H1304" s="29">
        <v>8.9999999999999993E-3</v>
      </c>
      <c r="I1304" s="29">
        <v>1E-3</v>
      </c>
      <c r="K1304" s="21" t="str">
        <f>IF(E1304="","",IFERROR(VLOOKUP(E1304,REGRAS_CST!$A$2:$C$200,3,FALSE),""))</f>
        <v/>
      </c>
      <c r="L1304" s="23" t="str">
        <f>IF($G1304="", "", $G1304*(1-$V1304))</f>
        <v/>
      </c>
      <c r="M1304" s="24" t="str">
        <f>IF(OR($L1304="",$S1304=""),"",$L1304*$S1304)</f>
        <v/>
      </c>
      <c r="N1304" s="24" t="str">
        <f>IF(OR($L1304="",$T1304=""),"",$L1304*$T1304)</f>
        <v/>
      </c>
      <c r="O1304" s="15" t="str">
        <f>IF(D1304="","",
IF(AND(K1304&lt;&gt;"SIM",V1304&gt;0),"ERRO: % BC &gt; 0, mas NÃO permitida ❌",
IF(AND(K1304="SIM",V1304=0),"ATENÇÃO: BC permitida, mas % = 0 🔎",
"Base de cálculo aplicada corretamente ✅")))</f>
        <v/>
      </c>
      <c r="P1304" s="31" t="str">
        <f>IF(D1304="","",
IF(AND(Q1304&lt;&gt;"SIM",U1304&gt;0),"ERRO: % alíquota &gt; 0, mas NÃO permitida ❌",
IF(AND(Q1304="SIM",U1304=0),"ATENÇÃO: alíquota permitida, mas % = 0 🔎",
"Alíquota aplicada corretamente ✅")))</f>
        <v/>
      </c>
      <c r="Q1304" s="8" t="str">
        <f>IF(E1304="","",IFERROR(VLOOKUP(E1304,REGRAS_CST!$A$2:$D$200,4,FALSE),""))</f>
        <v/>
      </c>
      <c r="S1304" s="9">
        <f>IF($H1304="","",$H1304*(1-$U1304))</f>
        <v>8.9999999999999993E-3</v>
      </c>
      <c r="T1304" s="9">
        <f>IF($I1304="","",$I1304*(1-$U1304))</f>
        <v>1E-3</v>
      </c>
      <c r="U1304" s="16">
        <f>IFERROR(INDEX(BASE_CCLASSTRIB!$E:$E, MATCH(TEXT($D1304,"000000"), BASE_CCLASSTRIB!$A:$A, 0))/100, 0)</f>
        <v>0</v>
      </c>
      <c r="V1304" s="16">
        <f>IFERROR(INDEX(BASE_CCLASSTRIB!$F:$F, MATCH(TEXT($D1304,"000000"), BASE_CCLASSTRIB!$A:$A, 0))/100, 0)</f>
        <v>0</v>
      </c>
    </row>
    <row r="1305" spans="4:22" ht="32.25" customHeight="1">
      <c r="D1305" s="39"/>
      <c r="E1305" s="27" t="str">
        <f>IF(D1305="","",LEFT(D1305,3))</f>
        <v/>
      </c>
      <c r="F1305" s="28" t="str">
        <f>IF(E1305="","",IFERROR(VLOOKUP(E1305,REGRAS_CST!$A$2:$B$200,2,FALSE),""))</f>
        <v/>
      </c>
      <c r="H1305" s="29">
        <v>8.9999999999999993E-3</v>
      </c>
      <c r="I1305" s="29">
        <v>1E-3</v>
      </c>
      <c r="K1305" s="21" t="str">
        <f>IF(E1305="","",IFERROR(VLOOKUP(E1305,REGRAS_CST!$A$2:$C$200,3,FALSE),""))</f>
        <v/>
      </c>
      <c r="L1305" s="23" t="str">
        <f>IF($G1305="", "", $G1305*(1-$V1305))</f>
        <v/>
      </c>
      <c r="M1305" s="24" t="str">
        <f>IF(OR($L1305="",$S1305=""),"",$L1305*$S1305)</f>
        <v/>
      </c>
      <c r="N1305" s="24" t="str">
        <f>IF(OR($L1305="",$T1305=""),"",$L1305*$T1305)</f>
        <v/>
      </c>
      <c r="O1305" s="15" t="str">
        <f>IF(D1305="","",
IF(AND(K1305&lt;&gt;"SIM",V1305&gt;0),"ERRO: % BC &gt; 0, mas NÃO permitida ❌",
IF(AND(K1305="SIM",V1305=0),"ATENÇÃO: BC permitida, mas % = 0 🔎",
"Base de cálculo aplicada corretamente ✅")))</f>
        <v/>
      </c>
      <c r="P1305" s="31" t="str">
        <f>IF(D1305="","",
IF(AND(Q1305&lt;&gt;"SIM",U1305&gt;0),"ERRO: % alíquota &gt; 0, mas NÃO permitida ❌",
IF(AND(Q1305="SIM",U1305=0),"ATENÇÃO: alíquota permitida, mas % = 0 🔎",
"Alíquota aplicada corretamente ✅")))</f>
        <v/>
      </c>
      <c r="Q1305" s="8" t="str">
        <f>IF(E1305="","",IFERROR(VLOOKUP(E1305,REGRAS_CST!$A$2:$D$200,4,FALSE),""))</f>
        <v/>
      </c>
      <c r="S1305" s="9">
        <f>IF($H1305="","",$H1305*(1-$U1305))</f>
        <v>8.9999999999999993E-3</v>
      </c>
      <c r="T1305" s="9">
        <f>IF($I1305="","",$I1305*(1-$U1305))</f>
        <v>1E-3</v>
      </c>
      <c r="U1305" s="16">
        <f>IFERROR(INDEX(BASE_CCLASSTRIB!$E:$E, MATCH(TEXT($D1305,"000000"), BASE_CCLASSTRIB!$A:$A, 0))/100, 0)</f>
        <v>0</v>
      </c>
      <c r="V1305" s="16">
        <f>IFERROR(INDEX(BASE_CCLASSTRIB!$F:$F, MATCH(TEXT($D1305,"000000"), BASE_CCLASSTRIB!$A:$A, 0))/100, 0)</f>
        <v>0</v>
      </c>
    </row>
    <row r="1306" spans="4:22" ht="32.25" customHeight="1">
      <c r="D1306" s="40"/>
      <c r="E1306" s="27" t="str">
        <f>IF(D1306="","",LEFT(D1306,3))</f>
        <v/>
      </c>
      <c r="F1306" s="28" t="str">
        <f>IF(E1306="","",IFERROR(VLOOKUP(E1306,REGRAS_CST!$A$2:$B$200,2,FALSE),""))</f>
        <v/>
      </c>
      <c r="H1306" s="29">
        <v>8.9999999999999993E-3</v>
      </c>
      <c r="I1306" s="29">
        <v>1E-3</v>
      </c>
      <c r="K1306" s="21" t="str">
        <f>IF(E1306="","",IFERROR(VLOOKUP(E1306,REGRAS_CST!$A$2:$C$200,3,FALSE),""))</f>
        <v/>
      </c>
      <c r="L1306" s="23" t="str">
        <f>IF($G1306="", "", $G1306*(1-$V1306))</f>
        <v/>
      </c>
      <c r="M1306" s="24" t="str">
        <f>IF(OR($L1306="",$S1306=""),"",$L1306*$S1306)</f>
        <v/>
      </c>
      <c r="N1306" s="24" t="str">
        <f>IF(OR($L1306="",$T1306=""),"",$L1306*$T1306)</f>
        <v/>
      </c>
      <c r="O1306" s="15" t="str">
        <f>IF(D1306="","",
IF(AND(K1306&lt;&gt;"SIM",V1306&gt;0),"ERRO: % BC &gt; 0, mas NÃO permitida ❌",
IF(AND(K1306="SIM",V1306=0),"ATENÇÃO: BC permitida, mas % = 0 🔎",
"Base de cálculo aplicada corretamente ✅")))</f>
        <v/>
      </c>
      <c r="P1306" s="31" t="str">
        <f>IF(D1306="","",
IF(AND(Q1306&lt;&gt;"SIM",U1306&gt;0),"ERRO: % alíquota &gt; 0, mas NÃO permitida ❌",
IF(AND(Q1306="SIM",U1306=0),"ATENÇÃO: alíquota permitida, mas % = 0 🔎",
"Alíquota aplicada corretamente ✅")))</f>
        <v/>
      </c>
      <c r="Q1306" s="8" t="str">
        <f>IF(E1306="","",IFERROR(VLOOKUP(E1306,REGRAS_CST!$A$2:$D$200,4,FALSE),""))</f>
        <v/>
      </c>
      <c r="S1306" s="9">
        <f>IF($H1306="","",$H1306*(1-$U1306))</f>
        <v>8.9999999999999993E-3</v>
      </c>
      <c r="T1306" s="9">
        <f>IF($I1306="","",$I1306*(1-$U1306))</f>
        <v>1E-3</v>
      </c>
      <c r="U1306" s="16">
        <f>IFERROR(INDEX(BASE_CCLASSTRIB!$E:$E, MATCH(TEXT($D1306,"000000"), BASE_CCLASSTRIB!$A:$A, 0))/100, 0)</f>
        <v>0</v>
      </c>
      <c r="V1306" s="16">
        <f>IFERROR(INDEX(BASE_CCLASSTRIB!$F:$F, MATCH(TEXT($D1306,"000000"), BASE_CCLASSTRIB!$A:$A, 0))/100, 0)</f>
        <v>0</v>
      </c>
    </row>
    <row r="1307" spans="4:22" ht="32.25" customHeight="1">
      <c r="D1307" s="40"/>
      <c r="E1307" s="27" t="str">
        <f>IF(D1307="","",LEFT(D1307,3))</f>
        <v/>
      </c>
      <c r="F1307" s="28" t="str">
        <f>IF(E1307="","",IFERROR(VLOOKUP(E1307,REGRAS_CST!$A$2:$B$200,2,FALSE),""))</f>
        <v/>
      </c>
      <c r="H1307" s="29">
        <v>8.9999999999999993E-3</v>
      </c>
      <c r="I1307" s="29">
        <v>1E-3</v>
      </c>
      <c r="K1307" s="21" t="str">
        <f>IF(E1307="","",IFERROR(VLOOKUP(E1307,REGRAS_CST!$A$2:$C$200,3,FALSE),""))</f>
        <v/>
      </c>
      <c r="L1307" s="23" t="str">
        <f>IF($G1307="", "", $G1307*(1-$V1307))</f>
        <v/>
      </c>
      <c r="M1307" s="24" t="str">
        <f>IF(OR($L1307="",$S1307=""),"",$L1307*$S1307)</f>
        <v/>
      </c>
      <c r="N1307" s="24" t="str">
        <f>IF(OR($L1307="",$T1307=""),"",$L1307*$T1307)</f>
        <v/>
      </c>
      <c r="O1307" s="15" t="str">
        <f>IF(D1307="","",
IF(AND(K1307&lt;&gt;"SIM",V1307&gt;0),"ERRO: % BC &gt; 0, mas NÃO permitida ❌",
IF(AND(K1307="SIM",V1307=0),"ATENÇÃO: BC permitida, mas % = 0 🔎",
"Base de cálculo aplicada corretamente ✅")))</f>
        <v/>
      </c>
      <c r="P1307" s="31" t="str">
        <f>IF(D1307="","",
IF(AND(Q1307&lt;&gt;"SIM",U1307&gt;0),"ERRO: % alíquota &gt; 0, mas NÃO permitida ❌",
IF(AND(Q1307="SIM",U1307=0),"ATENÇÃO: alíquota permitida, mas % = 0 🔎",
"Alíquota aplicada corretamente ✅")))</f>
        <v/>
      </c>
      <c r="Q1307" s="8" t="str">
        <f>IF(E1307="","",IFERROR(VLOOKUP(E1307,REGRAS_CST!$A$2:$D$200,4,FALSE),""))</f>
        <v/>
      </c>
      <c r="S1307" s="9">
        <f>IF($H1307="","",$H1307*(1-$U1307))</f>
        <v>8.9999999999999993E-3</v>
      </c>
      <c r="T1307" s="9">
        <f>IF($I1307="","",$I1307*(1-$U1307))</f>
        <v>1E-3</v>
      </c>
      <c r="U1307" s="16">
        <f>IFERROR(INDEX(BASE_CCLASSTRIB!$E:$E, MATCH(TEXT($D1307,"000000"), BASE_CCLASSTRIB!$A:$A, 0))/100, 0)</f>
        <v>0</v>
      </c>
      <c r="V1307" s="16">
        <f>IFERROR(INDEX(BASE_CCLASSTRIB!$F:$F, MATCH(TEXT($D1307,"000000"), BASE_CCLASSTRIB!$A:$A, 0))/100, 0)</f>
        <v>0</v>
      </c>
    </row>
    <row r="1308" spans="4:22" ht="32.25" customHeight="1">
      <c r="D1308" s="39"/>
      <c r="E1308" s="27" t="str">
        <f>IF(D1308="","",LEFT(D1308,3))</f>
        <v/>
      </c>
      <c r="F1308" s="28" t="str">
        <f>IF(E1308="","",IFERROR(VLOOKUP(E1308,REGRAS_CST!$A$2:$B$200,2,FALSE),""))</f>
        <v/>
      </c>
      <c r="H1308" s="29">
        <v>8.9999999999999993E-3</v>
      </c>
      <c r="I1308" s="29">
        <v>1E-3</v>
      </c>
      <c r="K1308" s="21" t="str">
        <f>IF(E1308="","",IFERROR(VLOOKUP(E1308,REGRAS_CST!$A$2:$C$200,3,FALSE),""))</f>
        <v/>
      </c>
      <c r="L1308" s="23" t="str">
        <f>IF($G1308="", "", $G1308*(1-$V1308))</f>
        <v/>
      </c>
      <c r="M1308" s="24" t="str">
        <f>IF(OR($L1308="",$S1308=""),"",$L1308*$S1308)</f>
        <v/>
      </c>
      <c r="N1308" s="24" t="str">
        <f>IF(OR($L1308="",$T1308=""),"",$L1308*$T1308)</f>
        <v/>
      </c>
      <c r="O1308" s="15" t="str">
        <f>IF(D1308="","",
IF(AND(K1308&lt;&gt;"SIM",V1308&gt;0),"ERRO: % BC &gt; 0, mas NÃO permitida ❌",
IF(AND(K1308="SIM",V1308=0),"ATENÇÃO: BC permitida, mas % = 0 🔎",
"Base de cálculo aplicada corretamente ✅")))</f>
        <v/>
      </c>
      <c r="P1308" s="31" t="str">
        <f>IF(D1308="","",
IF(AND(Q1308&lt;&gt;"SIM",U1308&gt;0),"ERRO: % alíquota &gt; 0, mas NÃO permitida ❌",
IF(AND(Q1308="SIM",U1308=0),"ATENÇÃO: alíquota permitida, mas % = 0 🔎",
"Alíquota aplicada corretamente ✅")))</f>
        <v/>
      </c>
      <c r="Q1308" s="8" t="str">
        <f>IF(E1308="","",IFERROR(VLOOKUP(E1308,REGRAS_CST!$A$2:$D$200,4,FALSE),""))</f>
        <v/>
      </c>
      <c r="S1308" s="9">
        <f>IF($H1308="","",$H1308*(1-$U1308))</f>
        <v>8.9999999999999993E-3</v>
      </c>
      <c r="T1308" s="9">
        <f>IF($I1308="","",$I1308*(1-$U1308))</f>
        <v>1E-3</v>
      </c>
      <c r="U1308" s="16">
        <f>IFERROR(INDEX(BASE_CCLASSTRIB!$E:$E, MATCH(TEXT($D1308,"000000"), BASE_CCLASSTRIB!$A:$A, 0))/100, 0)</f>
        <v>0</v>
      </c>
      <c r="V1308" s="16">
        <f>IFERROR(INDEX(BASE_CCLASSTRIB!$F:$F, MATCH(TEXT($D1308,"000000"), BASE_CCLASSTRIB!$A:$A, 0))/100, 0)</f>
        <v>0</v>
      </c>
    </row>
    <row r="1309" spans="4:22" ht="32.25" customHeight="1">
      <c r="D1309" s="39"/>
      <c r="E1309" s="27" t="str">
        <f>IF(D1309="","",LEFT(D1309,3))</f>
        <v/>
      </c>
      <c r="F1309" s="28" t="str">
        <f>IF(E1309="","",IFERROR(VLOOKUP(E1309,REGRAS_CST!$A$2:$B$200,2,FALSE),""))</f>
        <v/>
      </c>
      <c r="H1309" s="29">
        <v>8.9999999999999993E-3</v>
      </c>
      <c r="I1309" s="29">
        <v>1E-3</v>
      </c>
      <c r="K1309" s="21" t="str">
        <f>IF(E1309="","",IFERROR(VLOOKUP(E1309,REGRAS_CST!$A$2:$C$200,3,FALSE),""))</f>
        <v/>
      </c>
      <c r="L1309" s="23" t="str">
        <f>IF($G1309="", "", $G1309*(1-$V1309))</f>
        <v/>
      </c>
      <c r="M1309" s="24" t="str">
        <f>IF(OR($L1309="",$S1309=""),"",$L1309*$S1309)</f>
        <v/>
      </c>
      <c r="N1309" s="24" t="str">
        <f>IF(OR($L1309="",$T1309=""),"",$L1309*$T1309)</f>
        <v/>
      </c>
      <c r="O1309" s="15" t="str">
        <f>IF(D1309="","",
IF(AND(K1309&lt;&gt;"SIM",V1309&gt;0),"ERRO: % BC &gt; 0, mas NÃO permitida ❌",
IF(AND(K1309="SIM",V1309=0),"ATENÇÃO: BC permitida, mas % = 0 🔎",
"Base de cálculo aplicada corretamente ✅")))</f>
        <v/>
      </c>
      <c r="P1309" s="31" t="str">
        <f>IF(D1309="","",
IF(AND(Q1309&lt;&gt;"SIM",U1309&gt;0),"ERRO: % alíquota &gt; 0, mas NÃO permitida ❌",
IF(AND(Q1309="SIM",U1309=0),"ATENÇÃO: alíquota permitida, mas % = 0 🔎",
"Alíquota aplicada corretamente ✅")))</f>
        <v/>
      </c>
      <c r="Q1309" s="8" t="str">
        <f>IF(E1309="","",IFERROR(VLOOKUP(E1309,REGRAS_CST!$A$2:$D$200,4,FALSE),""))</f>
        <v/>
      </c>
      <c r="S1309" s="9">
        <f>IF($H1309="","",$H1309*(1-$U1309))</f>
        <v>8.9999999999999993E-3</v>
      </c>
      <c r="T1309" s="9">
        <f>IF($I1309="","",$I1309*(1-$U1309))</f>
        <v>1E-3</v>
      </c>
      <c r="U1309" s="16">
        <f>IFERROR(INDEX(BASE_CCLASSTRIB!$E:$E, MATCH(TEXT($D1309,"000000"), BASE_CCLASSTRIB!$A:$A, 0))/100, 0)</f>
        <v>0</v>
      </c>
      <c r="V1309" s="16">
        <f>IFERROR(INDEX(BASE_CCLASSTRIB!$F:$F, MATCH(TEXT($D1309,"000000"), BASE_CCLASSTRIB!$A:$A, 0))/100, 0)</f>
        <v>0</v>
      </c>
    </row>
    <row r="1310" spans="4:22" ht="32.25" customHeight="1">
      <c r="D1310" s="40"/>
      <c r="E1310" s="27" t="str">
        <f>IF(D1310="","",LEFT(D1310,3))</f>
        <v/>
      </c>
      <c r="F1310" s="28" t="str">
        <f>IF(E1310="","",IFERROR(VLOOKUP(E1310,REGRAS_CST!$A$2:$B$200,2,FALSE),""))</f>
        <v/>
      </c>
      <c r="H1310" s="29">
        <v>8.9999999999999993E-3</v>
      </c>
      <c r="I1310" s="29">
        <v>1E-3</v>
      </c>
      <c r="K1310" s="21" t="str">
        <f>IF(E1310="","",IFERROR(VLOOKUP(E1310,REGRAS_CST!$A$2:$C$200,3,FALSE),""))</f>
        <v/>
      </c>
      <c r="L1310" s="23" t="str">
        <f>IF($G1310="", "", $G1310*(1-$V1310))</f>
        <v/>
      </c>
      <c r="M1310" s="24" t="str">
        <f>IF(OR($L1310="",$S1310=""),"",$L1310*$S1310)</f>
        <v/>
      </c>
      <c r="N1310" s="24" t="str">
        <f>IF(OR($L1310="",$T1310=""),"",$L1310*$T1310)</f>
        <v/>
      </c>
      <c r="O1310" s="15" t="str">
        <f>IF(D1310="","",
IF(AND(K1310&lt;&gt;"SIM",V1310&gt;0),"ERRO: % BC &gt; 0, mas NÃO permitida ❌",
IF(AND(K1310="SIM",V1310=0),"ATENÇÃO: BC permitida, mas % = 0 🔎",
"Base de cálculo aplicada corretamente ✅")))</f>
        <v/>
      </c>
      <c r="P1310" s="31" t="str">
        <f>IF(D1310="","",
IF(AND(Q1310&lt;&gt;"SIM",U1310&gt;0),"ERRO: % alíquota &gt; 0, mas NÃO permitida ❌",
IF(AND(Q1310="SIM",U1310=0),"ATENÇÃO: alíquota permitida, mas % = 0 🔎",
"Alíquota aplicada corretamente ✅")))</f>
        <v/>
      </c>
      <c r="Q1310" s="8" t="str">
        <f>IF(E1310="","",IFERROR(VLOOKUP(E1310,REGRAS_CST!$A$2:$D$200,4,FALSE),""))</f>
        <v/>
      </c>
      <c r="S1310" s="9">
        <f>IF($H1310="","",$H1310*(1-$U1310))</f>
        <v>8.9999999999999993E-3</v>
      </c>
      <c r="T1310" s="9">
        <f>IF($I1310="","",$I1310*(1-$U1310))</f>
        <v>1E-3</v>
      </c>
      <c r="U1310" s="16">
        <f>IFERROR(INDEX(BASE_CCLASSTRIB!$E:$E, MATCH(TEXT($D1310,"000000"), BASE_CCLASSTRIB!$A:$A, 0))/100, 0)</f>
        <v>0</v>
      </c>
      <c r="V1310" s="16">
        <f>IFERROR(INDEX(BASE_CCLASSTRIB!$F:$F, MATCH(TEXT($D1310,"000000"), BASE_CCLASSTRIB!$A:$A, 0))/100, 0)</f>
        <v>0</v>
      </c>
    </row>
    <row r="1311" spans="4:22" ht="32.25" customHeight="1">
      <c r="D1311" s="39"/>
      <c r="E1311" s="27" t="str">
        <f>IF(D1311="","",LEFT(D1311,3))</f>
        <v/>
      </c>
      <c r="F1311" s="28" t="str">
        <f>IF(E1311="","",IFERROR(VLOOKUP(E1311,REGRAS_CST!$A$2:$B$200,2,FALSE),""))</f>
        <v/>
      </c>
      <c r="H1311" s="29">
        <v>8.9999999999999993E-3</v>
      </c>
      <c r="I1311" s="29">
        <v>1E-3</v>
      </c>
      <c r="K1311" s="21" t="str">
        <f>IF(E1311="","",IFERROR(VLOOKUP(E1311,REGRAS_CST!$A$2:$C$200,3,FALSE),""))</f>
        <v/>
      </c>
      <c r="L1311" s="23" t="str">
        <f>IF($G1311="", "", $G1311*(1-$V1311))</f>
        <v/>
      </c>
      <c r="M1311" s="24" t="str">
        <f>IF(OR($L1311="",$S1311=""),"",$L1311*$S1311)</f>
        <v/>
      </c>
      <c r="N1311" s="24" t="str">
        <f>IF(OR($L1311="",$T1311=""),"",$L1311*$T1311)</f>
        <v/>
      </c>
      <c r="O1311" s="15" t="str">
        <f>IF(D1311="","",
IF(AND(K1311&lt;&gt;"SIM",V1311&gt;0),"ERRO: % BC &gt; 0, mas NÃO permitida ❌",
IF(AND(K1311="SIM",V1311=0),"ATENÇÃO: BC permitida, mas % = 0 🔎",
"Base de cálculo aplicada corretamente ✅")))</f>
        <v/>
      </c>
      <c r="P1311" s="31" t="str">
        <f>IF(D1311="","",
IF(AND(Q1311&lt;&gt;"SIM",U1311&gt;0),"ERRO: % alíquota &gt; 0, mas NÃO permitida ❌",
IF(AND(Q1311="SIM",U1311=0),"ATENÇÃO: alíquota permitida, mas % = 0 🔎",
"Alíquota aplicada corretamente ✅")))</f>
        <v/>
      </c>
      <c r="Q1311" s="8" t="str">
        <f>IF(E1311="","",IFERROR(VLOOKUP(E1311,REGRAS_CST!$A$2:$D$200,4,FALSE),""))</f>
        <v/>
      </c>
      <c r="S1311" s="9">
        <f>IF($H1311="","",$H1311*(1-$U1311))</f>
        <v>8.9999999999999993E-3</v>
      </c>
      <c r="T1311" s="9">
        <f>IF($I1311="","",$I1311*(1-$U1311))</f>
        <v>1E-3</v>
      </c>
      <c r="U1311" s="16">
        <f>IFERROR(INDEX(BASE_CCLASSTRIB!$E:$E, MATCH(TEXT($D1311,"000000"), BASE_CCLASSTRIB!$A:$A, 0))/100, 0)</f>
        <v>0</v>
      </c>
      <c r="V1311" s="16">
        <f>IFERROR(INDEX(BASE_CCLASSTRIB!$F:$F, MATCH(TEXT($D1311,"000000"), BASE_CCLASSTRIB!$A:$A, 0))/100, 0)</f>
        <v>0</v>
      </c>
    </row>
    <row r="1312" spans="4:22" ht="32.25" customHeight="1">
      <c r="D1312" s="39"/>
      <c r="E1312" s="27" t="str">
        <f>IF(D1312="","",LEFT(D1312,3))</f>
        <v/>
      </c>
      <c r="F1312" s="28" t="str">
        <f>IF(E1312="","",IFERROR(VLOOKUP(E1312,REGRAS_CST!$A$2:$B$200,2,FALSE),""))</f>
        <v/>
      </c>
      <c r="H1312" s="29">
        <v>8.9999999999999993E-3</v>
      </c>
      <c r="I1312" s="29">
        <v>1E-3</v>
      </c>
      <c r="K1312" s="21" t="str">
        <f>IF(E1312="","",IFERROR(VLOOKUP(E1312,REGRAS_CST!$A$2:$C$200,3,FALSE),""))</f>
        <v/>
      </c>
      <c r="L1312" s="23" t="str">
        <f>IF($G1312="", "", $G1312*(1-$V1312))</f>
        <v/>
      </c>
      <c r="M1312" s="24" t="str">
        <f>IF(OR($L1312="",$S1312=""),"",$L1312*$S1312)</f>
        <v/>
      </c>
      <c r="N1312" s="24" t="str">
        <f>IF(OR($L1312="",$T1312=""),"",$L1312*$T1312)</f>
        <v/>
      </c>
      <c r="O1312" s="15" t="str">
        <f>IF(D1312="","",
IF(AND(K1312&lt;&gt;"SIM",V1312&gt;0),"ERRO: % BC &gt; 0, mas NÃO permitida ❌",
IF(AND(K1312="SIM",V1312=0),"ATENÇÃO: BC permitida, mas % = 0 🔎",
"Base de cálculo aplicada corretamente ✅")))</f>
        <v/>
      </c>
      <c r="P1312" s="31" t="str">
        <f>IF(D1312="","",
IF(AND(Q1312&lt;&gt;"SIM",U1312&gt;0),"ERRO: % alíquota &gt; 0, mas NÃO permitida ❌",
IF(AND(Q1312="SIM",U1312=0),"ATENÇÃO: alíquota permitida, mas % = 0 🔎",
"Alíquota aplicada corretamente ✅")))</f>
        <v/>
      </c>
      <c r="Q1312" s="8" t="str">
        <f>IF(E1312="","",IFERROR(VLOOKUP(E1312,REGRAS_CST!$A$2:$D$200,4,FALSE),""))</f>
        <v/>
      </c>
      <c r="S1312" s="9">
        <f>IF($H1312="","",$H1312*(1-$U1312))</f>
        <v>8.9999999999999993E-3</v>
      </c>
      <c r="T1312" s="9">
        <f>IF($I1312="","",$I1312*(1-$U1312))</f>
        <v>1E-3</v>
      </c>
      <c r="U1312" s="16">
        <f>IFERROR(INDEX(BASE_CCLASSTRIB!$E:$E, MATCH(TEXT($D1312,"000000"), BASE_CCLASSTRIB!$A:$A, 0))/100, 0)</f>
        <v>0</v>
      </c>
      <c r="V1312" s="16">
        <f>IFERROR(INDEX(BASE_CCLASSTRIB!$F:$F, MATCH(TEXT($D1312,"000000"), BASE_CCLASSTRIB!$A:$A, 0))/100, 0)</f>
        <v>0</v>
      </c>
    </row>
    <row r="1313" spans="4:22" ht="32.25" customHeight="1">
      <c r="D1313" s="39"/>
      <c r="E1313" s="27" t="str">
        <f>IF(D1313="","",LEFT(D1313,3))</f>
        <v/>
      </c>
      <c r="F1313" s="28" t="str">
        <f>IF(E1313="","",IFERROR(VLOOKUP(E1313,REGRAS_CST!$A$2:$B$200,2,FALSE),""))</f>
        <v/>
      </c>
      <c r="H1313" s="29">
        <v>8.9999999999999993E-3</v>
      </c>
      <c r="I1313" s="29">
        <v>1E-3</v>
      </c>
      <c r="K1313" s="21" t="str">
        <f>IF(E1313="","",IFERROR(VLOOKUP(E1313,REGRAS_CST!$A$2:$C$200,3,FALSE),""))</f>
        <v/>
      </c>
      <c r="L1313" s="23" t="str">
        <f>IF($G1313="", "", $G1313*(1-$V1313))</f>
        <v/>
      </c>
      <c r="M1313" s="24" t="str">
        <f>IF(OR($L1313="",$S1313=""),"",$L1313*$S1313)</f>
        <v/>
      </c>
      <c r="N1313" s="24" t="str">
        <f>IF(OR($L1313="",$T1313=""),"",$L1313*$T1313)</f>
        <v/>
      </c>
      <c r="O1313" s="15" t="str">
        <f>IF(D1313="","",
IF(AND(K1313&lt;&gt;"SIM",V1313&gt;0),"ERRO: % BC &gt; 0, mas NÃO permitida ❌",
IF(AND(K1313="SIM",V1313=0),"ATENÇÃO: BC permitida, mas % = 0 🔎",
"Base de cálculo aplicada corretamente ✅")))</f>
        <v/>
      </c>
      <c r="P1313" s="31" t="str">
        <f>IF(D1313="","",
IF(AND(Q1313&lt;&gt;"SIM",U1313&gt;0),"ERRO: % alíquota &gt; 0, mas NÃO permitida ❌",
IF(AND(Q1313="SIM",U1313=0),"ATENÇÃO: alíquota permitida, mas % = 0 🔎",
"Alíquota aplicada corretamente ✅")))</f>
        <v/>
      </c>
      <c r="Q1313" s="8" t="str">
        <f>IF(E1313="","",IFERROR(VLOOKUP(E1313,REGRAS_CST!$A$2:$D$200,4,FALSE),""))</f>
        <v/>
      </c>
      <c r="S1313" s="9">
        <f>IF($H1313="","",$H1313*(1-$U1313))</f>
        <v>8.9999999999999993E-3</v>
      </c>
      <c r="T1313" s="9">
        <f>IF($I1313="","",$I1313*(1-$U1313))</f>
        <v>1E-3</v>
      </c>
      <c r="U1313" s="16">
        <f>IFERROR(INDEX(BASE_CCLASSTRIB!$E:$E, MATCH(TEXT($D1313,"000000"), BASE_CCLASSTRIB!$A:$A, 0))/100, 0)</f>
        <v>0</v>
      </c>
      <c r="V1313" s="16">
        <f>IFERROR(INDEX(BASE_CCLASSTRIB!$F:$F, MATCH(TEXT($D1313,"000000"), BASE_CCLASSTRIB!$A:$A, 0))/100, 0)</f>
        <v>0</v>
      </c>
    </row>
    <row r="1314" spans="4:22" ht="32.25" customHeight="1">
      <c r="D1314" s="40"/>
      <c r="E1314" s="27" t="str">
        <f>IF(D1314="","",LEFT(D1314,3))</f>
        <v/>
      </c>
      <c r="F1314" s="28" t="str">
        <f>IF(E1314="","",IFERROR(VLOOKUP(E1314,REGRAS_CST!$A$2:$B$200,2,FALSE),""))</f>
        <v/>
      </c>
      <c r="H1314" s="29">
        <v>8.9999999999999993E-3</v>
      </c>
      <c r="I1314" s="29">
        <v>1E-3</v>
      </c>
      <c r="K1314" s="21" t="str">
        <f>IF(E1314="","",IFERROR(VLOOKUP(E1314,REGRAS_CST!$A$2:$C$200,3,FALSE),""))</f>
        <v/>
      </c>
      <c r="L1314" s="23" t="str">
        <f>IF($G1314="", "", $G1314*(1-$V1314))</f>
        <v/>
      </c>
      <c r="M1314" s="24" t="str">
        <f>IF(OR($L1314="",$S1314=""),"",$L1314*$S1314)</f>
        <v/>
      </c>
      <c r="N1314" s="24" t="str">
        <f>IF(OR($L1314="",$T1314=""),"",$L1314*$T1314)</f>
        <v/>
      </c>
      <c r="O1314" s="15" t="str">
        <f>IF(D1314="","",
IF(AND(K1314&lt;&gt;"SIM",V1314&gt;0),"ERRO: % BC &gt; 0, mas NÃO permitida ❌",
IF(AND(K1314="SIM",V1314=0),"ATENÇÃO: BC permitida, mas % = 0 🔎",
"Base de cálculo aplicada corretamente ✅")))</f>
        <v/>
      </c>
      <c r="P1314" s="31" t="str">
        <f>IF(D1314="","",
IF(AND(Q1314&lt;&gt;"SIM",U1314&gt;0),"ERRO: % alíquota &gt; 0, mas NÃO permitida ❌",
IF(AND(Q1314="SIM",U1314=0),"ATENÇÃO: alíquota permitida, mas % = 0 🔎",
"Alíquota aplicada corretamente ✅")))</f>
        <v/>
      </c>
      <c r="Q1314" s="8" t="str">
        <f>IF(E1314="","",IFERROR(VLOOKUP(E1314,REGRAS_CST!$A$2:$D$200,4,FALSE),""))</f>
        <v/>
      </c>
      <c r="S1314" s="9">
        <f>IF($H1314="","",$H1314*(1-$U1314))</f>
        <v>8.9999999999999993E-3</v>
      </c>
      <c r="T1314" s="9">
        <f>IF($I1314="","",$I1314*(1-$U1314))</f>
        <v>1E-3</v>
      </c>
      <c r="U1314" s="16">
        <f>IFERROR(INDEX(BASE_CCLASSTRIB!$E:$E, MATCH(TEXT($D1314,"000000"), BASE_CCLASSTRIB!$A:$A, 0))/100, 0)</f>
        <v>0</v>
      </c>
      <c r="V1314" s="16">
        <f>IFERROR(INDEX(BASE_CCLASSTRIB!$F:$F, MATCH(TEXT($D1314,"000000"), BASE_CCLASSTRIB!$A:$A, 0))/100, 0)</f>
        <v>0</v>
      </c>
    </row>
    <row r="1315" spans="4:22" ht="32.25" customHeight="1">
      <c r="D1315" s="39"/>
      <c r="E1315" s="27" t="str">
        <f>IF(D1315="","",LEFT(D1315,3))</f>
        <v/>
      </c>
      <c r="F1315" s="28" t="str">
        <f>IF(E1315="","",IFERROR(VLOOKUP(E1315,REGRAS_CST!$A$2:$B$200,2,FALSE),""))</f>
        <v/>
      </c>
      <c r="H1315" s="29">
        <v>8.9999999999999993E-3</v>
      </c>
      <c r="I1315" s="29">
        <v>1E-3</v>
      </c>
      <c r="K1315" s="21" t="str">
        <f>IF(E1315="","",IFERROR(VLOOKUP(E1315,REGRAS_CST!$A$2:$C$200,3,FALSE),""))</f>
        <v/>
      </c>
      <c r="L1315" s="23" t="str">
        <f>IF($G1315="", "", $G1315*(1-$V1315))</f>
        <v/>
      </c>
      <c r="M1315" s="24" t="str">
        <f>IF(OR($L1315="",$S1315=""),"",$L1315*$S1315)</f>
        <v/>
      </c>
      <c r="N1315" s="24" t="str">
        <f>IF(OR($L1315="",$T1315=""),"",$L1315*$T1315)</f>
        <v/>
      </c>
      <c r="O1315" s="15" t="str">
        <f>IF(D1315="","",
IF(AND(K1315&lt;&gt;"SIM",V1315&gt;0),"ERRO: % BC &gt; 0, mas NÃO permitida ❌",
IF(AND(K1315="SIM",V1315=0),"ATENÇÃO: BC permitida, mas % = 0 🔎",
"Base de cálculo aplicada corretamente ✅")))</f>
        <v/>
      </c>
      <c r="P1315" s="31" t="str">
        <f>IF(D1315="","",
IF(AND(Q1315&lt;&gt;"SIM",U1315&gt;0),"ERRO: % alíquota &gt; 0, mas NÃO permitida ❌",
IF(AND(Q1315="SIM",U1315=0),"ATENÇÃO: alíquota permitida, mas % = 0 🔎",
"Alíquota aplicada corretamente ✅")))</f>
        <v/>
      </c>
      <c r="Q1315" s="8" t="str">
        <f>IF(E1315="","",IFERROR(VLOOKUP(E1315,REGRAS_CST!$A$2:$D$200,4,FALSE),""))</f>
        <v/>
      </c>
      <c r="S1315" s="9">
        <f>IF($H1315="","",$H1315*(1-$U1315))</f>
        <v>8.9999999999999993E-3</v>
      </c>
      <c r="T1315" s="9">
        <f>IF($I1315="","",$I1315*(1-$U1315))</f>
        <v>1E-3</v>
      </c>
      <c r="U1315" s="16">
        <f>IFERROR(INDEX(BASE_CCLASSTRIB!$E:$E, MATCH(TEXT($D1315,"000000"), BASE_CCLASSTRIB!$A:$A, 0))/100, 0)</f>
        <v>0</v>
      </c>
      <c r="V1315" s="16">
        <f>IFERROR(INDEX(BASE_CCLASSTRIB!$F:$F, MATCH(TEXT($D1315,"000000"), BASE_CCLASSTRIB!$A:$A, 0))/100, 0)</f>
        <v>0</v>
      </c>
    </row>
    <row r="1316" spans="4:22" ht="32.25" customHeight="1">
      <c r="D1316" s="39"/>
      <c r="E1316" s="27" t="str">
        <f>IF(D1316="","",LEFT(D1316,3))</f>
        <v/>
      </c>
      <c r="F1316" s="28" t="str">
        <f>IF(E1316="","",IFERROR(VLOOKUP(E1316,REGRAS_CST!$A$2:$B$200,2,FALSE),""))</f>
        <v/>
      </c>
      <c r="H1316" s="29">
        <v>8.9999999999999993E-3</v>
      </c>
      <c r="I1316" s="29">
        <v>1E-3</v>
      </c>
      <c r="K1316" s="21" t="str">
        <f>IF(E1316="","",IFERROR(VLOOKUP(E1316,REGRAS_CST!$A$2:$C$200,3,FALSE),""))</f>
        <v/>
      </c>
      <c r="L1316" s="23" t="str">
        <f>IF($G1316="", "", $G1316*(1-$V1316))</f>
        <v/>
      </c>
      <c r="M1316" s="24" t="str">
        <f>IF(OR($L1316="",$S1316=""),"",$L1316*$S1316)</f>
        <v/>
      </c>
      <c r="N1316" s="24" t="str">
        <f>IF(OR($L1316="",$T1316=""),"",$L1316*$T1316)</f>
        <v/>
      </c>
      <c r="O1316" s="15" t="str">
        <f>IF(D1316="","",
IF(AND(K1316&lt;&gt;"SIM",V1316&gt;0),"ERRO: % BC &gt; 0, mas NÃO permitida ❌",
IF(AND(K1316="SIM",V1316=0),"ATENÇÃO: BC permitida, mas % = 0 🔎",
"Base de cálculo aplicada corretamente ✅")))</f>
        <v/>
      </c>
      <c r="P1316" s="31" t="str">
        <f>IF(D1316="","",
IF(AND(Q1316&lt;&gt;"SIM",U1316&gt;0),"ERRO: % alíquota &gt; 0, mas NÃO permitida ❌",
IF(AND(Q1316="SIM",U1316=0),"ATENÇÃO: alíquota permitida, mas % = 0 🔎",
"Alíquota aplicada corretamente ✅")))</f>
        <v/>
      </c>
      <c r="Q1316" s="8" t="str">
        <f>IF(E1316="","",IFERROR(VLOOKUP(E1316,REGRAS_CST!$A$2:$D$200,4,FALSE),""))</f>
        <v/>
      </c>
      <c r="S1316" s="9">
        <f>IF($H1316="","",$H1316*(1-$U1316))</f>
        <v>8.9999999999999993E-3</v>
      </c>
      <c r="T1316" s="9">
        <f>IF($I1316="","",$I1316*(1-$U1316))</f>
        <v>1E-3</v>
      </c>
      <c r="U1316" s="16">
        <f>IFERROR(INDEX(BASE_CCLASSTRIB!$E:$E, MATCH(TEXT($D1316,"000000"), BASE_CCLASSTRIB!$A:$A, 0))/100, 0)</f>
        <v>0</v>
      </c>
      <c r="V1316" s="16">
        <f>IFERROR(INDEX(BASE_CCLASSTRIB!$F:$F, MATCH(TEXT($D1316,"000000"), BASE_CCLASSTRIB!$A:$A, 0))/100, 0)</f>
        <v>0</v>
      </c>
    </row>
    <row r="1317" spans="4:22" ht="32.25" customHeight="1">
      <c r="D1317" s="40"/>
      <c r="E1317" s="27" t="str">
        <f>IF(D1317="","",LEFT(D1317,3))</f>
        <v/>
      </c>
      <c r="F1317" s="28" t="str">
        <f>IF(E1317="","",IFERROR(VLOOKUP(E1317,REGRAS_CST!$A$2:$B$200,2,FALSE),""))</f>
        <v/>
      </c>
      <c r="H1317" s="29">
        <v>8.9999999999999993E-3</v>
      </c>
      <c r="I1317" s="29">
        <v>1E-3</v>
      </c>
      <c r="K1317" s="21" t="str">
        <f>IF(E1317="","",IFERROR(VLOOKUP(E1317,REGRAS_CST!$A$2:$C$200,3,FALSE),""))</f>
        <v/>
      </c>
      <c r="L1317" s="23" t="str">
        <f>IF($G1317="", "", $G1317*(1-$V1317))</f>
        <v/>
      </c>
      <c r="M1317" s="24" t="str">
        <f>IF(OR($L1317="",$S1317=""),"",$L1317*$S1317)</f>
        <v/>
      </c>
      <c r="N1317" s="24" t="str">
        <f>IF(OR($L1317="",$T1317=""),"",$L1317*$T1317)</f>
        <v/>
      </c>
      <c r="O1317" s="15" t="str">
        <f>IF(D1317="","",
IF(AND(K1317&lt;&gt;"SIM",V1317&gt;0),"ERRO: % BC &gt; 0, mas NÃO permitida ❌",
IF(AND(K1317="SIM",V1317=0),"ATENÇÃO: BC permitida, mas % = 0 🔎",
"Base de cálculo aplicada corretamente ✅")))</f>
        <v/>
      </c>
      <c r="P1317" s="31" t="str">
        <f>IF(D1317="","",
IF(AND(Q1317&lt;&gt;"SIM",U1317&gt;0),"ERRO: % alíquota &gt; 0, mas NÃO permitida ❌",
IF(AND(Q1317="SIM",U1317=0),"ATENÇÃO: alíquota permitida, mas % = 0 🔎",
"Alíquota aplicada corretamente ✅")))</f>
        <v/>
      </c>
      <c r="Q1317" s="8" t="str">
        <f>IF(E1317="","",IFERROR(VLOOKUP(E1317,REGRAS_CST!$A$2:$D$200,4,FALSE),""))</f>
        <v/>
      </c>
      <c r="S1317" s="9">
        <f>IF($H1317="","",$H1317*(1-$U1317))</f>
        <v>8.9999999999999993E-3</v>
      </c>
      <c r="T1317" s="9">
        <f>IF($I1317="","",$I1317*(1-$U1317))</f>
        <v>1E-3</v>
      </c>
      <c r="U1317" s="16">
        <f>IFERROR(INDEX(BASE_CCLASSTRIB!$E:$E, MATCH(TEXT($D1317,"000000"), BASE_CCLASSTRIB!$A:$A, 0))/100, 0)</f>
        <v>0</v>
      </c>
      <c r="V1317" s="16">
        <f>IFERROR(INDEX(BASE_CCLASSTRIB!$F:$F, MATCH(TEXT($D1317,"000000"), BASE_CCLASSTRIB!$A:$A, 0))/100, 0)</f>
        <v>0</v>
      </c>
    </row>
    <row r="1318" spans="4:22" ht="32.25" customHeight="1">
      <c r="D1318" s="39"/>
      <c r="E1318" s="27" t="str">
        <f>IF(D1318="","",LEFT(D1318,3))</f>
        <v/>
      </c>
      <c r="F1318" s="28" t="str">
        <f>IF(E1318="","",IFERROR(VLOOKUP(E1318,REGRAS_CST!$A$2:$B$200,2,FALSE),""))</f>
        <v/>
      </c>
      <c r="H1318" s="29">
        <v>8.9999999999999993E-3</v>
      </c>
      <c r="I1318" s="29">
        <v>1E-3</v>
      </c>
      <c r="K1318" s="21" t="str">
        <f>IF(E1318="","",IFERROR(VLOOKUP(E1318,REGRAS_CST!$A$2:$C$200,3,FALSE),""))</f>
        <v/>
      </c>
      <c r="L1318" s="23" t="str">
        <f>IF($G1318="", "", $G1318*(1-$V1318))</f>
        <v/>
      </c>
      <c r="M1318" s="24" t="str">
        <f>IF(OR($L1318="",$S1318=""),"",$L1318*$S1318)</f>
        <v/>
      </c>
      <c r="N1318" s="24" t="str">
        <f>IF(OR($L1318="",$T1318=""),"",$L1318*$T1318)</f>
        <v/>
      </c>
      <c r="O1318" s="15" t="str">
        <f>IF(D1318="","",
IF(AND(K1318&lt;&gt;"SIM",V1318&gt;0),"ERRO: % BC &gt; 0, mas NÃO permitida ❌",
IF(AND(K1318="SIM",V1318=0),"ATENÇÃO: BC permitida, mas % = 0 🔎",
"Base de cálculo aplicada corretamente ✅")))</f>
        <v/>
      </c>
      <c r="P1318" s="31" t="str">
        <f>IF(D1318="","",
IF(AND(Q1318&lt;&gt;"SIM",U1318&gt;0),"ERRO: % alíquota &gt; 0, mas NÃO permitida ❌",
IF(AND(Q1318="SIM",U1318=0),"ATENÇÃO: alíquota permitida, mas % = 0 🔎",
"Alíquota aplicada corretamente ✅")))</f>
        <v/>
      </c>
      <c r="Q1318" s="8" t="str">
        <f>IF(E1318="","",IFERROR(VLOOKUP(E1318,REGRAS_CST!$A$2:$D$200,4,FALSE),""))</f>
        <v/>
      </c>
      <c r="S1318" s="9">
        <f>IF($H1318="","",$H1318*(1-$U1318))</f>
        <v>8.9999999999999993E-3</v>
      </c>
      <c r="T1318" s="9">
        <f>IF($I1318="","",$I1318*(1-$U1318))</f>
        <v>1E-3</v>
      </c>
      <c r="U1318" s="16">
        <f>IFERROR(INDEX(BASE_CCLASSTRIB!$E:$E, MATCH(TEXT($D1318,"000000"), BASE_CCLASSTRIB!$A:$A, 0))/100, 0)</f>
        <v>0</v>
      </c>
      <c r="V1318" s="16">
        <f>IFERROR(INDEX(BASE_CCLASSTRIB!$F:$F, MATCH(TEXT($D1318,"000000"), BASE_CCLASSTRIB!$A:$A, 0))/100, 0)</f>
        <v>0</v>
      </c>
    </row>
    <row r="1319" spans="4:22" ht="32.25" customHeight="1">
      <c r="D1319" s="40"/>
      <c r="E1319" s="27" t="str">
        <f>IF(D1319="","",LEFT(D1319,3))</f>
        <v/>
      </c>
      <c r="F1319" s="28" t="str">
        <f>IF(E1319="","",IFERROR(VLOOKUP(E1319,REGRAS_CST!$A$2:$B$200,2,FALSE),""))</f>
        <v/>
      </c>
      <c r="H1319" s="29">
        <v>8.9999999999999993E-3</v>
      </c>
      <c r="I1319" s="29">
        <v>1E-3</v>
      </c>
      <c r="K1319" s="21" t="str">
        <f>IF(E1319="","",IFERROR(VLOOKUP(E1319,REGRAS_CST!$A$2:$C$200,3,FALSE),""))</f>
        <v/>
      </c>
      <c r="L1319" s="23" t="str">
        <f>IF($G1319="", "", $G1319*(1-$V1319))</f>
        <v/>
      </c>
      <c r="M1319" s="24" t="str">
        <f>IF(OR($L1319="",$S1319=""),"",$L1319*$S1319)</f>
        <v/>
      </c>
      <c r="N1319" s="24" t="str">
        <f>IF(OR($L1319="",$T1319=""),"",$L1319*$T1319)</f>
        <v/>
      </c>
      <c r="O1319" s="15" t="str">
        <f>IF(D1319="","",
IF(AND(K1319&lt;&gt;"SIM",V1319&gt;0),"ERRO: % BC &gt; 0, mas NÃO permitida ❌",
IF(AND(K1319="SIM",V1319=0),"ATENÇÃO: BC permitida, mas % = 0 🔎",
"Base de cálculo aplicada corretamente ✅")))</f>
        <v/>
      </c>
      <c r="P1319" s="31" t="str">
        <f>IF(D1319="","",
IF(AND(Q1319&lt;&gt;"SIM",U1319&gt;0),"ERRO: % alíquota &gt; 0, mas NÃO permitida ❌",
IF(AND(Q1319="SIM",U1319=0),"ATENÇÃO: alíquota permitida, mas % = 0 🔎",
"Alíquota aplicada corretamente ✅")))</f>
        <v/>
      </c>
      <c r="Q1319" s="8" t="str">
        <f>IF(E1319="","",IFERROR(VLOOKUP(E1319,REGRAS_CST!$A$2:$D$200,4,FALSE),""))</f>
        <v/>
      </c>
      <c r="S1319" s="9">
        <f>IF($H1319="","",$H1319*(1-$U1319))</f>
        <v>8.9999999999999993E-3</v>
      </c>
      <c r="T1319" s="9">
        <f>IF($I1319="","",$I1319*(1-$U1319))</f>
        <v>1E-3</v>
      </c>
      <c r="U1319" s="16">
        <f>IFERROR(INDEX(BASE_CCLASSTRIB!$E:$E, MATCH(TEXT($D1319,"000000"), BASE_CCLASSTRIB!$A:$A, 0))/100, 0)</f>
        <v>0</v>
      </c>
      <c r="V1319" s="16">
        <f>IFERROR(INDEX(BASE_CCLASSTRIB!$F:$F, MATCH(TEXT($D1319,"000000"), BASE_CCLASSTRIB!$A:$A, 0))/100, 0)</f>
        <v>0</v>
      </c>
    </row>
    <row r="1320" spans="4:22" ht="32.25" customHeight="1">
      <c r="D1320" s="39"/>
      <c r="E1320" s="27" t="str">
        <f>IF(D1320="","",LEFT(D1320,3))</f>
        <v/>
      </c>
      <c r="F1320" s="28" t="str">
        <f>IF(E1320="","",IFERROR(VLOOKUP(E1320,REGRAS_CST!$A$2:$B$200,2,FALSE),""))</f>
        <v/>
      </c>
      <c r="H1320" s="29">
        <v>8.9999999999999993E-3</v>
      </c>
      <c r="I1320" s="29">
        <v>1E-3</v>
      </c>
      <c r="K1320" s="21" t="str">
        <f>IF(E1320="","",IFERROR(VLOOKUP(E1320,REGRAS_CST!$A$2:$C$200,3,FALSE),""))</f>
        <v/>
      </c>
      <c r="L1320" s="23" t="str">
        <f>IF($G1320="", "", $G1320*(1-$V1320))</f>
        <v/>
      </c>
      <c r="M1320" s="24" t="str">
        <f>IF(OR($L1320="",$S1320=""),"",$L1320*$S1320)</f>
        <v/>
      </c>
      <c r="N1320" s="24" t="str">
        <f>IF(OR($L1320="",$T1320=""),"",$L1320*$T1320)</f>
        <v/>
      </c>
      <c r="O1320" s="15" t="str">
        <f>IF(D1320="","",
IF(AND(K1320&lt;&gt;"SIM",V1320&gt;0),"ERRO: % BC &gt; 0, mas NÃO permitida ❌",
IF(AND(K1320="SIM",V1320=0),"ATENÇÃO: BC permitida, mas % = 0 🔎",
"Base de cálculo aplicada corretamente ✅")))</f>
        <v/>
      </c>
      <c r="P1320" s="31" t="str">
        <f>IF(D1320="","",
IF(AND(Q1320&lt;&gt;"SIM",U1320&gt;0),"ERRO: % alíquota &gt; 0, mas NÃO permitida ❌",
IF(AND(Q1320="SIM",U1320=0),"ATENÇÃO: alíquota permitida, mas % = 0 🔎",
"Alíquota aplicada corretamente ✅")))</f>
        <v/>
      </c>
      <c r="Q1320" s="8" t="str">
        <f>IF(E1320="","",IFERROR(VLOOKUP(E1320,REGRAS_CST!$A$2:$D$200,4,FALSE),""))</f>
        <v/>
      </c>
      <c r="S1320" s="9">
        <f>IF($H1320="","",$H1320*(1-$U1320))</f>
        <v>8.9999999999999993E-3</v>
      </c>
      <c r="T1320" s="9">
        <f>IF($I1320="","",$I1320*(1-$U1320))</f>
        <v>1E-3</v>
      </c>
      <c r="U1320" s="16">
        <f>IFERROR(INDEX(BASE_CCLASSTRIB!$E:$E, MATCH(TEXT($D1320,"000000"), BASE_CCLASSTRIB!$A:$A, 0))/100, 0)</f>
        <v>0</v>
      </c>
      <c r="V1320" s="16">
        <f>IFERROR(INDEX(BASE_CCLASSTRIB!$F:$F, MATCH(TEXT($D1320,"000000"), BASE_CCLASSTRIB!$A:$A, 0))/100, 0)</f>
        <v>0</v>
      </c>
    </row>
    <row r="1321" spans="4:22" ht="32.25" customHeight="1">
      <c r="D1321" s="39"/>
      <c r="E1321" s="27" t="str">
        <f>IF(D1321="","",LEFT(D1321,3))</f>
        <v/>
      </c>
      <c r="F1321" s="28" t="str">
        <f>IF(E1321="","",IFERROR(VLOOKUP(E1321,REGRAS_CST!$A$2:$B$200,2,FALSE),""))</f>
        <v/>
      </c>
      <c r="H1321" s="29">
        <v>8.9999999999999993E-3</v>
      </c>
      <c r="I1321" s="29">
        <v>1E-3</v>
      </c>
      <c r="K1321" s="21" t="str">
        <f>IF(E1321="","",IFERROR(VLOOKUP(E1321,REGRAS_CST!$A$2:$C$200,3,FALSE),""))</f>
        <v/>
      </c>
      <c r="L1321" s="23" t="str">
        <f>IF($G1321="", "", $G1321*(1-$V1321))</f>
        <v/>
      </c>
      <c r="M1321" s="24" t="str">
        <f>IF(OR($L1321="",$S1321=""),"",$L1321*$S1321)</f>
        <v/>
      </c>
      <c r="N1321" s="24" t="str">
        <f>IF(OR($L1321="",$T1321=""),"",$L1321*$T1321)</f>
        <v/>
      </c>
      <c r="O1321" s="15" t="str">
        <f>IF(D1321="","",
IF(AND(K1321&lt;&gt;"SIM",V1321&gt;0),"ERRO: % BC &gt; 0, mas NÃO permitida ❌",
IF(AND(K1321="SIM",V1321=0),"ATENÇÃO: BC permitida, mas % = 0 🔎",
"Base de cálculo aplicada corretamente ✅")))</f>
        <v/>
      </c>
      <c r="P1321" s="31" t="str">
        <f>IF(D1321="","",
IF(AND(Q1321&lt;&gt;"SIM",U1321&gt;0),"ERRO: % alíquota &gt; 0, mas NÃO permitida ❌",
IF(AND(Q1321="SIM",U1321=0),"ATENÇÃO: alíquota permitida, mas % = 0 🔎",
"Alíquota aplicada corretamente ✅")))</f>
        <v/>
      </c>
      <c r="Q1321" s="8" t="str">
        <f>IF(E1321="","",IFERROR(VLOOKUP(E1321,REGRAS_CST!$A$2:$D$200,4,FALSE),""))</f>
        <v/>
      </c>
      <c r="S1321" s="9">
        <f>IF($H1321="","",$H1321*(1-$U1321))</f>
        <v>8.9999999999999993E-3</v>
      </c>
      <c r="T1321" s="9">
        <f>IF($I1321="","",$I1321*(1-$U1321))</f>
        <v>1E-3</v>
      </c>
      <c r="U1321" s="16">
        <f>IFERROR(INDEX(BASE_CCLASSTRIB!$E:$E, MATCH(TEXT($D1321,"000000"), BASE_CCLASSTRIB!$A:$A, 0))/100, 0)</f>
        <v>0</v>
      </c>
      <c r="V1321" s="16">
        <f>IFERROR(INDEX(BASE_CCLASSTRIB!$F:$F, MATCH(TEXT($D1321,"000000"), BASE_CCLASSTRIB!$A:$A, 0))/100, 0)</f>
        <v>0</v>
      </c>
    </row>
    <row r="1322" spans="4:22" ht="32.25" customHeight="1">
      <c r="D1322" s="39"/>
      <c r="E1322" s="27" t="str">
        <f>IF(D1322="","",LEFT(D1322,3))</f>
        <v/>
      </c>
      <c r="F1322" s="28" t="str">
        <f>IF(E1322="","",IFERROR(VLOOKUP(E1322,REGRAS_CST!$A$2:$B$200,2,FALSE),""))</f>
        <v/>
      </c>
      <c r="H1322" s="29">
        <v>8.9999999999999993E-3</v>
      </c>
      <c r="I1322" s="29">
        <v>1E-3</v>
      </c>
      <c r="K1322" s="21" t="str">
        <f>IF(E1322="","",IFERROR(VLOOKUP(E1322,REGRAS_CST!$A$2:$C$200,3,FALSE),""))</f>
        <v/>
      </c>
      <c r="L1322" s="23" t="str">
        <f>IF($G1322="", "", $G1322*(1-$V1322))</f>
        <v/>
      </c>
      <c r="M1322" s="24" t="str">
        <f>IF(OR($L1322="",$S1322=""),"",$L1322*$S1322)</f>
        <v/>
      </c>
      <c r="N1322" s="24" t="str">
        <f>IF(OR($L1322="",$T1322=""),"",$L1322*$T1322)</f>
        <v/>
      </c>
      <c r="O1322" s="15" t="str">
        <f>IF(D1322="","",
IF(AND(K1322&lt;&gt;"SIM",V1322&gt;0),"ERRO: % BC &gt; 0, mas NÃO permitida ❌",
IF(AND(K1322="SIM",V1322=0),"ATENÇÃO: BC permitida, mas % = 0 🔎",
"Base de cálculo aplicada corretamente ✅")))</f>
        <v/>
      </c>
      <c r="P1322" s="31" t="str">
        <f>IF(D1322="","",
IF(AND(Q1322&lt;&gt;"SIM",U1322&gt;0),"ERRO: % alíquota &gt; 0, mas NÃO permitida ❌",
IF(AND(Q1322="SIM",U1322=0),"ATENÇÃO: alíquota permitida, mas % = 0 🔎",
"Alíquota aplicada corretamente ✅")))</f>
        <v/>
      </c>
      <c r="Q1322" s="8" t="str">
        <f>IF(E1322="","",IFERROR(VLOOKUP(E1322,REGRAS_CST!$A$2:$D$200,4,FALSE),""))</f>
        <v/>
      </c>
      <c r="S1322" s="9">
        <f>IF($H1322="","",$H1322*(1-$U1322))</f>
        <v>8.9999999999999993E-3</v>
      </c>
      <c r="T1322" s="9">
        <f>IF($I1322="","",$I1322*(1-$U1322))</f>
        <v>1E-3</v>
      </c>
      <c r="U1322" s="16">
        <f>IFERROR(INDEX(BASE_CCLASSTRIB!$E:$E, MATCH(TEXT($D1322,"000000"), BASE_CCLASSTRIB!$A:$A, 0))/100, 0)</f>
        <v>0</v>
      </c>
      <c r="V1322" s="16">
        <f>IFERROR(INDEX(BASE_CCLASSTRIB!$F:$F, MATCH(TEXT($D1322,"000000"), BASE_CCLASSTRIB!$A:$A, 0))/100, 0)</f>
        <v>0</v>
      </c>
    </row>
    <row r="1323" spans="4:22" ht="32.25" customHeight="1">
      <c r="D1323" s="39"/>
      <c r="E1323" s="27" t="str">
        <f>IF(D1323="","",LEFT(D1323,3))</f>
        <v/>
      </c>
      <c r="F1323" s="28" t="str">
        <f>IF(E1323="","",IFERROR(VLOOKUP(E1323,REGRAS_CST!$A$2:$B$200,2,FALSE),""))</f>
        <v/>
      </c>
      <c r="H1323" s="29">
        <v>8.9999999999999993E-3</v>
      </c>
      <c r="I1323" s="29">
        <v>1E-3</v>
      </c>
      <c r="K1323" s="21" t="str">
        <f>IF(E1323="","",IFERROR(VLOOKUP(E1323,REGRAS_CST!$A$2:$C$200,3,FALSE),""))</f>
        <v/>
      </c>
      <c r="L1323" s="23" t="str">
        <f>IF($G1323="", "", $G1323*(1-$V1323))</f>
        <v/>
      </c>
      <c r="M1323" s="24" t="str">
        <f>IF(OR($L1323="",$S1323=""),"",$L1323*$S1323)</f>
        <v/>
      </c>
      <c r="N1323" s="24" t="str">
        <f>IF(OR($L1323="",$T1323=""),"",$L1323*$T1323)</f>
        <v/>
      </c>
      <c r="O1323" s="15" t="str">
        <f>IF(D1323="","",
IF(AND(K1323&lt;&gt;"SIM",V1323&gt;0),"ERRO: % BC &gt; 0, mas NÃO permitida ❌",
IF(AND(K1323="SIM",V1323=0),"ATENÇÃO: BC permitida, mas % = 0 🔎",
"Base de cálculo aplicada corretamente ✅")))</f>
        <v/>
      </c>
      <c r="P1323" s="31" t="str">
        <f>IF(D1323="","",
IF(AND(Q1323&lt;&gt;"SIM",U1323&gt;0),"ERRO: % alíquota &gt; 0, mas NÃO permitida ❌",
IF(AND(Q1323="SIM",U1323=0),"ATENÇÃO: alíquota permitida, mas % = 0 🔎",
"Alíquota aplicada corretamente ✅")))</f>
        <v/>
      </c>
      <c r="Q1323" s="8" t="str">
        <f>IF(E1323="","",IFERROR(VLOOKUP(E1323,REGRAS_CST!$A$2:$D$200,4,FALSE),""))</f>
        <v/>
      </c>
      <c r="S1323" s="9">
        <f>IF($H1323="","",$H1323*(1-$U1323))</f>
        <v>8.9999999999999993E-3</v>
      </c>
      <c r="T1323" s="9">
        <f>IF($I1323="","",$I1323*(1-$U1323))</f>
        <v>1E-3</v>
      </c>
      <c r="U1323" s="16">
        <f>IFERROR(INDEX(BASE_CCLASSTRIB!$E:$E, MATCH(TEXT($D1323,"000000"), BASE_CCLASSTRIB!$A:$A, 0))/100, 0)</f>
        <v>0</v>
      </c>
      <c r="V1323" s="16">
        <f>IFERROR(INDEX(BASE_CCLASSTRIB!$F:$F, MATCH(TEXT($D1323,"000000"), BASE_CCLASSTRIB!$A:$A, 0))/100, 0)</f>
        <v>0</v>
      </c>
    </row>
    <row r="1324" spans="4:22" ht="32.25" customHeight="1">
      <c r="D1324" s="39"/>
      <c r="E1324" s="27" t="str">
        <f>IF(D1324="","",LEFT(D1324,3))</f>
        <v/>
      </c>
      <c r="F1324" s="28" t="str">
        <f>IF(E1324="","",IFERROR(VLOOKUP(E1324,REGRAS_CST!$A$2:$B$200,2,FALSE),""))</f>
        <v/>
      </c>
      <c r="H1324" s="29">
        <v>8.9999999999999993E-3</v>
      </c>
      <c r="I1324" s="29">
        <v>1E-3</v>
      </c>
      <c r="K1324" s="21" t="str">
        <f>IF(E1324="","",IFERROR(VLOOKUP(E1324,REGRAS_CST!$A$2:$C$200,3,FALSE),""))</f>
        <v/>
      </c>
      <c r="L1324" s="23" t="str">
        <f>IF($G1324="", "", $G1324*(1-$V1324))</f>
        <v/>
      </c>
      <c r="M1324" s="24" t="str">
        <f>IF(OR($L1324="",$S1324=""),"",$L1324*$S1324)</f>
        <v/>
      </c>
      <c r="N1324" s="24" t="str">
        <f>IF(OR($L1324="",$T1324=""),"",$L1324*$T1324)</f>
        <v/>
      </c>
      <c r="O1324" s="15" t="str">
        <f>IF(D1324="","",
IF(AND(K1324&lt;&gt;"SIM",V1324&gt;0),"ERRO: % BC &gt; 0, mas NÃO permitida ❌",
IF(AND(K1324="SIM",V1324=0),"ATENÇÃO: BC permitida, mas % = 0 🔎",
"Base de cálculo aplicada corretamente ✅")))</f>
        <v/>
      </c>
      <c r="P1324" s="31" t="str">
        <f>IF(D1324="","",
IF(AND(Q1324&lt;&gt;"SIM",U1324&gt;0),"ERRO: % alíquota &gt; 0, mas NÃO permitida ❌",
IF(AND(Q1324="SIM",U1324=0),"ATENÇÃO: alíquota permitida, mas % = 0 🔎",
"Alíquota aplicada corretamente ✅")))</f>
        <v/>
      </c>
      <c r="Q1324" s="8" t="str">
        <f>IF(E1324="","",IFERROR(VLOOKUP(E1324,REGRAS_CST!$A$2:$D$200,4,FALSE),""))</f>
        <v/>
      </c>
      <c r="S1324" s="9">
        <f>IF($H1324="","",$H1324*(1-$U1324))</f>
        <v>8.9999999999999993E-3</v>
      </c>
      <c r="T1324" s="9">
        <f>IF($I1324="","",$I1324*(1-$U1324))</f>
        <v>1E-3</v>
      </c>
      <c r="U1324" s="16">
        <f>IFERROR(INDEX(BASE_CCLASSTRIB!$E:$E, MATCH(TEXT($D1324,"000000"), BASE_CCLASSTRIB!$A:$A, 0))/100, 0)</f>
        <v>0</v>
      </c>
      <c r="V1324" s="16">
        <f>IFERROR(INDEX(BASE_CCLASSTRIB!$F:$F, MATCH(TEXT($D1324,"000000"), BASE_CCLASSTRIB!$A:$A, 0))/100, 0)</f>
        <v>0</v>
      </c>
    </row>
    <row r="1325" spans="4:22" ht="32.25" customHeight="1">
      <c r="D1325" s="39"/>
      <c r="E1325" s="27" t="str">
        <f>IF(D1325="","",LEFT(D1325,3))</f>
        <v/>
      </c>
      <c r="F1325" s="28" t="str">
        <f>IF(E1325="","",IFERROR(VLOOKUP(E1325,REGRAS_CST!$A$2:$B$200,2,FALSE),""))</f>
        <v/>
      </c>
      <c r="H1325" s="29">
        <v>8.9999999999999993E-3</v>
      </c>
      <c r="I1325" s="29">
        <v>1E-3</v>
      </c>
      <c r="K1325" s="21" t="str">
        <f>IF(E1325="","",IFERROR(VLOOKUP(E1325,REGRAS_CST!$A$2:$C$200,3,FALSE),""))</f>
        <v/>
      </c>
      <c r="L1325" s="23" t="str">
        <f>IF($G1325="", "", $G1325*(1-$V1325))</f>
        <v/>
      </c>
      <c r="M1325" s="24" t="str">
        <f>IF(OR($L1325="",$S1325=""),"",$L1325*$S1325)</f>
        <v/>
      </c>
      <c r="N1325" s="24" t="str">
        <f>IF(OR($L1325="",$T1325=""),"",$L1325*$T1325)</f>
        <v/>
      </c>
      <c r="O1325" s="15" t="str">
        <f>IF(D1325="","",
IF(AND(K1325&lt;&gt;"SIM",V1325&gt;0),"ERRO: % BC &gt; 0, mas NÃO permitida ❌",
IF(AND(K1325="SIM",V1325=0),"ATENÇÃO: BC permitida, mas % = 0 🔎",
"Base de cálculo aplicada corretamente ✅")))</f>
        <v/>
      </c>
      <c r="P1325" s="31" t="str">
        <f>IF(D1325="","",
IF(AND(Q1325&lt;&gt;"SIM",U1325&gt;0),"ERRO: % alíquota &gt; 0, mas NÃO permitida ❌",
IF(AND(Q1325="SIM",U1325=0),"ATENÇÃO: alíquota permitida, mas % = 0 🔎",
"Alíquota aplicada corretamente ✅")))</f>
        <v/>
      </c>
      <c r="Q1325" s="8" t="str">
        <f>IF(E1325="","",IFERROR(VLOOKUP(E1325,REGRAS_CST!$A$2:$D$200,4,FALSE),""))</f>
        <v/>
      </c>
      <c r="S1325" s="9">
        <f>IF($H1325="","",$H1325*(1-$U1325))</f>
        <v>8.9999999999999993E-3</v>
      </c>
      <c r="T1325" s="9">
        <f>IF($I1325="","",$I1325*(1-$U1325))</f>
        <v>1E-3</v>
      </c>
      <c r="U1325" s="16">
        <f>IFERROR(INDEX(BASE_CCLASSTRIB!$E:$E, MATCH(TEXT($D1325,"000000"), BASE_CCLASSTRIB!$A:$A, 0))/100, 0)</f>
        <v>0</v>
      </c>
      <c r="V1325" s="16">
        <f>IFERROR(INDEX(BASE_CCLASSTRIB!$F:$F, MATCH(TEXT($D1325,"000000"), BASE_CCLASSTRIB!$A:$A, 0))/100, 0)</f>
        <v>0</v>
      </c>
    </row>
    <row r="1326" spans="4:22" ht="32.25" customHeight="1">
      <c r="D1326" s="39"/>
      <c r="E1326" s="27" t="str">
        <f>IF(D1326="","",LEFT(D1326,3))</f>
        <v/>
      </c>
      <c r="F1326" s="28" t="str">
        <f>IF(E1326="","",IFERROR(VLOOKUP(E1326,REGRAS_CST!$A$2:$B$200,2,FALSE),""))</f>
        <v/>
      </c>
      <c r="H1326" s="29">
        <v>8.9999999999999993E-3</v>
      </c>
      <c r="I1326" s="29">
        <v>1E-3</v>
      </c>
      <c r="K1326" s="21" t="str">
        <f>IF(E1326="","",IFERROR(VLOOKUP(E1326,REGRAS_CST!$A$2:$C$200,3,FALSE),""))</f>
        <v/>
      </c>
      <c r="L1326" s="23" t="str">
        <f>IF($G1326="", "", $G1326*(1-$V1326))</f>
        <v/>
      </c>
      <c r="M1326" s="24" t="str">
        <f>IF(OR($L1326="",$S1326=""),"",$L1326*$S1326)</f>
        <v/>
      </c>
      <c r="N1326" s="24" t="str">
        <f>IF(OR($L1326="",$T1326=""),"",$L1326*$T1326)</f>
        <v/>
      </c>
      <c r="O1326" s="15" t="str">
        <f>IF(D1326="","",
IF(AND(K1326&lt;&gt;"SIM",V1326&gt;0),"ERRO: % BC &gt; 0, mas NÃO permitida ❌",
IF(AND(K1326="SIM",V1326=0),"ATENÇÃO: BC permitida, mas % = 0 🔎",
"Base de cálculo aplicada corretamente ✅")))</f>
        <v/>
      </c>
      <c r="P1326" s="31" t="str">
        <f>IF(D1326="","",
IF(AND(Q1326&lt;&gt;"SIM",U1326&gt;0),"ERRO: % alíquota &gt; 0, mas NÃO permitida ❌",
IF(AND(Q1326="SIM",U1326=0),"ATENÇÃO: alíquota permitida, mas % = 0 🔎",
"Alíquota aplicada corretamente ✅")))</f>
        <v/>
      </c>
      <c r="Q1326" s="8" t="str">
        <f>IF(E1326="","",IFERROR(VLOOKUP(E1326,REGRAS_CST!$A$2:$D$200,4,FALSE),""))</f>
        <v/>
      </c>
      <c r="S1326" s="9">
        <f>IF($H1326="","",$H1326*(1-$U1326))</f>
        <v>8.9999999999999993E-3</v>
      </c>
      <c r="T1326" s="9">
        <f>IF($I1326="","",$I1326*(1-$U1326))</f>
        <v>1E-3</v>
      </c>
      <c r="U1326" s="16">
        <f>IFERROR(INDEX(BASE_CCLASSTRIB!$E:$E, MATCH(TEXT($D1326,"000000"), BASE_CCLASSTRIB!$A:$A, 0))/100, 0)</f>
        <v>0</v>
      </c>
      <c r="V1326" s="16">
        <f>IFERROR(INDEX(BASE_CCLASSTRIB!$F:$F, MATCH(TEXT($D1326,"000000"), BASE_CCLASSTRIB!$A:$A, 0))/100, 0)</f>
        <v>0</v>
      </c>
    </row>
    <row r="1327" spans="4:22" ht="32.25" customHeight="1">
      <c r="D1327" s="39"/>
      <c r="E1327" s="27" t="str">
        <f>IF(D1327="","",LEFT(D1327,3))</f>
        <v/>
      </c>
      <c r="F1327" s="28" t="str">
        <f>IF(E1327="","",IFERROR(VLOOKUP(E1327,REGRAS_CST!$A$2:$B$200,2,FALSE),""))</f>
        <v/>
      </c>
      <c r="H1327" s="29">
        <v>8.9999999999999993E-3</v>
      </c>
      <c r="I1327" s="29">
        <v>1E-3</v>
      </c>
      <c r="K1327" s="21" t="str">
        <f>IF(E1327="","",IFERROR(VLOOKUP(E1327,REGRAS_CST!$A$2:$C$200,3,FALSE),""))</f>
        <v/>
      </c>
      <c r="L1327" s="23" t="str">
        <f>IF($G1327="", "", $G1327*(1-$V1327))</f>
        <v/>
      </c>
      <c r="M1327" s="24" t="str">
        <f>IF(OR($L1327="",$S1327=""),"",$L1327*$S1327)</f>
        <v/>
      </c>
      <c r="N1327" s="24" t="str">
        <f>IF(OR($L1327="",$T1327=""),"",$L1327*$T1327)</f>
        <v/>
      </c>
      <c r="O1327" s="15" t="str">
        <f>IF(D1327="","",
IF(AND(K1327&lt;&gt;"SIM",V1327&gt;0),"ERRO: % BC &gt; 0, mas NÃO permitida ❌",
IF(AND(K1327="SIM",V1327=0),"ATENÇÃO: BC permitida, mas % = 0 🔎",
"Base de cálculo aplicada corretamente ✅")))</f>
        <v/>
      </c>
      <c r="P1327" s="31" t="str">
        <f>IF(D1327="","",
IF(AND(Q1327&lt;&gt;"SIM",U1327&gt;0),"ERRO: % alíquota &gt; 0, mas NÃO permitida ❌",
IF(AND(Q1327="SIM",U1327=0),"ATENÇÃO: alíquota permitida, mas % = 0 🔎",
"Alíquota aplicada corretamente ✅")))</f>
        <v/>
      </c>
      <c r="Q1327" s="8" t="str">
        <f>IF(E1327="","",IFERROR(VLOOKUP(E1327,REGRAS_CST!$A$2:$D$200,4,FALSE),""))</f>
        <v/>
      </c>
      <c r="S1327" s="9">
        <f>IF($H1327="","",$H1327*(1-$U1327))</f>
        <v>8.9999999999999993E-3</v>
      </c>
      <c r="T1327" s="9">
        <f>IF($I1327="","",$I1327*(1-$U1327))</f>
        <v>1E-3</v>
      </c>
      <c r="U1327" s="16">
        <f>IFERROR(INDEX(BASE_CCLASSTRIB!$E:$E, MATCH(TEXT($D1327,"000000"), BASE_CCLASSTRIB!$A:$A, 0))/100, 0)</f>
        <v>0</v>
      </c>
      <c r="V1327" s="16">
        <f>IFERROR(INDEX(BASE_CCLASSTRIB!$F:$F, MATCH(TEXT($D1327,"000000"), BASE_CCLASSTRIB!$A:$A, 0))/100, 0)</f>
        <v>0</v>
      </c>
    </row>
    <row r="1328" spans="4:22" ht="32.25" customHeight="1">
      <c r="D1328" s="40"/>
      <c r="E1328" s="27" t="str">
        <f>IF(D1328="","",LEFT(D1328,3))</f>
        <v/>
      </c>
      <c r="F1328" s="28" t="str">
        <f>IF(E1328="","",IFERROR(VLOOKUP(E1328,REGRAS_CST!$A$2:$B$200,2,FALSE),""))</f>
        <v/>
      </c>
      <c r="H1328" s="29">
        <v>8.9999999999999993E-3</v>
      </c>
      <c r="I1328" s="29">
        <v>1E-3</v>
      </c>
      <c r="K1328" s="21" t="str">
        <f>IF(E1328="","",IFERROR(VLOOKUP(E1328,REGRAS_CST!$A$2:$C$200,3,FALSE),""))</f>
        <v/>
      </c>
      <c r="L1328" s="23" t="str">
        <f>IF($G1328="", "", $G1328*(1-$V1328))</f>
        <v/>
      </c>
      <c r="M1328" s="24" t="str">
        <f>IF(OR($L1328="",$S1328=""),"",$L1328*$S1328)</f>
        <v/>
      </c>
      <c r="N1328" s="24" t="str">
        <f>IF(OR($L1328="",$T1328=""),"",$L1328*$T1328)</f>
        <v/>
      </c>
      <c r="O1328" s="15" t="str">
        <f>IF(D1328="","",
IF(AND(K1328&lt;&gt;"SIM",V1328&gt;0),"ERRO: % BC &gt; 0, mas NÃO permitida ❌",
IF(AND(K1328="SIM",V1328=0),"ATENÇÃO: BC permitida, mas % = 0 🔎",
"Base de cálculo aplicada corretamente ✅")))</f>
        <v/>
      </c>
      <c r="P1328" s="31" t="str">
        <f>IF(D1328="","",
IF(AND(Q1328&lt;&gt;"SIM",U1328&gt;0),"ERRO: % alíquota &gt; 0, mas NÃO permitida ❌",
IF(AND(Q1328="SIM",U1328=0),"ATENÇÃO: alíquota permitida, mas % = 0 🔎",
"Alíquota aplicada corretamente ✅")))</f>
        <v/>
      </c>
      <c r="Q1328" s="8" t="str">
        <f>IF(E1328="","",IFERROR(VLOOKUP(E1328,REGRAS_CST!$A$2:$D$200,4,FALSE),""))</f>
        <v/>
      </c>
      <c r="S1328" s="9">
        <f>IF($H1328="","",$H1328*(1-$U1328))</f>
        <v>8.9999999999999993E-3</v>
      </c>
      <c r="T1328" s="9">
        <f>IF($I1328="","",$I1328*(1-$U1328))</f>
        <v>1E-3</v>
      </c>
      <c r="U1328" s="16">
        <f>IFERROR(INDEX(BASE_CCLASSTRIB!$E:$E, MATCH(TEXT($D1328,"000000"), BASE_CCLASSTRIB!$A:$A, 0))/100, 0)</f>
        <v>0</v>
      </c>
      <c r="V1328" s="16">
        <f>IFERROR(INDEX(BASE_CCLASSTRIB!$F:$F, MATCH(TEXT($D1328,"000000"), BASE_CCLASSTRIB!$A:$A, 0))/100, 0)</f>
        <v>0</v>
      </c>
    </row>
    <row r="1329" spans="4:22" ht="32.25" customHeight="1">
      <c r="D1329" s="39"/>
      <c r="E1329" s="27" t="str">
        <f>IF(D1329="","",LEFT(D1329,3))</f>
        <v/>
      </c>
      <c r="F1329" s="28" t="str">
        <f>IF(E1329="","",IFERROR(VLOOKUP(E1329,REGRAS_CST!$A$2:$B$200,2,FALSE),""))</f>
        <v/>
      </c>
      <c r="H1329" s="29">
        <v>8.9999999999999993E-3</v>
      </c>
      <c r="I1329" s="29">
        <v>1E-3</v>
      </c>
      <c r="K1329" s="21" t="str">
        <f>IF(E1329="","",IFERROR(VLOOKUP(E1329,REGRAS_CST!$A$2:$C$200,3,FALSE),""))</f>
        <v/>
      </c>
      <c r="L1329" s="23" t="str">
        <f>IF($G1329="", "", $G1329*(1-$V1329))</f>
        <v/>
      </c>
      <c r="M1329" s="24" t="str">
        <f>IF(OR($L1329="",$S1329=""),"",$L1329*$S1329)</f>
        <v/>
      </c>
      <c r="N1329" s="24" t="str">
        <f>IF(OR($L1329="",$T1329=""),"",$L1329*$T1329)</f>
        <v/>
      </c>
      <c r="O1329" s="15" t="str">
        <f>IF(D1329="","",
IF(AND(K1329&lt;&gt;"SIM",V1329&gt;0),"ERRO: % BC &gt; 0, mas NÃO permitida ❌",
IF(AND(K1329="SIM",V1329=0),"ATENÇÃO: BC permitida, mas % = 0 🔎",
"Base de cálculo aplicada corretamente ✅")))</f>
        <v/>
      </c>
      <c r="P1329" s="31" t="str">
        <f>IF(D1329="","",
IF(AND(Q1329&lt;&gt;"SIM",U1329&gt;0),"ERRO: % alíquota &gt; 0, mas NÃO permitida ❌",
IF(AND(Q1329="SIM",U1329=0),"ATENÇÃO: alíquota permitida, mas % = 0 🔎",
"Alíquota aplicada corretamente ✅")))</f>
        <v/>
      </c>
      <c r="Q1329" s="8" t="str">
        <f>IF(E1329="","",IFERROR(VLOOKUP(E1329,REGRAS_CST!$A$2:$D$200,4,FALSE),""))</f>
        <v/>
      </c>
      <c r="S1329" s="9">
        <f>IF($H1329="","",$H1329*(1-$U1329))</f>
        <v>8.9999999999999993E-3</v>
      </c>
      <c r="T1329" s="9">
        <f>IF($I1329="","",$I1329*(1-$U1329))</f>
        <v>1E-3</v>
      </c>
      <c r="U1329" s="16">
        <f>IFERROR(INDEX(BASE_CCLASSTRIB!$E:$E, MATCH(TEXT($D1329,"000000"), BASE_CCLASSTRIB!$A:$A, 0))/100, 0)</f>
        <v>0</v>
      </c>
      <c r="V1329" s="16">
        <f>IFERROR(INDEX(BASE_CCLASSTRIB!$F:$F, MATCH(TEXT($D1329,"000000"), BASE_CCLASSTRIB!$A:$A, 0))/100, 0)</f>
        <v>0</v>
      </c>
    </row>
    <row r="1330" spans="4:22" ht="32.25" customHeight="1">
      <c r="D1330" s="39"/>
      <c r="E1330" s="27" t="str">
        <f>IF(D1330="","",LEFT(D1330,3))</f>
        <v/>
      </c>
      <c r="F1330" s="28" t="str">
        <f>IF(E1330="","",IFERROR(VLOOKUP(E1330,REGRAS_CST!$A$2:$B$200,2,FALSE),""))</f>
        <v/>
      </c>
      <c r="H1330" s="29">
        <v>8.9999999999999993E-3</v>
      </c>
      <c r="I1330" s="29">
        <v>1E-3</v>
      </c>
      <c r="K1330" s="21" t="str">
        <f>IF(E1330="","",IFERROR(VLOOKUP(E1330,REGRAS_CST!$A$2:$C$200,3,FALSE),""))</f>
        <v/>
      </c>
      <c r="L1330" s="23" t="str">
        <f>IF($G1330="", "", $G1330*(1-$V1330))</f>
        <v/>
      </c>
      <c r="M1330" s="24" t="str">
        <f>IF(OR($L1330="",$S1330=""),"",$L1330*$S1330)</f>
        <v/>
      </c>
      <c r="N1330" s="24" t="str">
        <f>IF(OR($L1330="",$T1330=""),"",$L1330*$T1330)</f>
        <v/>
      </c>
      <c r="O1330" s="15" t="str">
        <f>IF(D1330="","",
IF(AND(K1330&lt;&gt;"SIM",V1330&gt;0),"ERRO: % BC &gt; 0, mas NÃO permitida ❌",
IF(AND(K1330="SIM",V1330=0),"ATENÇÃO: BC permitida, mas % = 0 🔎",
"Base de cálculo aplicada corretamente ✅")))</f>
        <v/>
      </c>
      <c r="P1330" s="31" t="str">
        <f>IF(D1330="","",
IF(AND(Q1330&lt;&gt;"SIM",U1330&gt;0),"ERRO: % alíquota &gt; 0, mas NÃO permitida ❌",
IF(AND(Q1330="SIM",U1330=0),"ATENÇÃO: alíquota permitida, mas % = 0 🔎",
"Alíquota aplicada corretamente ✅")))</f>
        <v/>
      </c>
      <c r="Q1330" s="8" t="str">
        <f>IF(E1330="","",IFERROR(VLOOKUP(E1330,REGRAS_CST!$A$2:$D$200,4,FALSE),""))</f>
        <v/>
      </c>
      <c r="S1330" s="9">
        <f>IF($H1330="","",$H1330*(1-$U1330))</f>
        <v>8.9999999999999993E-3</v>
      </c>
      <c r="T1330" s="9">
        <f>IF($I1330="","",$I1330*(1-$U1330))</f>
        <v>1E-3</v>
      </c>
      <c r="U1330" s="16">
        <f>IFERROR(INDEX(BASE_CCLASSTRIB!$E:$E, MATCH(TEXT($D1330,"000000"), BASE_CCLASSTRIB!$A:$A, 0))/100, 0)</f>
        <v>0</v>
      </c>
      <c r="V1330" s="16">
        <f>IFERROR(INDEX(BASE_CCLASSTRIB!$F:$F, MATCH(TEXT($D1330,"000000"), BASE_CCLASSTRIB!$A:$A, 0))/100, 0)</f>
        <v>0</v>
      </c>
    </row>
    <row r="1331" spans="4:22" ht="32.25" customHeight="1">
      <c r="D1331" s="40"/>
      <c r="E1331" s="27" t="str">
        <f>IF(D1331="","",LEFT(D1331,3))</f>
        <v/>
      </c>
      <c r="F1331" s="28" t="str">
        <f>IF(E1331="","",IFERROR(VLOOKUP(E1331,REGRAS_CST!$A$2:$B$200,2,FALSE),""))</f>
        <v/>
      </c>
      <c r="H1331" s="29">
        <v>8.9999999999999993E-3</v>
      </c>
      <c r="I1331" s="29">
        <v>1E-3</v>
      </c>
      <c r="K1331" s="21" t="str">
        <f>IF(E1331="","",IFERROR(VLOOKUP(E1331,REGRAS_CST!$A$2:$C$200,3,FALSE),""))</f>
        <v/>
      </c>
      <c r="L1331" s="23" t="str">
        <f>IF($G1331="", "", $G1331*(1-$V1331))</f>
        <v/>
      </c>
      <c r="M1331" s="24" t="str">
        <f>IF(OR($L1331="",$S1331=""),"",$L1331*$S1331)</f>
        <v/>
      </c>
      <c r="N1331" s="24" t="str">
        <f>IF(OR($L1331="",$T1331=""),"",$L1331*$T1331)</f>
        <v/>
      </c>
      <c r="O1331" s="15" t="str">
        <f>IF(D1331="","",
IF(AND(K1331&lt;&gt;"SIM",V1331&gt;0),"ERRO: % BC &gt; 0, mas NÃO permitida ❌",
IF(AND(K1331="SIM",V1331=0),"ATENÇÃO: BC permitida, mas % = 0 🔎",
"Base de cálculo aplicada corretamente ✅")))</f>
        <v/>
      </c>
      <c r="P1331" s="31" t="str">
        <f>IF(D1331="","",
IF(AND(Q1331&lt;&gt;"SIM",U1331&gt;0),"ERRO: % alíquota &gt; 0, mas NÃO permitida ❌",
IF(AND(Q1331="SIM",U1331=0),"ATENÇÃO: alíquota permitida, mas % = 0 🔎",
"Alíquota aplicada corretamente ✅")))</f>
        <v/>
      </c>
      <c r="Q1331" s="8" t="str">
        <f>IF(E1331="","",IFERROR(VLOOKUP(E1331,REGRAS_CST!$A$2:$D$200,4,FALSE),""))</f>
        <v/>
      </c>
      <c r="S1331" s="9">
        <f>IF($H1331="","",$H1331*(1-$U1331))</f>
        <v>8.9999999999999993E-3</v>
      </c>
      <c r="T1331" s="9">
        <f>IF($I1331="","",$I1331*(1-$U1331))</f>
        <v>1E-3</v>
      </c>
      <c r="U1331" s="16">
        <f>IFERROR(INDEX(BASE_CCLASSTRIB!$E:$E, MATCH(TEXT($D1331,"000000"), BASE_CCLASSTRIB!$A:$A, 0))/100, 0)</f>
        <v>0</v>
      </c>
      <c r="V1331" s="16">
        <f>IFERROR(INDEX(BASE_CCLASSTRIB!$F:$F, MATCH(TEXT($D1331,"000000"), BASE_CCLASSTRIB!$A:$A, 0))/100, 0)</f>
        <v>0</v>
      </c>
    </row>
    <row r="1332" spans="4:22" ht="32.25" customHeight="1">
      <c r="D1332" s="40"/>
      <c r="E1332" s="27" t="str">
        <f>IF(D1332="","",LEFT(D1332,3))</f>
        <v/>
      </c>
      <c r="F1332" s="28" t="str">
        <f>IF(E1332="","",IFERROR(VLOOKUP(E1332,REGRAS_CST!$A$2:$B$200,2,FALSE),""))</f>
        <v/>
      </c>
      <c r="H1332" s="29">
        <v>8.9999999999999993E-3</v>
      </c>
      <c r="I1332" s="29">
        <v>1E-3</v>
      </c>
      <c r="K1332" s="21" t="str">
        <f>IF(E1332="","",IFERROR(VLOOKUP(E1332,REGRAS_CST!$A$2:$C$200,3,FALSE),""))</f>
        <v/>
      </c>
      <c r="L1332" s="23" t="str">
        <f>IF($G1332="", "", $G1332*(1-$V1332))</f>
        <v/>
      </c>
      <c r="M1332" s="24" t="str">
        <f>IF(OR($L1332="",$S1332=""),"",$L1332*$S1332)</f>
        <v/>
      </c>
      <c r="N1332" s="24" t="str">
        <f>IF(OR($L1332="",$T1332=""),"",$L1332*$T1332)</f>
        <v/>
      </c>
      <c r="O1332" s="15" t="str">
        <f>IF(D1332="","",
IF(AND(K1332&lt;&gt;"SIM",V1332&gt;0),"ERRO: % BC &gt; 0, mas NÃO permitida ❌",
IF(AND(K1332="SIM",V1332=0),"ATENÇÃO: BC permitida, mas % = 0 🔎",
"Base de cálculo aplicada corretamente ✅")))</f>
        <v/>
      </c>
      <c r="P1332" s="31" t="str">
        <f>IF(D1332="","",
IF(AND(Q1332&lt;&gt;"SIM",U1332&gt;0),"ERRO: % alíquota &gt; 0, mas NÃO permitida ❌",
IF(AND(Q1332="SIM",U1332=0),"ATENÇÃO: alíquota permitida, mas % = 0 🔎",
"Alíquota aplicada corretamente ✅")))</f>
        <v/>
      </c>
      <c r="Q1332" s="8" t="str">
        <f>IF(E1332="","",IFERROR(VLOOKUP(E1332,REGRAS_CST!$A$2:$D$200,4,FALSE),""))</f>
        <v/>
      </c>
      <c r="S1332" s="9">
        <f>IF($H1332="","",$H1332*(1-$U1332))</f>
        <v>8.9999999999999993E-3</v>
      </c>
      <c r="T1332" s="9">
        <f>IF($I1332="","",$I1332*(1-$U1332))</f>
        <v>1E-3</v>
      </c>
      <c r="U1332" s="16">
        <f>IFERROR(INDEX(BASE_CCLASSTRIB!$E:$E, MATCH(TEXT($D1332,"000000"), BASE_CCLASSTRIB!$A:$A, 0))/100, 0)</f>
        <v>0</v>
      </c>
      <c r="V1332" s="16">
        <f>IFERROR(INDEX(BASE_CCLASSTRIB!$F:$F, MATCH(TEXT($D1332,"000000"), BASE_CCLASSTRIB!$A:$A, 0))/100, 0)</f>
        <v>0</v>
      </c>
    </row>
    <row r="1333" spans="4:22" ht="32.25" customHeight="1">
      <c r="D1333" s="39"/>
      <c r="E1333" s="27" t="str">
        <f>IF(D1333="","",LEFT(D1333,3))</f>
        <v/>
      </c>
      <c r="F1333" s="28" t="str">
        <f>IF(E1333="","",IFERROR(VLOOKUP(E1333,REGRAS_CST!$A$2:$B$200,2,FALSE),""))</f>
        <v/>
      </c>
      <c r="H1333" s="29">
        <v>8.9999999999999993E-3</v>
      </c>
      <c r="I1333" s="29">
        <v>1E-3</v>
      </c>
      <c r="K1333" s="21" t="str">
        <f>IF(E1333="","",IFERROR(VLOOKUP(E1333,REGRAS_CST!$A$2:$C$200,3,FALSE),""))</f>
        <v/>
      </c>
      <c r="L1333" s="23" t="str">
        <f>IF($G1333="", "", $G1333*(1-$V1333))</f>
        <v/>
      </c>
      <c r="M1333" s="24" t="str">
        <f>IF(OR($L1333="",$S1333=""),"",$L1333*$S1333)</f>
        <v/>
      </c>
      <c r="N1333" s="24" t="str">
        <f>IF(OR($L1333="",$T1333=""),"",$L1333*$T1333)</f>
        <v/>
      </c>
      <c r="O1333" s="15" t="str">
        <f>IF(D1333="","",
IF(AND(K1333&lt;&gt;"SIM",V1333&gt;0),"ERRO: % BC &gt; 0, mas NÃO permitida ❌",
IF(AND(K1333="SIM",V1333=0),"ATENÇÃO: BC permitida, mas % = 0 🔎",
"Base de cálculo aplicada corretamente ✅")))</f>
        <v/>
      </c>
      <c r="P1333" s="31" t="str">
        <f>IF(D1333="","",
IF(AND(Q1333&lt;&gt;"SIM",U1333&gt;0),"ERRO: % alíquota &gt; 0, mas NÃO permitida ❌",
IF(AND(Q1333="SIM",U1333=0),"ATENÇÃO: alíquota permitida, mas % = 0 🔎",
"Alíquota aplicada corretamente ✅")))</f>
        <v/>
      </c>
      <c r="Q1333" s="8" t="str">
        <f>IF(E1333="","",IFERROR(VLOOKUP(E1333,REGRAS_CST!$A$2:$D$200,4,FALSE),""))</f>
        <v/>
      </c>
      <c r="S1333" s="9">
        <f>IF($H1333="","",$H1333*(1-$U1333))</f>
        <v>8.9999999999999993E-3</v>
      </c>
      <c r="T1333" s="9">
        <f>IF($I1333="","",$I1333*(1-$U1333))</f>
        <v>1E-3</v>
      </c>
      <c r="U1333" s="16">
        <f>IFERROR(INDEX(BASE_CCLASSTRIB!$E:$E, MATCH(TEXT($D1333,"000000"), BASE_CCLASSTRIB!$A:$A, 0))/100, 0)</f>
        <v>0</v>
      </c>
      <c r="V1333" s="16">
        <f>IFERROR(INDEX(BASE_CCLASSTRIB!$F:$F, MATCH(TEXT($D1333,"000000"), BASE_CCLASSTRIB!$A:$A, 0))/100, 0)</f>
        <v>0</v>
      </c>
    </row>
    <row r="1334" spans="4:22" ht="32.25" customHeight="1">
      <c r="D1334" s="39"/>
      <c r="E1334" s="27" t="str">
        <f>IF(D1334="","",LEFT(D1334,3))</f>
        <v/>
      </c>
      <c r="F1334" s="28" t="str">
        <f>IF(E1334="","",IFERROR(VLOOKUP(E1334,REGRAS_CST!$A$2:$B$200,2,FALSE),""))</f>
        <v/>
      </c>
      <c r="H1334" s="29">
        <v>8.9999999999999993E-3</v>
      </c>
      <c r="I1334" s="29">
        <v>1E-3</v>
      </c>
      <c r="K1334" s="21" t="str">
        <f>IF(E1334="","",IFERROR(VLOOKUP(E1334,REGRAS_CST!$A$2:$C$200,3,FALSE),""))</f>
        <v/>
      </c>
      <c r="L1334" s="23" t="str">
        <f>IF($G1334="", "", $G1334*(1-$V1334))</f>
        <v/>
      </c>
      <c r="M1334" s="24" t="str">
        <f>IF(OR($L1334="",$S1334=""),"",$L1334*$S1334)</f>
        <v/>
      </c>
      <c r="N1334" s="24" t="str">
        <f>IF(OR($L1334="",$T1334=""),"",$L1334*$T1334)</f>
        <v/>
      </c>
      <c r="O1334" s="15" t="str">
        <f>IF(D1334="","",
IF(AND(K1334&lt;&gt;"SIM",V1334&gt;0),"ERRO: % BC &gt; 0, mas NÃO permitida ❌",
IF(AND(K1334="SIM",V1334=0),"ATENÇÃO: BC permitida, mas % = 0 🔎",
"Base de cálculo aplicada corretamente ✅")))</f>
        <v/>
      </c>
      <c r="P1334" s="31" t="str">
        <f>IF(D1334="","",
IF(AND(Q1334&lt;&gt;"SIM",U1334&gt;0),"ERRO: % alíquota &gt; 0, mas NÃO permitida ❌",
IF(AND(Q1334="SIM",U1334=0),"ATENÇÃO: alíquota permitida, mas % = 0 🔎",
"Alíquota aplicada corretamente ✅")))</f>
        <v/>
      </c>
      <c r="Q1334" s="8" t="str">
        <f>IF(E1334="","",IFERROR(VLOOKUP(E1334,REGRAS_CST!$A$2:$D$200,4,FALSE),""))</f>
        <v/>
      </c>
      <c r="S1334" s="9">
        <f>IF($H1334="","",$H1334*(1-$U1334))</f>
        <v>8.9999999999999993E-3</v>
      </c>
      <c r="T1334" s="9">
        <f>IF($I1334="","",$I1334*(1-$U1334))</f>
        <v>1E-3</v>
      </c>
      <c r="U1334" s="16">
        <f>IFERROR(INDEX(BASE_CCLASSTRIB!$E:$E, MATCH(TEXT($D1334,"000000"), BASE_CCLASSTRIB!$A:$A, 0))/100, 0)</f>
        <v>0</v>
      </c>
      <c r="V1334" s="16">
        <f>IFERROR(INDEX(BASE_CCLASSTRIB!$F:$F, MATCH(TEXT($D1334,"000000"), BASE_CCLASSTRIB!$A:$A, 0))/100, 0)</f>
        <v>0</v>
      </c>
    </row>
    <row r="1335" spans="4:22" ht="32.25" customHeight="1">
      <c r="D1335" s="40"/>
      <c r="E1335" s="27" t="str">
        <f>IF(D1335="","",LEFT(D1335,3))</f>
        <v/>
      </c>
      <c r="F1335" s="28" t="str">
        <f>IF(E1335="","",IFERROR(VLOOKUP(E1335,REGRAS_CST!$A$2:$B$200,2,FALSE),""))</f>
        <v/>
      </c>
      <c r="H1335" s="29">
        <v>8.9999999999999993E-3</v>
      </c>
      <c r="I1335" s="29">
        <v>1E-3</v>
      </c>
      <c r="K1335" s="21" t="str">
        <f>IF(E1335="","",IFERROR(VLOOKUP(E1335,REGRAS_CST!$A$2:$C$200,3,FALSE),""))</f>
        <v/>
      </c>
      <c r="L1335" s="23" t="str">
        <f>IF($G1335="", "", $G1335*(1-$V1335))</f>
        <v/>
      </c>
      <c r="M1335" s="24" t="str">
        <f>IF(OR($L1335="",$S1335=""),"",$L1335*$S1335)</f>
        <v/>
      </c>
      <c r="N1335" s="24" t="str">
        <f>IF(OR($L1335="",$T1335=""),"",$L1335*$T1335)</f>
        <v/>
      </c>
      <c r="O1335" s="15" t="str">
        <f>IF(D1335="","",
IF(AND(K1335&lt;&gt;"SIM",V1335&gt;0),"ERRO: % BC &gt; 0, mas NÃO permitida ❌",
IF(AND(K1335="SIM",V1335=0),"ATENÇÃO: BC permitida, mas % = 0 🔎",
"Base de cálculo aplicada corretamente ✅")))</f>
        <v/>
      </c>
      <c r="P1335" s="31" t="str">
        <f>IF(D1335="","",
IF(AND(Q1335&lt;&gt;"SIM",U1335&gt;0),"ERRO: % alíquota &gt; 0, mas NÃO permitida ❌",
IF(AND(Q1335="SIM",U1335=0),"ATENÇÃO: alíquota permitida, mas % = 0 🔎",
"Alíquota aplicada corretamente ✅")))</f>
        <v/>
      </c>
      <c r="Q1335" s="8" t="str">
        <f>IF(E1335="","",IFERROR(VLOOKUP(E1335,REGRAS_CST!$A$2:$D$200,4,FALSE),""))</f>
        <v/>
      </c>
      <c r="S1335" s="9">
        <f>IF($H1335="","",$H1335*(1-$U1335))</f>
        <v>8.9999999999999993E-3</v>
      </c>
      <c r="T1335" s="9">
        <f>IF($I1335="","",$I1335*(1-$U1335))</f>
        <v>1E-3</v>
      </c>
      <c r="U1335" s="16">
        <f>IFERROR(INDEX(BASE_CCLASSTRIB!$E:$E, MATCH(TEXT($D1335,"000000"), BASE_CCLASSTRIB!$A:$A, 0))/100, 0)</f>
        <v>0</v>
      </c>
      <c r="V1335" s="16">
        <f>IFERROR(INDEX(BASE_CCLASSTRIB!$F:$F, MATCH(TEXT($D1335,"000000"), BASE_CCLASSTRIB!$A:$A, 0))/100, 0)</f>
        <v>0</v>
      </c>
    </row>
    <row r="1336" spans="4:22" ht="32.25" customHeight="1">
      <c r="D1336" s="39"/>
      <c r="E1336" s="27" t="str">
        <f>IF(D1336="","",LEFT(D1336,3))</f>
        <v/>
      </c>
      <c r="F1336" s="28" t="str">
        <f>IF(E1336="","",IFERROR(VLOOKUP(E1336,REGRAS_CST!$A$2:$B$200,2,FALSE),""))</f>
        <v/>
      </c>
      <c r="H1336" s="29">
        <v>8.9999999999999993E-3</v>
      </c>
      <c r="I1336" s="29">
        <v>1E-3</v>
      </c>
      <c r="K1336" s="21" t="str">
        <f>IF(E1336="","",IFERROR(VLOOKUP(E1336,REGRAS_CST!$A$2:$C$200,3,FALSE),""))</f>
        <v/>
      </c>
      <c r="L1336" s="23" t="str">
        <f>IF($G1336="", "", $G1336*(1-$V1336))</f>
        <v/>
      </c>
      <c r="M1336" s="24" t="str">
        <f>IF(OR($L1336="",$S1336=""),"",$L1336*$S1336)</f>
        <v/>
      </c>
      <c r="N1336" s="24" t="str">
        <f>IF(OR($L1336="",$T1336=""),"",$L1336*$T1336)</f>
        <v/>
      </c>
      <c r="O1336" s="15" t="str">
        <f>IF(D1336="","",
IF(AND(K1336&lt;&gt;"SIM",V1336&gt;0),"ERRO: % BC &gt; 0, mas NÃO permitida ❌",
IF(AND(K1336="SIM",V1336=0),"ATENÇÃO: BC permitida, mas % = 0 🔎",
"Base de cálculo aplicada corretamente ✅")))</f>
        <v/>
      </c>
      <c r="P1336" s="31" t="str">
        <f>IF(D1336="","",
IF(AND(Q1336&lt;&gt;"SIM",U1336&gt;0),"ERRO: % alíquota &gt; 0, mas NÃO permitida ❌",
IF(AND(Q1336="SIM",U1336=0),"ATENÇÃO: alíquota permitida, mas % = 0 🔎",
"Alíquota aplicada corretamente ✅")))</f>
        <v/>
      </c>
      <c r="Q1336" s="8" t="str">
        <f>IF(E1336="","",IFERROR(VLOOKUP(E1336,REGRAS_CST!$A$2:$D$200,4,FALSE),""))</f>
        <v/>
      </c>
      <c r="S1336" s="9">
        <f>IF($H1336="","",$H1336*(1-$U1336))</f>
        <v>8.9999999999999993E-3</v>
      </c>
      <c r="T1336" s="9">
        <f>IF($I1336="","",$I1336*(1-$U1336))</f>
        <v>1E-3</v>
      </c>
      <c r="U1336" s="16">
        <f>IFERROR(INDEX(BASE_CCLASSTRIB!$E:$E, MATCH(TEXT($D1336,"000000"), BASE_CCLASSTRIB!$A:$A, 0))/100, 0)</f>
        <v>0</v>
      </c>
      <c r="V1336" s="16">
        <f>IFERROR(INDEX(BASE_CCLASSTRIB!$F:$F, MATCH(TEXT($D1336,"000000"), BASE_CCLASSTRIB!$A:$A, 0))/100, 0)</f>
        <v>0</v>
      </c>
    </row>
    <row r="1337" spans="4:22" ht="32.25" customHeight="1">
      <c r="D1337" s="40"/>
      <c r="E1337" s="27" t="str">
        <f>IF(D1337="","",LEFT(D1337,3))</f>
        <v/>
      </c>
      <c r="F1337" s="28" t="str">
        <f>IF(E1337="","",IFERROR(VLOOKUP(E1337,REGRAS_CST!$A$2:$B$200,2,FALSE),""))</f>
        <v/>
      </c>
      <c r="H1337" s="29">
        <v>8.9999999999999993E-3</v>
      </c>
      <c r="I1337" s="29">
        <v>1E-3</v>
      </c>
      <c r="K1337" s="21" t="str">
        <f>IF(E1337="","",IFERROR(VLOOKUP(E1337,REGRAS_CST!$A$2:$C$200,3,FALSE),""))</f>
        <v/>
      </c>
      <c r="L1337" s="23" t="str">
        <f>IF($G1337="", "", $G1337*(1-$V1337))</f>
        <v/>
      </c>
      <c r="M1337" s="24" t="str">
        <f>IF(OR($L1337="",$S1337=""),"",$L1337*$S1337)</f>
        <v/>
      </c>
      <c r="N1337" s="24" t="str">
        <f>IF(OR($L1337="",$T1337=""),"",$L1337*$T1337)</f>
        <v/>
      </c>
      <c r="O1337" s="15" t="str">
        <f>IF(D1337="","",
IF(AND(K1337&lt;&gt;"SIM",V1337&gt;0),"ERRO: % BC &gt; 0, mas NÃO permitida ❌",
IF(AND(K1337="SIM",V1337=0),"ATENÇÃO: BC permitida, mas % = 0 🔎",
"Base de cálculo aplicada corretamente ✅")))</f>
        <v/>
      </c>
      <c r="P1337" s="31" t="str">
        <f>IF(D1337="","",
IF(AND(Q1337&lt;&gt;"SIM",U1337&gt;0),"ERRO: % alíquota &gt; 0, mas NÃO permitida ❌",
IF(AND(Q1337="SIM",U1337=0),"ATENÇÃO: alíquota permitida, mas % = 0 🔎",
"Alíquota aplicada corretamente ✅")))</f>
        <v/>
      </c>
      <c r="Q1337" s="8" t="str">
        <f>IF(E1337="","",IFERROR(VLOOKUP(E1337,REGRAS_CST!$A$2:$D$200,4,FALSE),""))</f>
        <v/>
      </c>
      <c r="S1337" s="9">
        <f>IF($H1337="","",$H1337*(1-$U1337))</f>
        <v>8.9999999999999993E-3</v>
      </c>
      <c r="T1337" s="9">
        <f>IF($I1337="","",$I1337*(1-$U1337))</f>
        <v>1E-3</v>
      </c>
      <c r="U1337" s="16">
        <f>IFERROR(INDEX(BASE_CCLASSTRIB!$E:$E, MATCH(TEXT($D1337,"000000"), BASE_CCLASSTRIB!$A:$A, 0))/100, 0)</f>
        <v>0</v>
      </c>
      <c r="V1337" s="16">
        <f>IFERROR(INDEX(BASE_CCLASSTRIB!$F:$F, MATCH(TEXT($D1337,"000000"), BASE_CCLASSTRIB!$A:$A, 0))/100, 0)</f>
        <v>0</v>
      </c>
    </row>
    <row r="1338" spans="4:22" ht="32.25" customHeight="1">
      <c r="D1338" s="39"/>
      <c r="E1338" s="27" t="str">
        <f>IF(D1338="","",LEFT(D1338,3))</f>
        <v/>
      </c>
      <c r="F1338" s="28" t="str">
        <f>IF(E1338="","",IFERROR(VLOOKUP(E1338,REGRAS_CST!$A$2:$B$200,2,FALSE),""))</f>
        <v/>
      </c>
      <c r="H1338" s="29">
        <v>8.9999999999999993E-3</v>
      </c>
      <c r="I1338" s="29">
        <v>1E-3</v>
      </c>
      <c r="K1338" s="21" t="str">
        <f>IF(E1338="","",IFERROR(VLOOKUP(E1338,REGRAS_CST!$A$2:$C$200,3,FALSE),""))</f>
        <v/>
      </c>
      <c r="L1338" s="23" t="str">
        <f>IF($G1338="", "", $G1338*(1-$V1338))</f>
        <v/>
      </c>
      <c r="M1338" s="24" t="str">
        <f>IF(OR($L1338="",$S1338=""),"",$L1338*$S1338)</f>
        <v/>
      </c>
      <c r="N1338" s="24" t="str">
        <f>IF(OR($L1338="",$T1338=""),"",$L1338*$T1338)</f>
        <v/>
      </c>
      <c r="O1338" s="15" t="str">
        <f>IF(D1338="","",
IF(AND(K1338&lt;&gt;"SIM",V1338&gt;0),"ERRO: % BC &gt; 0, mas NÃO permitida ❌",
IF(AND(K1338="SIM",V1338=0),"ATENÇÃO: BC permitida, mas % = 0 🔎",
"Base de cálculo aplicada corretamente ✅")))</f>
        <v/>
      </c>
      <c r="P1338" s="31" t="str">
        <f>IF(D1338="","",
IF(AND(Q1338&lt;&gt;"SIM",U1338&gt;0),"ERRO: % alíquota &gt; 0, mas NÃO permitida ❌",
IF(AND(Q1338="SIM",U1338=0),"ATENÇÃO: alíquota permitida, mas % = 0 🔎",
"Alíquota aplicada corretamente ✅")))</f>
        <v/>
      </c>
      <c r="Q1338" s="8" t="str">
        <f>IF(E1338="","",IFERROR(VLOOKUP(E1338,REGRAS_CST!$A$2:$D$200,4,FALSE),""))</f>
        <v/>
      </c>
      <c r="S1338" s="9">
        <f>IF($H1338="","",$H1338*(1-$U1338))</f>
        <v>8.9999999999999993E-3</v>
      </c>
      <c r="T1338" s="9">
        <f>IF($I1338="","",$I1338*(1-$U1338))</f>
        <v>1E-3</v>
      </c>
      <c r="U1338" s="16">
        <f>IFERROR(INDEX(BASE_CCLASSTRIB!$E:$E, MATCH(TEXT($D1338,"000000"), BASE_CCLASSTRIB!$A:$A, 0))/100, 0)</f>
        <v>0</v>
      </c>
      <c r="V1338" s="16">
        <f>IFERROR(INDEX(BASE_CCLASSTRIB!$F:$F, MATCH(TEXT($D1338,"000000"), BASE_CCLASSTRIB!$A:$A, 0))/100, 0)</f>
        <v>0</v>
      </c>
    </row>
    <row r="1339" spans="4:22" ht="32.25" customHeight="1">
      <c r="D1339" s="39"/>
      <c r="E1339" s="27" t="str">
        <f>IF(D1339="","",LEFT(D1339,3))</f>
        <v/>
      </c>
      <c r="F1339" s="28" t="str">
        <f>IF(E1339="","",IFERROR(VLOOKUP(E1339,REGRAS_CST!$A$2:$B$200,2,FALSE),""))</f>
        <v/>
      </c>
      <c r="H1339" s="29">
        <v>8.9999999999999993E-3</v>
      </c>
      <c r="I1339" s="29">
        <v>1E-3</v>
      </c>
      <c r="K1339" s="21" t="str">
        <f>IF(E1339="","",IFERROR(VLOOKUP(E1339,REGRAS_CST!$A$2:$C$200,3,FALSE),""))</f>
        <v/>
      </c>
      <c r="L1339" s="23" t="str">
        <f>IF($G1339="", "", $G1339*(1-$V1339))</f>
        <v/>
      </c>
      <c r="M1339" s="24" t="str">
        <f>IF(OR($L1339="",$S1339=""),"",$L1339*$S1339)</f>
        <v/>
      </c>
      <c r="N1339" s="24" t="str">
        <f>IF(OR($L1339="",$T1339=""),"",$L1339*$T1339)</f>
        <v/>
      </c>
      <c r="O1339" s="15" t="str">
        <f>IF(D1339="","",
IF(AND(K1339&lt;&gt;"SIM",V1339&gt;0),"ERRO: % BC &gt; 0, mas NÃO permitida ❌",
IF(AND(K1339="SIM",V1339=0),"ATENÇÃO: BC permitida, mas % = 0 🔎",
"Base de cálculo aplicada corretamente ✅")))</f>
        <v/>
      </c>
      <c r="P1339" s="31" t="str">
        <f>IF(D1339="","",
IF(AND(Q1339&lt;&gt;"SIM",U1339&gt;0),"ERRO: % alíquota &gt; 0, mas NÃO permitida ❌",
IF(AND(Q1339="SIM",U1339=0),"ATENÇÃO: alíquota permitida, mas % = 0 🔎",
"Alíquota aplicada corretamente ✅")))</f>
        <v/>
      </c>
      <c r="Q1339" s="8" t="str">
        <f>IF(E1339="","",IFERROR(VLOOKUP(E1339,REGRAS_CST!$A$2:$D$200,4,FALSE),""))</f>
        <v/>
      </c>
      <c r="S1339" s="9">
        <f>IF($H1339="","",$H1339*(1-$U1339))</f>
        <v>8.9999999999999993E-3</v>
      </c>
      <c r="T1339" s="9">
        <f>IF($I1339="","",$I1339*(1-$U1339))</f>
        <v>1E-3</v>
      </c>
      <c r="U1339" s="16">
        <f>IFERROR(INDEX(BASE_CCLASSTRIB!$E:$E, MATCH(TEXT($D1339,"000000"), BASE_CCLASSTRIB!$A:$A, 0))/100, 0)</f>
        <v>0</v>
      </c>
      <c r="V1339" s="16">
        <f>IFERROR(INDEX(BASE_CCLASSTRIB!$F:$F, MATCH(TEXT($D1339,"000000"), BASE_CCLASSTRIB!$A:$A, 0))/100, 0)</f>
        <v>0</v>
      </c>
    </row>
    <row r="1340" spans="4:22" ht="32.25" customHeight="1">
      <c r="D1340" s="39"/>
      <c r="E1340" s="27" t="str">
        <f>IF(D1340="","",LEFT(D1340,3))</f>
        <v/>
      </c>
      <c r="F1340" s="28" t="str">
        <f>IF(E1340="","",IFERROR(VLOOKUP(E1340,REGRAS_CST!$A$2:$B$200,2,FALSE),""))</f>
        <v/>
      </c>
      <c r="H1340" s="29">
        <v>8.9999999999999993E-3</v>
      </c>
      <c r="I1340" s="29">
        <v>1E-3</v>
      </c>
      <c r="K1340" s="21" t="str">
        <f>IF(E1340="","",IFERROR(VLOOKUP(E1340,REGRAS_CST!$A$2:$C$200,3,FALSE),""))</f>
        <v/>
      </c>
      <c r="L1340" s="23" t="str">
        <f>IF($G1340="", "", $G1340*(1-$V1340))</f>
        <v/>
      </c>
      <c r="M1340" s="24" t="str">
        <f>IF(OR($L1340="",$S1340=""),"",$L1340*$S1340)</f>
        <v/>
      </c>
      <c r="N1340" s="24" t="str">
        <f>IF(OR($L1340="",$T1340=""),"",$L1340*$T1340)</f>
        <v/>
      </c>
      <c r="O1340" s="15" t="str">
        <f>IF(D1340="","",
IF(AND(K1340&lt;&gt;"SIM",V1340&gt;0),"ERRO: % BC &gt; 0, mas NÃO permitida ❌",
IF(AND(K1340="SIM",V1340=0),"ATENÇÃO: BC permitida, mas % = 0 🔎",
"Base de cálculo aplicada corretamente ✅")))</f>
        <v/>
      </c>
      <c r="P1340" s="31" t="str">
        <f>IF(D1340="","",
IF(AND(Q1340&lt;&gt;"SIM",U1340&gt;0),"ERRO: % alíquota &gt; 0, mas NÃO permitida ❌",
IF(AND(Q1340="SIM",U1340=0),"ATENÇÃO: alíquota permitida, mas % = 0 🔎",
"Alíquota aplicada corretamente ✅")))</f>
        <v/>
      </c>
      <c r="Q1340" s="8" t="str">
        <f>IF(E1340="","",IFERROR(VLOOKUP(E1340,REGRAS_CST!$A$2:$D$200,4,FALSE),""))</f>
        <v/>
      </c>
      <c r="S1340" s="9">
        <f>IF($H1340="","",$H1340*(1-$U1340))</f>
        <v>8.9999999999999993E-3</v>
      </c>
      <c r="T1340" s="9">
        <f>IF($I1340="","",$I1340*(1-$U1340))</f>
        <v>1E-3</v>
      </c>
      <c r="U1340" s="16">
        <f>IFERROR(INDEX(BASE_CCLASSTRIB!$E:$E, MATCH(TEXT($D1340,"000000"), BASE_CCLASSTRIB!$A:$A, 0))/100, 0)</f>
        <v>0</v>
      </c>
      <c r="V1340" s="16">
        <f>IFERROR(INDEX(BASE_CCLASSTRIB!$F:$F, MATCH(TEXT($D1340,"000000"), BASE_CCLASSTRIB!$A:$A, 0))/100, 0)</f>
        <v>0</v>
      </c>
    </row>
    <row r="1341" spans="4:22" ht="32.25" customHeight="1">
      <c r="D1341" s="40"/>
      <c r="E1341" s="27" t="str">
        <f>IF(D1341="","",LEFT(D1341,3))</f>
        <v/>
      </c>
      <c r="F1341" s="28" t="str">
        <f>IF(E1341="","",IFERROR(VLOOKUP(E1341,REGRAS_CST!$A$2:$B$200,2,FALSE),""))</f>
        <v/>
      </c>
      <c r="H1341" s="29">
        <v>8.9999999999999993E-3</v>
      </c>
      <c r="I1341" s="29">
        <v>1E-3</v>
      </c>
      <c r="K1341" s="21" t="str">
        <f>IF(E1341="","",IFERROR(VLOOKUP(E1341,REGRAS_CST!$A$2:$C$200,3,FALSE),""))</f>
        <v/>
      </c>
      <c r="L1341" s="23" t="str">
        <f>IF($G1341="", "", $G1341*(1-$V1341))</f>
        <v/>
      </c>
      <c r="M1341" s="24" t="str">
        <f>IF(OR($L1341="",$S1341=""),"",$L1341*$S1341)</f>
        <v/>
      </c>
      <c r="N1341" s="24" t="str">
        <f>IF(OR($L1341="",$T1341=""),"",$L1341*$T1341)</f>
        <v/>
      </c>
      <c r="O1341" s="15" t="str">
        <f>IF(D1341="","",
IF(AND(K1341&lt;&gt;"SIM",V1341&gt;0),"ERRO: % BC &gt; 0, mas NÃO permitida ❌",
IF(AND(K1341="SIM",V1341=0),"ATENÇÃO: BC permitida, mas % = 0 🔎",
"Base de cálculo aplicada corretamente ✅")))</f>
        <v/>
      </c>
      <c r="P1341" s="31" t="str">
        <f>IF(D1341="","",
IF(AND(Q1341&lt;&gt;"SIM",U1341&gt;0),"ERRO: % alíquota &gt; 0, mas NÃO permitida ❌",
IF(AND(Q1341="SIM",U1341=0),"ATENÇÃO: alíquota permitida, mas % = 0 🔎",
"Alíquota aplicada corretamente ✅")))</f>
        <v/>
      </c>
      <c r="Q1341" s="8" t="str">
        <f>IF(E1341="","",IFERROR(VLOOKUP(E1341,REGRAS_CST!$A$2:$D$200,4,FALSE),""))</f>
        <v/>
      </c>
      <c r="S1341" s="9">
        <f>IF($H1341="","",$H1341*(1-$U1341))</f>
        <v>8.9999999999999993E-3</v>
      </c>
      <c r="T1341" s="9">
        <f>IF($I1341="","",$I1341*(1-$U1341))</f>
        <v>1E-3</v>
      </c>
      <c r="U1341" s="16">
        <f>IFERROR(INDEX(BASE_CCLASSTRIB!$E:$E, MATCH(TEXT($D1341,"000000"), BASE_CCLASSTRIB!$A:$A, 0))/100, 0)</f>
        <v>0</v>
      </c>
      <c r="V1341" s="16">
        <f>IFERROR(INDEX(BASE_CCLASSTRIB!$F:$F, MATCH(TEXT($D1341,"000000"), BASE_CCLASSTRIB!$A:$A, 0))/100, 0)</f>
        <v>0</v>
      </c>
    </row>
    <row r="1342" spans="4:22" ht="32.25" customHeight="1">
      <c r="D1342" s="39"/>
      <c r="E1342" s="27" t="str">
        <f>IF(D1342="","",LEFT(D1342,3))</f>
        <v/>
      </c>
      <c r="F1342" s="28" t="str">
        <f>IF(E1342="","",IFERROR(VLOOKUP(E1342,REGRAS_CST!$A$2:$B$200,2,FALSE),""))</f>
        <v/>
      </c>
      <c r="H1342" s="29">
        <v>8.9999999999999993E-3</v>
      </c>
      <c r="I1342" s="29">
        <v>1E-3</v>
      </c>
      <c r="K1342" s="21" t="str">
        <f>IF(E1342="","",IFERROR(VLOOKUP(E1342,REGRAS_CST!$A$2:$C$200,3,FALSE),""))</f>
        <v/>
      </c>
      <c r="L1342" s="23" t="str">
        <f>IF($G1342="", "", $G1342*(1-$V1342))</f>
        <v/>
      </c>
      <c r="M1342" s="24" t="str">
        <f>IF(OR($L1342="",$S1342=""),"",$L1342*$S1342)</f>
        <v/>
      </c>
      <c r="N1342" s="24" t="str">
        <f>IF(OR($L1342="",$T1342=""),"",$L1342*$T1342)</f>
        <v/>
      </c>
      <c r="O1342" s="15" t="str">
        <f>IF(D1342="","",
IF(AND(K1342&lt;&gt;"SIM",V1342&gt;0),"ERRO: % BC &gt; 0, mas NÃO permitida ❌",
IF(AND(K1342="SIM",V1342=0),"ATENÇÃO: BC permitida, mas % = 0 🔎",
"Base de cálculo aplicada corretamente ✅")))</f>
        <v/>
      </c>
      <c r="P1342" s="31" t="str">
        <f>IF(D1342="","",
IF(AND(Q1342&lt;&gt;"SIM",U1342&gt;0),"ERRO: % alíquota &gt; 0, mas NÃO permitida ❌",
IF(AND(Q1342="SIM",U1342=0),"ATENÇÃO: alíquota permitida, mas % = 0 🔎",
"Alíquota aplicada corretamente ✅")))</f>
        <v/>
      </c>
      <c r="Q1342" s="8" t="str">
        <f>IF(E1342="","",IFERROR(VLOOKUP(E1342,REGRAS_CST!$A$2:$D$200,4,FALSE),""))</f>
        <v/>
      </c>
      <c r="S1342" s="9">
        <f>IF($H1342="","",$H1342*(1-$U1342))</f>
        <v>8.9999999999999993E-3</v>
      </c>
      <c r="T1342" s="9">
        <f>IF($I1342="","",$I1342*(1-$U1342))</f>
        <v>1E-3</v>
      </c>
      <c r="U1342" s="16">
        <f>IFERROR(INDEX(BASE_CCLASSTRIB!$E:$E, MATCH(TEXT($D1342,"000000"), BASE_CCLASSTRIB!$A:$A, 0))/100, 0)</f>
        <v>0</v>
      </c>
      <c r="V1342" s="16">
        <f>IFERROR(INDEX(BASE_CCLASSTRIB!$F:$F, MATCH(TEXT($D1342,"000000"), BASE_CCLASSTRIB!$A:$A, 0))/100, 0)</f>
        <v>0</v>
      </c>
    </row>
    <row r="1343" spans="4:22" ht="32.25" customHeight="1">
      <c r="D1343" s="39"/>
      <c r="E1343" s="27" t="str">
        <f>IF(D1343="","",LEFT(D1343,3))</f>
        <v/>
      </c>
      <c r="F1343" s="28" t="str">
        <f>IF(E1343="","",IFERROR(VLOOKUP(E1343,REGRAS_CST!$A$2:$B$200,2,FALSE),""))</f>
        <v/>
      </c>
      <c r="H1343" s="29">
        <v>8.9999999999999993E-3</v>
      </c>
      <c r="I1343" s="29">
        <v>1E-3</v>
      </c>
      <c r="K1343" s="21" t="str">
        <f>IF(E1343="","",IFERROR(VLOOKUP(E1343,REGRAS_CST!$A$2:$C$200,3,FALSE),""))</f>
        <v/>
      </c>
      <c r="L1343" s="23" t="str">
        <f>IF($G1343="", "", $G1343*(1-$V1343))</f>
        <v/>
      </c>
      <c r="M1343" s="24" t="str">
        <f>IF(OR($L1343="",$S1343=""),"",$L1343*$S1343)</f>
        <v/>
      </c>
      <c r="N1343" s="24" t="str">
        <f>IF(OR($L1343="",$T1343=""),"",$L1343*$T1343)</f>
        <v/>
      </c>
      <c r="O1343" s="15" t="str">
        <f>IF(D1343="","",
IF(AND(K1343&lt;&gt;"SIM",V1343&gt;0),"ERRO: % BC &gt; 0, mas NÃO permitida ❌",
IF(AND(K1343="SIM",V1343=0),"ATENÇÃO: BC permitida, mas % = 0 🔎",
"Base de cálculo aplicada corretamente ✅")))</f>
        <v/>
      </c>
      <c r="P1343" s="31" t="str">
        <f>IF(D1343="","",
IF(AND(Q1343&lt;&gt;"SIM",U1343&gt;0),"ERRO: % alíquota &gt; 0, mas NÃO permitida ❌",
IF(AND(Q1343="SIM",U1343=0),"ATENÇÃO: alíquota permitida, mas % = 0 🔎",
"Alíquota aplicada corretamente ✅")))</f>
        <v/>
      </c>
      <c r="Q1343" s="8" t="str">
        <f>IF(E1343="","",IFERROR(VLOOKUP(E1343,REGRAS_CST!$A$2:$D$200,4,FALSE),""))</f>
        <v/>
      </c>
      <c r="S1343" s="9">
        <f>IF($H1343="","",$H1343*(1-$U1343))</f>
        <v>8.9999999999999993E-3</v>
      </c>
      <c r="T1343" s="9">
        <f>IF($I1343="","",$I1343*(1-$U1343))</f>
        <v>1E-3</v>
      </c>
      <c r="U1343" s="16">
        <f>IFERROR(INDEX(BASE_CCLASSTRIB!$E:$E, MATCH(TEXT($D1343,"000000"), BASE_CCLASSTRIB!$A:$A, 0))/100, 0)</f>
        <v>0</v>
      </c>
      <c r="V1343" s="16">
        <f>IFERROR(INDEX(BASE_CCLASSTRIB!$F:$F, MATCH(TEXT($D1343,"000000"), BASE_CCLASSTRIB!$A:$A, 0))/100, 0)</f>
        <v>0</v>
      </c>
    </row>
    <row r="1344" spans="4:22" ht="32.25" customHeight="1">
      <c r="D1344" s="39"/>
      <c r="E1344" s="27" t="str">
        <f>IF(D1344="","",LEFT(D1344,3))</f>
        <v/>
      </c>
      <c r="F1344" s="28" t="str">
        <f>IF(E1344="","",IFERROR(VLOOKUP(E1344,REGRAS_CST!$A$2:$B$200,2,FALSE),""))</f>
        <v/>
      </c>
      <c r="H1344" s="29">
        <v>8.9999999999999993E-3</v>
      </c>
      <c r="I1344" s="29">
        <v>1E-3</v>
      </c>
      <c r="K1344" s="21" t="str">
        <f>IF(E1344="","",IFERROR(VLOOKUP(E1344,REGRAS_CST!$A$2:$C$200,3,FALSE),""))</f>
        <v/>
      </c>
      <c r="L1344" s="23" t="str">
        <f>IF($G1344="", "", $G1344*(1-$V1344))</f>
        <v/>
      </c>
      <c r="M1344" s="24" t="str">
        <f>IF(OR($L1344="",$S1344=""),"",$L1344*$S1344)</f>
        <v/>
      </c>
      <c r="N1344" s="24" t="str">
        <f>IF(OR($L1344="",$T1344=""),"",$L1344*$T1344)</f>
        <v/>
      </c>
      <c r="O1344" s="15" t="str">
        <f>IF(D1344="","",
IF(AND(K1344&lt;&gt;"SIM",V1344&gt;0),"ERRO: % BC &gt; 0, mas NÃO permitida ❌",
IF(AND(K1344="SIM",V1344=0),"ATENÇÃO: BC permitida, mas % = 0 🔎",
"Base de cálculo aplicada corretamente ✅")))</f>
        <v/>
      </c>
      <c r="P1344" s="31" t="str">
        <f>IF(D1344="","",
IF(AND(Q1344&lt;&gt;"SIM",U1344&gt;0),"ERRO: % alíquota &gt; 0, mas NÃO permitida ❌",
IF(AND(Q1344="SIM",U1344=0),"ATENÇÃO: alíquota permitida, mas % = 0 🔎",
"Alíquota aplicada corretamente ✅")))</f>
        <v/>
      </c>
      <c r="Q1344" s="8" t="str">
        <f>IF(E1344="","",IFERROR(VLOOKUP(E1344,REGRAS_CST!$A$2:$D$200,4,FALSE),""))</f>
        <v/>
      </c>
      <c r="S1344" s="9">
        <f>IF($H1344="","",$H1344*(1-$U1344))</f>
        <v>8.9999999999999993E-3</v>
      </c>
      <c r="T1344" s="9">
        <f>IF($I1344="","",$I1344*(1-$U1344))</f>
        <v>1E-3</v>
      </c>
      <c r="U1344" s="16">
        <f>IFERROR(INDEX(BASE_CCLASSTRIB!$E:$E, MATCH(TEXT($D1344,"000000"), BASE_CCLASSTRIB!$A:$A, 0))/100, 0)</f>
        <v>0</v>
      </c>
      <c r="V1344" s="16">
        <f>IFERROR(INDEX(BASE_CCLASSTRIB!$F:$F, MATCH(TEXT($D1344,"000000"), BASE_CCLASSTRIB!$A:$A, 0))/100, 0)</f>
        <v>0</v>
      </c>
    </row>
    <row r="1345" spans="4:22" ht="32.25" customHeight="1">
      <c r="D1345" s="39"/>
      <c r="E1345" s="27" t="str">
        <f>IF(D1345="","",LEFT(D1345,3))</f>
        <v/>
      </c>
      <c r="F1345" s="28" t="str">
        <f>IF(E1345="","",IFERROR(VLOOKUP(E1345,REGRAS_CST!$A$2:$B$200,2,FALSE),""))</f>
        <v/>
      </c>
      <c r="H1345" s="29">
        <v>8.9999999999999993E-3</v>
      </c>
      <c r="I1345" s="29">
        <v>1E-3</v>
      </c>
      <c r="K1345" s="21" t="str">
        <f>IF(E1345="","",IFERROR(VLOOKUP(E1345,REGRAS_CST!$A$2:$C$200,3,FALSE),""))</f>
        <v/>
      </c>
      <c r="L1345" s="23" t="str">
        <f>IF($G1345="", "", $G1345*(1-$V1345))</f>
        <v/>
      </c>
      <c r="M1345" s="24" t="str">
        <f>IF(OR($L1345="",$S1345=""),"",$L1345*$S1345)</f>
        <v/>
      </c>
      <c r="N1345" s="24" t="str">
        <f>IF(OR($L1345="",$T1345=""),"",$L1345*$T1345)</f>
        <v/>
      </c>
      <c r="O1345" s="15" t="str">
        <f>IF(D1345="","",
IF(AND(K1345&lt;&gt;"SIM",V1345&gt;0),"ERRO: % BC &gt; 0, mas NÃO permitida ❌",
IF(AND(K1345="SIM",V1345=0),"ATENÇÃO: BC permitida, mas % = 0 🔎",
"Base de cálculo aplicada corretamente ✅")))</f>
        <v/>
      </c>
      <c r="P1345" s="31" t="str">
        <f>IF(D1345="","",
IF(AND(Q1345&lt;&gt;"SIM",U1345&gt;0),"ERRO: % alíquota &gt; 0, mas NÃO permitida ❌",
IF(AND(Q1345="SIM",U1345=0),"ATENÇÃO: alíquota permitida, mas % = 0 🔎",
"Alíquota aplicada corretamente ✅")))</f>
        <v/>
      </c>
      <c r="Q1345" s="8" t="str">
        <f>IF(E1345="","",IFERROR(VLOOKUP(E1345,REGRAS_CST!$A$2:$D$200,4,FALSE),""))</f>
        <v/>
      </c>
      <c r="S1345" s="9">
        <f>IF($H1345="","",$H1345*(1-$U1345))</f>
        <v>8.9999999999999993E-3</v>
      </c>
      <c r="T1345" s="9">
        <f>IF($I1345="","",$I1345*(1-$U1345))</f>
        <v>1E-3</v>
      </c>
      <c r="U1345" s="16">
        <f>IFERROR(INDEX(BASE_CCLASSTRIB!$E:$E, MATCH(TEXT($D1345,"000000"), BASE_CCLASSTRIB!$A:$A, 0))/100, 0)</f>
        <v>0</v>
      </c>
      <c r="V1345" s="16">
        <f>IFERROR(INDEX(BASE_CCLASSTRIB!$F:$F, MATCH(TEXT($D1345,"000000"), BASE_CCLASSTRIB!$A:$A, 0))/100, 0)</f>
        <v>0</v>
      </c>
    </row>
    <row r="1346" spans="4:22" ht="32.25" customHeight="1">
      <c r="D1346" s="40"/>
      <c r="E1346" s="27" t="str">
        <f>IF(D1346="","",LEFT(D1346,3))</f>
        <v/>
      </c>
      <c r="F1346" s="28" t="str">
        <f>IF(E1346="","",IFERROR(VLOOKUP(E1346,REGRAS_CST!$A$2:$B$200,2,FALSE),""))</f>
        <v/>
      </c>
      <c r="H1346" s="29">
        <v>8.9999999999999993E-3</v>
      </c>
      <c r="I1346" s="29">
        <v>1E-3</v>
      </c>
      <c r="K1346" s="21" t="str">
        <f>IF(E1346="","",IFERROR(VLOOKUP(E1346,REGRAS_CST!$A$2:$C$200,3,FALSE),""))</f>
        <v/>
      </c>
      <c r="L1346" s="23" t="str">
        <f>IF($G1346="", "", $G1346*(1-$V1346))</f>
        <v/>
      </c>
      <c r="M1346" s="24" t="str">
        <f>IF(OR($L1346="",$S1346=""),"",$L1346*$S1346)</f>
        <v/>
      </c>
      <c r="N1346" s="24" t="str">
        <f>IF(OR($L1346="",$T1346=""),"",$L1346*$T1346)</f>
        <v/>
      </c>
      <c r="O1346" s="15" t="str">
        <f>IF(D1346="","",
IF(AND(K1346&lt;&gt;"SIM",V1346&gt;0),"ERRO: % BC &gt; 0, mas NÃO permitida ❌",
IF(AND(K1346="SIM",V1346=0),"ATENÇÃO: BC permitida, mas % = 0 🔎",
"Base de cálculo aplicada corretamente ✅")))</f>
        <v/>
      </c>
      <c r="P1346" s="31" t="str">
        <f>IF(D1346="","",
IF(AND(Q1346&lt;&gt;"SIM",U1346&gt;0),"ERRO: % alíquota &gt; 0, mas NÃO permitida ❌",
IF(AND(Q1346="SIM",U1346=0),"ATENÇÃO: alíquota permitida, mas % = 0 🔎",
"Alíquota aplicada corretamente ✅")))</f>
        <v/>
      </c>
      <c r="Q1346" s="8" t="str">
        <f>IF(E1346="","",IFERROR(VLOOKUP(E1346,REGRAS_CST!$A$2:$D$200,4,FALSE),""))</f>
        <v/>
      </c>
      <c r="S1346" s="9">
        <f>IF($H1346="","",$H1346*(1-$U1346))</f>
        <v>8.9999999999999993E-3</v>
      </c>
      <c r="T1346" s="9">
        <f>IF($I1346="","",$I1346*(1-$U1346))</f>
        <v>1E-3</v>
      </c>
      <c r="U1346" s="16">
        <f>IFERROR(INDEX(BASE_CCLASSTRIB!$E:$E, MATCH(TEXT($D1346,"000000"), BASE_CCLASSTRIB!$A:$A, 0))/100, 0)</f>
        <v>0</v>
      </c>
      <c r="V1346" s="16">
        <f>IFERROR(INDEX(BASE_CCLASSTRIB!$F:$F, MATCH(TEXT($D1346,"000000"), BASE_CCLASSTRIB!$A:$A, 0))/100, 0)</f>
        <v>0</v>
      </c>
    </row>
    <row r="1347" spans="4:22" ht="32.25" customHeight="1">
      <c r="D1347" s="40"/>
      <c r="E1347" s="27" t="str">
        <f>IF(D1347="","",LEFT(D1347,3))</f>
        <v/>
      </c>
      <c r="F1347" s="28" t="str">
        <f>IF(E1347="","",IFERROR(VLOOKUP(E1347,REGRAS_CST!$A$2:$B$200,2,FALSE),""))</f>
        <v/>
      </c>
      <c r="H1347" s="29">
        <v>8.9999999999999993E-3</v>
      </c>
      <c r="I1347" s="29">
        <v>1E-3</v>
      </c>
      <c r="K1347" s="21" t="str">
        <f>IF(E1347="","",IFERROR(VLOOKUP(E1347,REGRAS_CST!$A$2:$C$200,3,FALSE),""))</f>
        <v/>
      </c>
      <c r="L1347" s="23" t="str">
        <f>IF($G1347="", "", $G1347*(1-$V1347))</f>
        <v/>
      </c>
      <c r="M1347" s="24" t="str">
        <f>IF(OR($L1347="",$S1347=""),"",$L1347*$S1347)</f>
        <v/>
      </c>
      <c r="N1347" s="24" t="str">
        <f>IF(OR($L1347="",$T1347=""),"",$L1347*$T1347)</f>
        <v/>
      </c>
      <c r="O1347" s="15" t="str">
        <f>IF(D1347="","",
IF(AND(K1347&lt;&gt;"SIM",V1347&gt;0),"ERRO: % BC &gt; 0, mas NÃO permitida ❌",
IF(AND(K1347="SIM",V1347=0),"ATENÇÃO: BC permitida, mas % = 0 🔎",
"Base de cálculo aplicada corretamente ✅")))</f>
        <v/>
      </c>
      <c r="P1347" s="31" t="str">
        <f>IF(D1347="","",
IF(AND(Q1347&lt;&gt;"SIM",U1347&gt;0),"ERRO: % alíquota &gt; 0, mas NÃO permitida ❌",
IF(AND(Q1347="SIM",U1347=0),"ATENÇÃO: alíquota permitida, mas % = 0 🔎",
"Alíquota aplicada corretamente ✅")))</f>
        <v/>
      </c>
      <c r="Q1347" s="8" t="str">
        <f>IF(E1347="","",IFERROR(VLOOKUP(E1347,REGRAS_CST!$A$2:$D$200,4,FALSE),""))</f>
        <v/>
      </c>
      <c r="S1347" s="9">
        <f>IF($H1347="","",$H1347*(1-$U1347))</f>
        <v>8.9999999999999993E-3</v>
      </c>
      <c r="T1347" s="9">
        <f>IF($I1347="","",$I1347*(1-$U1347))</f>
        <v>1E-3</v>
      </c>
      <c r="U1347" s="16">
        <f>IFERROR(INDEX(BASE_CCLASSTRIB!$E:$E, MATCH(TEXT($D1347,"000000"), BASE_CCLASSTRIB!$A:$A, 0))/100, 0)</f>
        <v>0</v>
      </c>
      <c r="V1347" s="16">
        <f>IFERROR(INDEX(BASE_CCLASSTRIB!$F:$F, MATCH(TEXT($D1347,"000000"), BASE_CCLASSTRIB!$A:$A, 0))/100, 0)</f>
        <v>0</v>
      </c>
    </row>
    <row r="1348" spans="4:22" ht="32.25" customHeight="1">
      <c r="D1348" s="39"/>
      <c r="E1348" s="27" t="str">
        <f>IF(D1348="","",LEFT(D1348,3))</f>
        <v/>
      </c>
      <c r="F1348" s="28" t="str">
        <f>IF(E1348="","",IFERROR(VLOOKUP(E1348,REGRAS_CST!$A$2:$B$200,2,FALSE),""))</f>
        <v/>
      </c>
      <c r="H1348" s="29">
        <v>8.9999999999999993E-3</v>
      </c>
      <c r="I1348" s="29">
        <v>1E-3</v>
      </c>
      <c r="K1348" s="21" t="str">
        <f>IF(E1348="","",IFERROR(VLOOKUP(E1348,REGRAS_CST!$A$2:$C$200,3,FALSE),""))</f>
        <v/>
      </c>
      <c r="L1348" s="23" t="str">
        <f>IF($G1348="", "", $G1348*(1-$V1348))</f>
        <v/>
      </c>
      <c r="M1348" s="24" t="str">
        <f>IF(OR($L1348="",$S1348=""),"",$L1348*$S1348)</f>
        <v/>
      </c>
      <c r="N1348" s="24" t="str">
        <f>IF(OR($L1348="",$T1348=""),"",$L1348*$T1348)</f>
        <v/>
      </c>
      <c r="O1348" s="15" t="str">
        <f>IF(D1348="","",
IF(AND(K1348&lt;&gt;"SIM",V1348&gt;0),"ERRO: % BC &gt; 0, mas NÃO permitida ❌",
IF(AND(K1348="SIM",V1348=0),"ATENÇÃO: BC permitida, mas % = 0 🔎",
"Base de cálculo aplicada corretamente ✅")))</f>
        <v/>
      </c>
      <c r="P1348" s="31" t="str">
        <f>IF(D1348="","",
IF(AND(Q1348&lt;&gt;"SIM",U1348&gt;0),"ERRO: % alíquota &gt; 0, mas NÃO permitida ❌",
IF(AND(Q1348="SIM",U1348=0),"ATENÇÃO: alíquota permitida, mas % = 0 🔎",
"Alíquota aplicada corretamente ✅")))</f>
        <v/>
      </c>
      <c r="Q1348" s="8" t="str">
        <f>IF(E1348="","",IFERROR(VLOOKUP(E1348,REGRAS_CST!$A$2:$D$200,4,FALSE),""))</f>
        <v/>
      </c>
      <c r="S1348" s="9">
        <f>IF($H1348="","",$H1348*(1-$U1348))</f>
        <v>8.9999999999999993E-3</v>
      </c>
      <c r="T1348" s="9">
        <f>IF($I1348="","",$I1348*(1-$U1348))</f>
        <v>1E-3</v>
      </c>
      <c r="U1348" s="16">
        <f>IFERROR(INDEX(BASE_CCLASSTRIB!$E:$E, MATCH(TEXT($D1348,"000000"), BASE_CCLASSTRIB!$A:$A, 0))/100, 0)</f>
        <v>0</v>
      </c>
      <c r="V1348" s="16">
        <f>IFERROR(INDEX(BASE_CCLASSTRIB!$F:$F, MATCH(TEXT($D1348,"000000"), BASE_CCLASSTRIB!$A:$A, 0))/100, 0)</f>
        <v>0</v>
      </c>
    </row>
    <row r="1349" spans="4:22" ht="32.25" customHeight="1">
      <c r="D1349" s="39"/>
      <c r="E1349" s="27" t="str">
        <f>IF(D1349="","",LEFT(D1349,3))</f>
        <v/>
      </c>
      <c r="F1349" s="28" t="str">
        <f>IF(E1349="","",IFERROR(VLOOKUP(E1349,REGRAS_CST!$A$2:$B$200,2,FALSE),""))</f>
        <v/>
      </c>
      <c r="H1349" s="29">
        <v>8.9999999999999993E-3</v>
      </c>
      <c r="I1349" s="29">
        <v>1E-3</v>
      </c>
      <c r="K1349" s="21" t="str">
        <f>IF(E1349="","",IFERROR(VLOOKUP(E1349,REGRAS_CST!$A$2:$C$200,3,FALSE),""))</f>
        <v/>
      </c>
      <c r="L1349" s="23" t="str">
        <f>IF($G1349="", "", $G1349*(1-$V1349))</f>
        <v/>
      </c>
      <c r="M1349" s="24" t="str">
        <f>IF(OR($L1349="",$S1349=""),"",$L1349*$S1349)</f>
        <v/>
      </c>
      <c r="N1349" s="24" t="str">
        <f>IF(OR($L1349="",$T1349=""),"",$L1349*$T1349)</f>
        <v/>
      </c>
      <c r="O1349" s="15" t="str">
        <f>IF(D1349="","",
IF(AND(K1349&lt;&gt;"SIM",V1349&gt;0),"ERRO: % BC &gt; 0, mas NÃO permitida ❌",
IF(AND(K1349="SIM",V1349=0),"ATENÇÃO: BC permitida, mas % = 0 🔎",
"Base de cálculo aplicada corretamente ✅")))</f>
        <v/>
      </c>
      <c r="P1349" s="31" t="str">
        <f>IF(D1349="","",
IF(AND(Q1349&lt;&gt;"SIM",U1349&gt;0),"ERRO: % alíquota &gt; 0, mas NÃO permitida ❌",
IF(AND(Q1349="SIM",U1349=0),"ATENÇÃO: alíquota permitida, mas % = 0 🔎",
"Alíquota aplicada corretamente ✅")))</f>
        <v/>
      </c>
      <c r="Q1349" s="8" t="str">
        <f>IF(E1349="","",IFERROR(VLOOKUP(E1349,REGRAS_CST!$A$2:$D$200,4,FALSE),""))</f>
        <v/>
      </c>
      <c r="S1349" s="9">
        <f>IF($H1349="","",$H1349*(1-$U1349))</f>
        <v>8.9999999999999993E-3</v>
      </c>
      <c r="T1349" s="9">
        <f>IF($I1349="","",$I1349*(1-$U1349))</f>
        <v>1E-3</v>
      </c>
      <c r="U1349" s="16">
        <f>IFERROR(INDEX(BASE_CCLASSTRIB!$E:$E, MATCH(TEXT($D1349,"000000"), BASE_CCLASSTRIB!$A:$A, 0))/100, 0)</f>
        <v>0</v>
      </c>
      <c r="V1349" s="16">
        <f>IFERROR(INDEX(BASE_CCLASSTRIB!$F:$F, MATCH(TEXT($D1349,"000000"), BASE_CCLASSTRIB!$A:$A, 0))/100, 0)</f>
        <v>0</v>
      </c>
    </row>
    <row r="1350" spans="4:22" ht="32.25" customHeight="1">
      <c r="D1350" s="39"/>
      <c r="E1350" s="27" t="str">
        <f>IF(D1350="","",LEFT(D1350,3))</f>
        <v/>
      </c>
      <c r="F1350" s="28" t="str">
        <f>IF(E1350="","",IFERROR(VLOOKUP(E1350,REGRAS_CST!$A$2:$B$200,2,FALSE),""))</f>
        <v/>
      </c>
      <c r="H1350" s="29">
        <v>8.9999999999999993E-3</v>
      </c>
      <c r="I1350" s="29">
        <v>1E-3</v>
      </c>
      <c r="K1350" s="21" t="str">
        <f>IF(E1350="","",IFERROR(VLOOKUP(E1350,REGRAS_CST!$A$2:$C$200,3,FALSE),""))</f>
        <v/>
      </c>
      <c r="L1350" s="23" t="str">
        <f>IF($G1350="", "", $G1350*(1-$V1350))</f>
        <v/>
      </c>
      <c r="M1350" s="24" t="str">
        <f>IF(OR($L1350="",$S1350=""),"",$L1350*$S1350)</f>
        <v/>
      </c>
      <c r="N1350" s="24" t="str">
        <f>IF(OR($L1350="",$T1350=""),"",$L1350*$T1350)</f>
        <v/>
      </c>
      <c r="O1350" s="15" t="str">
        <f>IF(D1350="","",
IF(AND(K1350&lt;&gt;"SIM",V1350&gt;0),"ERRO: % BC &gt; 0, mas NÃO permitida ❌",
IF(AND(K1350="SIM",V1350=0),"ATENÇÃO: BC permitida, mas % = 0 🔎",
"Base de cálculo aplicada corretamente ✅")))</f>
        <v/>
      </c>
      <c r="P1350" s="31" t="str">
        <f>IF(D1350="","",
IF(AND(Q1350&lt;&gt;"SIM",U1350&gt;0),"ERRO: % alíquota &gt; 0, mas NÃO permitida ❌",
IF(AND(Q1350="SIM",U1350=0),"ATENÇÃO: alíquota permitida, mas % = 0 🔎",
"Alíquota aplicada corretamente ✅")))</f>
        <v/>
      </c>
      <c r="Q1350" s="8" t="str">
        <f>IF(E1350="","",IFERROR(VLOOKUP(E1350,REGRAS_CST!$A$2:$D$200,4,FALSE),""))</f>
        <v/>
      </c>
      <c r="S1350" s="9">
        <f>IF($H1350="","",$H1350*(1-$U1350))</f>
        <v>8.9999999999999993E-3</v>
      </c>
      <c r="T1350" s="9">
        <f>IF($I1350="","",$I1350*(1-$U1350))</f>
        <v>1E-3</v>
      </c>
      <c r="U1350" s="16">
        <f>IFERROR(INDEX(BASE_CCLASSTRIB!$E:$E, MATCH(TEXT($D1350,"000000"), BASE_CCLASSTRIB!$A:$A, 0))/100, 0)</f>
        <v>0</v>
      </c>
      <c r="V1350" s="16">
        <f>IFERROR(INDEX(BASE_CCLASSTRIB!$F:$F, MATCH(TEXT($D1350,"000000"), BASE_CCLASSTRIB!$A:$A, 0))/100, 0)</f>
        <v>0</v>
      </c>
    </row>
    <row r="1351" spans="4:22" ht="32.25" customHeight="1">
      <c r="D1351" s="39"/>
      <c r="E1351" s="27" t="str">
        <f>IF(D1351="","",LEFT(D1351,3))</f>
        <v/>
      </c>
      <c r="F1351" s="28" t="str">
        <f>IF(E1351="","",IFERROR(VLOOKUP(E1351,REGRAS_CST!$A$2:$B$200,2,FALSE),""))</f>
        <v/>
      </c>
      <c r="H1351" s="29">
        <v>8.9999999999999993E-3</v>
      </c>
      <c r="I1351" s="29">
        <v>1E-3</v>
      </c>
      <c r="K1351" s="21" t="str">
        <f>IF(E1351="","",IFERROR(VLOOKUP(E1351,REGRAS_CST!$A$2:$C$200,3,FALSE),""))</f>
        <v/>
      </c>
      <c r="L1351" s="23" t="str">
        <f>IF($G1351="", "", $G1351*(1-$V1351))</f>
        <v/>
      </c>
      <c r="M1351" s="24" t="str">
        <f>IF(OR($L1351="",$S1351=""),"",$L1351*$S1351)</f>
        <v/>
      </c>
      <c r="N1351" s="24" t="str">
        <f>IF(OR($L1351="",$T1351=""),"",$L1351*$T1351)</f>
        <v/>
      </c>
      <c r="O1351" s="15" t="str">
        <f>IF(D1351="","",
IF(AND(K1351&lt;&gt;"SIM",V1351&gt;0),"ERRO: % BC &gt; 0, mas NÃO permitida ❌",
IF(AND(K1351="SIM",V1351=0),"ATENÇÃO: BC permitida, mas % = 0 🔎",
"Base de cálculo aplicada corretamente ✅")))</f>
        <v/>
      </c>
      <c r="P1351" s="31" t="str">
        <f>IF(D1351="","",
IF(AND(Q1351&lt;&gt;"SIM",U1351&gt;0),"ERRO: % alíquota &gt; 0, mas NÃO permitida ❌",
IF(AND(Q1351="SIM",U1351=0),"ATENÇÃO: alíquota permitida, mas % = 0 🔎",
"Alíquota aplicada corretamente ✅")))</f>
        <v/>
      </c>
      <c r="Q1351" s="8" t="str">
        <f>IF(E1351="","",IFERROR(VLOOKUP(E1351,REGRAS_CST!$A$2:$D$200,4,FALSE),""))</f>
        <v/>
      </c>
      <c r="S1351" s="9">
        <f>IF($H1351="","",$H1351*(1-$U1351))</f>
        <v>8.9999999999999993E-3</v>
      </c>
      <c r="T1351" s="9">
        <f>IF($I1351="","",$I1351*(1-$U1351))</f>
        <v>1E-3</v>
      </c>
      <c r="U1351" s="16">
        <f>IFERROR(INDEX(BASE_CCLASSTRIB!$E:$E, MATCH(TEXT($D1351,"000000"), BASE_CCLASSTRIB!$A:$A, 0))/100, 0)</f>
        <v>0</v>
      </c>
      <c r="V1351" s="16">
        <f>IFERROR(INDEX(BASE_CCLASSTRIB!$F:$F, MATCH(TEXT($D1351,"000000"), BASE_CCLASSTRIB!$A:$A, 0))/100, 0)</f>
        <v>0</v>
      </c>
    </row>
    <row r="1352" spans="4:22" ht="32.25" customHeight="1">
      <c r="D1352" s="40"/>
      <c r="E1352" s="27" t="str">
        <f>IF(D1352="","",LEFT(D1352,3))</f>
        <v/>
      </c>
      <c r="F1352" s="28" t="str">
        <f>IF(E1352="","",IFERROR(VLOOKUP(E1352,REGRAS_CST!$A$2:$B$200,2,FALSE),""))</f>
        <v/>
      </c>
      <c r="H1352" s="29">
        <v>8.9999999999999993E-3</v>
      </c>
      <c r="I1352" s="29">
        <v>1E-3</v>
      </c>
      <c r="K1352" s="21" t="str">
        <f>IF(E1352="","",IFERROR(VLOOKUP(E1352,REGRAS_CST!$A$2:$C$200,3,FALSE),""))</f>
        <v/>
      </c>
      <c r="L1352" s="23" t="str">
        <f>IF($G1352="", "", $G1352*(1-$V1352))</f>
        <v/>
      </c>
      <c r="M1352" s="24" t="str">
        <f>IF(OR($L1352="",$S1352=""),"",$L1352*$S1352)</f>
        <v/>
      </c>
      <c r="N1352" s="24" t="str">
        <f>IF(OR($L1352="",$T1352=""),"",$L1352*$T1352)</f>
        <v/>
      </c>
      <c r="O1352" s="15" t="str">
        <f>IF(D1352="","",
IF(AND(K1352&lt;&gt;"SIM",V1352&gt;0),"ERRO: % BC &gt; 0, mas NÃO permitida ❌",
IF(AND(K1352="SIM",V1352=0),"ATENÇÃO: BC permitida, mas % = 0 🔎",
"Base de cálculo aplicada corretamente ✅")))</f>
        <v/>
      </c>
      <c r="P1352" s="31" t="str">
        <f>IF(D1352="","",
IF(AND(Q1352&lt;&gt;"SIM",U1352&gt;0),"ERRO: % alíquota &gt; 0, mas NÃO permitida ❌",
IF(AND(Q1352="SIM",U1352=0),"ATENÇÃO: alíquota permitida, mas % = 0 🔎",
"Alíquota aplicada corretamente ✅")))</f>
        <v/>
      </c>
      <c r="Q1352" s="8" t="str">
        <f>IF(E1352="","",IFERROR(VLOOKUP(E1352,REGRAS_CST!$A$2:$D$200,4,FALSE),""))</f>
        <v/>
      </c>
      <c r="S1352" s="9">
        <f>IF($H1352="","",$H1352*(1-$U1352))</f>
        <v>8.9999999999999993E-3</v>
      </c>
      <c r="T1352" s="9">
        <f>IF($I1352="","",$I1352*(1-$U1352))</f>
        <v>1E-3</v>
      </c>
      <c r="U1352" s="16">
        <f>IFERROR(INDEX(BASE_CCLASSTRIB!$E:$E, MATCH(TEXT($D1352,"000000"), BASE_CCLASSTRIB!$A:$A, 0))/100, 0)</f>
        <v>0</v>
      </c>
      <c r="V1352" s="16">
        <f>IFERROR(INDEX(BASE_CCLASSTRIB!$F:$F, MATCH(TEXT($D1352,"000000"), BASE_CCLASSTRIB!$A:$A, 0))/100, 0)</f>
        <v>0</v>
      </c>
    </row>
    <row r="1353" spans="4:22" ht="32.25" customHeight="1">
      <c r="D1353" s="39"/>
      <c r="E1353" s="27" t="str">
        <f>IF(D1353="","",LEFT(D1353,3))</f>
        <v/>
      </c>
      <c r="F1353" s="28" t="str">
        <f>IF(E1353="","",IFERROR(VLOOKUP(E1353,REGRAS_CST!$A$2:$B$200,2,FALSE),""))</f>
        <v/>
      </c>
      <c r="H1353" s="29">
        <v>8.9999999999999993E-3</v>
      </c>
      <c r="I1353" s="29">
        <v>1E-3</v>
      </c>
      <c r="K1353" s="21" t="str">
        <f>IF(E1353="","",IFERROR(VLOOKUP(E1353,REGRAS_CST!$A$2:$C$200,3,FALSE),""))</f>
        <v/>
      </c>
      <c r="L1353" s="23" t="str">
        <f>IF($G1353="", "", $G1353*(1-$V1353))</f>
        <v/>
      </c>
      <c r="M1353" s="24" t="str">
        <f>IF(OR($L1353="",$S1353=""),"",$L1353*$S1353)</f>
        <v/>
      </c>
      <c r="N1353" s="24" t="str">
        <f>IF(OR($L1353="",$T1353=""),"",$L1353*$T1353)</f>
        <v/>
      </c>
      <c r="O1353" s="15" t="str">
        <f>IF(D1353="","",
IF(AND(K1353&lt;&gt;"SIM",V1353&gt;0),"ERRO: % BC &gt; 0, mas NÃO permitida ❌",
IF(AND(K1353="SIM",V1353=0),"ATENÇÃO: BC permitida, mas % = 0 🔎",
"Base de cálculo aplicada corretamente ✅")))</f>
        <v/>
      </c>
      <c r="P1353" s="31" t="str">
        <f>IF(D1353="","",
IF(AND(Q1353&lt;&gt;"SIM",U1353&gt;0),"ERRO: % alíquota &gt; 0, mas NÃO permitida ❌",
IF(AND(Q1353="SIM",U1353=0),"ATENÇÃO: alíquota permitida, mas % = 0 🔎",
"Alíquota aplicada corretamente ✅")))</f>
        <v/>
      </c>
      <c r="Q1353" s="8" t="str">
        <f>IF(E1353="","",IFERROR(VLOOKUP(E1353,REGRAS_CST!$A$2:$D$200,4,FALSE),""))</f>
        <v/>
      </c>
      <c r="S1353" s="9">
        <f>IF($H1353="","",$H1353*(1-$U1353))</f>
        <v>8.9999999999999993E-3</v>
      </c>
      <c r="T1353" s="9">
        <f>IF($I1353="","",$I1353*(1-$U1353))</f>
        <v>1E-3</v>
      </c>
      <c r="U1353" s="16">
        <f>IFERROR(INDEX(BASE_CCLASSTRIB!$E:$E, MATCH(TEXT($D1353,"000000"), BASE_CCLASSTRIB!$A:$A, 0))/100, 0)</f>
        <v>0</v>
      </c>
      <c r="V1353" s="16">
        <f>IFERROR(INDEX(BASE_CCLASSTRIB!$F:$F, MATCH(TEXT($D1353,"000000"), BASE_CCLASSTRIB!$A:$A, 0))/100, 0)</f>
        <v>0</v>
      </c>
    </row>
    <row r="1354" spans="4:22" ht="32.25" customHeight="1">
      <c r="D1354" s="40"/>
      <c r="E1354" s="27" t="str">
        <f>IF(D1354="","",LEFT(D1354,3))</f>
        <v/>
      </c>
      <c r="F1354" s="28" t="str">
        <f>IF(E1354="","",IFERROR(VLOOKUP(E1354,REGRAS_CST!$A$2:$B$200,2,FALSE),""))</f>
        <v/>
      </c>
      <c r="H1354" s="29">
        <v>8.9999999999999993E-3</v>
      </c>
      <c r="I1354" s="29">
        <v>1E-3</v>
      </c>
      <c r="K1354" s="21" t="str">
        <f>IF(E1354="","",IFERROR(VLOOKUP(E1354,REGRAS_CST!$A$2:$C$200,3,FALSE),""))</f>
        <v/>
      </c>
      <c r="L1354" s="23" t="str">
        <f>IF($G1354="", "", $G1354*(1-$V1354))</f>
        <v/>
      </c>
      <c r="M1354" s="24" t="str">
        <f>IF(OR($L1354="",$S1354=""),"",$L1354*$S1354)</f>
        <v/>
      </c>
      <c r="N1354" s="24" t="str">
        <f>IF(OR($L1354="",$T1354=""),"",$L1354*$T1354)</f>
        <v/>
      </c>
      <c r="O1354" s="15" t="str">
        <f>IF(D1354="","",
IF(AND(K1354&lt;&gt;"SIM",V1354&gt;0),"ERRO: % BC &gt; 0, mas NÃO permitida ❌",
IF(AND(K1354="SIM",V1354=0),"ATENÇÃO: BC permitida, mas % = 0 🔎",
"Base de cálculo aplicada corretamente ✅")))</f>
        <v/>
      </c>
      <c r="P1354" s="31" t="str">
        <f>IF(D1354="","",
IF(AND(Q1354&lt;&gt;"SIM",U1354&gt;0),"ERRO: % alíquota &gt; 0, mas NÃO permitida ❌",
IF(AND(Q1354="SIM",U1354=0),"ATENÇÃO: alíquota permitida, mas % = 0 🔎",
"Alíquota aplicada corretamente ✅")))</f>
        <v/>
      </c>
      <c r="Q1354" s="8" t="str">
        <f>IF(E1354="","",IFERROR(VLOOKUP(E1354,REGRAS_CST!$A$2:$D$200,4,FALSE),""))</f>
        <v/>
      </c>
      <c r="S1354" s="9">
        <f>IF($H1354="","",$H1354*(1-$U1354))</f>
        <v>8.9999999999999993E-3</v>
      </c>
      <c r="T1354" s="9">
        <f>IF($I1354="","",$I1354*(1-$U1354))</f>
        <v>1E-3</v>
      </c>
      <c r="U1354" s="16">
        <f>IFERROR(INDEX(BASE_CCLASSTRIB!$E:$E, MATCH(TEXT($D1354,"000000"), BASE_CCLASSTRIB!$A:$A, 0))/100, 0)</f>
        <v>0</v>
      </c>
      <c r="V1354" s="16">
        <f>IFERROR(INDEX(BASE_CCLASSTRIB!$F:$F, MATCH(TEXT($D1354,"000000"), BASE_CCLASSTRIB!$A:$A, 0))/100, 0)</f>
        <v>0</v>
      </c>
    </row>
    <row r="1355" spans="4:22" ht="32.25" customHeight="1">
      <c r="D1355" s="40"/>
      <c r="E1355" s="27" t="str">
        <f>IF(D1355="","",LEFT(D1355,3))</f>
        <v/>
      </c>
      <c r="F1355" s="28" t="str">
        <f>IF(E1355="","",IFERROR(VLOOKUP(E1355,REGRAS_CST!$A$2:$B$200,2,FALSE),""))</f>
        <v/>
      </c>
      <c r="H1355" s="29">
        <v>8.9999999999999993E-3</v>
      </c>
      <c r="I1355" s="29">
        <v>1E-3</v>
      </c>
      <c r="K1355" s="21" t="str">
        <f>IF(E1355="","",IFERROR(VLOOKUP(E1355,REGRAS_CST!$A$2:$C$200,3,FALSE),""))</f>
        <v/>
      </c>
      <c r="L1355" s="23" t="str">
        <f>IF($G1355="", "", $G1355*(1-$V1355))</f>
        <v/>
      </c>
      <c r="M1355" s="24" t="str">
        <f>IF(OR($L1355="",$S1355=""),"",$L1355*$S1355)</f>
        <v/>
      </c>
      <c r="N1355" s="24" t="str">
        <f>IF(OR($L1355="",$T1355=""),"",$L1355*$T1355)</f>
        <v/>
      </c>
      <c r="O1355" s="15" t="str">
        <f>IF(D1355="","",
IF(AND(K1355&lt;&gt;"SIM",V1355&gt;0),"ERRO: % BC &gt; 0, mas NÃO permitida ❌",
IF(AND(K1355="SIM",V1355=0),"ATENÇÃO: BC permitida, mas % = 0 🔎",
"Base de cálculo aplicada corretamente ✅")))</f>
        <v/>
      </c>
      <c r="P1355" s="31" t="str">
        <f>IF(D1355="","",
IF(AND(Q1355&lt;&gt;"SIM",U1355&gt;0),"ERRO: % alíquota &gt; 0, mas NÃO permitida ❌",
IF(AND(Q1355="SIM",U1355=0),"ATENÇÃO: alíquota permitida, mas % = 0 🔎",
"Alíquota aplicada corretamente ✅")))</f>
        <v/>
      </c>
      <c r="Q1355" s="8" t="str">
        <f>IF(E1355="","",IFERROR(VLOOKUP(E1355,REGRAS_CST!$A$2:$D$200,4,FALSE),""))</f>
        <v/>
      </c>
      <c r="S1355" s="9">
        <f>IF($H1355="","",$H1355*(1-$U1355))</f>
        <v>8.9999999999999993E-3</v>
      </c>
      <c r="T1355" s="9">
        <f>IF($I1355="","",$I1355*(1-$U1355))</f>
        <v>1E-3</v>
      </c>
      <c r="U1355" s="16">
        <f>IFERROR(INDEX(BASE_CCLASSTRIB!$E:$E, MATCH(TEXT($D1355,"000000"), BASE_CCLASSTRIB!$A:$A, 0))/100, 0)</f>
        <v>0</v>
      </c>
      <c r="V1355" s="16">
        <f>IFERROR(INDEX(BASE_CCLASSTRIB!$F:$F, MATCH(TEXT($D1355,"000000"), BASE_CCLASSTRIB!$A:$A, 0))/100, 0)</f>
        <v>0</v>
      </c>
    </row>
    <row r="1356" spans="4:22" ht="32.25" customHeight="1">
      <c r="D1356" s="39"/>
      <c r="E1356" s="27" t="str">
        <f>IF(D1356="","",LEFT(D1356,3))</f>
        <v/>
      </c>
      <c r="F1356" s="28" t="str">
        <f>IF(E1356="","",IFERROR(VLOOKUP(E1356,REGRAS_CST!$A$2:$B$200,2,FALSE),""))</f>
        <v/>
      </c>
      <c r="H1356" s="29">
        <v>8.9999999999999993E-3</v>
      </c>
      <c r="I1356" s="29">
        <v>1E-3</v>
      </c>
      <c r="K1356" s="21" t="str">
        <f>IF(E1356="","",IFERROR(VLOOKUP(E1356,REGRAS_CST!$A$2:$C$200,3,FALSE),""))</f>
        <v/>
      </c>
      <c r="L1356" s="23" t="str">
        <f>IF($G1356="", "", $G1356*(1-$V1356))</f>
        <v/>
      </c>
      <c r="M1356" s="24" t="str">
        <f>IF(OR($L1356="",$S1356=""),"",$L1356*$S1356)</f>
        <v/>
      </c>
      <c r="N1356" s="24" t="str">
        <f>IF(OR($L1356="",$T1356=""),"",$L1356*$T1356)</f>
        <v/>
      </c>
      <c r="O1356" s="15" t="str">
        <f>IF(D1356="","",
IF(AND(K1356&lt;&gt;"SIM",V1356&gt;0),"ERRO: % BC &gt; 0, mas NÃO permitida ❌",
IF(AND(K1356="SIM",V1356=0),"ATENÇÃO: BC permitida, mas % = 0 🔎",
"Base de cálculo aplicada corretamente ✅")))</f>
        <v/>
      </c>
      <c r="P1356" s="31" t="str">
        <f>IF(D1356="","",
IF(AND(Q1356&lt;&gt;"SIM",U1356&gt;0),"ERRO: % alíquota &gt; 0, mas NÃO permitida ❌",
IF(AND(Q1356="SIM",U1356=0),"ATENÇÃO: alíquota permitida, mas % = 0 🔎",
"Alíquota aplicada corretamente ✅")))</f>
        <v/>
      </c>
      <c r="Q1356" s="8" t="str">
        <f>IF(E1356="","",IFERROR(VLOOKUP(E1356,REGRAS_CST!$A$2:$D$200,4,FALSE),""))</f>
        <v/>
      </c>
      <c r="S1356" s="9">
        <f>IF($H1356="","",$H1356*(1-$U1356))</f>
        <v>8.9999999999999993E-3</v>
      </c>
      <c r="T1356" s="9">
        <f>IF($I1356="","",$I1356*(1-$U1356))</f>
        <v>1E-3</v>
      </c>
      <c r="U1356" s="16">
        <f>IFERROR(INDEX(BASE_CCLASSTRIB!$E:$E, MATCH(TEXT($D1356,"000000"), BASE_CCLASSTRIB!$A:$A, 0))/100, 0)</f>
        <v>0</v>
      </c>
      <c r="V1356" s="16">
        <f>IFERROR(INDEX(BASE_CCLASSTRIB!$F:$F, MATCH(TEXT($D1356,"000000"), BASE_CCLASSTRIB!$A:$A, 0))/100, 0)</f>
        <v>0</v>
      </c>
    </row>
    <row r="1357" spans="4:22" ht="32.25" customHeight="1">
      <c r="D1357" s="40"/>
      <c r="E1357" s="27" t="str">
        <f>IF(D1357="","",LEFT(D1357,3))</f>
        <v/>
      </c>
      <c r="F1357" s="28" t="str">
        <f>IF(E1357="","",IFERROR(VLOOKUP(E1357,REGRAS_CST!$A$2:$B$200,2,FALSE),""))</f>
        <v/>
      </c>
      <c r="H1357" s="29">
        <v>8.9999999999999993E-3</v>
      </c>
      <c r="I1357" s="29">
        <v>1E-3</v>
      </c>
      <c r="K1357" s="21" t="str">
        <f>IF(E1357="","",IFERROR(VLOOKUP(E1357,REGRAS_CST!$A$2:$C$200,3,FALSE),""))</f>
        <v/>
      </c>
      <c r="L1357" s="23" t="str">
        <f>IF($G1357="", "", $G1357*(1-$V1357))</f>
        <v/>
      </c>
      <c r="M1357" s="24" t="str">
        <f>IF(OR($L1357="",$S1357=""),"",$L1357*$S1357)</f>
        <v/>
      </c>
      <c r="N1357" s="24" t="str">
        <f>IF(OR($L1357="",$T1357=""),"",$L1357*$T1357)</f>
        <v/>
      </c>
      <c r="O1357" s="15" t="str">
        <f>IF(D1357="","",
IF(AND(K1357&lt;&gt;"SIM",V1357&gt;0),"ERRO: % BC &gt; 0, mas NÃO permitida ❌",
IF(AND(K1357="SIM",V1357=0),"ATENÇÃO: BC permitida, mas % = 0 🔎",
"Base de cálculo aplicada corretamente ✅")))</f>
        <v/>
      </c>
      <c r="P1357" s="31" t="str">
        <f>IF(D1357="","",
IF(AND(Q1357&lt;&gt;"SIM",U1357&gt;0),"ERRO: % alíquota &gt; 0, mas NÃO permitida ❌",
IF(AND(Q1357="SIM",U1357=0),"ATENÇÃO: alíquota permitida, mas % = 0 🔎",
"Alíquota aplicada corretamente ✅")))</f>
        <v/>
      </c>
      <c r="Q1357" s="8" t="str">
        <f>IF(E1357="","",IFERROR(VLOOKUP(E1357,REGRAS_CST!$A$2:$D$200,4,FALSE),""))</f>
        <v/>
      </c>
      <c r="S1357" s="9">
        <f>IF($H1357="","",$H1357*(1-$U1357))</f>
        <v>8.9999999999999993E-3</v>
      </c>
      <c r="T1357" s="9">
        <f>IF($I1357="","",$I1357*(1-$U1357))</f>
        <v>1E-3</v>
      </c>
      <c r="U1357" s="16">
        <f>IFERROR(INDEX(BASE_CCLASSTRIB!$E:$E, MATCH(TEXT($D1357,"000000"), BASE_CCLASSTRIB!$A:$A, 0))/100, 0)</f>
        <v>0</v>
      </c>
      <c r="V1357" s="16">
        <f>IFERROR(INDEX(BASE_CCLASSTRIB!$F:$F, MATCH(TEXT($D1357,"000000"), BASE_CCLASSTRIB!$A:$A, 0))/100, 0)</f>
        <v>0</v>
      </c>
    </row>
    <row r="1358" spans="4:22" ht="32.25" customHeight="1">
      <c r="D1358" s="39"/>
      <c r="E1358" s="27" t="str">
        <f>IF(D1358="","",LEFT(D1358,3))</f>
        <v/>
      </c>
      <c r="F1358" s="28" t="str">
        <f>IF(E1358="","",IFERROR(VLOOKUP(E1358,REGRAS_CST!$A$2:$B$200,2,FALSE),""))</f>
        <v/>
      </c>
      <c r="H1358" s="29">
        <v>8.9999999999999993E-3</v>
      </c>
      <c r="I1358" s="29">
        <v>1E-3</v>
      </c>
      <c r="K1358" s="21" t="str">
        <f>IF(E1358="","",IFERROR(VLOOKUP(E1358,REGRAS_CST!$A$2:$C$200,3,FALSE),""))</f>
        <v/>
      </c>
      <c r="L1358" s="23" t="str">
        <f>IF($G1358="", "", $G1358*(1-$V1358))</f>
        <v/>
      </c>
      <c r="M1358" s="24" t="str">
        <f>IF(OR($L1358="",$S1358=""),"",$L1358*$S1358)</f>
        <v/>
      </c>
      <c r="N1358" s="24" t="str">
        <f>IF(OR($L1358="",$T1358=""),"",$L1358*$T1358)</f>
        <v/>
      </c>
      <c r="O1358" s="15" t="str">
        <f>IF(D1358="","",
IF(AND(K1358&lt;&gt;"SIM",V1358&gt;0),"ERRO: % BC &gt; 0, mas NÃO permitida ❌",
IF(AND(K1358="SIM",V1358=0),"ATENÇÃO: BC permitida, mas % = 0 🔎",
"Base de cálculo aplicada corretamente ✅")))</f>
        <v/>
      </c>
      <c r="P1358" s="31" t="str">
        <f>IF(D1358="","",
IF(AND(Q1358&lt;&gt;"SIM",U1358&gt;0),"ERRO: % alíquota &gt; 0, mas NÃO permitida ❌",
IF(AND(Q1358="SIM",U1358=0),"ATENÇÃO: alíquota permitida, mas % = 0 🔎",
"Alíquota aplicada corretamente ✅")))</f>
        <v/>
      </c>
      <c r="Q1358" s="8" t="str">
        <f>IF(E1358="","",IFERROR(VLOOKUP(E1358,REGRAS_CST!$A$2:$D$200,4,FALSE),""))</f>
        <v/>
      </c>
      <c r="S1358" s="9">
        <f>IF($H1358="","",$H1358*(1-$U1358))</f>
        <v>8.9999999999999993E-3</v>
      </c>
      <c r="T1358" s="9">
        <f>IF($I1358="","",$I1358*(1-$U1358))</f>
        <v>1E-3</v>
      </c>
      <c r="U1358" s="16">
        <f>IFERROR(INDEX(BASE_CCLASSTRIB!$E:$E, MATCH(TEXT($D1358,"000000"), BASE_CCLASSTRIB!$A:$A, 0))/100, 0)</f>
        <v>0</v>
      </c>
      <c r="V1358" s="16">
        <f>IFERROR(INDEX(BASE_CCLASSTRIB!$F:$F, MATCH(TEXT($D1358,"000000"), BASE_CCLASSTRIB!$A:$A, 0))/100, 0)</f>
        <v>0</v>
      </c>
    </row>
    <row r="1359" spans="4:22" ht="32.25" customHeight="1">
      <c r="D1359" s="40"/>
      <c r="E1359" s="27" t="str">
        <f>IF(D1359="","",LEFT(D1359,3))</f>
        <v/>
      </c>
      <c r="F1359" s="28" t="str">
        <f>IF(E1359="","",IFERROR(VLOOKUP(E1359,REGRAS_CST!$A$2:$B$200,2,FALSE),""))</f>
        <v/>
      </c>
      <c r="H1359" s="29">
        <v>8.9999999999999993E-3</v>
      </c>
      <c r="I1359" s="29">
        <v>1E-3</v>
      </c>
      <c r="K1359" s="21" t="str">
        <f>IF(E1359="","",IFERROR(VLOOKUP(E1359,REGRAS_CST!$A$2:$C$200,3,FALSE),""))</f>
        <v/>
      </c>
      <c r="L1359" s="23" t="str">
        <f>IF($G1359="", "", $G1359*(1-$V1359))</f>
        <v/>
      </c>
      <c r="M1359" s="24" t="str">
        <f>IF(OR($L1359="",$S1359=""),"",$L1359*$S1359)</f>
        <v/>
      </c>
      <c r="N1359" s="24" t="str">
        <f>IF(OR($L1359="",$T1359=""),"",$L1359*$T1359)</f>
        <v/>
      </c>
      <c r="O1359" s="15" t="str">
        <f>IF(D1359="","",
IF(AND(K1359&lt;&gt;"SIM",V1359&gt;0),"ERRO: % BC &gt; 0, mas NÃO permitida ❌",
IF(AND(K1359="SIM",V1359=0),"ATENÇÃO: BC permitida, mas % = 0 🔎",
"Base de cálculo aplicada corretamente ✅")))</f>
        <v/>
      </c>
      <c r="P1359" s="31" t="str">
        <f>IF(D1359="","",
IF(AND(Q1359&lt;&gt;"SIM",U1359&gt;0),"ERRO: % alíquota &gt; 0, mas NÃO permitida ❌",
IF(AND(Q1359="SIM",U1359=0),"ATENÇÃO: alíquota permitida, mas % = 0 🔎",
"Alíquota aplicada corretamente ✅")))</f>
        <v/>
      </c>
      <c r="Q1359" s="8" t="str">
        <f>IF(E1359="","",IFERROR(VLOOKUP(E1359,REGRAS_CST!$A$2:$D$200,4,FALSE),""))</f>
        <v/>
      </c>
      <c r="S1359" s="9">
        <f>IF($H1359="","",$H1359*(1-$U1359))</f>
        <v>8.9999999999999993E-3</v>
      </c>
      <c r="T1359" s="9">
        <f>IF($I1359="","",$I1359*(1-$U1359))</f>
        <v>1E-3</v>
      </c>
      <c r="U1359" s="16">
        <f>IFERROR(INDEX(BASE_CCLASSTRIB!$E:$E, MATCH(TEXT($D1359,"000000"), BASE_CCLASSTRIB!$A:$A, 0))/100, 0)</f>
        <v>0</v>
      </c>
      <c r="V1359" s="16">
        <f>IFERROR(INDEX(BASE_CCLASSTRIB!$F:$F, MATCH(TEXT($D1359,"000000"), BASE_CCLASSTRIB!$A:$A, 0))/100, 0)</f>
        <v>0</v>
      </c>
    </row>
    <row r="1360" spans="4:22" ht="32.25" customHeight="1">
      <c r="D1360" s="39"/>
      <c r="E1360" s="27" t="str">
        <f>IF(D1360="","",LEFT(D1360,3))</f>
        <v/>
      </c>
      <c r="F1360" s="28" t="str">
        <f>IF(E1360="","",IFERROR(VLOOKUP(E1360,REGRAS_CST!$A$2:$B$200,2,FALSE),""))</f>
        <v/>
      </c>
      <c r="H1360" s="29">
        <v>8.9999999999999993E-3</v>
      </c>
      <c r="I1360" s="29">
        <v>1E-3</v>
      </c>
      <c r="K1360" s="21" t="str">
        <f>IF(E1360="","",IFERROR(VLOOKUP(E1360,REGRAS_CST!$A$2:$C$200,3,FALSE),""))</f>
        <v/>
      </c>
      <c r="L1360" s="23" t="str">
        <f>IF($G1360="", "", $G1360*(1-$V1360))</f>
        <v/>
      </c>
      <c r="M1360" s="24" t="str">
        <f>IF(OR($L1360="",$S1360=""),"",$L1360*$S1360)</f>
        <v/>
      </c>
      <c r="N1360" s="24" t="str">
        <f>IF(OR($L1360="",$T1360=""),"",$L1360*$T1360)</f>
        <v/>
      </c>
      <c r="O1360" s="15" t="str">
        <f>IF(D1360="","",
IF(AND(K1360&lt;&gt;"SIM",V1360&gt;0),"ERRO: % BC &gt; 0, mas NÃO permitida ❌",
IF(AND(K1360="SIM",V1360=0),"ATENÇÃO: BC permitida, mas % = 0 🔎",
"Base de cálculo aplicada corretamente ✅")))</f>
        <v/>
      </c>
      <c r="P1360" s="31" t="str">
        <f>IF(D1360="","",
IF(AND(Q1360&lt;&gt;"SIM",U1360&gt;0),"ERRO: % alíquota &gt; 0, mas NÃO permitida ❌",
IF(AND(Q1360="SIM",U1360=0),"ATENÇÃO: alíquota permitida, mas % = 0 🔎",
"Alíquota aplicada corretamente ✅")))</f>
        <v/>
      </c>
      <c r="Q1360" s="8" t="str">
        <f>IF(E1360="","",IFERROR(VLOOKUP(E1360,REGRAS_CST!$A$2:$D$200,4,FALSE),""))</f>
        <v/>
      </c>
      <c r="S1360" s="9">
        <f>IF($H1360="","",$H1360*(1-$U1360))</f>
        <v>8.9999999999999993E-3</v>
      </c>
      <c r="T1360" s="9">
        <f>IF($I1360="","",$I1360*(1-$U1360))</f>
        <v>1E-3</v>
      </c>
      <c r="U1360" s="16">
        <f>IFERROR(INDEX(BASE_CCLASSTRIB!$E:$E, MATCH(TEXT($D1360,"000000"), BASE_CCLASSTRIB!$A:$A, 0))/100, 0)</f>
        <v>0</v>
      </c>
      <c r="V1360" s="16">
        <f>IFERROR(INDEX(BASE_CCLASSTRIB!$F:$F, MATCH(TEXT($D1360,"000000"), BASE_CCLASSTRIB!$A:$A, 0))/100, 0)</f>
        <v>0</v>
      </c>
    </row>
    <row r="1361" spans="4:22" ht="32.25" customHeight="1">
      <c r="D1361" s="39"/>
      <c r="E1361" s="27" t="str">
        <f>IF(D1361="","",LEFT(D1361,3))</f>
        <v/>
      </c>
      <c r="F1361" s="28" t="str">
        <f>IF(E1361="","",IFERROR(VLOOKUP(E1361,REGRAS_CST!$A$2:$B$200,2,FALSE),""))</f>
        <v/>
      </c>
      <c r="H1361" s="29">
        <v>8.9999999999999993E-3</v>
      </c>
      <c r="I1361" s="29">
        <v>1E-3</v>
      </c>
      <c r="K1361" s="21" t="str">
        <f>IF(E1361="","",IFERROR(VLOOKUP(E1361,REGRAS_CST!$A$2:$C$200,3,FALSE),""))</f>
        <v/>
      </c>
      <c r="L1361" s="23" t="str">
        <f>IF($G1361="", "", $G1361*(1-$V1361))</f>
        <v/>
      </c>
      <c r="M1361" s="24" t="str">
        <f>IF(OR($L1361="",$S1361=""),"",$L1361*$S1361)</f>
        <v/>
      </c>
      <c r="N1361" s="24" t="str">
        <f>IF(OR($L1361="",$T1361=""),"",$L1361*$T1361)</f>
        <v/>
      </c>
      <c r="O1361" s="15" t="str">
        <f>IF(D1361="","",
IF(AND(K1361&lt;&gt;"SIM",V1361&gt;0),"ERRO: % BC &gt; 0, mas NÃO permitida ❌",
IF(AND(K1361="SIM",V1361=0),"ATENÇÃO: BC permitida, mas % = 0 🔎",
"Base de cálculo aplicada corretamente ✅")))</f>
        <v/>
      </c>
      <c r="P1361" s="31" t="str">
        <f>IF(D1361="","",
IF(AND(Q1361&lt;&gt;"SIM",U1361&gt;0),"ERRO: % alíquota &gt; 0, mas NÃO permitida ❌",
IF(AND(Q1361="SIM",U1361=0),"ATENÇÃO: alíquota permitida, mas % = 0 🔎",
"Alíquota aplicada corretamente ✅")))</f>
        <v/>
      </c>
      <c r="Q1361" s="8" t="str">
        <f>IF(E1361="","",IFERROR(VLOOKUP(E1361,REGRAS_CST!$A$2:$D$200,4,FALSE),""))</f>
        <v/>
      </c>
      <c r="S1361" s="9">
        <f>IF($H1361="","",$H1361*(1-$U1361))</f>
        <v>8.9999999999999993E-3</v>
      </c>
      <c r="T1361" s="9">
        <f>IF($I1361="","",$I1361*(1-$U1361))</f>
        <v>1E-3</v>
      </c>
      <c r="U1361" s="16">
        <f>IFERROR(INDEX(BASE_CCLASSTRIB!$E:$E, MATCH(TEXT($D1361,"000000"), BASE_CCLASSTRIB!$A:$A, 0))/100, 0)</f>
        <v>0</v>
      </c>
      <c r="V1361" s="16">
        <f>IFERROR(INDEX(BASE_CCLASSTRIB!$F:$F, MATCH(TEXT($D1361,"000000"), BASE_CCLASSTRIB!$A:$A, 0))/100, 0)</f>
        <v>0</v>
      </c>
    </row>
    <row r="1362" spans="4:22" ht="32.25" customHeight="1">
      <c r="D1362" s="39"/>
      <c r="E1362" s="27" t="str">
        <f>IF(D1362="","",LEFT(D1362,3))</f>
        <v/>
      </c>
      <c r="F1362" s="28" t="str">
        <f>IF(E1362="","",IFERROR(VLOOKUP(E1362,REGRAS_CST!$A$2:$B$200,2,FALSE),""))</f>
        <v/>
      </c>
      <c r="H1362" s="29">
        <v>8.9999999999999993E-3</v>
      </c>
      <c r="I1362" s="29">
        <v>1E-3</v>
      </c>
      <c r="K1362" s="21" t="str">
        <f>IF(E1362="","",IFERROR(VLOOKUP(E1362,REGRAS_CST!$A$2:$C$200,3,FALSE),""))</f>
        <v/>
      </c>
      <c r="L1362" s="23" t="str">
        <f>IF($G1362="", "", $G1362*(1-$V1362))</f>
        <v/>
      </c>
      <c r="M1362" s="24" t="str">
        <f>IF(OR($L1362="",$S1362=""),"",$L1362*$S1362)</f>
        <v/>
      </c>
      <c r="N1362" s="24" t="str">
        <f>IF(OR($L1362="",$T1362=""),"",$L1362*$T1362)</f>
        <v/>
      </c>
      <c r="O1362" s="15" t="str">
        <f>IF(D1362="","",
IF(AND(K1362&lt;&gt;"SIM",V1362&gt;0),"ERRO: % BC &gt; 0, mas NÃO permitida ❌",
IF(AND(K1362="SIM",V1362=0),"ATENÇÃO: BC permitida, mas % = 0 🔎",
"Base de cálculo aplicada corretamente ✅")))</f>
        <v/>
      </c>
      <c r="P1362" s="31" t="str">
        <f>IF(D1362="","",
IF(AND(Q1362&lt;&gt;"SIM",U1362&gt;0),"ERRO: % alíquota &gt; 0, mas NÃO permitida ❌",
IF(AND(Q1362="SIM",U1362=0),"ATENÇÃO: alíquota permitida, mas % = 0 🔎",
"Alíquota aplicada corretamente ✅")))</f>
        <v/>
      </c>
      <c r="Q1362" s="8" t="str">
        <f>IF(E1362="","",IFERROR(VLOOKUP(E1362,REGRAS_CST!$A$2:$D$200,4,FALSE),""))</f>
        <v/>
      </c>
      <c r="S1362" s="9">
        <f>IF($H1362="","",$H1362*(1-$U1362))</f>
        <v>8.9999999999999993E-3</v>
      </c>
      <c r="T1362" s="9">
        <f>IF($I1362="","",$I1362*(1-$U1362))</f>
        <v>1E-3</v>
      </c>
      <c r="U1362" s="16">
        <f>IFERROR(INDEX(BASE_CCLASSTRIB!$E:$E, MATCH(TEXT($D1362,"000000"), BASE_CCLASSTRIB!$A:$A, 0))/100, 0)</f>
        <v>0</v>
      </c>
      <c r="V1362" s="16">
        <f>IFERROR(INDEX(BASE_CCLASSTRIB!$F:$F, MATCH(TEXT($D1362,"000000"), BASE_CCLASSTRIB!$A:$A, 0))/100, 0)</f>
        <v>0</v>
      </c>
    </row>
    <row r="1363" spans="4:22" ht="32.25" customHeight="1">
      <c r="D1363" s="40"/>
      <c r="E1363" s="27" t="str">
        <f>IF(D1363="","",LEFT(D1363,3))</f>
        <v/>
      </c>
      <c r="F1363" s="28" t="str">
        <f>IF(E1363="","",IFERROR(VLOOKUP(E1363,REGRAS_CST!$A$2:$B$200,2,FALSE),""))</f>
        <v/>
      </c>
      <c r="H1363" s="29">
        <v>8.9999999999999993E-3</v>
      </c>
      <c r="I1363" s="29">
        <v>1E-3</v>
      </c>
      <c r="K1363" s="21" t="str">
        <f>IF(E1363="","",IFERROR(VLOOKUP(E1363,REGRAS_CST!$A$2:$C$200,3,FALSE),""))</f>
        <v/>
      </c>
      <c r="L1363" s="23" t="str">
        <f>IF($G1363="", "", $G1363*(1-$V1363))</f>
        <v/>
      </c>
      <c r="M1363" s="24" t="str">
        <f>IF(OR($L1363="",$S1363=""),"",$L1363*$S1363)</f>
        <v/>
      </c>
      <c r="N1363" s="24" t="str">
        <f>IF(OR($L1363="",$T1363=""),"",$L1363*$T1363)</f>
        <v/>
      </c>
      <c r="O1363" s="15" t="str">
        <f>IF(D1363="","",
IF(AND(K1363&lt;&gt;"SIM",V1363&gt;0),"ERRO: % BC &gt; 0, mas NÃO permitida ❌",
IF(AND(K1363="SIM",V1363=0),"ATENÇÃO: BC permitida, mas % = 0 🔎",
"Base de cálculo aplicada corretamente ✅")))</f>
        <v/>
      </c>
      <c r="P1363" s="31" t="str">
        <f>IF(D1363="","",
IF(AND(Q1363&lt;&gt;"SIM",U1363&gt;0),"ERRO: % alíquota &gt; 0, mas NÃO permitida ❌",
IF(AND(Q1363="SIM",U1363=0),"ATENÇÃO: alíquota permitida, mas % = 0 🔎",
"Alíquota aplicada corretamente ✅")))</f>
        <v/>
      </c>
      <c r="Q1363" s="8" t="str">
        <f>IF(E1363="","",IFERROR(VLOOKUP(E1363,REGRAS_CST!$A$2:$D$200,4,FALSE),""))</f>
        <v/>
      </c>
      <c r="S1363" s="9">
        <f>IF($H1363="","",$H1363*(1-$U1363))</f>
        <v>8.9999999999999993E-3</v>
      </c>
      <c r="T1363" s="9">
        <f>IF($I1363="","",$I1363*(1-$U1363))</f>
        <v>1E-3</v>
      </c>
      <c r="U1363" s="16">
        <f>IFERROR(INDEX(BASE_CCLASSTRIB!$E:$E, MATCH(TEXT($D1363,"000000"), BASE_CCLASSTRIB!$A:$A, 0))/100, 0)</f>
        <v>0</v>
      </c>
      <c r="V1363" s="16">
        <f>IFERROR(INDEX(BASE_CCLASSTRIB!$F:$F, MATCH(TEXT($D1363,"000000"), BASE_CCLASSTRIB!$A:$A, 0))/100, 0)</f>
        <v>0</v>
      </c>
    </row>
    <row r="1364" spans="4:22" ht="32.25" customHeight="1">
      <c r="D1364" s="39"/>
      <c r="E1364" s="27" t="str">
        <f>IF(D1364="","",LEFT(D1364,3))</f>
        <v/>
      </c>
      <c r="F1364" s="28" t="str">
        <f>IF(E1364="","",IFERROR(VLOOKUP(E1364,REGRAS_CST!$A$2:$B$200,2,FALSE),""))</f>
        <v/>
      </c>
      <c r="H1364" s="29">
        <v>8.9999999999999993E-3</v>
      </c>
      <c r="I1364" s="29">
        <v>1E-3</v>
      </c>
      <c r="K1364" s="21" t="str">
        <f>IF(E1364="","",IFERROR(VLOOKUP(E1364,REGRAS_CST!$A$2:$C$200,3,FALSE),""))</f>
        <v/>
      </c>
      <c r="L1364" s="23" t="str">
        <f>IF($G1364="", "", $G1364*(1-$V1364))</f>
        <v/>
      </c>
      <c r="M1364" s="24" t="str">
        <f>IF(OR($L1364="",$S1364=""),"",$L1364*$S1364)</f>
        <v/>
      </c>
      <c r="N1364" s="24" t="str">
        <f>IF(OR($L1364="",$T1364=""),"",$L1364*$T1364)</f>
        <v/>
      </c>
      <c r="O1364" s="15" t="str">
        <f>IF(D1364="","",
IF(AND(K1364&lt;&gt;"SIM",V1364&gt;0),"ERRO: % BC &gt; 0, mas NÃO permitida ❌",
IF(AND(K1364="SIM",V1364=0),"ATENÇÃO: BC permitida, mas % = 0 🔎",
"Base de cálculo aplicada corretamente ✅")))</f>
        <v/>
      </c>
      <c r="P1364" s="31" t="str">
        <f>IF(D1364="","",
IF(AND(Q1364&lt;&gt;"SIM",U1364&gt;0),"ERRO: % alíquota &gt; 0, mas NÃO permitida ❌",
IF(AND(Q1364="SIM",U1364=0),"ATENÇÃO: alíquota permitida, mas % = 0 🔎",
"Alíquota aplicada corretamente ✅")))</f>
        <v/>
      </c>
      <c r="Q1364" s="8" t="str">
        <f>IF(E1364="","",IFERROR(VLOOKUP(E1364,REGRAS_CST!$A$2:$D$200,4,FALSE),""))</f>
        <v/>
      </c>
      <c r="S1364" s="9">
        <f>IF($H1364="","",$H1364*(1-$U1364))</f>
        <v>8.9999999999999993E-3</v>
      </c>
      <c r="T1364" s="9">
        <f>IF($I1364="","",$I1364*(1-$U1364))</f>
        <v>1E-3</v>
      </c>
      <c r="U1364" s="16">
        <f>IFERROR(INDEX(BASE_CCLASSTRIB!$E:$E, MATCH(TEXT($D1364,"000000"), BASE_CCLASSTRIB!$A:$A, 0))/100, 0)</f>
        <v>0</v>
      </c>
      <c r="V1364" s="16">
        <f>IFERROR(INDEX(BASE_CCLASSTRIB!$F:$F, MATCH(TEXT($D1364,"000000"), BASE_CCLASSTRIB!$A:$A, 0))/100, 0)</f>
        <v>0</v>
      </c>
    </row>
    <row r="1365" spans="4:22" ht="32.25" customHeight="1">
      <c r="D1365" s="40"/>
      <c r="E1365" s="27" t="str">
        <f>IF(D1365="","",LEFT(D1365,3))</f>
        <v/>
      </c>
      <c r="F1365" s="28" t="str">
        <f>IF(E1365="","",IFERROR(VLOOKUP(E1365,REGRAS_CST!$A$2:$B$200,2,FALSE),""))</f>
        <v/>
      </c>
      <c r="H1365" s="29">
        <v>8.9999999999999993E-3</v>
      </c>
      <c r="I1365" s="29">
        <v>1E-3</v>
      </c>
      <c r="K1365" s="21" t="str">
        <f>IF(E1365="","",IFERROR(VLOOKUP(E1365,REGRAS_CST!$A$2:$C$200,3,FALSE),""))</f>
        <v/>
      </c>
      <c r="L1365" s="23" t="str">
        <f>IF($G1365="", "", $G1365*(1-$V1365))</f>
        <v/>
      </c>
      <c r="M1365" s="24" t="str">
        <f>IF(OR($L1365="",$S1365=""),"",$L1365*$S1365)</f>
        <v/>
      </c>
      <c r="N1365" s="24" t="str">
        <f>IF(OR($L1365="",$T1365=""),"",$L1365*$T1365)</f>
        <v/>
      </c>
      <c r="O1365" s="15" t="str">
        <f>IF(D1365="","",
IF(AND(K1365&lt;&gt;"SIM",V1365&gt;0),"ERRO: % BC &gt; 0, mas NÃO permitida ❌",
IF(AND(K1365="SIM",V1365=0),"ATENÇÃO: BC permitida, mas % = 0 🔎",
"Base de cálculo aplicada corretamente ✅")))</f>
        <v/>
      </c>
      <c r="P1365" s="31" t="str">
        <f>IF(D1365="","",
IF(AND(Q1365&lt;&gt;"SIM",U1365&gt;0),"ERRO: % alíquota &gt; 0, mas NÃO permitida ❌",
IF(AND(Q1365="SIM",U1365=0),"ATENÇÃO: alíquota permitida, mas % = 0 🔎",
"Alíquota aplicada corretamente ✅")))</f>
        <v/>
      </c>
      <c r="Q1365" s="8" t="str">
        <f>IF(E1365="","",IFERROR(VLOOKUP(E1365,REGRAS_CST!$A$2:$D$200,4,FALSE),""))</f>
        <v/>
      </c>
      <c r="S1365" s="9">
        <f>IF($H1365="","",$H1365*(1-$U1365))</f>
        <v>8.9999999999999993E-3</v>
      </c>
      <c r="T1365" s="9">
        <f>IF($I1365="","",$I1365*(1-$U1365))</f>
        <v>1E-3</v>
      </c>
      <c r="U1365" s="16">
        <f>IFERROR(INDEX(BASE_CCLASSTRIB!$E:$E, MATCH(TEXT($D1365,"000000"), BASE_CCLASSTRIB!$A:$A, 0))/100, 0)</f>
        <v>0</v>
      </c>
      <c r="V1365" s="16">
        <f>IFERROR(INDEX(BASE_CCLASSTRIB!$F:$F, MATCH(TEXT($D1365,"000000"), BASE_CCLASSTRIB!$A:$A, 0))/100, 0)</f>
        <v>0</v>
      </c>
    </row>
    <row r="1366" spans="4:22" ht="32.25" customHeight="1">
      <c r="D1366" s="39"/>
      <c r="E1366" s="27" t="str">
        <f>IF(D1366="","",LEFT(D1366,3))</f>
        <v/>
      </c>
      <c r="F1366" s="28" t="str">
        <f>IF(E1366="","",IFERROR(VLOOKUP(E1366,REGRAS_CST!$A$2:$B$200,2,FALSE),""))</f>
        <v/>
      </c>
      <c r="H1366" s="29">
        <v>8.9999999999999993E-3</v>
      </c>
      <c r="I1366" s="29">
        <v>1E-3</v>
      </c>
      <c r="K1366" s="21" t="str">
        <f>IF(E1366="","",IFERROR(VLOOKUP(E1366,REGRAS_CST!$A$2:$C$200,3,FALSE),""))</f>
        <v/>
      </c>
      <c r="L1366" s="23" t="str">
        <f>IF($G1366="", "", $G1366*(1-$V1366))</f>
        <v/>
      </c>
      <c r="M1366" s="24" t="str">
        <f>IF(OR($L1366="",$S1366=""),"",$L1366*$S1366)</f>
        <v/>
      </c>
      <c r="N1366" s="24" t="str">
        <f>IF(OR($L1366="",$T1366=""),"",$L1366*$T1366)</f>
        <v/>
      </c>
      <c r="O1366" s="15" t="str">
        <f>IF(D1366="","",
IF(AND(K1366&lt;&gt;"SIM",V1366&gt;0),"ERRO: % BC &gt; 0, mas NÃO permitida ❌",
IF(AND(K1366="SIM",V1366=0),"ATENÇÃO: BC permitida, mas % = 0 🔎",
"Base de cálculo aplicada corretamente ✅")))</f>
        <v/>
      </c>
      <c r="P1366" s="31" t="str">
        <f>IF(D1366="","",
IF(AND(Q1366&lt;&gt;"SIM",U1366&gt;0),"ERRO: % alíquota &gt; 0, mas NÃO permitida ❌",
IF(AND(Q1366="SIM",U1366=0),"ATENÇÃO: alíquota permitida, mas % = 0 🔎",
"Alíquota aplicada corretamente ✅")))</f>
        <v/>
      </c>
      <c r="Q1366" s="8" t="str">
        <f>IF(E1366="","",IFERROR(VLOOKUP(E1366,REGRAS_CST!$A$2:$D$200,4,FALSE),""))</f>
        <v/>
      </c>
      <c r="S1366" s="9">
        <f>IF($H1366="","",$H1366*(1-$U1366))</f>
        <v>8.9999999999999993E-3</v>
      </c>
      <c r="T1366" s="9">
        <f>IF($I1366="","",$I1366*(1-$U1366))</f>
        <v>1E-3</v>
      </c>
      <c r="U1366" s="16">
        <f>IFERROR(INDEX(BASE_CCLASSTRIB!$E:$E, MATCH(TEXT($D1366,"000000"), BASE_CCLASSTRIB!$A:$A, 0))/100, 0)</f>
        <v>0</v>
      </c>
      <c r="V1366" s="16">
        <f>IFERROR(INDEX(BASE_CCLASSTRIB!$F:$F, MATCH(TEXT($D1366,"000000"), BASE_CCLASSTRIB!$A:$A, 0))/100, 0)</f>
        <v>0</v>
      </c>
    </row>
    <row r="1367" spans="4:22" ht="32.25" customHeight="1">
      <c r="D1367" s="39"/>
      <c r="E1367" s="27" t="str">
        <f>IF(D1367="","",LEFT(D1367,3))</f>
        <v/>
      </c>
      <c r="F1367" s="28" t="str">
        <f>IF(E1367="","",IFERROR(VLOOKUP(E1367,REGRAS_CST!$A$2:$B$200,2,FALSE),""))</f>
        <v/>
      </c>
      <c r="H1367" s="29">
        <v>8.9999999999999993E-3</v>
      </c>
      <c r="I1367" s="29">
        <v>1E-3</v>
      </c>
      <c r="K1367" s="21" t="str">
        <f>IF(E1367="","",IFERROR(VLOOKUP(E1367,REGRAS_CST!$A$2:$C$200,3,FALSE),""))</f>
        <v/>
      </c>
      <c r="L1367" s="23" t="str">
        <f>IF($G1367="", "", $G1367*(1-$V1367))</f>
        <v/>
      </c>
      <c r="M1367" s="24" t="str">
        <f>IF(OR($L1367="",$S1367=""),"",$L1367*$S1367)</f>
        <v/>
      </c>
      <c r="N1367" s="24" t="str">
        <f>IF(OR($L1367="",$T1367=""),"",$L1367*$T1367)</f>
        <v/>
      </c>
      <c r="O1367" s="15" t="str">
        <f>IF(D1367="","",
IF(AND(K1367&lt;&gt;"SIM",V1367&gt;0),"ERRO: % BC &gt; 0, mas NÃO permitida ❌",
IF(AND(K1367="SIM",V1367=0),"ATENÇÃO: BC permitida, mas % = 0 🔎",
"Base de cálculo aplicada corretamente ✅")))</f>
        <v/>
      </c>
      <c r="P1367" s="31" t="str">
        <f>IF(D1367="","",
IF(AND(Q1367&lt;&gt;"SIM",U1367&gt;0),"ERRO: % alíquota &gt; 0, mas NÃO permitida ❌",
IF(AND(Q1367="SIM",U1367=0),"ATENÇÃO: alíquota permitida, mas % = 0 🔎",
"Alíquota aplicada corretamente ✅")))</f>
        <v/>
      </c>
      <c r="Q1367" s="8" t="str">
        <f>IF(E1367="","",IFERROR(VLOOKUP(E1367,REGRAS_CST!$A$2:$D$200,4,FALSE),""))</f>
        <v/>
      </c>
      <c r="S1367" s="9">
        <f>IF($H1367="","",$H1367*(1-$U1367))</f>
        <v>8.9999999999999993E-3</v>
      </c>
      <c r="T1367" s="9">
        <f>IF($I1367="","",$I1367*(1-$U1367))</f>
        <v>1E-3</v>
      </c>
      <c r="U1367" s="16">
        <f>IFERROR(INDEX(BASE_CCLASSTRIB!$E:$E, MATCH(TEXT($D1367,"000000"), BASE_CCLASSTRIB!$A:$A, 0))/100, 0)</f>
        <v>0</v>
      </c>
      <c r="V1367" s="16">
        <f>IFERROR(INDEX(BASE_CCLASSTRIB!$F:$F, MATCH(TEXT($D1367,"000000"), BASE_CCLASSTRIB!$A:$A, 0))/100, 0)</f>
        <v>0</v>
      </c>
    </row>
    <row r="1368" spans="4:22" ht="32.25" customHeight="1">
      <c r="D1368" s="39"/>
      <c r="E1368" s="27" t="str">
        <f>IF(D1368="","",LEFT(D1368,3))</f>
        <v/>
      </c>
      <c r="F1368" s="28" t="str">
        <f>IF(E1368="","",IFERROR(VLOOKUP(E1368,REGRAS_CST!$A$2:$B$200,2,FALSE),""))</f>
        <v/>
      </c>
      <c r="H1368" s="29">
        <v>8.9999999999999993E-3</v>
      </c>
      <c r="I1368" s="29">
        <v>1E-3</v>
      </c>
      <c r="K1368" s="21" t="str">
        <f>IF(E1368="","",IFERROR(VLOOKUP(E1368,REGRAS_CST!$A$2:$C$200,3,FALSE),""))</f>
        <v/>
      </c>
      <c r="L1368" s="23" t="str">
        <f>IF($G1368="", "", $G1368*(1-$V1368))</f>
        <v/>
      </c>
      <c r="M1368" s="24" t="str">
        <f>IF(OR($L1368="",$S1368=""),"",$L1368*$S1368)</f>
        <v/>
      </c>
      <c r="N1368" s="24" t="str">
        <f>IF(OR($L1368="",$T1368=""),"",$L1368*$T1368)</f>
        <v/>
      </c>
      <c r="O1368" s="15" t="str">
        <f>IF(D1368="","",
IF(AND(K1368&lt;&gt;"SIM",V1368&gt;0),"ERRO: % BC &gt; 0, mas NÃO permitida ❌",
IF(AND(K1368="SIM",V1368=0),"ATENÇÃO: BC permitida, mas % = 0 🔎",
"Base de cálculo aplicada corretamente ✅")))</f>
        <v/>
      </c>
      <c r="P1368" s="31" t="str">
        <f>IF(D1368="","",
IF(AND(Q1368&lt;&gt;"SIM",U1368&gt;0),"ERRO: % alíquota &gt; 0, mas NÃO permitida ❌",
IF(AND(Q1368="SIM",U1368=0),"ATENÇÃO: alíquota permitida, mas % = 0 🔎",
"Alíquota aplicada corretamente ✅")))</f>
        <v/>
      </c>
      <c r="Q1368" s="8" t="str">
        <f>IF(E1368="","",IFERROR(VLOOKUP(E1368,REGRAS_CST!$A$2:$D$200,4,FALSE),""))</f>
        <v/>
      </c>
      <c r="S1368" s="9">
        <f>IF($H1368="","",$H1368*(1-$U1368))</f>
        <v>8.9999999999999993E-3</v>
      </c>
      <c r="T1368" s="9">
        <f>IF($I1368="","",$I1368*(1-$U1368))</f>
        <v>1E-3</v>
      </c>
      <c r="U1368" s="16">
        <f>IFERROR(INDEX(BASE_CCLASSTRIB!$E:$E, MATCH(TEXT($D1368,"000000"), BASE_CCLASSTRIB!$A:$A, 0))/100, 0)</f>
        <v>0</v>
      </c>
      <c r="V1368" s="16">
        <f>IFERROR(INDEX(BASE_CCLASSTRIB!$F:$F, MATCH(TEXT($D1368,"000000"), BASE_CCLASSTRIB!$A:$A, 0))/100, 0)</f>
        <v>0</v>
      </c>
    </row>
    <row r="1369" spans="4:22" ht="32.25" customHeight="1">
      <c r="D1369" s="39"/>
      <c r="E1369" s="27" t="str">
        <f>IF(D1369="","",LEFT(D1369,3))</f>
        <v/>
      </c>
      <c r="F1369" s="28" t="str">
        <f>IF(E1369="","",IFERROR(VLOOKUP(E1369,REGRAS_CST!$A$2:$B$200,2,FALSE),""))</f>
        <v/>
      </c>
      <c r="H1369" s="29">
        <v>8.9999999999999993E-3</v>
      </c>
      <c r="I1369" s="29">
        <v>1E-3</v>
      </c>
      <c r="K1369" s="21" t="str">
        <f>IF(E1369="","",IFERROR(VLOOKUP(E1369,REGRAS_CST!$A$2:$C$200,3,FALSE),""))</f>
        <v/>
      </c>
      <c r="L1369" s="23" t="str">
        <f>IF($G1369="", "", $G1369*(1-$V1369))</f>
        <v/>
      </c>
      <c r="M1369" s="24" t="str">
        <f>IF(OR($L1369="",$S1369=""),"",$L1369*$S1369)</f>
        <v/>
      </c>
      <c r="N1369" s="24" t="str">
        <f>IF(OR($L1369="",$T1369=""),"",$L1369*$T1369)</f>
        <v/>
      </c>
      <c r="O1369" s="15" t="str">
        <f>IF(D1369="","",
IF(AND(K1369&lt;&gt;"SIM",V1369&gt;0),"ERRO: % BC &gt; 0, mas NÃO permitida ❌",
IF(AND(K1369="SIM",V1369=0),"ATENÇÃO: BC permitida, mas % = 0 🔎",
"Base de cálculo aplicada corretamente ✅")))</f>
        <v/>
      </c>
      <c r="P1369" s="31" t="str">
        <f>IF(D1369="","",
IF(AND(Q1369&lt;&gt;"SIM",U1369&gt;0),"ERRO: % alíquota &gt; 0, mas NÃO permitida ❌",
IF(AND(Q1369="SIM",U1369=0),"ATENÇÃO: alíquota permitida, mas % = 0 🔎",
"Alíquota aplicada corretamente ✅")))</f>
        <v/>
      </c>
      <c r="Q1369" s="8" t="str">
        <f>IF(E1369="","",IFERROR(VLOOKUP(E1369,REGRAS_CST!$A$2:$D$200,4,FALSE),""))</f>
        <v/>
      </c>
      <c r="S1369" s="9">
        <f>IF($H1369="","",$H1369*(1-$U1369))</f>
        <v>8.9999999999999993E-3</v>
      </c>
      <c r="T1369" s="9">
        <f>IF($I1369="","",$I1369*(1-$U1369))</f>
        <v>1E-3</v>
      </c>
      <c r="U1369" s="16">
        <f>IFERROR(INDEX(BASE_CCLASSTRIB!$E:$E, MATCH(TEXT($D1369,"000000"), BASE_CCLASSTRIB!$A:$A, 0))/100, 0)</f>
        <v>0</v>
      </c>
      <c r="V1369" s="16">
        <f>IFERROR(INDEX(BASE_CCLASSTRIB!$F:$F, MATCH(TEXT($D1369,"000000"), BASE_CCLASSTRIB!$A:$A, 0))/100, 0)</f>
        <v>0</v>
      </c>
    </row>
    <row r="1370" spans="4:22" ht="32.25" customHeight="1">
      <c r="D1370" s="39"/>
      <c r="E1370" s="27" t="str">
        <f>IF(D1370="","",LEFT(D1370,3))</f>
        <v/>
      </c>
      <c r="F1370" s="28" t="str">
        <f>IF(E1370="","",IFERROR(VLOOKUP(E1370,REGRAS_CST!$A$2:$B$200,2,FALSE),""))</f>
        <v/>
      </c>
      <c r="H1370" s="29">
        <v>8.9999999999999993E-3</v>
      </c>
      <c r="I1370" s="29">
        <v>1E-3</v>
      </c>
      <c r="K1370" s="21" t="str">
        <f>IF(E1370="","",IFERROR(VLOOKUP(E1370,REGRAS_CST!$A$2:$C$200,3,FALSE),""))</f>
        <v/>
      </c>
      <c r="L1370" s="23" t="str">
        <f>IF($G1370="", "", $G1370*(1-$V1370))</f>
        <v/>
      </c>
      <c r="M1370" s="24" t="str">
        <f>IF(OR($L1370="",$S1370=""),"",$L1370*$S1370)</f>
        <v/>
      </c>
      <c r="N1370" s="24" t="str">
        <f>IF(OR($L1370="",$T1370=""),"",$L1370*$T1370)</f>
        <v/>
      </c>
      <c r="O1370" s="15" t="str">
        <f>IF(D1370="","",
IF(AND(K1370&lt;&gt;"SIM",V1370&gt;0),"ERRO: % BC &gt; 0, mas NÃO permitida ❌",
IF(AND(K1370="SIM",V1370=0),"ATENÇÃO: BC permitida, mas % = 0 🔎",
"Base de cálculo aplicada corretamente ✅")))</f>
        <v/>
      </c>
      <c r="P1370" s="31" t="str">
        <f>IF(D1370="","",
IF(AND(Q1370&lt;&gt;"SIM",U1370&gt;0),"ERRO: % alíquota &gt; 0, mas NÃO permitida ❌",
IF(AND(Q1370="SIM",U1370=0),"ATENÇÃO: alíquota permitida, mas % = 0 🔎",
"Alíquota aplicada corretamente ✅")))</f>
        <v/>
      </c>
      <c r="Q1370" s="8" t="str">
        <f>IF(E1370="","",IFERROR(VLOOKUP(E1370,REGRAS_CST!$A$2:$D$200,4,FALSE),""))</f>
        <v/>
      </c>
      <c r="S1370" s="9">
        <f>IF($H1370="","",$H1370*(1-$U1370))</f>
        <v>8.9999999999999993E-3</v>
      </c>
      <c r="T1370" s="9">
        <f>IF($I1370="","",$I1370*(1-$U1370))</f>
        <v>1E-3</v>
      </c>
      <c r="U1370" s="16">
        <f>IFERROR(INDEX(BASE_CCLASSTRIB!$E:$E, MATCH(TEXT($D1370,"000000"), BASE_CCLASSTRIB!$A:$A, 0))/100, 0)</f>
        <v>0</v>
      </c>
      <c r="V1370" s="16">
        <f>IFERROR(INDEX(BASE_CCLASSTRIB!$F:$F, MATCH(TEXT($D1370,"000000"), BASE_CCLASSTRIB!$A:$A, 0))/100, 0)</f>
        <v>0</v>
      </c>
    </row>
    <row r="1371" spans="4:22" ht="32.25" customHeight="1">
      <c r="D1371" s="39"/>
      <c r="E1371" s="27" t="str">
        <f>IF(D1371="","",LEFT(D1371,3))</f>
        <v/>
      </c>
      <c r="F1371" s="28" t="str">
        <f>IF(E1371="","",IFERROR(VLOOKUP(E1371,REGRAS_CST!$A$2:$B$200,2,FALSE),""))</f>
        <v/>
      </c>
      <c r="H1371" s="29">
        <v>8.9999999999999993E-3</v>
      </c>
      <c r="I1371" s="29">
        <v>1E-3</v>
      </c>
      <c r="K1371" s="21" t="str">
        <f>IF(E1371="","",IFERROR(VLOOKUP(E1371,REGRAS_CST!$A$2:$C$200,3,FALSE),""))</f>
        <v/>
      </c>
      <c r="L1371" s="23" t="str">
        <f>IF($G1371="", "", $G1371*(1-$V1371))</f>
        <v/>
      </c>
      <c r="M1371" s="24" t="str">
        <f>IF(OR($L1371="",$S1371=""),"",$L1371*$S1371)</f>
        <v/>
      </c>
      <c r="N1371" s="24" t="str">
        <f>IF(OR($L1371="",$T1371=""),"",$L1371*$T1371)</f>
        <v/>
      </c>
      <c r="O1371" s="15" t="str">
        <f>IF(D1371="","",
IF(AND(K1371&lt;&gt;"SIM",V1371&gt;0),"ERRO: % BC &gt; 0, mas NÃO permitida ❌",
IF(AND(K1371="SIM",V1371=0),"ATENÇÃO: BC permitida, mas % = 0 🔎",
"Base de cálculo aplicada corretamente ✅")))</f>
        <v/>
      </c>
      <c r="P1371" s="31" t="str">
        <f>IF(D1371="","",
IF(AND(Q1371&lt;&gt;"SIM",U1371&gt;0),"ERRO: % alíquota &gt; 0, mas NÃO permitida ❌",
IF(AND(Q1371="SIM",U1371=0),"ATENÇÃO: alíquota permitida, mas % = 0 🔎",
"Alíquota aplicada corretamente ✅")))</f>
        <v/>
      </c>
      <c r="Q1371" s="8" t="str">
        <f>IF(E1371="","",IFERROR(VLOOKUP(E1371,REGRAS_CST!$A$2:$D$200,4,FALSE),""))</f>
        <v/>
      </c>
      <c r="S1371" s="9">
        <f>IF($H1371="","",$H1371*(1-$U1371))</f>
        <v>8.9999999999999993E-3</v>
      </c>
      <c r="T1371" s="9">
        <f>IF($I1371="","",$I1371*(1-$U1371))</f>
        <v>1E-3</v>
      </c>
      <c r="U1371" s="16">
        <f>IFERROR(INDEX(BASE_CCLASSTRIB!$E:$E, MATCH(TEXT($D1371,"000000"), BASE_CCLASSTRIB!$A:$A, 0))/100, 0)</f>
        <v>0</v>
      </c>
      <c r="V1371" s="16">
        <f>IFERROR(INDEX(BASE_CCLASSTRIB!$F:$F, MATCH(TEXT($D1371,"000000"), BASE_CCLASSTRIB!$A:$A, 0))/100, 0)</f>
        <v>0</v>
      </c>
    </row>
    <row r="1372" spans="4:22" ht="32.25" customHeight="1">
      <c r="D1372" s="39"/>
      <c r="E1372" s="27" t="str">
        <f>IF(D1372="","",LEFT(D1372,3))</f>
        <v/>
      </c>
      <c r="F1372" s="28" t="str">
        <f>IF(E1372="","",IFERROR(VLOOKUP(E1372,REGRAS_CST!$A$2:$B$200,2,FALSE),""))</f>
        <v/>
      </c>
      <c r="H1372" s="29">
        <v>8.9999999999999993E-3</v>
      </c>
      <c r="I1372" s="29">
        <v>1E-3</v>
      </c>
      <c r="K1372" s="21" t="str">
        <f>IF(E1372="","",IFERROR(VLOOKUP(E1372,REGRAS_CST!$A$2:$C$200,3,FALSE),""))</f>
        <v/>
      </c>
      <c r="L1372" s="23" t="str">
        <f>IF($G1372="", "", $G1372*(1-$V1372))</f>
        <v/>
      </c>
      <c r="M1372" s="24" t="str">
        <f>IF(OR($L1372="",$S1372=""),"",$L1372*$S1372)</f>
        <v/>
      </c>
      <c r="N1372" s="24" t="str">
        <f>IF(OR($L1372="",$T1372=""),"",$L1372*$T1372)</f>
        <v/>
      </c>
      <c r="O1372" s="15" t="str">
        <f>IF(D1372="","",
IF(AND(K1372&lt;&gt;"SIM",V1372&gt;0),"ERRO: % BC &gt; 0, mas NÃO permitida ❌",
IF(AND(K1372="SIM",V1372=0),"ATENÇÃO: BC permitida, mas % = 0 🔎",
"Base de cálculo aplicada corretamente ✅")))</f>
        <v/>
      </c>
      <c r="P1372" s="31" t="str">
        <f>IF(D1372="","",
IF(AND(Q1372&lt;&gt;"SIM",U1372&gt;0),"ERRO: % alíquota &gt; 0, mas NÃO permitida ❌",
IF(AND(Q1372="SIM",U1372=0),"ATENÇÃO: alíquota permitida, mas % = 0 🔎",
"Alíquota aplicada corretamente ✅")))</f>
        <v/>
      </c>
      <c r="Q1372" s="8" t="str">
        <f>IF(E1372="","",IFERROR(VLOOKUP(E1372,REGRAS_CST!$A$2:$D$200,4,FALSE),""))</f>
        <v/>
      </c>
      <c r="S1372" s="9">
        <f>IF($H1372="","",$H1372*(1-$U1372))</f>
        <v>8.9999999999999993E-3</v>
      </c>
      <c r="T1372" s="9">
        <f>IF($I1372="","",$I1372*(1-$U1372))</f>
        <v>1E-3</v>
      </c>
      <c r="U1372" s="16">
        <f>IFERROR(INDEX(BASE_CCLASSTRIB!$E:$E, MATCH(TEXT($D1372,"000000"), BASE_CCLASSTRIB!$A:$A, 0))/100, 0)</f>
        <v>0</v>
      </c>
      <c r="V1372" s="16">
        <f>IFERROR(INDEX(BASE_CCLASSTRIB!$F:$F, MATCH(TEXT($D1372,"000000"), BASE_CCLASSTRIB!$A:$A, 0))/100, 0)</f>
        <v>0</v>
      </c>
    </row>
    <row r="1373" spans="4:22" ht="32.25" customHeight="1">
      <c r="D1373" s="40"/>
      <c r="E1373" s="27" t="str">
        <f>IF(D1373="","",LEFT(D1373,3))</f>
        <v/>
      </c>
      <c r="F1373" s="28" t="str">
        <f>IF(E1373="","",IFERROR(VLOOKUP(E1373,REGRAS_CST!$A$2:$B$200,2,FALSE),""))</f>
        <v/>
      </c>
      <c r="H1373" s="29">
        <v>8.9999999999999993E-3</v>
      </c>
      <c r="I1373" s="29">
        <v>1E-3</v>
      </c>
      <c r="K1373" s="21" t="str">
        <f>IF(E1373="","",IFERROR(VLOOKUP(E1373,REGRAS_CST!$A$2:$C$200,3,FALSE),""))</f>
        <v/>
      </c>
      <c r="L1373" s="23" t="str">
        <f>IF($G1373="", "", $G1373*(1-$V1373))</f>
        <v/>
      </c>
      <c r="M1373" s="24" t="str">
        <f>IF(OR($L1373="",$S1373=""),"",$L1373*$S1373)</f>
        <v/>
      </c>
      <c r="N1373" s="24" t="str">
        <f>IF(OR($L1373="",$T1373=""),"",$L1373*$T1373)</f>
        <v/>
      </c>
      <c r="O1373" s="15" t="str">
        <f>IF(D1373="","",
IF(AND(K1373&lt;&gt;"SIM",V1373&gt;0),"ERRO: % BC &gt; 0, mas NÃO permitida ❌",
IF(AND(K1373="SIM",V1373=0),"ATENÇÃO: BC permitida, mas % = 0 🔎",
"Base de cálculo aplicada corretamente ✅")))</f>
        <v/>
      </c>
      <c r="P1373" s="31" t="str">
        <f>IF(D1373="","",
IF(AND(Q1373&lt;&gt;"SIM",U1373&gt;0),"ERRO: % alíquota &gt; 0, mas NÃO permitida ❌",
IF(AND(Q1373="SIM",U1373=0),"ATENÇÃO: alíquota permitida, mas % = 0 🔎",
"Alíquota aplicada corretamente ✅")))</f>
        <v/>
      </c>
      <c r="Q1373" s="8" t="str">
        <f>IF(E1373="","",IFERROR(VLOOKUP(E1373,REGRAS_CST!$A$2:$D$200,4,FALSE),""))</f>
        <v/>
      </c>
      <c r="S1373" s="9">
        <f>IF($H1373="","",$H1373*(1-$U1373))</f>
        <v>8.9999999999999993E-3</v>
      </c>
      <c r="T1373" s="9">
        <f>IF($I1373="","",$I1373*(1-$U1373))</f>
        <v>1E-3</v>
      </c>
      <c r="U1373" s="16">
        <f>IFERROR(INDEX(BASE_CCLASSTRIB!$E:$E, MATCH(TEXT($D1373,"000000"), BASE_CCLASSTRIB!$A:$A, 0))/100, 0)</f>
        <v>0</v>
      </c>
      <c r="V1373" s="16">
        <f>IFERROR(INDEX(BASE_CCLASSTRIB!$F:$F, MATCH(TEXT($D1373,"000000"), BASE_CCLASSTRIB!$A:$A, 0))/100, 0)</f>
        <v>0</v>
      </c>
    </row>
    <row r="1374" spans="4:22" ht="32.25" customHeight="1">
      <c r="D1374" s="39"/>
      <c r="E1374" s="27" t="str">
        <f>IF(D1374="","",LEFT(D1374,3))</f>
        <v/>
      </c>
      <c r="F1374" s="28" t="str">
        <f>IF(E1374="","",IFERROR(VLOOKUP(E1374,REGRAS_CST!$A$2:$B$200,2,FALSE),""))</f>
        <v/>
      </c>
      <c r="H1374" s="29">
        <v>8.9999999999999993E-3</v>
      </c>
      <c r="I1374" s="29">
        <v>1E-3</v>
      </c>
      <c r="K1374" s="21" t="str">
        <f>IF(E1374="","",IFERROR(VLOOKUP(E1374,REGRAS_CST!$A$2:$C$200,3,FALSE),""))</f>
        <v/>
      </c>
      <c r="L1374" s="23" t="str">
        <f>IF($G1374="", "", $G1374*(1-$V1374))</f>
        <v/>
      </c>
      <c r="M1374" s="24" t="str">
        <f>IF(OR($L1374="",$S1374=""),"",$L1374*$S1374)</f>
        <v/>
      </c>
      <c r="N1374" s="24" t="str">
        <f>IF(OR($L1374="",$T1374=""),"",$L1374*$T1374)</f>
        <v/>
      </c>
      <c r="O1374" s="15" t="str">
        <f>IF(D1374="","",
IF(AND(K1374&lt;&gt;"SIM",V1374&gt;0),"ERRO: % BC &gt; 0, mas NÃO permitida ❌",
IF(AND(K1374="SIM",V1374=0),"ATENÇÃO: BC permitida, mas % = 0 🔎",
"Base de cálculo aplicada corretamente ✅")))</f>
        <v/>
      </c>
      <c r="P1374" s="31" t="str">
        <f>IF(D1374="","",
IF(AND(Q1374&lt;&gt;"SIM",U1374&gt;0),"ERRO: % alíquota &gt; 0, mas NÃO permitida ❌",
IF(AND(Q1374="SIM",U1374=0),"ATENÇÃO: alíquota permitida, mas % = 0 🔎",
"Alíquota aplicada corretamente ✅")))</f>
        <v/>
      </c>
      <c r="Q1374" s="8" t="str">
        <f>IF(E1374="","",IFERROR(VLOOKUP(E1374,REGRAS_CST!$A$2:$D$200,4,FALSE),""))</f>
        <v/>
      </c>
      <c r="S1374" s="9">
        <f>IF($H1374="","",$H1374*(1-$U1374))</f>
        <v>8.9999999999999993E-3</v>
      </c>
      <c r="T1374" s="9">
        <f>IF($I1374="","",$I1374*(1-$U1374))</f>
        <v>1E-3</v>
      </c>
      <c r="U1374" s="16">
        <f>IFERROR(INDEX(BASE_CCLASSTRIB!$E:$E, MATCH(TEXT($D1374,"000000"), BASE_CCLASSTRIB!$A:$A, 0))/100, 0)</f>
        <v>0</v>
      </c>
      <c r="V1374" s="16">
        <f>IFERROR(INDEX(BASE_CCLASSTRIB!$F:$F, MATCH(TEXT($D1374,"000000"), BASE_CCLASSTRIB!$A:$A, 0))/100, 0)</f>
        <v>0</v>
      </c>
    </row>
    <row r="1375" spans="4:22" ht="32.25" customHeight="1">
      <c r="D1375" s="40"/>
      <c r="E1375" s="27" t="str">
        <f>IF(D1375="","",LEFT(D1375,3))</f>
        <v/>
      </c>
      <c r="F1375" s="28" t="str">
        <f>IF(E1375="","",IFERROR(VLOOKUP(E1375,REGRAS_CST!$A$2:$B$200,2,FALSE),""))</f>
        <v/>
      </c>
      <c r="H1375" s="29">
        <v>8.9999999999999993E-3</v>
      </c>
      <c r="I1375" s="29">
        <v>1E-3</v>
      </c>
      <c r="K1375" s="21" t="str">
        <f>IF(E1375="","",IFERROR(VLOOKUP(E1375,REGRAS_CST!$A$2:$C$200,3,FALSE),""))</f>
        <v/>
      </c>
      <c r="L1375" s="23" t="str">
        <f>IF($G1375="", "", $G1375*(1-$V1375))</f>
        <v/>
      </c>
      <c r="M1375" s="24" t="str">
        <f>IF(OR($L1375="",$S1375=""),"",$L1375*$S1375)</f>
        <v/>
      </c>
      <c r="N1375" s="24" t="str">
        <f>IF(OR($L1375="",$T1375=""),"",$L1375*$T1375)</f>
        <v/>
      </c>
      <c r="O1375" s="15" t="str">
        <f>IF(D1375="","",
IF(AND(K1375&lt;&gt;"SIM",V1375&gt;0),"ERRO: % BC &gt; 0, mas NÃO permitida ❌",
IF(AND(K1375="SIM",V1375=0),"ATENÇÃO: BC permitida, mas % = 0 🔎",
"Base de cálculo aplicada corretamente ✅")))</f>
        <v/>
      </c>
      <c r="P1375" s="31" t="str">
        <f>IF(D1375="","",
IF(AND(Q1375&lt;&gt;"SIM",U1375&gt;0),"ERRO: % alíquota &gt; 0, mas NÃO permitida ❌",
IF(AND(Q1375="SIM",U1375=0),"ATENÇÃO: alíquota permitida, mas % = 0 🔎",
"Alíquota aplicada corretamente ✅")))</f>
        <v/>
      </c>
      <c r="Q1375" s="8" t="str">
        <f>IF(E1375="","",IFERROR(VLOOKUP(E1375,REGRAS_CST!$A$2:$D$200,4,FALSE),""))</f>
        <v/>
      </c>
      <c r="S1375" s="9">
        <f>IF($H1375="","",$H1375*(1-$U1375))</f>
        <v>8.9999999999999993E-3</v>
      </c>
      <c r="T1375" s="9">
        <f>IF($I1375="","",$I1375*(1-$U1375))</f>
        <v>1E-3</v>
      </c>
      <c r="U1375" s="16">
        <f>IFERROR(INDEX(BASE_CCLASSTRIB!$E:$E, MATCH(TEXT($D1375,"000000"), BASE_CCLASSTRIB!$A:$A, 0))/100, 0)</f>
        <v>0</v>
      </c>
      <c r="V1375" s="16">
        <f>IFERROR(INDEX(BASE_CCLASSTRIB!$F:$F, MATCH(TEXT($D1375,"000000"), BASE_CCLASSTRIB!$A:$A, 0))/100, 0)</f>
        <v>0</v>
      </c>
    </row>
    <row r="1376" spans="4:22" ht="32.25" customHeight="1">
      <c r="D1376" s="40"/>
      <c r="E1376" s="27" t="str">
        <f>IF(D1376="","",LEFT(D1376,3))</f>
        <v/>
      </c>
      <c r="F1376" s="28" t="str">
        <f>IF(E1376="","",IFERROR(VLOOKUP(E1376,REGRAS_CST!$A$2:$B$200,2,FALSE),""))</f>
        <v/>
      </c>
      <c r="H1376" s="29">
        <v>8.9999999999999993E-3</v>
      </c>
      <c r="I1376" s="29">
        <v>1E-3</v>
      </c>
      <c r="K1376" s="21" t="str">
        <f>IF(E1376="","",IFERROR(VLOOKUP(E1376,REGRAS_CST!$A$2:$C$200,3,FALSE),""))</f>
        <v/>
      </c>
      <c r="L1376" s="23" t="str">
        <f>IF($G1376="", "", $G1376*(1-$V1376))</f>
        <v/>
      </c>
      <c r="M1376" s="24" t="str">
        <f>IF(OR($L1376="",$S1376=""),"",$L1376*$S1376)</f>
        <v/>
      </c>
      <c r="N1376" s="24" t="str">
        <f>IF(OR($L1376="",$T1376=""),"",$L1376*$T1376)</f>
        <v/>
      </c>
      <c r="O1376" s="15" t="str">
        <f>IF(D1376="","",
IF(AND(K1376&lt;&gt;"SIM",V1376&gt;0),"ERRO: % BC &gt; 0, mas NÃO permitida ❌",
IF(AND(K1376="SIM",V1376=0),"ATENÇÃO: BC permitida, mas % = 0 🔎",
"Base de cálculo aplicada corretamente ✅")))</f>
        <v/>
      </c>
      <c r="P1376" s="31" t="str">
        <f>IF(D1376="","",
IF(AND(Q1376&lt;&gt;"SIM",U1376&gt;0),"ERRO: % alíquota &gt; 0, mas NÃO permitida ❌",
IF(AND(Q1376="SIM",U1376=0),"ATENÇÃO: alíquota permitida, mas % = 0 🔎",
"Alíquota aplicada corretamente ✅")))</f>
        <v/>
      </c>
      <c r="Q1376" s="8" t="str">
        <f>IF(E1376="","",IFERROR(VLOOKUP(E1376,REGRAS_CST!$A$2:$D$200,4,FALSE),""))</f>
        <v/>
      </c>
      <c r="S1376" s="9">
        <f>IF($H1376="","",$H1376*(1-$U1376))</f>
        <v>8.9999999999999993E-3</v>
      </c>
      <c r="T1376" s="9">
        <f>IF($I1376="","",$I1376*(1-$U1376))</f>
        <v>1E-3</v>
      </c>
      <c r="U1376" s="16">
        <f>IFERROR(INDEX(BASE_CCLASSTRIB!$E:$E, MATCH(TEXT($D1376,"000000"), BASE_CCLASSTRIB!$A:$A, 0))/100, 0)</f>
        <v>0</v>
      </c>
      <c r="V1376" s="16">
        <f>IFERROR(INDEX(BASE_CCLASSTRIB!$F:$F, MATCH(TEXT($D1376,"000000"), BASE_CCLASSTRIB!$A:$A, 0))/100, 0)</f>
        <v>0</v>
      </c>
    </row>
    <row r="1377" spans="4:22" ht="32.25" customHeight="1">
      <c r="D1377" s="39"/>
      <c r="E1377" s="27" t="str">
        <f>IF(D1377="","",LEFT(D1377,3))</f>
        <v/>
      </c>
      <c r="F1377" s="28" t="str">
        <f>IF(E1377="","",IFERROR(VLOOKUP(E1377,REGRAS_CST!$A$2:$B$200,2,FALSE),""))</f>
        <v/>
      </c>
      <c r="H1377" s="29">
        <v>8.9999999999999993E-3</v>
      </c>
      <c r="I1377" s="29">
        <v>1E-3</v>
      </c>
      <c r="K1377" s="21" t="str">
        <f>IF(E1377="","",IFERROR(VLOOKUP(E1377,REGRAS_CST!$A$2:$C$200,3,FALSE),""))</f>
        <v/>
      </c>
      <c r="L1377" s="23" t="str">
        <f>IF($G1377="", "", $G1377*(1-$V1377))</f>
        <v/>
      </c>
      <c r="M1377" s="24" t="str">
        <f>IF(OR($L1377="",$S1377=""),"",$L1377*$S1377)</f>
        <v/>
      </c>
      <c r="N1377" s="24" t="str">
        <f>IF(OR($L1377="",$T1377=""),"",$L1377*$T1377)</f>
        <v/>
      </c>
      <c r="O1377" s="15" t="str">
        <f>IF(D1377="","",
IF(AND(K1377&lt;&gt;"SIM",V1377&gt;0),"ERRO: % BC &gt; 0, mas NÃO permitida ❌",
IF(AND(K1377="SIM",V1377=0),"ATENÇÃO: BC permitida, mas % = 0 🔎",
"Base de cálculo aplicada corretamente ✅")))</f>
        <v/>
      </c>
      <c r="P1377" s="31" t="str">
        <f>IF(D1377="","",
IF(AND(Q1377&lt;&gt;"SIM",U1377&gt;0),"ERRO: % alíquota &gt; 0, mas NÃO permitida ❌",
IF(AND(Q1377="SIM",U1377=0),"ATENÇÃO: alíquota permitida, mas % = 0 🔎",
"Alíquota aplicada corretamente ✅")))</f>
        <v/>
      </c>
      <c r="Q1377" s="8" t="str">
        <f>IF(E1377="","",IFERROR(VLOOKUP(E1377,REGRAS_CST!$A$2:$D$200,4,FALSE),""))</f>
        <v/>
      </c>
      <c r="S1377" s="9">
        <f>IF($H1377="","",$H1377*(1-$U1377))</f>
        <v>8.9999999999999993E-3</v>
      </c>
      <c r="T1377" s="9">
        <f>IF($I1377="","",$I1377*(1-$U1377))</f>
        <v>1E-3</v>
      </c>
      <c r="U1377" s="16">
        <f>IFERROR(INDEX(BASE_CCLASSTRIB!$E:$E, MATCH(TEXT($D1377,"000000"), BASE_CCLASSTRIB!$A:$A, 0))/100, 0)</f>
        <v>0</v>
      </c>
      <c r="V1377" s="16">
        <f>IFERROR(INDEX(BASE_CCLASSTRIB!$F:$F, MATCH(TEXT($D1377,"000000"), BASE_CCLASSTRIB!$A:$A, 0))/100, 0)</f>
        <v>0</v>
      </c>
    </row>
    <row r="1378" spans="4:22" ht="32.25" customHeight="1">
      <c r="D1378" s="40"/>
      <c r="E1378" s="27" t="str">
        <f>IF(D1378="","",LEFT(D1378,3))</f>
        <v/>
      </c>
      <c r="F1378" s="28" t="str">
        <f>IF(E1378="","",IFERROR(VLOOKUP(E1378,REGRAS_CST!$A$2:$B$200,2,FALSE),""))</f>
        <v/>
      </c>
      <c r="H1378" s="29">
        <v>8.9999999999999993E-3</v>
      </c>
      <c r="I1378" s="29">
        <v>1E-3</v>
      </c>
      <c r="K1378" s="21" t="str">
        <f>IF(E1378="","",IFERROR(VLOOKUP(E1378,REGRAS_CST!$A$2:$C$200,3,FALSE),""))</f>
        <v/>
      </c>
      <c r="L1378" s="23" t="str">
        <f>IF($G1378="", "", $G1378*(1-$V1378))</f>
        <v/>
      </c>
      <c r="M1378" s="24" t="str">
        <f>IF(OR($L1378="",$S1378=""),"",$L1378*$S1378)</f>
        <v/>
      </c>
      <c r="N1378" s="24" t="str">
        <f>IF(OR($L1378="",$T1378=""),"",$L1378*$T1378)</f>
        <v/>
      </c>
      <c r="O1378" s="15" t="str">
        <f>IF(D1378="","",
IF(AND(K1378&lt;&gt;"SIM",V1378&gt;0),"ERRO: % BC &gt; 0, mas NÃO permitida ❌",
IF(AND(K1378="SIM",V1378=0),"ATENÇÃO: BC permitida, mas % = 0 🔎",
"Base de cálculo aplicada corretamente ✅")))</f>
        <v/>
      </c>
      <c r="P1378" s="31" t="str">
        <f>IF(D1378="","",
IF(AND(Q1378&lt;&gt;"SIM",U1378&gt;0),"ERRO: % alíquota &gt; 0, mas NÃO permitida ❌",
IF(AND(Q1378="SIM",U1378=0),"ATENÇÃO: alíquota permitida, mas % = 0 🔎",
"Alíquota aplicada corretamente ✅")))</f>
        <v/>
      </c>
      <c r="Q1378" s="8" t="str">
        <f>IF(E1378="","",IFERROR(VLOOKUP(E1378,REGRAS_CST!$A$2:$D$200,4,FALSE),""))</f>
        <v/>
      </c>
      <c r="S1378" s="9">
        <f>IF($H1378="","",$H1378*(1-$U1378))</f>
        <v>8.9999999999999993E-3</v>
      </c>
      <c r="T1378" s="9">
        <f>IF($I1378="","",$I1378*(1-$U1378))</f>
        <v>1E-3</v>
      </c>
      <c r="U1378" s="16">
        <f>IFERROR(INDEX(BASE_CCLASSTRIB!$E:$E, MATCH(TEXT($D1378,"000000"), BASE_CCLASSTRIB!$A:$A, 0))/100, 0)</f>
        <v>0</v>
      </c>
      <c r="V1378" s="16">
        <f>IFERROR(INDEX(BASE_CCLASSTRIB!$F:$F, MATCH(TEXT($D1378,"000000"), BASE_CCLASSTRIB!$A:$A, 0))/100, 0)</f>
        <v>0</v>
      </c>
    </row>
    <row r="1379" spans="4:22" ht="32.25" customHeight="1">
      <c r="D1379" s="39"/>
      <c r="E1379" s="27" t="str">
        <f>IF(D1379="","",LEFT(D1379,3))</f>
        <v/>
      </c>
      <c r="F1379" s="28" t="str">
        <f>IF(E1379="","",IFERROR(VLOOKUP(E1379,REGRAS_CST!$A$2:$B$200,2,FALSE),""))</f>
        <v/>
      </c>
      <c r="H1379" s="29">
        <v>8.9999999999999993E-3</v>
      </c>
      <c r="I1379" s="29">
        <v>1E-3</v>
      </c>
      <c r="K1379" s="21" t="str">
        <f>IF(E1379="","",IFERROR(VLOOKUP(E1379,REGRAS_CST!$A$2:$C$200,3,FALSE),""))</f>
        <v/>
      </c>
      <c r="L1379" s="23" t="str">
        <f>IF($G1379="", "", $G1379*(1-$V1379))</f>
        <v/>
      </c>
      <c r="M1379" s="24" t="str">
        <f>IF(OR($L1379="",$S1379=""),"",$L1379*$S1379)</f>
        <v/>
      </c>
      <c r="N1379" s="24" t="str">
        <f>IF(OR($L1379="",$T1379=""),"",$L1379*$T1379)</f>
        <v/>
      </c>
      <c r="O1379" s="15" t="str">
        <f>IF(D1379="","",
IF(AND(K1379&lt;&gt;"SIM",V1379&gt;0),"ERRO: % BC &gt; 0, mas NÃO permitida ❌",
IF(AND(K1379="SIM",V1379=0),"ATENÇÃO: BC permitida, mas % = 0 🔎",
"Base de cálculo aplicada corretamente ✅")))</f>
        <v/>
      </c>
      <c r="P1379" s="31" t="str">
        <f>IF(D1379="","",
IF(AND(Q1379&lt;&gt;"SIM",U1379&gt;0),"ERRO: % alíquota &gt; 0, mas NÃO permitida ❌",
IF(AND(Q1379="SIM",U1379=0),"ATENÇÃO: alíquota permitida, mas % = 0 🔎",
"Alíquota aplicada corretamente ✅")))</f>
        <v/>
      </c>
      <c r="Q1379" s="8" t="str">
        <f>IF(E1379="","",IFERROR(VLOOKUP(E1379,REGRAS_CST!$A$2:$D$200,4,FALSE),""))</f>
        <v/>
      </c>
      <c r="S1379" s="9">
        <f>IF($H1379="","",$H1379*(1-$U1379))</f>
        <v>8.9999999999999993E-3</v>
      </c>
      <c r="T1379" s="9">
        <f>IF($I1379="","",$I1379*(1-$U1379))</f>
        <v>1E-3</v>
      </c>
      <c r="U1379" s="16">
        <f>IFERROR(INDEX(BASE_CCLASSTRIB!$E:$E, MATCH(TEXT($D1379,"000000"), BASE_CCLASSTRIB!$A:$A, 0))/100, 0)</f>
        <v>0</v>
      </c>
      <c r="V1379" s="16">
        <f>IFERROR(INDEX(BASE_CCLASSTRIB!$F:$F, MATCH(TEXT($D1379,"000000"), BASE_CCLASSTRIB!$A:$A, 0))/100, 0)</f>
        <v>0</v>
      </c>
    </row>
    <row r="1380" spans="4:22" ht="32.25" customHeight="1">
      <c r="D1380" s="40"/>
      <c r="E1380" s="27" t="str">
        <f>IF(D1380="","",LEFT(D1380,3))</f>
        <v/>
      </c>
      <c r="F1380" s="28" t="str">
        <f>IF(E1380="","",IFERROR(VLOOKUP(E1380,REGRAS_CST!$A$2:$B$200,2,FALSE),""))</f>
        <v/>
      </c>
      <c r="H1380" s="29">
        <v>8.9999999999999993E-3</v>
      </c>
      <c r="I1380" s="29">
        <v>1E-3</v>
      </c>
      <c r="K1380" s="21" t="str">
        <f>IF(E1380="","",IFERROR(VLOOKUP(E1380,REGRAS_CST!$A$2:$C$200,3,FALSE),""))</f>
        <v/>
      </c>
      <c r="L1380" s="23" t="str">
        <f>IF($G1380="", "", $G1380*(1-$V1380))</f>
        <v/>
      </c>
      <c r="M1380" s="24" t="str">
        <f>IF(OR($L1380="",$S1380=""),"",$L1380*$S1380)</f>
        <v/>
      </c>
      <c r="N1380" s="24" t="str">
        <f>IF(OR($L1380="",$T1380=""),"",$L1380*$T1380)</f>
        <v/>
      </c>
      <c r="O1380" s="15" t="str">
        <f>IF(D1380="","",
IF(AND(K1380&lt;&gt;"SIM",V1380&gt;0),"ERRO: % BC &gt; 0, mas NÃO permitida ❌",
IF(AND(K1380="SIM",V1380=0),"ATENÇÃO: BC permitida, mas % = 0 🔎",
"Base de cálculo aplicada corretamente ✅")))</f>
        <v/>
      </c>
      <c r="P1380" s="31" t="str">
        <f>IF(D1380="","",
IF(AND(Q1380&lt;&gt;"SIM",U1380&gt;0),"ERRO: % alíquota &gt; 0, mas NÃO permitida ❌",
IF(AND(Q1380="SIM",U1380=0),"ATENÇÃO: alíquota permitida, mas % = 0 🔎",
"Alíquota aplicada corretamente ✅")))</f>
        <v/>
      </c>
      <c r="Q1380" s="8" t="str">
        <f>IF(E1380="","",IFERROR(VLOOKUP(E1380,REGRAS_CST!$A$2:$D$200,4,FALSE),""))</f>
        <v/>
      </c>
      <c r="S1380" s="9">
        <f>IF($H1380="","",$H1380*(1-$U1380))</f>
        <v>8.9999999999999993E-3</v>
      </c>
      <c r="T1380" s="9">
        <f>IF($I1380="","",$I1380*(1-$U1380))</f>
        <v>1E-3</v>
      </c>
      <c r="U1380" s="16">
        <f>IFERROR(INDEX(BASE_CCLASSTRIB!$E:$E, MATCH(TEXT($D1380,"000000"), BASE_CCLASSTRIB!$A:$A, 0))/100, 0)</f>
        <v>0</v>
      </c>
      <c r="V1380" s="16">
        <f>IFERROR(INDEX(BASE_CCLASSTRIB!$F:$F, MATCH(TEXT($D1380,"000000"), BASE_CCLASSTRIB!$A:$A, 0))/100, 0)</f>
        <v>0</v>
      </c>
    </row>
    <row r="1381" spans="4:22" ht="32.25" customHeight="1">
      <c r="D1381" s="40"/>
      <c r="E1381" s="27" t="str">
        <f>IF(D1381="","",LEFT(D1381,3))</f>
        <v/>
      </c>
      <c r="F1381" s="28" t="str">
        <f>IF(E1381="","",IFERROR(VLOOKUP(E1381,REGRAS_CST!$A$2:$B$200,2,FALSE),""))</f>
        <v/>
      </c>
      <c r="H1381" s="29">
        <v>8.9999999999999993E-3</v>
      </c>
      <c r="I1381" s="29">
        <v>1E-3</v>
      </c>
      <c r="K1381" s="21" t="str">
        <f>IF(E1381="","",IFERROR(VLOOKUP(E1381,REGRAS_CST!$A$2:$C$200,3,FALSE),""))</f>
        <v/>
      </c>
      <c r="L1381" s="23" t="str">
        <f>IF($G1381="", "", $G1381*(1-$V1381))</f>
        <v/>
      </c>
      <c r="M1381" s="24" t="str">
        <f>IF(OR($L1381="",$S1381=""),"",$L1381*$S1381)</f>
        <v/>
      </c>
      <c r="N1381" s="24" t="str">
        <f>IF(OR($L1381="",$T1381=""),"",$L1381*$T1381)</f>
        <v/>
      </c>
      <c r="O1381" s="15" t="str">
        <f>IF(D1381="","",
IF(AND(K1381&lt;&gt;"SIM",V1381&gt;0),"ERRO: % BC &gt; 0, mas NÃO permitida ❌",
IF(AND(K1381="SIM",V1381=0),"ATENÇÃO: BC permitida, mas % = 0 🔎",
"Base de cálculo aplicada corretamente ✅")))</f>
        <v/>
      </c>
      <c r="P1381" s="31" t="str">
        <f>IF(D1381="","",
IF(AND(Q1381&lt;&gt;"SIM",U1381&gt;0),"ERRO: % alíquota &gt; 0, mas NÃO permitida ❌",
IF(AND(Q1381="SIM",U1381=0),"ATENÇÃO: alíquota permitida, mas % = 0 🔎",
"Alíquota aplicada corretamente ✅")))</f>
        <v/>
      </c>
      <c r="Q1381" s="8" t="str">
        <f>IF(E1381="","",IFERROR(VLOOKUP(E1381,REGRAS_CST!$A$2:$D$200,4,FALSE),""))</f>
        <v/>
      </c>
      <c r="S1381" s="9">
        <f>IF($H1381="","",$H1381*(1-$U1381))</f>
        <v>8.9999999999999993E-3</v>
      </c>
      <c r="T1381" s="9">
        <f>IF($I1381="","",$I1381*(1-$U1381))</f>
        <v>1E-3</v>
      </c>
      <c r="U1381" s="16">
        <f>IFERROR(INDEX(BASE_CCLASSTRIB!$E:$E, MATCH(TEXT($D1381,"000000"), BASE_CCLASSTRIB!$A:$A, 0))/100, 0)</f>
        <v>0</v>
      </c>
      <c r="V1381" s="16">
        <f>IFERROR(INDEX(BASE_CCLASSTRIB!$F:$F, MATCH(TEXT($D1381,"000000"), BASE_CCLASSTRIB!$A:$A, 0))/100, 0)</f>
        <v>0</v>
      </c>
    </row>
    <row r="1382" spans="4:22" ht="32.25" customHeight="1">
      <c r="D1382" s="40"/>
      <c r="E1382" s="27" t="str">
        <f>IF(D1382="","",LEFT(D1382,3))</f>
        <v/>
      </c>
      <c r="F1382" s="28" t="str">
        <f>IF(E1382="","",IFERROR(VLOOKUP(E1382,REGRAS_CST!$A$2:$B$200,2,FALSE),""))</f>
        <v/>
      </c>
      <c r="H1382" s="29">
        <v>8.9999999999999993E-3</v>
      </c>
      <c r="I1382" s="29">
        <v>1E-3</v>
      </c>
      <c r="K1382" s="21" t="str">
        <f>IF(E1382="","",IFERROR(VLOOKUP(E1382,REGRAS_CST!$A$2:$C$200,3,FALSE),""))</f>
        <v/>
      </c>
      <c r="L1382" s="23" t="str">
        <f>IF($G1382="", "", $G1382*(1-$V1382))</f>
        <v/>
      </c>
      <c r="M1382" s="24" t="str">
        <f>IF(OR($L1382="",$S1382=""),"",$L1382*$S1382)</f>
        <v/>
      </c>
      <c r="N1382" s="24" t="str">
        <f>IF(OR($L1382="",$T1382=""),"",$L1382*$T1382)</f>
        <v/>
      </c>
      <c r="O1382" s="15" t="str">
        <f>IF(D1382="","",
IF(AND(K1382&lt;&gt;"SIM",V1382&gt;0),"ERRO: % BC &gt; 0, mas NÃO permitida ❌",
IF(AND(K1382="SIM",V1382=0),"ATENÇÃO: BC permitida, mas % = 0 🔎",
"Base de cálculo aplicada corretamente ✅")))</f>
        <v/>
      </c>
      <c r="P1382" s="31" t="str">
        <f>IF(D1382="","",
IF(AND(Q1382&lt;&gt;"SIM",U1382&gt;0),"ERRO: % alíquota &gt; 0, mas NÃO permitida ❌",
IF(AND(Q1382="SIM",U1382=0),"ATENÇÃO: alíquota permitida, mas % = 0 🔎",
"Alíquota aplicada corretamente ✅")))</f>
        <v/>
      </c>
      <c r="Q1382" s="8" t="str">
        <f>IF(E1382="","",IFERROR(VLOOKUP(E1382,REGRAS_CST!$A$2:$D$200,4,FALSE),""))</f>
        <v/>
      </c>
      <c r="S1382" s="9">
        <f>IF($H1382="","",$H1382*(1-$U1382))</f>
        <v>8.9999999999999993E-3</v>
      </c>
      <c r="T1382" s="9">
        <f>IF($I1382="","",$I1382*(1-$U1382))</f>
        <v>1E-3</v>
      </c>
      <c r="U1382" s="16">
        <f>IFERROR(INDEX(BASE_CCLASSTRIB!$E:$E, MATCH(TEXT($D1382,"000000"), BASE_CCLASSTRIB!$A:$A, 0))/100, 0)</f>
        <v>0</v>
      </c>
      <c r="V1382" s="16">
        <f>IFERROR(INDEX(BASE_CCLASSTRIB!$F:$F, MATCH(TEXT($D1382,"000000"), BASE_CCLASSTRIB!$A:$A, 0))/100, 0)</f>
        <v>0</v>
      </c>
    </row>
    <row r="1383" spans="4:22" ht="32.25" customHeight="1">
      <c r="D1383" s="40"/>
      <c r="E1383" s="27" t="str">
        <f>IF(D1383="","",LEFT(D1383,3))</f>
        <v/>
      </c>
      <c r="F1383" s="28" t="str">
        <f>IF(E1383="","",IFERROR(VLOOKUP(E1383,REGRAS_CST!$A$2:$B$200,2,FALSE),""))</f>
        <v/>
      </c>
      <c r="H1383" s="29">
        <v>8.9999999999999993E-3</v>
      </c>
      <c r="I1383" s="29">
        <v>1E-3</v>
      </c>
      <c r="K1383" s="21" t="str">
        <f>IF(E1383="","",IFERROR(VLOOKUP(E1383,REGRAS_CST!$A$2:$C$200,3,FALSE),""))</f>
        <v/>
      </c>
      <c r="L1383" s="23" t="str">
        <f>IF($G1383="", "", $G1383*(1-$V1383))</f>
        <v/>
      </c>
      <c r="M1383" s="24" t="str">
        <f>IF(OR($L1383="",$S1383=""),"",$L1383*$S1383)</f>
        <v/>
      </c>
      <c r="N1383" s="24" t="str">
        <f>IF(OR($L1383="",$T1383=""),"",$L1383*$T1383)</f>
        <v/>
      </c>
      <c r="O1383" s="15" t="str">
        <f>IF(D1383="","",
IF(AND(K1383&lt;&gt;"SIM",V1383&gt;0),"ERRO: % BC &gt; 0, mas NÃO permitida ❌",
IF(AND(K1383="SIM",V1383=0),"ATENÇÃO: BC permitida, mas % = 0 🔎",
"Base de cálculo aplicada corretamente ✅")))</f>
        <v/>
      </c>
      <c r="P1383" s="31" t="str">
        <f>IF(D1383="","",
IF(AND(Q1383&lt;&gt;"SIM",U1383&gt;0),"ERRO: % alíquota &gt; 0, mas NÃO permitida ❌",
IF(AND(Q1383="SIM",U1383=0),"ATENÇÃO: alíquota permitida, mas % = 0 🔎",
"Alíquota aplicada corretamente ✅")))</f>
        <v/>
      </c>
      <c r="Q1383" s="8" t="str">
        <f>IF(E1383="","",IFERROR(VLOOKUP(E1383,REGRAS_CST!$A$2:$D$200,4,FALSE),""))</f>
        <v/>
      </c>
      <c r="S1383" s="9">
        <f>IF($H1383="","",$H1383*(1-$U1383))</f>
        <v>8.9999999999999993E-3</v>
      </c>
      <c r="T1383" s="9">
        <f>IF($I1383="","",$I1383*(1-$U1383))</f>
        <v>1E-3</v>
      </c>
      <c r="U1383" s="16">
        <f>IFERROR(INDEX(BASE_CCLASSTRIB!$E:$E, MATCH(TEXT($D1383,"000000"), BASE_CCLASSTRIB!$A:$A, 0))/100, 0)</f>
        <v>0</v>
      </c>
      <c r="V1383" s="16">
        <f>IFERROR(INDEX(BASE_CCLASSTRIB!$F:$F, MATCH(TEXT($D1383,"000000"), BASE_CCLASSTRIB!$A:$A, 0))/100, 0)</f>
        <v>0</v>
      </c>
    </row>
    <row r="1384" spans="4:22" ht="32.25" customHeight="1">
      <c r="D1384" s="39"/>
      <c r="E1384" s="27" t="str">
        <f>IF(D1384="","",LEFT(D1384,3))</f>
        <v/>
      </c>
      <c r="F1384" s="28" t="str">
        <f>IF(E1384="","",IFERROR(VLOOKUP(E1384,REGRAS_CST!$A$2:$B$200,2,FALSE),""))</f>
        <v/>
      </c>
      <c r="H1384" s="29">
        <v>8.9999999999999993E-3</v>
      </c>
      <c r="I1384" s="29">
        <v>1E-3</v>
      </c>
      <c r="K1384" s="21" t="str">
        <f>IF(E1384="","",IFERROR(VLOOKUP(E1384,REGRAS_CST!$A$2:$C$200,3,FALSE),""))</f>
        <v/>
      </c>
      <c r="L1384" s="23" t="str">
        <f>IF($G1384="", "", $G1384*(1-$V1384))</f>
        <v/>
      </c>
      <c r="M1384" s="24" t="str">
        <f>IF(OR($L1384="",$S1384=""),"",$L1384*$S1384)</f>
        <v/>
      </c>
      <c r="N1384" s="24" t="str">
        <f>IF(OR($L1384="",$T1384=""),"",$L1384*$T1384)</f>
        <v/>
      </c>
      <c r="O1384" s="15" t="str">
        <f>IF(D1384="","",
IF(AND(K1384&lt;&gt;"SIM",V1384&gt;0),"ERRO: % BC &gt; 0, mas NÃO permitida ❌",
IF(AND(K1384="SIM",V1384=0),"ATENÇÃO: BC permitida, mas % = 0 🔎",
"Base de cálculo aplicada corretamente ✅")))</f>
        <v/>
      </c>
      <c r="P1384" s="31" t="str">
        <f>IF(D1384="","",
IF(AND(Q1384&lt;&gt;"SIM",U1384&gt;0),"ERRO: % alíquota &gt; 0, mas NÃO permitida ❌",
IF(AND(Q1384="SIM",U1384=0),"ATENÇÃO: alíquota permitida, mas % = 0 🔎",
"Alíquota aplicada corretamente ✅")))</f>
        <v/>
      </c>
      <c r="Q1384" s="8" t="str">
        <f>IF(E1384="","",IFERROR(VLOOKUP(E1384,REGRAS_CST!$A$2:$D$200,4,FALSE),""))</f>
        <v/>
      </c>
      <c r="S1384" s="9">
        <f>IF($H1384="","",$H1384*(1-$U1384))</f>
        <v>8.9999999999999993E-3</v>
      </c>
      <c r="T1384" s="9">
        <f>IF($I1384="","",$I1384*(1-$U1384))</f>
        <v>1E-3</v>
      </c>
      <c r="U1384" s="16">
        <f>IFERROR(INDEX(BASE_CCLASSTRIB!$E:$E, MATCH(TEXT($D1384,"000000"), BASE_CCLASSTRIB!$A:$A, 0))/100, 0)</f>
        <v>0</v>
      </c>
      <c r="V1384" s="16">
        <f>IFERROR(INDEX(BASE_CCLASSTRIB!$F:$F, MATCH(TEXT($D1384,"000000"), BASE_CCLASSTRIB!$A:$A, 0))/100, 0)</f>
        <v>0</v>
      </c>
    </row>
    <row r="1385" spans="4:22" ht="32.25" customHeight="1">
      <c r="D1385" s="39"/>
      <c r="E1385" s="27" t="str">
        <f>IF(D1385="","",LEFT(D1385,3))</f>
        <v/>
      </c>
      <c r="F1385" s="28" t="str">
        <f>IF(E1385="","",IFERROR(VLOOKUP(E1385,REGRAS_CST!$A$2:$B$200,2,FALSE),""))</f>
        <v/>
      </c>
      <c r="H1385" s="29">
        <v>8.9999999999999993E-3</v>
      </c>
      <c r="I1385" s="29">
        <v>1E-3</v>
      </c>
      <c r="K1385" s="21" t="str">
        <f>IF(E1385="","",IFERROR(VLOOKUP(E1385,REGRAS_CST!$A$2:$C$200,3,FALSE),""))</f>
        <v/>
      </c>
      <c r="L1385" s="23" t="str">
        <f>IF($G1385="", "", $G1385*(1-$V1385))</f>
        <v/>
      </c>
      <c r="M1385" s="24" t="str">
        <f>IF(OR($L1385="",$S1385=""),"",$L1385*$S1385)</f>
        <v/>
      </c>
      <c r="N1385" s="24" t="str">
        <f>IF(OR($L1385="",$T1385=""),"",$L1385*$T1385)</f>
        <v/>
      </c>
      <c r="O1385" s="15" t="str">
        <f>IF(D1385="","",
IF(AND(K1385&lt;&gt;"SIM",V1385&gt;0),"ERRO: % BC &gt; 0, mas NÃO permitida ❌",
IF(AND(K1385="SIM",V1385=0),"ATENÇÃO: BC permitida, mas % = 0 🔎",
"Base de cálculo aplicada corretamente ✅")))</f>
        <v/>
      </c>
      <c r="P1385" s="31" t="str">
        <f>IF(D1385="","",
IF(AND(Q1385&lt;&gt;"SIM",U1385&gt;0),"ERRO: % alíquota &gt; 0, mas NÃO permitida ❌",
IF(AND(Q1385="SIM",U1385=0),"ATENÇÃO: alíquota permitida, mas % = 0 🔎",
"Alíquota aplicada corretamente ✅")))</f>
        <v/>
      </c>
      <c r="Q1385" s="8" t="str">
        <f>IF(E1385="","",IFERROR(VLOOKUP(E1385,REGRAS_CST!$A$2:$D$200,4,FALSE),""))</f>
        <v/>
      </c>
      <c r="S1385" s="9">
        <f>IF($H1385="","",$H1385*(1-$U1385))</f>
        <v>8.9999999999999993E-3</v>
      </c>
      <c r="T1385" s="9">
        <f>IF($I1385="","",$I1385*(1-$U1385))</f>
        <v>1E-3</v>
      </c>
      <c r="U1385" s="16">
        <f>IFERROR(INDEX(BASE_CCLASSTRIB!$E:$E, MATCH(TEXT($D1385,"000000"), BASE_CCLASSTRIB!$A:$A, 0))/100, 0)</f>
        <v>0</v>
      </c>
      <c r="V1385" s="16">
        <f>IFERROR(INDEX(BASE_CCLASSTRIB!$F:$F, MATCH(TEXT($D1385,"000000"), BASE_CCLASSTRIB!$A:$A, 0))/100, 0)</f>
        <v>0</v>
      </c>
    </row>
    <row r="1386" spans="4:22" ht="32.25" customHeight="1">
      <c r="D1386" s="39"/>
      <c r="E1386" s="27" t="str">
        <f>IF(D1386="","",LEFT(D1386,3))</f>
        <v/>
      </c>
      <c r="F1386" s="28" t="str">
        <f>IF(E1386="","",IFERROR(VLOOKUP(E1386,REGRAS_CST!$A$2:$B$200,2,FALSE),""))</f>
        <v/>
      </c>
      <c r="H1386" s="29">
        <v>8.9999999999999993E-3</v>
      </c>
      <c r="I1386" s="29">
        <v>1E-3</v>
      </c>
      <c r="K1386" s="21" t="str">
        <f>IF(E1386="","",IFERROR(VLOOKUP(E1386,REGRAS_CST!$A$2:$C$200,3,FALSE),""))</f>
        <v/>
      </c>
      <c r="L1386" s="23" t="str">
        <f>IF($G1386="", "", $G1386*(1-$V1386))</f>
        <v/>
      </c>
      <c r="M1386" s="24" t="str">
        <f>IF(OR($L1386="",$S1386=""),"",$L1386*$S1386)</f>
        <v/>
      </c>
      <c r="N1386" s="24" t="str">
        <f>IF(OR($L1386="",$T1386=""),"",$L1386*$T1386)</f>
        <v/>
      </c>
      <c r="O1386" s="15" t="str">
        <f>IF(D1386="","",
IF(AND(K1386&lt;&gt;"SIM",V1386&gt;0),"ERRO: % BC &gt; 0, mas NÃO permitida ❌",
IF(AND(K1386="SIM",V1386=0),"ATENÇÃO: BC permitida, mas % = 0 🔎",
"Base de cálculo aplicada corretamente ✅")))</f>
        <v/>
      </c>
      <c r="P1386" s="31" t="str">
        <f>IF(D1386="","",
IF(AND(Q1386&lt;&gt;"SIM",U1386&gt;0),"ERRO: % alíquota &gt; 0, mas NÃO permitida ❌",
IF(AND(Q1386="SIM",U1386=0),"ATENÇÃO: alíquota permitida, mas % = 0 🔎",
"Alíquota aplicada corretamente ✅")))</f>
        <v/>
      </c>
      <c r="Q1386" s="8" t="str">
        <f>IF(E1386="","",IFERROR(VLOOKUP(E1386,REGRAS_CST!$A$2:$D$200,4,FALSE),""))</f>
        <v/>
      </c>
      <c r="S1386" s="9">
        <f>IF($H1386="","",$H1386*(1-$U1386))</f>
        <v>8.9999999999999993E-3</v>
      </c>
      <c r="T1386" s="9">
        <f>IF($I1386="","",$I1386*(1-$U1386))</f>
        <v>1E-3</v>
      </c>
      <c r="U1386" s="16">
        <f>IFERROR(INDEX(BASE_CCLASSTRIB!$E:$E, MATCH(TEXT($D1386,"000000"), BASE_CCLASSTRIB!$A:$A, 0))/100, 0)</f>
        <v>0</v>
      </c>
      <c r="V1386" s="16">
        <f>IFERROR(INDEX(BASE_CCLASSTRIB!$F:$F, MATCH(TEXT($D1386,"000000"), BASE_CCLASSTRIB!$A:$A, 0))/100, 0)</f>
        <v>0</v>
      </c>
    </row>
    <row r="1387" spans="4:22" ht="32.25" customHeight="1">
      <c r="D1387" s="40"/>
      <c r="E1387" s="27" t="str">
        <f>IF(D1387="","",LEFT(D1387,3))</f>
        <v/>
      </c>
      <c r="F1387" s="28" t="str">
        <f>IF(E1387="","",IFERROR(VLOOKUP(E1387,REGRAS_CST!$A$2:$B$200,2,FALSE),""))</f>
        <v/>
      </c>
      <c r="H1387" s="29">
        <v>8.9999999999999993E-3</v>
      </c>
      <c r="I1387" s="29">
        <v>1E-3</v>
      </c>
      <c r="K1387" s="21" t="str">
        <f>IF(E1387="","",IFERROR(VLOOKUP(E1387,REGRAS_CST!$A$2:$C$200,3,FALSE),""))</f>
        <v/>
      </c>
      <c r="L1387" s="23" t="str">
        <f>IF($G1387="", "", $G1387*(1-$V1387))</f>
        <v/>
      </c>
      <c r="M1387" s="24" t="str">
        <f>IF(OR($L1387="",$S1387=""),"",$L1387*$S1387)</f>
        <v/>
      </c>
      <c r="N1387" s="24" t="str">
        <f>IF(OR($L1387="",$T1387=""),"",$L1387*$T1387)</f>
        <v/>
      </c>
      <c r="O1387" s="15" t="str">
        <f>IF(D1387="","",
IF(AND(K1387&lt;&gt;"SIM",V1387&gt;0),"ERRO: % BC &gt; 0, mas NÃO permitida ❌",
IF(AND(K1387="SIM",V1387=0),"ATENÇÃO: BC permitida, mas % = 0 🔎",
"Base de cálculo aplicada corretamente ✅")))</f>
        <v/>
      </c>
      <c r="P1387" s="31" t="str">
        <f>IF(D1387="","",
IF(AND(Q1387&lt;&gt;"SIM",U1387&gt;0),"ERRO: % alíquota &gt; 0, mas NÃO permitida ❌",
IF(AND(Q1387="SIM",U1387=0),"ATENÇÃO: alíquota permitida, mas % = 0 🔎",
"Alíquota aplicada corretamente ✅")))</f>
        <v/>
      </c>
      <c r="Q1387" s="8" t="str">
        <f>IF(E1387="","",IFERROR(VLOOKUP(E1387,REGRAS_CST!$A$2:$D$200,4,FALSE),""))</f>
        <v/>
      </c>
      <c r="S1387" s="9">
        <f>IF($H1387="","",$H1387*(1-$U1387))</f>
        <v>8.9999999999999993E-3</v>
      </c>
      <c r="T1387" s="9">
        <f>IF($I1387="","",$I1387*(1-$U1387))</f>
        <v>1E-3</v>
      </c>
      <c r="U1387" s="16">
        <f>IFERROR(INDEX(BASE_CCLASSTRIB!$E:$E, MATCH(TEXT($D1387,"000000"), BASE_CCLASSTRIB!$A:$A, 0))/100, 0)</f>
        <v>0</v>
      </c>
      <c r="V1387" s="16">
        <f>IFERROR(INDEX(BASE_CCLASSTRIB!$F:$F, MATCH(TEXT($D1387,"000000"), BASE_CCLASSTRIB!$A:$A, 0))/100, 0)</f>
        <v>0</v>
      </c>
    </row>
    <row r="1388" spans="4:22" ht="32.25" customHeight="1">
      <c r="D1388" s="40"/>
      <c r="E1388" s="27" t="str">
        <f>IF(D1388="","",LEFT(D1388,3))</f>
        <v/>
      </c>
      <c r="F1388" s="28" t="str">
        <f>IF(E1388="","",IFERROR(VLOOKUP(E1388,REGRAS_CST!$A$2:$B$200,2,FALSE),""))</f>
        <v/>
      </c>
      <c r="H1388" s="29">
        <v>8.9999999999999993E-3</v>
      </c>
      <c r="I1388" s="29">
        <v>1E-3</v>
      </c>
      <c r="K1388" s="21" t="str">
        <f>IF(E1388="","",IFERROR(VLOOKUP(E1388,REGRAS_CST!$A$2:$C$200,3,FALSE),""))</f>
        <v/>
      </c>
      <c r="L1388" s="23" t="str">
        <f>IF($G1388="", "", $G1388*(1-$V1388))</f>
        <v/>
      </c>
      <c r="M1388" s="24" t="str">
        <f>IF(OR($L1388="",$S1388=""),"",$L1388*$S1388)</f>
        <v/>
      </c>
      <c r="N1388" s="24" t="str">
        <f>IF(OR($L1388="",$T1388=""),"",$L1388*$T1388)</f>
        <v/>
      </c>
      <c r="O1388" s="15" t="str">
        <f>IF(D1388="","",
IF(AND(K1388&lt;&gt;"SIM",V1388&gt;0),"ERRO: % BC &gt; 0, mas NÃO permitida ❌",
IF(AND(K1388="SIM",V1388=0),"ATENÇÃO: BC permitida, mas % = 0 🔎",
"Base de cálculo aplicada corretamente ✅")))</f>
        <v/>
      </c>
      <c r="P1388" s="31" t="str">
        <f>IF(D1388="","",
IF(AND(Q1388&lt;&gt;"SIM",U1388&gt;0),"ERRO: % alíquota &gt; 0, mas NÃO permitida ❌",
IF(AND(Q1388="SIM",U1388=0),"ATENÇÃO: alíquota permitida, mas % = 0 🔎",
"Alíquota aplicada corretamente ✅")))</f>
        <v/>
      </c>
      <c r="Q1388" s="8" t="str">
        <f>IF(E1388="","",IFERROR(VLOOKUP(E1388,REGRAS_CST!$A$2:$D$200,4,FALSE),""))</f>
        <v/>
      </c>
      <c r="S1388" s="9">
        <f>IF($H1388="","",$H1388*(1-$U1388))</f>
        <v>8.9999999999999993E-3</v>
      </c>
      <c r="T1388" s="9">
        <f>IF($I1388="","",$I1388*(1-$U1388))</f>
        <v>1E-3</v>
      </c>
      <c r="U1388" s="16">
        <f>IFERROR(INDEX(BASE_CCLASSTRIB!$E:$E, MATCH(TEXT($D1388,"000000"), BASE_CCLASSTRIB!$A:$A, 0))/100, 0)</f>
        <v>0</v>
      </c>
      <c r="V1388" s="16">
        <f>IFERROR(INDEX(BASE_CCLASSTRIB!$F:$F, MATCH(TEXT($D1388,"000000"), BASE_CCLASSTRIB!$A:$A, 0))/100, 0)</f>
        <v>0</v>
      </c>
    </row>
    <row r="1389" spans="4:22" ht="32.25" customHeight="1">
      <c r="D1389" s="39"/>
      <c r="E1389" s="27" t="str">
        <f>IF(D1389="","",LEFT(D1389,3))</f>
        <v/>
      </c>
      <c r="F1389" s="28" t="str">
        <f>IF(E1389="","",IFERROR(VLOOKUP(E1389,REGRAS_CST!$A$2:$B$200,2,FALSE),""))</f>
        <v/>
      </c>
      <c r="H1389" s="29">
        <v>8.9999999999999993E-3</v>
      </c>
      <c r="I1389" s="29">
        <v>1E-3</v>
      </c>
      <c r="K1389" s="21" t="str">
        <f>IF(E1389="","",IFERROR(VLOOKUP(E1389,REGRAS_CST!$A$2:$C$200,3,FALSE),""))</f>
        <v/>
      </c>
      <c r="L1389" s="23" t="str">
        <f>IF($G1389="", "", $G1389*(1-$V1389))</f>
        <v/>
      </c>
      <c r="M1389" s="24" t="str">
        <f>IF(OR($L1389="",$S1389=""),"",$L1389*$S1389)</f>
        <v/>
      </c>
      <c r="N1389" s="24" t="str">
        <f>IF(OR($L1389="",$T1389=""),"",$L1389*$T1389)</f>
        <v/>
      </c>
      <c r="O1389" s="15" t="str">
        <f>IF(D1389="","",
IF(AND(K1389&lt;&gt;"SIM",V1389&gt;0),"ERRO: % BC &gt; 0, mas NÃO permitida ❌",
IF(AND(K1389="SIM",V1389=0),"ATENÇÃO: BC permitida, mas % = 0 🔎",
"Base de cálculo aplicada corretamente ✅")))</f>
        <v/>
      </c>
      <c r="P1389" s="31" t="str">
        <f>IF(D1389="","",
IF(AND(Q1389&lt;&gt;"SIM",U1389&gt;0),"ERRO: % alíquota &gt; 0, mas NÃO permitida ❌",
IF(AND(Q1389="SIM",U1389=0),"ATENÇÃO: alíquota permitida, mas % = 0 🔎",
"Alíquota aplicada corretamente ✅")))</f>
        <v/>
      </c>
      <c r="Q1389" s="8" t="str">
        <f>IF(E1389="","",IFERROR(VLOOKUP(E1389,REGRAS_CST!$A$2:$D$200,4,FALSE),""))</f>
        <v/>
      </c>
      <c r="S1389" s="9">
        <f>IF($H1389="","",$H1389*(1-$U1389))</f>
        <v>8.9999999999999993E-3</v>
      </c>
      <c r="T1389" s="9">
        <f>IF($I1389="","",$I1389*(1-$U1389))</f>
        <v>1E-3</v>
      </c>
      <c r="U1389" s="16">
        <f>IFERROR(INDEX(BASE_CCLASSTRIB!$E:$E, MATCH(TEXT($D1389,"000000"), BASE_CCLASSTRIB!$A:$A, 0))/100, 0)</f>
        <v>0</v>
      </c>
      <c r="V1389" s="16">
        <f>IFERROR(INDEX(BASE_CCLASSTRIB!$F:$F, MATCH(TEXT($D1389,"000000"), BASE_CCLASSTRIB!$A:$A, 0))/100, 0)</f>
        <v>0</v>
      </c>
    </row>
    <row r="1390" spans="4:22" ht="32.25" customHeight="1">
      <c r="D1390" s="40"/>
      <c r="E1390" s="27" t="str">
        <f>IF(D1390="","",LEFT(D1390,3))</f>
        <v/>
      </c>
      <c r="F1390" s="28" t="str">
        <f>IF(E1390="","",IFERROR(VLOOKUP(E1390,REGRAS_CST!$A$2:$B$200,2,FALSE),""))</f>
        <v/>
      </c>
      <c r="H1390" s="29">
        <v>8.9999999999999993E-3</v>
      </c>
      <c r="I1390" s="29">
        <v>1E-3</v>
      </c>
      <c r="K1390" s="21" t="str">
        <f>IF(E1390="","",IFERROR(VLOOKUP(E1390,REGRAS_CST!$A$2:$C$200,3,FALSE),""))</f>
        <v/>
      </c>
      <c r="L1390" s="23" t="str">
        <f>IF($G1390="", "", $G1390*(1-$V1390))</f>
        <v/>
      </c>
      <c r="M1390" s="24" t="str">
        <f>IF(OR($L1390="",$S1390=""),"",$L1390*$S1390)</f>
        <v/>
      </c>
      <c r="N1390" s="24" t="str">
        <f>IF(OR($L1390="",$T1390=""),"",$L1390*$T1390)</f>
        <v/>
      </c>
      <c r="O1390" s="15" t="str">
        <f>IF(D1390="","",
IF(AND(K1390&lt;&gt;"SIM",V1390&gt;0),"ERRO: % BC &gt; 0, mas NÃO permitida ❌",
IF(AND(K1390="SIM",V1390=0),"ATENÇÃO: BC permitida, mas % = 0 🔎",
"Base de cálculo aplicada corretamente ✅")))</f>
        <v/>
      </c>
      <c r="P1390" s="31" t="str">
        <f>IF(D1390="","",
IF(AND(Q1390&lt;&gt;"SIM",U1390&gt;0),"ERRO: % alíquota &gt; 0, mas NÃO permitida ❌",
IF(AND(Q1390="SIM",U1390=0),"ATENÇÃO: alíquota permitida, mas % = 0 🔎",
"Alíquota aplicada corretamente ✅")))</f>
        <v/>
      </c>
      <c r="Q1390" s="8" t="str">
        <f>IF(E1390="","",IFERROR(VLOOKUP(E1390,REGRAS_CST!$A$2:$D$200,4,FALSE),""))</f>
        <v/>
      </c>
      <c r="S1390" s="9">
        <f>IF($H1390="","",$H1390*(1-$U1390))</f>
        <v>8.9999999999999993E-3</v>
      </c>
      <c r="T1390" s="9">
        <f>IF($I1390="","",$I1390*(1-$U1390))</f>
        <v>1E-3</v>
      </c>
      <c r="U1390" s="16">
        <f>IFERROR(INDEX(BASE_CCLASSTRIB!$E:$E, MATCH(TEXT($D1390,"000000"), BASE_CCLASSTRIB!$A:$A, 0))/100, 0)</f>
        <v>0</v>
      </c>
      <c r="V1390" s="16">
        <f>IFERROR(INDEX(BASE_CCLASSTRIB!$F:$F, MATCH(TEXT($D1390,"000000"), BASE_CCLASSTRIB!$A:$A, 0))/100, 0)</f>
        <v>0</v>
      </c>
    </row>
    <row r="1391" spans="4:22" ht="32.25" customHeight="1">
      <c r="D1391" s="39"/>
      <c r="E1391" s="27" t="str">
        <f>IF(D1391="","",LEFT(D1391,3))</f>
        <v/>
      </c>
      <c r="F1391" s="28" t="str">
        <f>IF(E1391="","",IFERROR(VLOOKUP(E1391,REGRAS_CST!$A$2:$B$200,2,FALSE),""))</f>
        <v/>
      </c>
      <c r="H1391" s="29">
        <v>8.9999999999999993E-3</v>
      </c>
      <c r="I1391" s="29">
        <v>1E-3</v>
      </c>
      <c r="K1391" s="21" t="str">
        <f>IF(E1391="","",IFERROR(VLOOKUP(E1391,REGRAS_CST!$A$2:$C$200,3,FALSE),""))</f>
        <v/>
      </c>
      <c r="L1391" s="23" t="str">
        <f>IF($G1391="", "", $G1391*(1-$V1391))</f>
        <v/>
      </c>
      <c r="M1391" s="24" t="str">
        <f>IF(OR($L1391="",$S1391=""),"",$L1391*$S1391)</f>
        <v/>
      </c>
      <c r="N1391" s="24" t="str">
        <f>IF(OR($L1391="",$T1391=""),"",$L1391*$T1391)</f>
        <v/>
      </c>
      <c r="O1391" s="15" t="str">
        <f>IF(D1391="","",
IF(AND(K1391&lt;&gt;"SIM",V1391&gt;0),"ERRO: % BC &gt; 0, mas NÃO permitida ❌",
IF(AND(K1391="SIM",V1391=0),"ATENÇÃO: BC permitida, mas % = 0 🔎",
"Base de cálculo aplicada corretamente ✅")))</f>
        <v/>
      </c>
      <c r="P1391" s="31" t="str">
        <f>IF(D1391="","",
IF(AND(Q1391&lt;&gt;"SIM",U1391&gt;0),"ERRO: % alíquota &gt; 0, mas NÃO permitida ❌",
IF(AND(Q1391="SIM",U1391=0),"ATENÇÃO: alíquota permitida, mas % = 0 🔎",
"Alíquota aplicada corretamente ✅")))</f>
        <v/>
      </c>
      <c r="Q1391" s="8" t="str">
        <f>IF(E1391="","",IFERROR(VLOOKUP(E1391,REGRAS_CST!$A$2:$D$200,4,FALSE),""))</f>
        <v/>
      </c>
      <c r="S1391" s="9">
        <f>IF($H1391="","",$H1391*(1-$U1391))</f>
        <v>8.9999999999999993E-3</v>
      </c>
      <c r="T1391" s="9">
        <f>IF($I1391="","",$I1391*(1-$U1391))</f>
        <v>1E-3</v>
      </c>
      <c r="U1391" s="16">
        <f>IFERROR(INDEX(BASE_CCLASSTRIB!$E:$E, MATCH(TEXT($D1391,"000000"), BASE_CCLASSTRIB!$A:$A, 0))/100, 0)</f>
        <v>0</v>
      </c>
      <c r="V1391" s="16">
        <f>IFERROR(INDEX(BASE_CCLASSTRIB!$F:$F, MATCH(TEXT($D1391,"000000"), BASE_CCLASSTRIB!$A:$A, 0))/100, 0)</f>
        <v>0</v>
      </c>
    </row>
    <row r="1392" spans="4:22" ht="32.25" customHeight="1">
      <c r="D1392" s="40"/>
      <c r="E1392" s="27" t="str">
        <f>IF(D1392="","",LEFT(D1392,3))</f>
        <v/>
      </c>
      <c r="F1392" s="28" t="str">
        <f>IF(E1392="","",IFERROR(VLOOKUP(E1392,REGRAS_CST!$A$2:$B$200,2,FALSE),""))</f>
        <v/>
      </c>
      <c r="H1392" s="29">
        <v>8.9999999999999993E-3</v>
      </c>
      <c r="I1392" s="29">
        <v>1E-3</v>
      </c>
      <c r="K1392" s="21" t="str">
        <f>IF(E1392="","",IFERROR(VLOOKUP(E1392,REGRAS_CST!$A$2:$C$200,3,FALSE),""))</f>
        <v/>
      </c>
      <c r="L1392" s="23" t="str">
        <f>IF($G1392="", "", $G1392*(1-$V1392))</f>
        <v/>
      </c>
      <c r="M1392" s="24" t="str">
        <f>IF(OR($L1392="",$S1392=""),"",$L1392*$S1392)</f>
        <v/>
      </c>
      <c r="N1392" s="24" t="str">
        <f>IF(OR($L1392="",$T1392=""),"",$L1392*$T1392)</f>
        <v/>
      </c>
      <c r="O1392" s="15" t="str">
        <f>IF(D1392="","",
IF(AND(K1392&lt;&gt;"SIM",V1392&gt;0),"ERRO: % BC &gt; 0, mas NÃO permitida ❌",
IF(AND(K1392="SIM",V1392=0),"ATENÇÃO: BC permitida, mas % = 0 🔎",
"Base de cálculo aplicada corretamente ✅")))</f>
        <v/>
      </c>
      <c r="P1392" s="31" t="str">
        <f>IF(D1392="","",
IF(AND(Q1392&lt;&gt;"SIM",U1392&gt;0),"ERRO: % alíquota &gt; 0, mas NÃO permitida ❌",
IF(AND(Q1392="SIM",U1392=0),"ATENÇÃO: alíquota permitida, mas % = 0 🔎",
"Alíquota aplicada corretamente ✅")))</f>
        <v/>
      </c>
      <c r="Q1392" s="8" t="str">
        <f>IF(E1392="","",IFERROR(VLOOKUP(E1392,REGRAS_CST!$A$2:$D$200,4,FALSE),""))</f>
        <v/>
      </c>
      <c r="S1392" s="9">
        <f>IF($H1392="","",$H1392*(1-$U1392))</f>
        <v>8.9999999999999993E-3</v>
      </c>
      <c r="T1392" s="9">
        <f>IF($I1392="","",$I1392*(1-$U1392))</f>
        <v>1E-3</v>
      </c>
      <c r="U1392" s="16">
        <f>IFERROR(INDEX(BASE_CCLASSTRIB!$E:$E, MATCH(TEXT($D1392,"000000"), BASE_CCLASSTRIB!$A:$A, 0))/100, 0)</f>
        <v>0</v>
      </c>
      <c r="V1392" s="16">
        <f>IFERROR(INDEX(BASE_CCLASSTRIB!$F:$F, MATCH(TEXT($D1392,"000000"), BASE_CCLASSTRIB!$A:$A, 0))/100, 0)</f>
        <v>0</v>
      </c>
    </row>
    <row r="1393" spans="4:22" ht="32.25" customHeight="1">
      <c r="D1393" s="40"/>
      <c r="E1393" s="27" t="str">
        <f>IF(D1393="","",LEFT(D1393,3))</f>
        <v/>
      </c>
      <c r="F1393" s="28" t="str">
        <f>IF(E1393="","",IFERROR(VLOOKUP(E1393,REGRAS_CST!$A$2:$B$200,2,FALSE),""))</f>
        <v/>
      </c>
      <c r="H1393" s="29">
        <v>8.9999999999999993E-3</v>
      </c>
      <c r="I1393" s="29">
        <v>1E-3</v>
      </c>
      <c r="K1393" s="21" t="str">
        <f>IF(E1393="","",IFERROR(VLOOKUP(E1393,REGRAS_CST!$A$2:$C$200,3,FALSE),""))</f>
        <v/>
      </c>
      <c r="L1393" s="23" t="str">
        <f>IF($G1393="", "", $G1393*(1-$V1393))</f>
        <v/>
      </c>
      <c r="M1393" s="24" t="str">
        <f>IF(OR($L1393="",$S1393=""),"",$L1393*$S1393)</f>
        <v/>
      </c>
      <c r="N1393" s="24" t="str">
        <f>IF(OR($L1393="",$T1393=""),"",$L1393*$T1393)</f>
        <v/>
      </c>
      <c r="O1393" s="15" t="str">
        <f>IF(D1393="","",
IF(AND(K1393&lt;&gt;"SIM",V1393&gt;0),"ERRO: % BC &gt; 0, mas NÃO permitida ❌",
IF(AND(K1393="SIM",V1393=0),"ATENÇÃO: BC permitida, mas % = 0 🔎",
"Base de cálculo aplicada corretamente ✅")))</f>
        <v/>
      </c>
      <c r="P1393" s="31" t="str">
        <f>IF(D1393="","",
IF(AND(Q1393&lt;&gt;"SIM",U1393&gt;0),"ERRO: % alíquota &gt; 0, mas NÃO permitida ❌",
IF(AND(Q1393="SIM",U1393=0),"ATENÇÃO: alíquota permitida, mas % = 0 🔎",
"Alíquota aplicada corretamente ✅")))</f>
        <v/>
      </c>
      <c r="Q1393" s="8" t="str">
        <f>IF(E1393="","",IFERROR(VLOOKUP(E1393,REGRAS_CST!$A$2:$D$200,4,FALSE),""))</f>
        <v/>
      </c>
      <c r="S1393" s="9">
        <f>IF($H1393="","",$H1393*(1-$U1393))</f>
        <v>8.9999999999999993E-3</v>
      </c>
      <c r="T1393" s="9">
        <f>IF($I1393="","",$I1393*(1-$U1393))</f>
        <v>1E-3</v>
      </c>
      <c r="U1393" s="16">
        <f>IFERROR(INDEX(BASE_CCLASSTRIB!$E:$E, MATCH(TEXT($D1393,"000000"), BASE_CCLASSTRIB!$A:$A, 0))/100, 0)</f>
        <v>0</v>
      </c>
      <c r="V1393" s="16">
        <f>IFERROR(INDEX(BASE_CCLASSTRIB!$F:$F, MATCH(TEXT($D1393,"000000"), BASE_CCLASSTRIB!$A:$A, 0))/100, 0)</f>
        <v>0</v>
      </c>
    </row>
    <row r="1394" spans="4:22" ht="32.25" customHeight="1">
      <c r="D1394" s="40"/>
      <c r="E1394" s="27" t="str">
        <f>IF(D1394="","",LEFT(D1394,3))</f>
        <v/>
      </c>
      <c r="F1394" s="28" t="str">
        <f>IF(E1394="","",IFERROR(VLOOKUP(E1394,REGRAS_CST!$A$2:$B$200,2,FALSE),""))</f>
        <v/>
      </c>
      <c r="H1394" s="29">
        <v>8.9999999999999993E-3</v>
      </c>
      <c r="I1394" s="29">
        <v>1E-3</v>
      </c>
      <c r="K1394" s="21" t="str">
        <f>IF(E1394="","",IFERROR(VLOOKUP(E1394,REGRAS_CST!$A$2:$C$200,3,FALSE),""))</f>
        <v/>
      </c>
      <c r="L1394" s="23" t="str">
        <f>IF($G1394="", "", $G1394*(1-$V1394))</f>
        <v/>
      </c>
      <c r="M1394" s="24" t="str">
        <f>IF(OR($L1394="",$S1394=""),"",$L1394*$S1394)</f>
        <v/>
      </c>
      <c r="N1394" s="24" t="str">
        <f>IF(OR($L1394="",$T1394=""),"",$L1394*$T1394)</f>
        <v/>
      </c>
      <c r="O1394" s="15" t="str">
        <f>IF(D1394="","",
IF(AND(K1394&lt;&gt;"SIM",V1394&gt;0),"ERRO: % BC &gt; 0, mas NÃO permitida ❌",
IF(AND(K1394="SIM",V1394=0),"ATENÇÃO: BC permitida, mas % = 0 🔎",
"Base de cálculo aplicada corretamente ✅")))</f>
        <v/>
      </c>
      <c r="P1394" s="31" t="str">
        <f>IF(D1394="","",
IF(AND(Q1394&lt;&gt;"SIM",U1394&gt;0),"ERRO: % alíquota &gt; 0, mas NÃO permitida ❌",
IF(AND(Q1394="SIM",U1394=0),"ATENÇÃO: alíquota permitida, mas % = 0 🔎",
"Alíquota aplicada corretamente ✅")))</f>
        <v/>
      </c>
      <c r="Q1394" s="8" t="str">
        <f>IF(E1394="","",IFERROR(VLOOKUP(E1394,REGRAS_CST!$A$2:$D$200,4,FALSE),""))</f>
        <v/>
      </c>
      <c r="S1394" s="9">
        <f>IF($H1394="","",$H1394*(1-$U1394))</f>
        <v>8.9999999999999993E-3</v>
      </c>
      <c r="T1394" s="9">
        <f>IF($I1394="","",$I1394*(1-$U1394))</f>
        <v>1E-3</v>
      </c>
      <c r="U1394" s="16">
        <f>IFERROR(INDEX(BASE_CCLASSTRIB!$E:$E, MATCH(TEXT($D1394,"000000"), BASE_CCLASSTRIB!$A:$A, 0))/100, 0)</f>
        <v>0</v>
      </c>
      <c r="V1394" s="16">
        <f>IFERROR(INDEX(BASE_CCLASSTRIB!$F:$F, MATCH(TEXT($D1394,"000000"), BASE_CCLASSTRIB!$A:$A, 0))/100, 0)</f>
        <v>0</v>
      </c>
    </row>
    <row r="1395" spans="4:22" ht="32.25" customHeight="1">
      <c r="D1395" s="40"/>
      <c r="E1395" s="27" t="str">
        <f>IF(D1395="","",LEFT(D1395,3))</f>
        <v/>
      </c>
      <c r="F1395" s="28" t="str">
        <f>IF(E1395="","",IFERROR(VLOOKUP(E1395,REGRAS_CST!$A$2:$B$200,2,FALSE),""))</f>
        <v/>
      </c>
      <c r="H1395" s="29">
        <v>8.9999999999999993E-3</v>
      </c>
      <c r="I1395" s="29">
        <v>1E-3</v>
      </c>
      <c r="K1395" s="21" t="str">
        <f>IF(E1395="","",IFERROR(VLOOKUP(E1395,REGRAS_CST!$A$2:$C$200,3,FALSE),""))</f>
        <v/>
      </c>
      <c r="L1395" s="23" t="str">
        <f>IF($G1395="", "", $G1395*(1-$V1395))</f>
        <v/>
      </c>
      <c r="M1395" s="24" t="str">
        <f>IF(OR($L1395="",$S1395=""),"",$L1395*$S1395)</f>
        <v/>
      </c>
      <c r="N1395" s="24" t="str">
        <f>IF(OR($L1395="",$T1395=""),"",$L1395*$T1395)</f>
        <v/>
      </c>
      <c r="O1395" s="15" t="str">
        <f>IF(D1395="","",
IF(AND(K1395&lt;&gt;"SIM",V1395&gt;0),"ERRO: % BC &gt; 0, mas NÃO permitida ❌",
IF(AND(K1395="SIM",V1395=0),"ATENÇÃO: BC permitida, mas % = 0 🔎",
"Base de cálculo aplicada corretamente ✅")))</f>
        <v/>
      </c>
      <c r="P1395" s="31" t="str">
        <f>IF(D1395="","",
IF(AND(Q1395&lt;&gt;"SIM",U1395&gt;0),"ERRO: % alíquota &gt; 0, mas NÃO permitida ❌",
IF(AND(Q1395="SIM",U1395=0),"ATENÇÃO: alíquota permitida, mas % = 0 🔎",
"Alíquota aplicada corretamente ✅")))</f>
        <v/>
      </c>
      <c r="Q1395" s="8" t="str">
        <f>IF(E1395="","",IFERROR(VLOOKUP(E1395,REGRAS_CST!$A$2:$D$200,4,FALSE),""))</f>
        <v/>
      </c>
      <c r="S1395" s="9">
        <f>IF($H1395="","",$H1395*(1-$U1395))</f>
        <v>8.9999999999999993E-3</v>
      </c>
      <c r="T1395" s="9">
        <f>IF($I1395="","",$I1395*(1-$U1395))</f>
        <v>1E-3</v>
      </c>
      <c r="U1395" s="16">
        <f>IFERROR(INDEX(BASE_CCLASSTRIB!$E:$E, MATCH(TEXT($D1395,"000000"), BASE_CCLASSTRIB!$A:$A, 0))/100, 0)</f>
        <v>0</v>
      </c>
      <c r="V1395" s="16">
        <f>IFERROR(INDEX(BASE_CCLASSTRIB!$F:$F, MATCH(TEXT($D1395,"000000"), BASE_CCLASSTRIB!$A:$A, 0))/100, 0)</f>
        <v>0</v>
      </c>
    </row>
    <row r="1396" spans="4:22" ht="32.25" customHeight="1">
      <c r="D1396" s="39"/>
      <c r="E1396" s="27" t="str">
        <f>IF(D1396="","",LEFT(D1396,3))</f>
        <v/>
      </c>
      <c r="F1396" s="28" t="str">
        <f>IF(E1396="","",IFERROR(VLOOKUP(E1396,REGRAS_CST!$A$2:$B$200,2,FALSE),""))</f>
        <v/>
      </c>
      <c r="H1396" s="29">
        <v>8.9999999999999993E-3</v>
      </c>
      <c r="I1396" s="29">
        <v>1E-3</v>
      </c>
      <c r="K1396" s="21" t="str">
        <f>IF(E1396="","",IFERROR(VLOOKUP(E1396,REGRAS_CST!$A$2:$C$200,3,FALSE),""))</f>
        <v/>
      </c>
      <c r="L1396" s="23" t="str">
        <f>IF($G1396="", "", $G1396*(1-$V1396))</f>
        <v/>
      </c>
      <c r="M1396" s="24" t="str">
        <f>IF(OR($L1396="",$S1396=""),"",$L1396*$S1396)</f>
        <v/>
      </c>
      <c r="N1396" s="24" t="str">
        <f>IF(OR($L1396="",$T1396=""),"",$L1396*$T1396)</f>
        <v/>
      </c>
      <c r="O1396" s="15" t="str">
        <f>IF(D1396="","",
IF(AND(K1396&lt;&gt;"SIM",V1396&gt;0),"ERRO: % BC &gt; 0, mas NÃO permitida ❌",
IF(AND(K1396="SIM",V1396=0),"ATENÇÃO: BC permitida, mas % = 0 🔎",
"Base de cálculo aplicada corretamente ✅")))</f>
        <v/>
      </c>
      <c r="P1396" s="31" t="str">
        <f>IF(D1396="","",
IF(AND(Q1396&lt;&gt;"SIM",U1396&gt;0),"ERRO: % alíquota &gt; 0, mas NÃO permitida ❌",
IF(AND(Q1396="SIM",U1396=0),"ATENÇÃO: alíquota permitida, mas % = 0 🔎",
"Alíquota aplicada corretamente ✅")))</f>
        <v/>
      </c>
      <c r="Q1396" s="8" t="str">
        <f>IF(E1396="","",IFERROR(VLOOKUP(E1396,REGRAS_CST!$A$2:$D$200,4,FALSE),""))</f>
        <v/>
      </c>
      <c r="S1396" s="9">
        <f>IF($H1396="","",$H1396*(1-$U1396))</f>
        <v>8.9999999999999993E-3</v>
      </c>
      <c r="T1396" s="9">
        <f>IF($I1396="","",$I1396*(1-$U1396))</f>
        <v>1E-3</v>
      </c>
      <c r="U1396" s="16">
        <f>IFERROR(INDEX(BASE_CCLASSTRIB!$E:$E, MATCH(TEXT($D1396,"000000"), BASE_CCLASSTRIB!$A:$A, 0))/100, 0)</f>
        <v>0</v>
      </c>
      <c r="V1396" s="16">
        <f>IFERROR(INDEX(BASE_CCLASSTRIB!$F:$F, MATCH(TEXT($D1396,"000000"), BASE_CCLASSTRIB!$A:$A, 0))/100, 0)</f>
        <v>0</v>
      </c>
    </row>
    <row r="1397" spans="4:22" ht="32.25" customHeight="1">
      <c r="D1397" s="39"/>
      <c r="E1397" s="27" t="str">
        <f>IF(D1397="","",LEFT(D1397,3))</f>
        <v/>
      </c>
      <c r="F1397" s="28" t="str">
        <f>IF(E1397="","",IFERROR(VLOOKUP(E1397,REGRAS_CST!$A$2:$B$200,2,FALSE),""))</f>
        <v/>
      </c>
      <c r="H1397" s="29">
        <v>8.9999999999999993E-3</v>
      </c>
      <c r="I1397" s="29">
        <v>1E-3</v>
      </c>
      <c r="K1397" s="21" t="str">
        <f>IF(E1397="","",IFERROR(VLOOKUP(E1397,REGRAS_CST!$A$2:$C$200,3,FALSE),""))</f>
        <v/>
      </c>
      <c r="L1397" s="23" t="str">
        <f>IF($G1397="", "", $G1397*(1-$V1397))</f>
        <v/>
      </c>
      <c r="M1397" s="24" t="str">
        <f>IF(OR($L1397="",$S1397=""),"",$L1397*$S1397)</f>
        <v/>
      </c>
      <c r="N1397" s="24" t="str">
        <f>IF(OR($L1397="",$T1397=""),"",$L1397*$T1397)</f>
        <v/>
      </c>
      <c r="O1397" s="15" t="str">
        <f>IF(D1397="","",
IF(AND(K1397&lt;&gt;"SIM",V1397&gt;0),"ERRO: % BC &gt; 0, mas NÃO permitida ❌",
IF(AND(K1397="SIM",V1397=0),"ATENÇÃO: BC permitida, mas % = 0 🔎",
"Base de cálculo aplicada corretamente ✅")))</f>
        <v/>
      </c>
      <c r="P1397" s="31" t="str">
        <f>IF(D1397="","",
IF(AND(Q1397&lt;&gt;"SIM",U1397&gt;0),"ERRO: % alíquota &gt; 0, mas NÃO permitida ❌",
IF(AND(Q1397="SIM",U1397=0),"ATENÇÃO: alíquota permitida, mas % = 0 🔎",
"Alíquota aplicada corretamente ✅")))</f>
        <v/>
      </c>
      <c r="Q1397" s="8" t="str">
        <f>IF(E1397="","",IFERROR(VLOOKUP(E1397,REGRAS_CST!$A$2:$D$200,4,FALSE),""))</f>
        <v/>
      </c>
      <c r="S1397" s="9">
        <f>IF($H1397="","",$H1397*(1-$U1397))</f>
        <v>8.9999999999999993E-3</v>
      </c>
      <c r="T1397" s="9">
        <f>IF($I1397="","",$I1397*(1-$U1397))</f>
        <v>1E-3</v>
      </c>
      <c r="U1397" s="16">
        <f>IFERROR(INDEX(BASE_CCLASSTRIB!$E:$E, MATCH(TEXT($D1397,"000000"), BASE_CCLASSTRIB!$A:$A, 0))/100, 0)</f>
        <v>0</v>
      </c>
      <c r="V1397" s="16">
        <f>IFERROR(INDEX(BASE_CCLASSTRIB!$F:$F, MATCH(TEXT($D1397,"000000"), BASE_CCLASSTRIB!$A:$A, 0))/100, 0)</f>
        <v>0</v>
      </c>
    </row>
    <row r="1398" spans="4:22" ht="32.25" customHeight="1">
      <c r="D1398" s="39"/>
      <c r="E1398" s="27" t="str">
        <f>IF(D1398="","",LEFT(D1398,3))</f>
        <v/>
      </c>
      <c r="F1398" s="28" t="str">
        <f>IF(E1398="","",IFERROR(VLOOKUP(E1398,REGRAS_CST!$A$2:$B$200,2,FALSE),""))</f>
        <v/>
      </c>
      <c r="H1398" s="29">
        <v>8.9999999999999993E-3</v>
      </c>
      <c r="I1398" s="29">
        <v>1E-3</v>
      </c>
      <c r="K1398" s="21" t="str">
        <f>IF(E1398="","",IFERROR(VLOOKUP(E1398,REGRAS_CST!$A$2:$C$200,3,FALSE),""))</f>
        <v/>
      </c>
      <c r="L1398" s="23" t="str">
        <f>IF($G1398="", "", $G1398*(1-$V1398))</f>
        <v/>
      </c>
      <c r="M1398" s="24" t="str">
        <f>IF(OR($L1398="",$S1398=""),"",$L1398*$S1398)</f>
        <v/>
      </c>
      <c r="N1398" s="24" t="str">
        <f>IF(OR($L1398="",$T1398=""),"",$L1398*$T1398)</f>
        <v/>
      </c>
      <c r="O1398" s="15" t="str">
        <f>IF(D1398="","",
IF(AND(K1398&lt;&gt;"SIM",V1398&gt;0),"ERRO: % BC &gt; 0, mas NÃO permitida ❌",
IF(AND(K1398="SIM",V1398=0),"ATENÇÃO: BC permitida, mas % = 0 🔎",
"Base de cálculo aplicada corretamente ✅")))</f>
        <v/>
      </c>
      <c r="P1398" s="31" t="str">
        <f>IF(D1398="","",
IF(AND(Q1398&lt;&gt;"SIM",U1398&gt;0),"ERRO: % alíquota &gt; 0, mas NÃO permitida ❌",
IF(AND(Q1398="SIM",U1398=0),"ATENÇÃO: alíquota permitida, mas % = 0 🔎",
"Alíquota aplicada corretamente ✅")))</f>
        <v/>
      </c>
      <c r="Q1398" s="8" t="str">
        <f>IF(E1398="","",IFERROR(VLOOKUP(E1398,REGRAS_CST!$A$2:$D$200,4,FALSE),""))</f>
        <v/>
      </c>
      <c r="S1398" s="9">
        <f>IF($H1398="","",$H1398*(1-$U1398))</f>
        <v>8.9999999999999993E-3</v>
      </c>
      <c r="T1398" s="9">
        <f>IF($I1398="","",$I1398*(1-$U1398))</f>
        <v>1E-3</v>
      </c>
      <c r="U1398" s="16">
        <f>IFERROR(INDEX(BASE_CCLASSTRIB!$E:$E, MATCH(TEXT($D1398,"000000"), BASE_CCLASSTRIB!$A:$A, 0))/100, 0)</f>
        <v>0</v>
      </c>
      <c r="V1398" s="16">
        <f>IFERROR(INDEX(BASE_CCLASSTRIB!$F:$F, MATCH(TEXT($D1398,"000000"), BASE_CCLASSTRIB!$A:$A, 0))/100, 0)</f>
        <v>0</v>
      </c>
    </row>
    <row r="1399" spans="4:22" ht="32.25" customHeight="1">
      <c r="D1399" s="39"/>
      <c r="E1399" s="27" t="str">
        <f>IF(D1399="","",LEFT(D1399,3))</f>
        <v/>
      </c>
      <c r="F1399" s="28" t="str">
        <f>IF(E1399="","",IFERROR(VLOOKUP(E1399,REGRAS_CST!$A$2:$B$200,2,FALSE),""))</f>
        <v/>
      </c>
      <c r="H1399" s="29">
        <v>8.9999999999999993E-3</v>
      </c>
      <c r="I1399" s="29">
        <v>1E-3</v>
      </c>
      <c r="K1399" s="21" t="str">
        <f>IF(E1399="","",IFERROR(VLOOKUP(E1399,REGRAS_CST!$A$2:$C$200,3,FALSE),""))</f>
        <v/>
      </c>
      <c r="L1399" s="23" t="str">
        <f>IF($G1399="", "", $G1399*(1-$V1399))</f>
        <v/>
      </c>
      <c r="M1399" s="24" t="str">
        <f>IF(OR($L1399="",$S1399=""),"",$L1399*$S1399)</f>
        <v/>
      </c>
      <c r="N1399" s="24" t="str">
        <f>IF(OR($L1399="",$T1399=""),"",$L1399*$T1399)</f>
        <v/>
      </c>
      <c r="O1399" s="15" t="str">
        <f>IF(D1399="","",
IF(AND(K1399&lt;&gt;"SIM",V1399&gt;0),"ERRO: % BC &gt; 0, mas NÃO permitida ❌",
IF(AND(K1399="SIM",V1399=0),"ATENÇÃO: BC permitida, mas % = 0 🔎",
"Base de cálculo aplicada corretamente ✅")))</f>
        <v/>
      </c>
      <c r="P1399" s="31" t="str">
        <f>IF(D1399="","",
IF(AND(Q1399&lt;&gt;"SIM",U1399&gt;0),"ERRO: % alíquota &gt; 0, mas NÃO permitida ❌",
IF(AND(Q1399="SIM",U1399=0),"ATENÇÃO: alíquota permitida, mas % = 0 🔎",
"Alíquota aplicada corretamente ✅")))</f>
        <v/>
      </c>
      <c r="Q1399" s="8" t="str">
        <f>IF(E1399="","",IFERROR(VLOOKUP(E1399,REGRAS_CST!$A$2:$D$200,4,FALSE),""))</f>
        <v/>
      </c>
      <c r="S1399" s="9">
        <f>IF($H1399="","",$H1399*(1-$U1399))</f>
        <v>8.9999999999999993E-3</v>
      </c>
      <c r="T1399" s="9">
        <f>IF($I1399="","",$I1399*(1-$U1399))</f>
        <v>1E-3</v>
      </c>
      <c r="U1399" s="16">
        <f>IFERROR(INDEX(BASE_CCLASSTRIB!$E:$E, MATCH(TEXT($D1399,"000000"), BASE_CCLASSTRIB!$A:$A, 0))/100, 0)</f>
        <v>0</v>
      </c>
      <c r="V1399" s="16">
        <f>IFERROR(INDEX(BASE_CCLASSTRIB!$F:$F, MATCH(TEXT($D1399,"000000"), BASE_CCLASSTRIB!$A:$A, 0))/100, 0)</f>
        <v>0</v>
      </c>
    </row>
    <row r="1400" spans="4:22" ht="32.25" customHeight="1">
      <c r="D1400" s="40"/>
      <c r="E1400" s="27" t="str">
        <f>IF(D1400="","",LEFT(D1400,3))</f>
        <v/>
      </c>
      <c r="F1400" s="28" t="str">
        <f>IF(E1400="","",IFERROR(VLOOKUP(E1400,REGRAS_CST!$A$2:$B$200,2,FALSE),""))</f>
        <v/>
      </c>
      <c r="H1400" s="29">
        <v>8.9999999999999993E-3</v>
      </c>
      <c r="I1400" s="29">
        <v>1E-3</v>
      </c>
      <c r="K1400" s="21" t="str">
        <f>IF(E1400="","",IFERROR(VLOOKUP(E1400,REGRAS_CST!$A$2:$C$200,3,FALSE),""))</f>
        <v/>
      </c>
      <c r="L1400" s="23" t="str">
        <f>IF($G1400="", "", $G1400*(1-$V1400))</f>
        <v/>
      </c>
      <c r="M1400" s="24" t="str">
        <f>IF(OR($L1400="",$S1400=""),"",$L1400*$S1400)</f>
        <v/>
      </c>
      <c r="N1400" s="24" t="str">
        <f>IF(OR($L1400="",$T1400=""),"",$L1400*$T1400)</f>
        <v/>
      </c>
      <c r="O1400" s="15" t="str">
        <f>IF(D1400="","",
IF(AND(K1400&lt;&gt;"SIM",V1400&gt;0),"ERRO: % BC &gt; 0, mas NÃO permitida ❌",
IF(AND(K1400="SIM",V1400=0),"ATENÇÃO: BC permitida, mas % = 0 🔎",
"Base de cálculo aplicada corretamente ✅")))</f>
        <v/>
      </c>
      <c r="P1400" s="31" t="str">
        <f>IF(D1400="","",
IF(AND(Q1400&lt;&gt;"SIM",U1400&gt;0),"ERRO: % alíquota &gt; 0, mas NÃO permitida ❌",
IF(AND(Q1400="SIM",U1400=0),"ATENÇÃO: alíquota permitida, mas % = 0 🔎",
"Alíquota aplicada corretamente ✅")))</f>
        <v/>
      </c>
      <c r="Q1400" s="8" t="str">
        <f>IF(E1400="","",IFERROR(VLOOKUP(E1400,REGRAS_CST!$A$2:$D$200,4,FALSE),""))</f>
        <v/>
      </c>
      <c r="S1400" s="9">
        <f>IF($H1400="","",$H1400*(1-$U1400))</f>
        <v>8.9999999999999993E-3</v>
      </c>
      <c r="T1400" s="9">
        <f>IF($I1400="","",$I1400*(1-$U1400))</f>
        <v>1E-3</v>
      </c>
      <c r="U1400" s="16">
        <f>IFERROR(INDEX(BASE_CCLASSTRIB!$E:$E, MATCH(TEXT($D1400,"000000"), BASE_CCLASSTRIB!$A:$A, 0))/100, 0)</f>
        <v>0</v>
      </c>
      <c r="V1400" s="16">
        <f>IFERROR(INDEX(BASE_CCLASSTRIB!$F:$F, MATCH(TEXT($D1400,"000000"), BASE_CCLASSTRIB!$A:$A, 0))/100, 0)</f>
        <v>0</v>
      </c>
    </row>
    <row r="1401" spans="4:22" ht="32.25" customHeight="1">
      <c r="D1401" s="39"/>
      <c r="E1401" s="27" t="str">
        <f>IF(D1401="","",LEFT(D1401,3))</f>
        <v/>
      </c>
      <c r="F1401" s="28" t="str">
        <f>IF(E1401="","",IFERROR(VLOOKUP(E1401,REGRAS_CST!$A$2:$B$200,2,FALSE),""))</f>
        <v/>
      </c>
      <c r="H1401" s="29">
        <v>8.9999999999999993E-3</v>
      </c>
      <c r="I1401" s="29">
        <v>1E-3</v>
      </c>
      <c r="K1401" s="21" t="str">
        <f>IF(E1401="","",IFERROR(VLOOKUP(E1401,REGRAS_CST!$A$2:$C$200,3,FALSE),""))</f>
        <v/>
      </c>
      <c r="L1401" s="23" t="str">
        <f>IF($G1401="", "", $G1401*(1-$V1401))</f>
        <v/>
      </c>
      <c r="M1401" s="24" t="str">
        <f>IF(OR($L1401="",$S1401=""),"",$L1401*$S1401)</f>
        <v/>
      </c>
      <c r="N1401" s="24" t="str">
        <f>IF(OR($L1401="",$T1401=""),"",$L1401*$T1401)</f>
        <v/>
      </c>
      <c r="O1401" s="15" t="str">
        <f>IF(D1401="","",
IF(AND(K1401&lt;&gt;"SIM",V1401&gt;0),"ERRO: % BC &gt; 0, mas NÃO permitida ❌",
IF(AND(K1401="SIM",V1401=0),"ATENÇÃO: BC permitida, mas % = 0 🔎",
"Base de cálculo aplicada corretamente ✅")))</f>
        <v/>
      </c>
      <c r="P1401" s="31" t="str">
        <f>IF(D1401="","",
IF(AND(Q1401&lt;&gt;"SIM",U1401&gt;0),"ERRO: % alíquota &gt; 0, mas NÃO permitida ❌",
IF(AND(Q1401="SIM",U1401=0),"ATENÇÃO: alíquota permitida, mas % = 0 🔎",
"Alíquota aplicada corretamente ✅")))</f>
        <v/>
      </c>
      <c r="Q1401" s="8" t="str">
        <f>IF(E1401="","",IFERROR(VLOOKUP(E1401,REGRAS_CST!$A$2:$D$200,4,FALSE),""))</f>
        <v/>
      </c>
      <c r="S1401" s="9">
        <f>IF($H1401="","",$H1401*(1-$U1401))</f>
        <v>8.9999999999999993E-3</v>
      </c>
      <c r="T1401" s="9">
        <f>IF($I1401="","",$I1401*(1-$U1401))</f>
        <v>1E-3</v>
      </c>
      <c r="U1401" s="16">
        <f>IFERROR(INDEX(BASE_CCLASSTRIB!$E:$E, MATCH(TEXT($D1401,"000000"), BASE_CCLASSTRIB!$A:$A, 0))/100, 0)</f>
        <v>0</v>
      </c>
      <c r="V1401" s="16">
        <f>IFERROR(INDEX(BASE_CCLASSTRIB!$F:$F, MATCH(TEXT($D1401,"000000"), BASE_CCLASSTRIB!$A:$A, 0))/100, 0)</f>
        <v>0</v>
      </c>
    </row>
    <row r="1402" spans="4:22" ht="32.25" customHeight="1">
      <c r="D1402" s="40"/>
      <c r="E1402" s="27" t="str">
        <f>IF(D1402="","",LEFT(D1402,3))</f>
        <v/>
      </c>
      <c r="F1402" s="28" t="str">
        <f>IF(E1402="","",IFERROR(VLOOKUP(E1402,REGRAS_CST!$A$2:$B$200,2,FALSE),""))</f>
        <v/>
      </c>
      <c r="H1402" s="29">
        <v>8.9999999999999993E-3</v>
      </c>
      <c r="I1402" s="29">
        <v>1E-3</v>
      </c>
      <c r="K1402" s="21" t="str">
        <f>IF(E1402="","",IFERROR(VLOOKUP(E1402,REGRAS_CST!$A$2:$C$200,3,FALSE),""))</f>
        <v/>
      </c>
      <c r="L1402" s="23" t="str">
        <f>IF($G1402="", "", $G1402*(1-$V1402))</f>
        <v/>
      </c>
      <c r="M1402" s="24" t="str">
        <f>IF(OR($L1402="",$S1402=""),"",$L1402*$S1402)</f>
        <v/>
      </c>
      <c r="N1402" s="24" t="str">
        <f>IF(OR($L1402="",$T1402=""),"",$L1402*$T1402)</f>
        <v/>
      </c>
      <c r="O1402" s="15" t="str">
        <f>IF(D1402="","",
IF(AND(K1402&lt;&gt;"SIM",V1402&gt;0),"ERRO: % BC &gt; 0, mas NÃO permitida ❌",
IF(AND(K1402="SIM",V1402=0),"ATENÇÃO: BC permitida, mas % = 0 🔎",
"Base de cálculo aplicada corretamente ✅")))</f>
        <v/>
      </c>
      <c r="P1402" s="31" t="str">
        <f>IF(D1402="","",
IF(AND(Q1402&lt;&gt;"SIM",U1402&gt;0),"ERRO: % alíquota &gt; 0, mas NÃO permitida ❌",
IF(AND(Q1402="SIM",U1402=0),"ATENÇÃO: alíquota permitida, mas % = 0 🔎",
"Alíquota aplicada corretamente ✅")))</f>
        <v/>
      </c>
      <c r="Q1402" s="8" t="str">
        <f>IF(E1402="","",IFERROR(VLOOKUP(E1402,REGRAS_CST!$A$2:$D$200,4,FALSE),""))</f>
        <v/>
      </c>
      <c r="S1402" s="9">
        <f>IF($H1402="","",$H1402*(1-$U1402))</f>
        <v>8.9999999999999993E-3</v>
      </c>
      <c r="T1402" s="9">
        <f>IF($I1402="","",$I1402*(1-$U1402))</f>
        <v>1E-3</v>
      </c>
      <c r="U1402" s="16">
        <f>IFERROR(INDEX(BASE_CCLASSTRIB!$E:$E, MATCH(TEXT($D1402,"000000"), BASE_CCLASSTRIB!$A:$A, 0))/100, 0)</f>
        <v>0</v>
      </c>
      <c r="V1402" s="16">
        <f>IFERROR(INDEX(BASE_CCLASSTRIB!$F:$F, MATCH(TEXT($D1402,"000000"), BASE_CCLASSTRIB!$A:$A, 0))/100, 0)</f>
        <v>0</v>
      </c>
    </row>
    <row r="1403" spans="4:22" ht="32.25" customHeight="1">
      <c r="D1403" s="39"/>
      <c r="E1403" s="27" t="str">
        <f>IF(D1403="","",LEFT(D1403,3))</f>
        <v/>
      </c>
      <c r="F1403" s="28" t="str">
        <f>IF(E1403="","",IFERROR(VLOOKUP(E1403,REGRAS_CST!$A$2:$B$200,2,FALSE),""))</f>
        <v/>
      </c>
      <c r="H1403" s="29">
        <v>8.9999999999999993E-3</v>
      </c>
      <c r="I1403" s="29">
        <v>1E-3</v>
      </c>
      <c r="K1403" s="21" t="str">
        <f>IF(E1403="","",IFERROR(VLOOKUP(E1403,REGRAS_CST!$A$2:$C$200,3,FALSE),""))</f>
        <v/>
      </c>
      <c r="L1403" s="23" t="str">
        <f>IF($G1403="", "", $G1403*(1-$V1403))</f>
        <v/>
      </c>
      <c r="M1403" s="24" t="str">
        <f>IF(OR($L1403="",$S1403=""),"",$L1403*$S1403)</f>
        <v/>
      </c>
      <c r="N1403" s="24" t="str">
        <f>IF(OR($L1403="",$T1403=""),"",$L1403*$T1403)</f>
        <v/>
      </c>
      <c r="O1403" s="15" t="str">
        <f>IF(D1403="","",
IF(AND(K1403&lt;&gt;"SIM",V1403&gt;0),"ERRO: % BC &gt; 0, mas NÃO permitida ❌",
IF(AND(K1403="SIM",V1403=0),"ATENÇÃO: BC permitida, mas % = 0 🔎",
"Base de cálculo aplicada corretamente ✅")))</f>
        <v/>
      </c>
      <c r="P1403" s="31" t="str">
        <f>IF(D1403="","",
IF(AND(Q1403&lt;&gt;"SIM",U1403&gt;0),"ERRO: % alíquota &gt; 0, mas NÃO permitida ❌",
IF(AND(Q1403="SIM",U1403=0),"ATENÇÃO: alíquota permitida, mas % = 0 🔎",
"Alíquota aplicada corretamente ✅")))</f>
        <v/>
      </c>
      <c r="Q1403" s="8" t="str">
        <f>IF(E1403="","",IFERROR(VLOOKUP(E1403,REGRAS_CST!$A$2:$D$200,4,FALSE),""))</f>
        <v/>
      </c>
      <c r="S1403" s="9">
        <f>IF($H1403="","",$H1403*(1-$U1403))</f>
        <v>8.9999999999999993E-3</v>
      </c>
      <c r="T1403" s="9">
        <f>IF($I1403="","",$I1403*(1-$U1403))</f>
        <v>1E-3</v>
      </c>
      <c r="U1403" s="16">
        <f>IFERROR(INDEX(BASE_CCLASSTRIB!$E:$E, MATCH(TEXT($D1403,"000000"), BASE_CCLASSTRIB!$A:$A, 0))/100, 0)</f>
        <v>0</v>
      </c>
      <c r="V1403" s="16">
        <f>IFERROR(INDEX(BASE_CCLASSTRIB!$F:$F, MATCH(TEXT($D1403,"000000"), BASE_CCLASSTRIB!$A:$A, 0))/100, 0)</f>
        <v>0</v>
      </c>
    </row>
    <row r="1404" spans="4:22" ht="32.25" customHeight="1">
      <c r="D1404" s="39"/>
      <c r="E1404" s="27" t="str">
        <f>IF(D1404="","",LEFT(D1404,3))</f>
        <v/>
      </c>
      <c r="F1404" s="28" t="str">
        <f>IF(E1404="","",IFERROR(VLOOKUP(E1404,REGRAS_CST!$A$2:$B$200,2,FALSE),""))</f>
        <v/>
      </c>
      <c r="H1404" s="29">
        <v>8.9999999999999993E-3</v>
      </c>
      <c r="I1404" s="29">
        <v>1E-3</v>
      </c>
      <c r="K1404" s="21" t="str">
        <f>IF(E1404="","",IFERROR(VLOOKUP(E1404,REGRAS_CST!$A$2:$C$200,3,FALSE),""))</f>
        <v/>
      </c>
      <c r="L1404" s="23" t="str">
        <f>IF($G1404="", "", $G1404*(1-$V1404))</f>
        <v/>
      </c>
      <c r="M1404" s="24" t="str">
        <f>IF(OR($L1404="",$S1404=""),"",$L1404*$S1404)</f>
        <v/>
      </c>
      <c r="N1404" s="24" t="str">
        <f>IF(OR($L1404="",$T1404=""),"",$L1404*$T1404)</f>
        <v/>
      </c>
      <c r="O1404" s="15" t="str">
        <f>IF(D1404="","",
IF(AND(K1404&lt;&gt;"SIM",V1404&gt;0),"ERRO: % BC &gt; 0, mas NÃO permitida ❌",
IF(AND(K1404="SIM",V1404=0),"ATENÇÃO: BC permitida, mas % = 0 🔎",
"Base de cálculo aplicada corretamente ✅")))</f>
        <v/>
      </c>
      <c r="P1404" s="31" t="str">
        <f>IF(D1404="","",
IF(AND(Q1404&lt;&gt;"SIM",U1404&gt;0),"ERRO: % alíquota &gt; 0, mas NÃO permitida ❌",
IF(AND(Q1404="SIM",U1404=0),"ATENÇÃO: alíquota permitida, mas % = 0 🔎",
"Alíquota aplicada corretamente ✅")))</f>
        <v/>
      </c>
      <c r="Q1404" s="8" t="str">
        <f>IF(E1404="","",IFERROR(VLOOKUP(E1404,REGRAS_CST!$A$2:$D$200,4,FALSE),""))</f>
        <v/>
      </c>
      <c r="S1404" s="9">
        <f>IF($H1404="","",$H1404*(1-$U1404))</f>
        <v>8.9999999999999993E-3</v>
      </c>
      <c r="T1404" s="9">
        <f>IF($I1404="","",$I1404*(1-$U1404))</f>
        <v>1E-3</v>
      </c>
      <c r="U1404" s="16">
        <f>IFERROR(INDEX(BASE_CCLASSTRIB!$E:$E, MATCH(TEXT($D1404,"000000"), BASE_CCLASSTRIB!$A:$A, 0))/100, 0)</f>
        <v>0</v>
      </c>
      <c r="V1404" s="16">
        <f>IFERROR(INDEX(BASE_CCLASSTRIB!$F:$F, MATCH(TEXT($D1404,"000000"), BASE_CCLASSTRIB!$A:$A, 0))/100, 0)</f>
        <v>0</v>
      </c>
    </row>
    <row r="1405" spans="4:22" ht="32.25" customHeight="1">
      <c r="D1405" s="40"/>
      <c r="E1405" s="27" t="str">
        <f>IF(D1405="","",LEFT(D1405,3))</f>
        <v/>
      </c>
      <c r="F1405" s="28" t="str">
        <f>IF(E1405="","",IFERROR(VLOOKUP(E1405,REGRAS_CST!$A$2:$B$200,2,FALSE),""))</f>
        <v/>
      </c>
      <c r="H1405" s="29">
        <v>8.9999999999999993E-3</v>
      </c>
      <c r="I1405" s="29">
        <v>1E-3</v>
      </c>
      <c r="K1405" s="21" t="str">
        <f>IF(E1405="","",IFERROR(VLOOKUP(E1405,REGRAS_CST!$A$2:$C$200,3,FALSE),""))</f>
        <v/>
      </c>
      <c r="L1405" s="23" t="str">
        <f>IF($G1405="", "", $G1405*(1-$V1405))</f>
        <v/>
      </c>
      <c r="M1405" s="24" t="str">
        <f>IF(OR($L1405="",$S1405=""),"",$L1405*$S1405)</f>
        <v/>
      </c>
      <c r="N1405" s="24" t="str">
        <f>IF(OR($L1405="",$T1405=""),"",$L1405*$T1405)</f>
        <v/>
      </c>
      <c r="O1405" s="15" t="str">
        <f>IF(D1405="","",
IF(AND(K1405&lt;&gt;"SIM",V1405&gt;0),"ERRO: % BC &gt; 0, mas NÃO permitida ❌",
IF(AND(K1405="SIM",V1405=0),"ATENÇÃO: BC permitida, mas % = 0 🔎",
"Base de cálculo aplicada corretamente ✅")))</f>
        <v/>
      </c>
      <c r="P1405" s="31" t="str">
        <f>IF(D1405="","",
IF(AND(Q1405&lt;&gt;"SIM",U1405&gt;0),"ERRO: % alíquota &gt; 0, mas NÃO permitida ❌",
IF(AND(Q1405="SIM",U1405=0),"ATENÇÃO: alíquota permitida, mas % = 0 🔎",
"Alíquota aplicada corretamente ✅")))</f>
        <v/>
      </c>
      <c r="Q1405" s="8" t="str">
        <f>IF(E1405="","",IFERROR(VLOOKUP(E1405,REGRAS_CST!$A$2:$D$200,4,FALSE),""))</f>
        <v/>
      </c>
      <c r="S1405" s="9">
        <f>IF($H1405="","",$H1405*(1-$U1405))</f>
        <v>8.9999999999999993E-3</v>
      </c>
      <c r="T1405" s="9">
        <f>IF($I1405="","",$I1405*(1-$U1405))</f>
        <v>1E-3</v>
      </c>
      <c r="U1405" s="16">
        <f>IFERROR(INDEX(BASE_CCLASSTRIB!$E:$E, MATCH(TEXT($D1405,"000000"), BASE_CCLASSTRIB!$A:$A, 0))/100, 0)</f>
        <v>0</v>
      </c>
      <c r="V1405" s="16">
        <f>IFERROR(INDEX(BASE_CCLASSTRIB!$F:$F, MATCH(TEXT($D1405,"000000"), BASE_CCLASSTRIB!$A:$A, 0))/100, 0)</f>
        <v>0</v>
      </c>
    </row>
    <row r="1406" spans="4:22" ht="32.25" customHeight="1">
      <c r="D1406" s="39"/>
      <c r="E1406" s="27" t="str">
        <f>IF(D1406="","",LEFT(D1406,3))</f>
        <v/>
      </c>
      <c r="F1406" s="28" t="str">
        <f>IF(E1406="","",IFERROR(VLOOKUP(E1406,REGRAS_CST!$A$2:$B$200,2,FALSE),""))</f>
        <v/>
      </c>
      <c r="H1406" s="29">
        <v>8.9999999999999993E-3</v>
      </c>
      <c r="I1406" s="29">
        <v>1E-3</v>
      </c>
      <c r="K1406" s="21" t="str">
        <f>IF(E1406="","",IFERROR(VLOOKUP(E1406,REGRAS_CST!$A$2:$C$200,3,FALSE),""))</f>
        <v/>
      </c>
      <c r="L1406" s="23" t="str">
        <f>IF($G1406="", "", $G1406*(1-$V1406))</f>
        <v/>
      </c>
      <c r="M1406" s="24" t="str">
        <f>IF(OR($L1406="",$S1406=""),"",$L1406*$S1406)</f>
        <v/>
      </c>
      <c r="N1406" s="24" t="str">
        <f>IF(OR($L1406="",$T1406=""),"",$L1406*$T1406)</f>
        <v/>
      </c>
      <c r="O1406" s="15" t="str">
        <f>IF(D1406="","",
IF(AND(K1406&lt;&gt;"SIM",V1406&gt;0),"ERRO: % BC &gt; 0, mas NÃO permitida ❌",
IF(AND(K1406="SIM",V1406=0),"ATENÇÃO: BC permitida, mas % = 0 🔎",
"Base de cálculo aplicada corretamente ✅")))</f>
        <v/>
      </c>
      <c r="P1406" s="31" t="str">
        <f>IF(D1406="","",
IF(AND(Q1406&lt;&gt;"SIM",U1406&gt;0),"ERRO: % alíquota &gt; 0, mas NÃO permitida ❌",
IF(AND(Q1406="SIM",U1406=0),"ATENÇÃO: alíquota permitida, mas % = 0 🔎",
"Alíquota aplicada corretamente ✅")))</f>
        <v/>
      </c>
      <c r="Q1406" s="8" t="str">
        <f>IF(E1406="","",IFERROR(VLOOKUP(E1406,REGRAS_CST!$A$2:$D$200,4,FALSE),""))</f>
        <v/>
      </c>
      <c r="S1406" s="9">
        <f>IF($H1406="","",$H1406*(1-$U1406))</f>
        <v>8.9999999999999993E-3</v>
      </c>
      <c r="T1406" s="9">
        <f>IF($I1406="","",$I1406*(1-$U1406))</f>
        <v>1E-3</v>
      </c>
      <c r="U1406" s="16">
        <f>IFERROR(INDEX(BASE_CCLASSTRIB!$E:$E, MATCH(TEXT($D1406,"000000"), BASE_CCLASSTRIB!$A:$A, 0))/100, 0)</f>
        <v>0</v>
      </c>
      <c r="V1406" s="16">
        <f>IFERROR(INDEX(BASE_CCLASSTRIB!$F:$F, MATCH(TEXT($D1406,"000000"), BASE_CCLASSTRIB!$A:$A, 0))/100, 0)</f>
        <v>0</v>
      </c>
    </row>
    <row r="1407" spans="4:22" ht="32.25" customHeight="1">
      <c r="D1407" s="39"/>
      <c r="E1407" s="27" t="str">
        <f>IF(D1407="","",LEFT(D1407,3))</f>
        <v/>
      </c>
      <c r="F1407" s="28" t="str">
        <f>IF(E1407="","",IFERROR(VLOOKUP(E1407,REGRAS_CST!$A$2:$B$200,2,FALSE),""))</f>
        <v/>
      </c>
      <c r="H1407" s="29">
        <v>8.9999999999999993E-3</v>
      </c>
      <c r="I1407" s="29">
        <v>1E-3</v>
      </c>
      <c r="K1407" s="21" t="str">
        <f>IF(E1407="","",IFERROR(VLOOKUP(E1407,REGRAS_CST!$A$2:$C$200,3,FALSE),""))</f>
        <v/>
      </c>
      <c r="L1407" s="23" t="str">
        <f>IF($G1407="", "", $G1407*(1-$V1407))</f>
        <v/>
      </c>
      <c r="M1407" s="24" t="str">
        <f>IF(OR($L1407="",$S1407=""),"",$L1407*$S1407)</f>
        <v/>
      </c>
      <c r="N1407" s="24" t="str">
        <f>IF(OR($L1407="",$T1407=""),"",$L1407*$T1407)</f>
        <v/>
      </c>
      <c r="O1407" s="15" t="str">
        <f>IF(D1407="","",
IF(AND(K1407&lt;&gt;"SIM",V1407&gt;0),"ERRO: % BC &gt; 0, mas NÃO permitida ❌",
IF(AND(K1407="SIM",V1407=0),"ATENÇÃO: BC permitida, mas % = 0 🔎",
"Base de cálculo aplicada corretamente ✅")))</f>
        <v/>
      </c>
      <c r="P1407" s="31" t="str">
        <f>IF(D1407="","",
IF(AND(Q1407&lt;&gt;"SIM",U1407&gt;0),"ERRO: % alíquota &gt; 0, mas NÃO permitida ❌",
IF(AND(Q1407="SIM",U1407=0),"ATENÇÃO: alíquota permitida, mas % = 0 🔎",
"Alíquota aplicada corretamente ✅")))</f>
        <v/>
      </c>
      <c r="Q1407" s="8" t="str">
        <f>IF(E1407="","",IFERROR(VLOOKUP(E1407,REGRAS_CST!$A$2:$D$200,4,FALSE),""))</f>
        <v/>
      </c>
      <c r="S1407" s="9">
        <f>IF($H1407="","",$H1407*(1-$U1407))</f>
        <v>8.9999999999999993E-3</v>
      </c>
      <c r="T1407" s="9">
        <f>IF($I1407="","",$I1407*(1-$U1407))</f>
        <v>1E-3</v>
      </c>
      <c r="U1407" s="16">
        <f>IFERROR(INDEX(BASE_CCLASSTRIB!$E:$E, MATCH(TEXT($D1407,"000000"), BASE_CCLASSTRIB!$A:$A, 0))/100, 0)</f>
        <v>0</v>
      </c>
      <c r="V1407" s="16">
        <f>IFERROR(INDEX(BASE_CCLASSTRIB!$F:$F, MATCH(TEXT($D1407,"000000"), BASE_CCLASSTRIB!$A:$A, 0))/100, 0)</f>
        <v>0</v>
      </c>
    </row>
    <row r="1408" spans="4:22" ht="32.25" customHeight="1">
      <c r="D1408" s="39"/>
      <c r="E1408" s="27" t="str">
        <f>IF(D1408="","",LEFT(D1408,3))</f>
        <v/>
      </c>
      <c r="F1408" s="28" t="str">
        <f>IF(E1408="","",IFERROR(VLOOKUP(E1408,REGRAS_CST!$A$2:$B$200,2,FALSE),""))</f>
        <v/>
      </c>
      <c r="H1408" s="29">
        <v>8.9999999999999993E-3</v>
      </c>
      <c r="I1408" s="29">
        <v>1E-3</v>
      </c>
      <c r="K1408" s="21" t="str">
        <f>IF(E1408="","",IFERROR(VLOOKUP(E1408,REGRAS_CST!$A$2:$C$200,3,FALSE),""))</f>
        <v/>
      </c>
      <c r="L1408" s="23" t="str">
        <f>IF($G1408="", "", $G1408*(1-$V1408))</f>
        <v/>
      </c>
      <c r="M1408" s="24" t="str">
        <f>IF(OR($L1408="",$S1408=""),"",$L1408*$S1408)</f>
        <v/>
      </c>
      <c r="N1408" s="24" t="str">
        <f>IF(OR($L1408="",$T1408=""),"",$L1408*$T1408)</f>
        <v/>
      </c>
      <c r="O1408" s="15" t="str">
        <f>IF(D1408="","",
IF(AND(K1408&lt;&gt;"SIM",V1408&gt;0),"ERRO: % BC &gt; 0, mas NÃO permitida ❌",
IF(AND(K1408="SIM",V1408=0),"ATENÇÃO: BC permitida, mas % = 0 🔎",
"Base de cálculo aplicada corretamente ✅")))</f>
        <v/>
      </c>
      <c r="P1408" s="31" t="str">
        <f>IF(D1408="","",
IF(AND(Q1408&lt;&gt;"SIM",U1408&gt;0),"ERRO: % alíquota &gt; 0, mas NÃO permitida ❌",
IF(AND(Q1408="SIM",U1408=0),"ATENÇÃO: alíquota permitida, mas % = 0 🔎",
"Alíquota aplicada corretamente ✅")))</f>
        <v/>
      </c>
      <c r="Q1408" s="8" t="str">
        <f>IF(E1408="","",IFERROR(VLOOKUP(E1408,REGRAS_CST!$A$2:$D$200,4,FALSE),""))</f>
        <v/>
      </c>
      <c r="S1408" s="9">
        <f>IF($H1408="","",$H1408*(1-$U1408))</f>
        <v>8.9999999999999993E-3</v>
      </c>
      <c r="T1408" s="9">
        <f>IF($I1408="","",$I1408*(1-$U1408))</f>
        <v>1E-3</v>
      </c>
      <c r="U1408" s="16">
        <f>IFERROR(INDEX(BASE_CCLASSTRIB!$E:$E, MATCH(TEXT($D1408,"000000"), BASE_CCLASSTRIB!$A:$A, 0))/100, 0)</f>
        <v>0</v>
      </c>
      <c r="V1408" s="16">
        <f>IFERROR(INDEX(BASE_CCLASSTRIB!$F:$F, MATCH(TEXT($D1408,"000000"), BASE_CCLASSTRIB!$A:$A, 0))/100, 0)</f>
        <v>0</v>
      </c>
    </row>
    <row r="1409" spans="4:22" ht="32.25" customHeight="1">
      <c r="D1409" s="39"/>
      <c r="E1409" s="27" t="str">
        <f>IF(D1409="","",LEFT(D1409,3))</f>
        <v/>
      </c>
      <c r="F1409" s="28" t="str">
        <f>IF(E1409="","",IFERROR(VLOOKUP(E1409,REGRAS_CST!$A$2:$B$200,2,FALSE),""))</f>
        <v/>
      </c>
      <c r="H1409" s="29">
        <v>8.9999999999999993E-3</v>
      </c>
      <c r="I1409" s="29">
        <v>1E-3</v>
      </c>
      <c r="K1409" s="21" t="str">
        <f>IF(E1409="","",IFERROR(VLOOKUP(E1409,REGRAS_CST!$A$2:$C$200,3,FALSE),""))</f>
        <v/>
      </c>
      <c r="L1409" s="23" t="str">
        <f>IF($G1409="", "", $G1409*(1-$V1409))</f>
        <v/>
      </c>
      <c r="M1409" s="24" t="str">
        <f>IF(OR($L1409="",$S1409=""),"",$L1409*$S1409)</f>
        <v/>
      </c>
      <c r="N1409" s="24" t="str">
        <f>IF(OR($L1409="",$T1409=""),"",$L1409*$T1409)</f>
        <v/>
      </c>
      <c r="O1409" s="15" t="str">
        <f>IF(D1409="","",
IF(AND(K1409&lt;&gt;"SIM",V1409&gt;0),"ERRO: % BC &gt; 0, mas NÃO permitida ❌",
IF(AND(K1409="SIM",V1409=0),"ATENÇÃO: BC permitida, mas % = 0 🔎",
"Base de cálculo aplicada corretamente ✅")))</f>
        <v/>
      </c>
      <c r="P1409" s="31" t="str">
        <f>IF(D1409="","",
IF(AND(Q1409&lt;&gt;"SIM",U1409&gt;0),"ERRO: % alíquota &gt; 0, mas NÃO permitida ❌",
IF(AND(Q1409="SIM",U1409=0),"ATENÇÃO: alíquota permitida, mas % = 0 🔎",
"Alíquota aplicada corretamente ✅")))</f>
        <v/>
      </c>
      <c r="Q1409" s="8" t="str">
        <f>IF(E1409="","",IFERROR(VLOOKUP(E1409,REGRAS_CST!$A$2:$D$200,4,FALSE),""))</f>
        <v/>
      </c>
      <c r="S1409" s="9">
        <f>IF($H1409="","",$H1409*(1-$U1409))</f>
        <v>8.9999999999999993E-3</v>
      </c>
      <c r="T1409" s="9">
        <f>IF($I1409="","",$I1409*(1-$U1409))</f>
        <v>1E-3</v>
      </c>
      <c r="U1409" s="16">
        <f>IFERROR(INDEX(BASE_CCLASSTRIB!$E:$E, MATCH(TEXT($D1409,"000000"), BASE_CCLASSTRIB!$A:$A, 0))/100, 0)</f>
        <v>0</v>
      </c>
      <c r="V1409" s="16">
        <f>IFERROR(INDEX(BASE_CCLASSTRIB!$F:$F, MATCH(TEXT($D1409,"000000"), BASE_CCLASSTRIB!$A:$A, 0))/100, 0)</f>
        <v>0</v>
      </c>
    </row>
    <row r="1410" spans="4:22" ht="32.25" customHeight="1">
      <c r="D1410" s="39"/>
      <c r="E1410" s="27" t="str">
        <f>IF(D1410="","",LEFT(D1410,3))</f>
        <v/>
      </c>
      <c r="F1410" s="28" t="str">
        <f>IF(E1410="","",IFERROR(VLOOKUP(E1410,REGRAS_CST!$A$2:$B$200,2,FALSE),""))</f>
        <v/>
      </c>
      <c r="H1410" s="29">
        <v>8.9999999999999993E-3</v>
      </c>
      <c r="I1410" s="29">
        <v>1E-3</v>
      </c>
      <c r="K1410" s="21" t="str">
        <f>IF(E1410="","",IFERROR(VLOOKUP(E1410,REGRAS_CST!$A$2:$C$200,3,FALSE),""))</f>
        <v/>
      </c>
      <c r="L1410" s="23" t="str">
        <f>IF($G1410="", "", $G1410*(1-$V1410))</f>
        <v/>
      </c>
      <c r="M1410" s="24" t="str">
        <f>IF(OR($L1410="",$S1410=""),"",$L1410*$S1410)</f>
        <v/>
      </c>
      <c r="N1410" s="24" t="str">
        <f>IF(OR($L1410="",$T1410=""),"",$L1410*$T1410)</f>
        <v/>
      </c>
      <c r="O1410" s="15" t="str">
        <f>IF(D1410="","",
IF(AND(K1410&lt;&gt;"SIM",V1410&gt;0),"ERRO: % BC &gt; 0, mas NÃO permitida ❌",
IF(AND(K1410="SIM",V1410=0),"ATENÇÃO: BC permitida, mas % = 0 🔎",
"Base de cálculo aplicada corretamente ✅")))</f>
        <v/>
      </c>
      <c r="P1410" s="31" t="str">
        <f>IF(D1410="","",
IF(AND(Q1410&lt;&gt;"SIM",U1410&gt;0),"ERRO: % alíquota &gt; 0, mas NÃO permitida ❌",
IF(AND(Q1410="SIM",U1410=0),"ATENÇÃO: alíquota permitida, mas % = 0 🔎",
"Alíquota aplicada corretamente ✅")))</f>
        <v/>
      </c>
      <c r="Q1410" s="8" t="str">
        <f>IF(E1410="","",IFERROR(VLOOKUP(E1410,REGRAS_CST!$A$2:$D$200,4,FALSE),""))</f>
        <v/>
      </c>
      <c r="S1410" s="9">
        <f>IF($H1410="","",$H1410*(1-$U1410))</f>
        <v>8.9999999999999993E-3</v>
      </c>
      <c r="T1410" s="9">
        <f>IF($I1410="","",$I1410*(1-$U1410))</f>
        <v>1E-3</v>
      </c>
      <c r="U1410" s="16">
        <f>IFERROR(INDEX(BASE_CCLASSTRIB!$E:$E, MATCH(TEXT($D1410,"000000"), BASE_CCLASSTRIB!$A:$A, 0))/100, 0)</f>
        <v>0</v>
      </c>
      <c r="V1410" s="16">
        <f>IFERROR(INDEX(BASE_CCLASSTRIB!$F:$F, MATCH(TEXT($D1410,"000000"), BASE_CCLASSTRIB!$A:$A, 0))/100, 0)</f>
        <v>0</v>
      </c>
    </row>
    <row r="1411" spans="4:22" ht="32.25" customHeight="1">
      <c r="D1411" s="40"/>
      <c r="E1411" s="27" t="str">
        <f>IF(D1411="","",LEFT(D1411,3))</f>
        <v/>
      </c>
      <c r="F1411" s="28" t="str">
        <f>IF(E1411="","",IFERROR(VLOOKUP(E1411,REGRAS_CST!$A$2:$B$200,2,FALSE),""))</f>
        <v/>
      </c>
      <c r="H1411" s="29">
        <v>8.9999999999999993E-3</v>
      </c>
      <c r="I1411" s="29">
        <v>1E-3</v>
      </c>
      <c r="K1411" s="21" t="str">
        <f>IF(E1411="","",IFERROR(VLOOKUP(E1411,REGRAS_CST!$A$2:$C$200,3,FALSE),""))</f>
        <v/>
      </c>
      <c r="L1411" s="23" t="str">
        <f>IF($G1411="", "", $G1411*(1-$V1411))</f>
        <v/>
      </c>
      <c r="M1411" s="24" t="str">
        <f>IF(OR($L1411="",$S1411=""),"",$L1411*$S1411)</f>
        <v/>
      </c>
      <c r="N1411" s="24" t="str">
        <f>IF(OR($L1411="",$T1411=""),"",$L1411*$T1411)</f>
        <v/>
      </c>
      <c r="O1411" s="15" t="str">
        <f>IF(D1411="","",
IF(AND(K1411&lt;&gt;"SIM",V1411&gt;0),"ERRO: % BC &gt; 0, mas NÃO permitida ❌",
IF(AND(K1411="SIM",V1411=0),"ATENÇÃO: BC permitida, mas % = 0 🔎",
"Base de cálculo aplicada corretamente ✅")))</f>
        <v/>
      </c>
      <c r="P1411" s="31" t="str">
        <f>IF(D1411="","",
IF(AND(Q1411&lt;&gt;"SIM",U1411&gt;0),"ERRO: % alíquota &gt; 0, mas NÃO permitida ❌",
IF(AND(Q1411="SIM",U1411=0),"ATENÇÃO: alíquota permitida, mas % = 0 🔎",
"Alíquota aplicada corretamente ✅")))</f>
        <v/>
      </c>
      <c r="Q1411" s="8" t="str">
        <f>IF(E1411="","",IFERROR(VLOOKUP(E1411,REGRAS_CST!$A$2:$D$200,4,FALSE),""))</f>
        <v/>
      </c>
      <c r="S1411" s="9">
        <f>IF($H1411="","",$H1411*(1-$U1411))</f>
        <v>8.9999999999999993E-3</v>
      </c>
      <c r="T1411" s="9">
        <f>IF($I1411="","",$I1411*(1-$U1411))</f>
        <v>1E-3</v>
      </c>
      <c r="U1411" s="16">
        <f>IFERROR(INDEX(BASE_CCLASSTRIB!$E:$E, MATCH(TEXT($D1411,"000000"), BASE_CCLASSTRIB!$A:$A, 0))/100, 0)</f>
        <v>0</v>
      </c>
      <c r="V1411" s="16">
        <f>IFERROR(INDEX(BASE_CCLASSTRIB!$F:$F, MATCH(TEXT($D1411,"000000"), BASE_CCLASSTRIB!$A:$A, 0))/100, 0)</f>
        <v>0</v>
      </c>
    </row>
    <row r="1412" spans="4:22" ht="32.25" customHeight="1">
      <c r="D1412" s="39"/>
      <c r="E1412" s="27" t="str">
        <f>IF(D1412="","",LEFT(D1412,3))</f>
        <v/>
      </c>
      <c r="F1412" s="28" t="str">
        <f>IF(E1412="","",IFERROR(VLOOKUP(E1412,REGRAS_CST!$A$2:$B$200,2,FALSE),""))</f>
        <v/>
      </c>
      <c r="H1412" s="29">
        <v>8.9999999999999993E-3</v>
      </c>
      <c r="I1412" s="29">
        <v>1E-3</v>
      </c>
      <c r="K1412" s="21" t="str">
        <f>IF(E1412="","",IFERROR(VLOOKUP(E1412,REGRAS_CST!$A$2:$C$200,3,FALSE),""))</f>
        <v/>
      </c>
      <c r="L1412" s="23" t="str">
        <f>IF($G1412="", "", $G1412*(1-$V1412))</f>
        <v/>
      </c>
      <c r="M1412" s="24" t="str">
        <f>IF(OR($L1412="",$S1412=""),"",$L1412*$S1412)</f>
        <v/>
      </c>
      <c r="N1412" s="24" t="str">
        <f>IF(OR($L1412="",$T1412=""),"",$L1412*$T1412)</f>
        <v/>
      </c>
      <c r="O1412" s="15" t="str">
        <f>IF(D1412="","",
IF(AND(K1412&lt;&gt;"SIM",V1412&gt;0),"ERRO: % BC &gt; 0, mas NÃO permitida ❌",
IF(AND(K1412="SIM",V1412=0),"ATENÇÃO: BC permitida, mas % = 0 🔎",
"Base de cálculo aplicada corretamente ✅")))</f>
        <v/>
      </c>
      <c r="P1412" s="31" t="str">
        <f>IF(D1412="","",
IF(AND(Q1412&lt;&gt;"SIM",U1412&gt;0),"ERRO: % alíquota &gt; 0, mas NÃO permitida ❌",
IF(AND(Q1412="SIM",U1412=0),"ATENÇÃO: alíquota permitida, mas % = 0 🔎",
"Alíquota aplicada corretamente ✅")))</f>
        <v/>
      </c>
      <c r="Q1412" s="8" t="str">
        <f>IF(E1412="","",IFERROR(VLOOKUP(E1412,REGRAS_CST!$A$2:$D$200,4,FALSE),""))</f>
        <v/>
      </c>
      <c r="S1412" s="9">
        <f>IF($H1412="","",$H1412*(1-$U1412))</f>
        <v>8.9999999999999993E-3</v>
      </c>
      <c r="T1412" s="9">
        <f>IF($I1412="","",$I1412*(1-$U1412))</f>
        <v>1E-3</v>
      </c>
      <c r="U1412" s="16">
        <f>IFERROR(INDEX(BASE_CCLASSTRIB!$E:$E, MATCH(TEXT($D1412,"000000"), BASE_CCLASSTRIB!$A:$A, 0))/100, 0)</f>
        <v>0</v>
      </c>
      <c r="V1412" s="16">
        <f>IFERROR(INDEX(BASE_CCLASSTRIB!$F:$F, MATCH(TEXT($D1412,"000000"), BASE_CCLASSTRIB!$A:$A, 0))/100, 0)</f>
        <v>0</v>
      </c>
    </row>
    <row r="1413" spans="4:22" ht="32.25" customHeight="1">
      <c r="D1413" s="39"/>
      <c r="E1413" s="27" t="str">
        <f>IF(D1413="","",LEFT(D1413,3))</f>
        <v/>
      </c>
      <c r="F1413" s="28" t="str">
        <f>IF(E1413="","",IFERROR(VLOOKUP(E1413,REGRAS_CST!$A$2:$B$200,2,FALSE),""))</f>
        <v/>
      </c>
      <c r="H1413" s="29">
        <v>8.9999999999999993E-3</v>
      </c>
      <c r="I1413" s="29">
        <v>1E-3</v>
      </c>
      <c r="K1413" s="21" t="str">
        <f>IF(E1413="","",IFERROR(VLOOKUP(E1413,REGRAS_CST!$A$2:$C$200,3,FALSE),""))</f>
        <v/>
      </c>
      <c r="L1413" s="23" t="str">
        <f>IF($G1413="", "", $G1413*(1-$V1413))</f>
        <v/>
      </c>
      <c r="M1413" s="24" t="str">
        <f>IF(OR($L1413="",$S1413=""),"",$L1413*$S1413)</f>
        <v/>
      </c>
      <c r="N1413" s="24" t="str">
        <f>IF(OR($L1413="",$T1413=""),"",$L1413*$T1413)</f>
        <v/>
      </c>
      <c r="O1413" s="15" t="str">
        <f>IF(D1413="","",
IF(AND(K1413&lt;&gt;"SIM",V1413&gt;0),"ERRO: % BC &gt; 0, mas NÃO permitida ❌",
IF(AND(K1413="SIM",V1413=0),"ATENÇÃO: BC permitida, mas % = 0 🔎",
"Base de cálculo aplicada corretamente ✅")))</f>
        <v/>
      </c>
      <c r="P1413" s="31" t="str">
        <f>IF(D1413="","",
IF(AND(Q1413&lt;&gt;"SIM",U1413&gt;0),"ERRO: % alíquota &gt; 0, mas NÃO permitida ❌",
IF(AND(Q1413="SIM",U1413=0),"ATENÇÃO: alíquota permitida, mas % = 0 🔎",
"Alíquota aplicada corretamente ✅")))</f>
        <v/>
      </c>
      <c r="Q1413" s="8" t="str">
        <f>IF(E1413="","",IFERROR(VLOOKUP(E1413,REGRAS_CST!$A$2:$D$200,4,FALSE),""))</f>
        <v/>
      </c>
      <c r="S1413" s="9">
        <f>IF($H1413="","",$H1413*(1-$U1413))</f>
        <v>8.9999999999999993E-3</v>
      </c>
      <c r="T1413" s="9">
        <f>IF($I1413="","",$I1413*(1-$U1413))</f>
        <v>1E-3</v>
      </c>
      <c r="U1413" s="16">
        <f>IFERROR(INDEX(BASE_CCLASSTRIB!$E:$E, MATCH(TEXT($D1413,"000000"), BASE_CCLASSTRIB!$A:$A, 0))/100, 0)</f>
        <v>0</v>
      </c>
      <c r="V1413" s="16">
        <f>IFERROR(INDEX(BASE_CCLASSTRIB!$F:$F, MATCH(TEXT($D1413,"000000"), BASE_CCLASSTRIB!$A:$A, 0))/100, 0)</f>
        <v>0</v>
      </c>
    </row>
    <row r="1414" spans="4:22" ht="32.25" customHeight="1">
      <c r="D1414" s="40"/>
      <c r="E1414" s="27" t="str">
        <f>IF(D1414="","",LEFT(D1414,3))</f>
        <v/>
      </c>
      <c r="F1414" s="28" t="str">
        <f>IF(E1414="","",IFERROR(VLOOKUP(E1414,REGRAS_CST!$A$2:$B$200,2,FALSE),""))</f>
        <v/>
      </c>
      <c r="H1414" s="29">
        <v>8.9999999999999993E-3</v>
      </c>
      <c r="I1414" s="29">
        <v>1E-3</v>
      </c>
      <c r="K1414" s="21" t="str">
        <f>IF(E1414="","",IFERROR(VLOOKUP(E1414,REGRAS_CST!$A$2:$C$200,3,FALSE),""))</f>
        <v/>
      </c>
      <c r="L1414" s="23" t="str">
        <f>IF($G1414="", "", $G1414*(1-$V1414))</f>
        <v/>
      </c>
      <c r="M1414" s="24" t="str">
        <f>IF(OR($L1414="",$S1414=""),"",$L1414*$S1414)</f>
        <v/>
      </c>
      <c r="N1414" s="24" t="str">
        <f>IF(OR($L1414="",$T1414=""),"",$L1414*$T1414)</f>
        <v/>
      </c>
      <c r="O1414" s="15" t="str">
        <f>IF(D1414="","",
IF(AND(K1414&lt;&gt;"SIM",V1414&gt;0),"ERRO: % BC &gt; 0, mas NÃO permitida ❌",
IF(AND(K1414="SIM",V1414=0),"ATENÇÃO: BC permitida, mas % = 0 🔎",
"Base de cálculo aplicada corretamente ✅")))</f>
        <v/>
      </c>
      <c r="P1414" s="31" t="str">
        <f>IF(D1414="","",
IF(AND(Q1414&lt;&gt;"SIM",U1414&gt;0),"ERRO: % alíquota &gt; 0, mas NÃO permitida ❌",
IF(AND(Q1414="SIM",U1414=0),"ATENÇÃO: alíquota permitida, mas % = 0 🔎",
"Alíquota aplicada corretamente ✅")))</f>
        <v/>
      </c>
      <c r="Q1414" s="8" t="str">
        <f>IF(E1414="","",IFERROR(VLOOKUP(E1414,REGRAS_CST!$A$2:$D$200,4,FALSE),""))</f>
        <v/>
      </c>
      <c r="S1414" s="9">
        <f>IF($H1414="","",$H1414*(1-$U1414))</f>
        <v>8.9999999999999993E-3</v>
      </c>
      <c r="T1414" s="9">
        <f>IF($I1414="","",$I1414*(1-$U1414))</f>
        <v>1E-3</v>
      </c>
      <c r="U1414" s="16">
        <f>IFERROR(INDEX(BASE_CCLASSTRIB!$E:$E, MATCH(TEXT($D1414,"000000"), BASE_CCLASSTRIB!$A:$A, 0))/100, 0)</f>
        <v>0</v>
      </c>
      <c r="V1414" s="16">
        <f>IFERROR(INDEX(BASE_CCLASSTRIB!$F:$F, MATCH(TEXT($D1414,"000000"), BASE_CCLASSTRIB!$A:$A, 0))/100, 0)</f>
        <v>0</v>
      </c>
    </row>
    <row r="1415" spans="4:22" ht="32.25" customHeight="1">
      <c r="D1415" s="40"/>
      <c r="E1415" s="27" t="str">
        <f>IF(D1415="","",LEFT(D1415,3))</f>
        <v/>
      </c>
      <c r="F1415" s="28" t="str">
        <f>IF(E1415="","",IFERROR(VLOOKUP(E1415,REGRAS_CST!$A$2:$B$200,2,FALSE),""))</f>
        <v/>
      </c>
      <c r="H1415" s="29">
        <v>8.9999999999999993E-3</v>
      </c>
      <c r="I1415" s="29">
        <v>1E-3</v>
      </c>
      <c r="K1415" s="21" t="str">
        <f>IF(E1415="","",IFERROR(VLOOKUP(E1415,REGRAS_CST!$A$2:$C$200,3,FALSE),""))</f>
        <v/>
      </c>
      <c r="L1415" s="23" t="str">
        <f>IF($G1415="", "", $G1415*(1-$V1415))</f>
        <v/>
      </c>
      <c r="M1415" s="24" t="str">
        <f>IF(OR($L1415="",$S1415=""),"",$L1415*$S1415)</f>
        <v/>
      </c>
      <c r="N1415" s="24" t="str">
        <f>IF(OR($L1415="",$T1415=""),"",$L1415*$T1415)</f>
        <v/>
      </c>
      <c r="O1415" s="15" t="str">
        <f>IF(D1415="","",
IF(AND(K1415&lt;&gt;"SIM",V1415&gt;0),"ERRO: % BC &gt; 0, mas NÃO permitida ❌",
IF(AND(K1415="SIM",V1415=0),"ATENÇÃO: BC permitida, mas % = 0 🔎",
"Base de cálculo aplicada corretamente ✅")))</f>
        <v/>
      </c>
      <c r="P1415" s="31" t="str">
        <f>IF(D1415="","",
IF(AND(Q1415&lt;&gt;"SIM",U1415&gt;0),"ERRO: % alíquota &gt; 0, mas NÃO permitida ❌",
IF(AND(Q1415="SIM",U1415=0),"ATENÇÃO: alíquota permitida, mas % = 0 🔎",
"Alíquota aplicada corretamente ✅")))</f>
        <v/>
      </c>
      <c r="Q1415" s="8" t="str">
        <f>IF(E1415="","",IFERROR(VLOOKUP(E1415,REGRAS_CST!$A$2:$D$200,4,FALSE),""))</f>
        <v/>
      </c>
      <c r="S1415" s="9">
        <f>IF($H1415="","",$H1415*(1-$U1415))</f>
        <v>8.9999999999999993E-3</v>
      </c>
      <c r="T1415" s="9">
        <f>IF($I1415="","",$I1415*(1-$U1415))</f>
        <v>1E-3</v>
      </c>
      <c r="U1415" s="16">
        <f>IFERROR(INDEX(BASE_CCLASSTRIB!$E:$E, MATCH(TEXT($D1415,"000000"), BASE_CCLASSTRIB!$A:$A, 0))/100, 0)</f>
        <v>0</v>
      </c>
      <c r="V1415" s="16">
        <f>IFERROR(INDEX(BASE_CCLASSTRIB!$F:$F, MATCH(TEXT($D1415,"000000"), BASE_CCLASSTRIB!$A:$A, 0))/100, 0)</f>
        <v>0</v>
      </c>
    </row>
    <row r="1416" spans="4:22" ht="32.25" customHeight="1">
      <c r="D1416" s="40"/>
      <c r="E1416" s="27" t="str">
        <f>IF(D1416="","",LEFT(D1416,3))</f>
        <v/>
      </c>
      <c r="F1416" s="28" t="str">
        <f>IF(E1416="","",IFERROR(VLOOKUP(E1416,REGRAS_CST!$A$2:$B$200,2,FALSE),""))</f>
        <v/>
      </c>
      <c r="H1416" s="29">
        <v>8.9999999999999993E-3</v>
      </c>
      <c r="I1416" s="29">
        <v>1E-3</v>
      </c>
      <c r="K1416" s="21" t="str">
        <f>IF(E1416="","",IFERROR(VLOOKUP(E1416,REGRAS_CST!$A$2:$C$200,3,FALSE),""))</f>
        <v/>
      </c>
      <c r="L1416" s="23" t="str">
        <f>IF($G1416="", "", $G1416*(1-$V1416))</f>
        <v/>
      </c>
      <c r="M1416" s="24" t="str">
        <f>IF(OR($L1416="",$S1416=""),"",$L1416*$S1416)</f>
        <v/>
      </c>
      <c r="N1416" s="24" t="str">
        <f>IF(OR($L1416="",$T1416=""),"",$L1416*$T1416)</f>
        <v/>
      </c>
      <c r="O1416" s="15" t="str">
        <f>IF(D1416="","",
IF(AND(K1416&lt;&gt;"SIM",V1416&gt;0),"ERRO: % BC &gt; 0, mas NÃO permitida ❌",
IF(AND(K1416="SIM",V1416=0),"ATENÇÃO: BC permitida, mas % = 0 🔎",
"Base de cálculo aplicada corretamente ✅")))</f>
        <v/>
      </c>
      <c r="P1416" s="31" t="str">
        <f>IF(D1416="","",
IF(AND(Q1416&lt;&gt;"SIM",U1416&gt;0),"ERRO: % alíquota &gt; 0, mas NÃO permitida ❌",
IF(AND(Q1416="SIM",U1416=0),"ATENÇÃO: alíquota permitida, mas % = 0 🔎",
"Alíquota aplicada corretamente ✅")))</f>
        <v/>
      </c>
      <c r="Q1416" s="8" t="str">
        <f>IF(E1416="","",IFERROR(VLOOKUP(E1416,REGRAS_CST!$A$2:$D$200,4,FALSE),""))</f>
        <v/>
      </c>
      <c r="S1416" s="9">
        <f>IF($H1416="","",$H1416*(1-$U1416))</f>
        <v>8.9999999999999993E-3</v>
      </c>
      <c r="T1416" s="9">
        <f>IF($I1416="","",$I1416*(1-$U1416))</f>
        <v>1E-3</v>
      </c>
      <c r="U1416" s="16">
        <f>IFERROR(INDEX(BASE_CCLASSTRIB!$E:$E, MATCH(TEXT($D1416,"000000"), BASE_CCLASSTRIB!$A:$A, 0))/100, 0)</f>
        <v>0</v>
      </c>
      <c r="V1416" s="16">
        <f>IFERROR(INDEX(BASE_CCLASSTRIB!$F:$F, MATCH(TEXT($D1416,"000000"), BASE_CCLASSTRIB!$A:$A, 0))/100, 0)</f>
        <v>0</v>
      </c>
    </row>
    <row r="1417" spans="4:22" ht="32.25" customHeight="1">
      <c r="D1417" s="39"/>
      <c r="E1417" s="27" t="str">
        <f>IF(D1417="","",LEFT(D1417,3))</f>
        <v/>
      </c>
      <c r="F1417" s="28" t="str">
        <f>IF(E1417="","",IFERROR(VLOOKUP(E1417,REGRAS_CST!$A$2:$B$200,2,FALSE),""))</f>
        <v/>
      </c>
      <c r="H1417" s="29">
        <v>8.9999999999999993E-3</v>
      </c>
      <c r="I1417" s="29">
        <v>1E-3</v>
      </c>
      <c r="K1417" s="21" t="str">
        <f>IF(E1417="","",IFERROR(VLOOKUP(E1417,REGRAS_CST!$A$2:$C$200,3,FALSE),""))</f>
        <v/>
      </c>
      <c r="L1417" s="23" t="str">
        <f>IF($G1417="", "", $G1417*(1-$V1417))</f>
        <v/>
      </c>
      <c r="M1417" s="24" t="str">
        <f>IF(OR($L1417="",$S1417=""),"",$L1417*$S1417)</f>
        <v/>
      </c>
      <c r="N1417" s="24" t="str">
        <f>IF(OR($L1417="",$T1417=""),"",$L1417*$T1417)</f>
        <v/>
      </c>
      <c r="O1417" s="15" t="str">
        <f>IF(D1417="","",
IF(AND(K1417&lt;&gt;"SIM",V1417&gt;0),"ERRO: % BC &gt; 0, mas NÃO permitida ❌",
IF(AND(K1417="SIM",V1417=0),"ATENÇÃO: BC permitida, mas % = 0 🔎",
"Base de cálculo aplicada corretamente ✅")))</f>
        <v/>
      </c>
      <c r="P1417" s="31" t="str">
        <f>IF(D1417="","",
IF(AND(Q1417&lt;&gt;"SIM",U1417&gt;0),"ERRO: % alíquota &gt; 0, mas NÃO permitida ❌",
IF(AND(Q1417="SIM",U1417=0),"ATENÇÃO: alíquota permitida, mas % = 0 🔎",
"Alíquota aplicada corretamente ✅")))</f>
        <v/>
      </c>
      <c r="Q1417" s="8" t="str">
        <f>IF(E1417="","",IFERROR(VLOOKUP(E1417,REGRAS_CST!$A$2:$D$200,4,FALSE),""))</f>
        <v/>
      </c>
      <c r="S1417" s="9">
        <f>IF($H1417="","",$H1417*(1-$U1417))</f>
        <v>8.9999999999999993E-3</v>
      </c>
      <c r="T1417" s="9">
        <f>IF($I1417="","",$I1417*(1-$U1417))</f>
        <v>1E-3</v>
      </c>
      <c r="U1417" s="16">
        <f>IFERROR(INDEX(BASE_CCLASSTRIB!$E:$E, MATCH(TEXT($D1417,"000000"), BASE_CCLASSTRIB!$A:$A, 0))/100, 0)</f>
        <v>0</v>
      </c>
      <c r="V1417" s="16">
        <f>IFERROR(INDEX(BASE_CCLASSTRIB!$F:$F, MATCH(TEXT($D1417,"000000"), BASE_CCLASSTRIB!$A:$A, 0))/100, 0)</f>
        <v>0</v>
      </c>
    </row>
    <row r="1418" spans="4:22" ht="32.25" customHeight="1">
      <c r="D1418" s="39"/>
      <c r="E1418" s="27" t="str">
        <f>IF(D1418="","",LEFT(D1418,3))</f>
        <v/>
      </c>
      <c r="F1418" s="28" t="str">
        <f>IF(E1418="","",IFERROR(VLOOKUP(E1418,REGRAS_CST!$A$2:$B$200,2,FALSE),""))</f>
        <v/>
      </c>
      <c r="H1418" s="29">
        <v>8.9999999999999993E-3</v>
      </c>
      <c r="I1418" s="29">
        <v>1E-3</v>
      </c>
      <c r="K1418" s="21" t="str">
        <f>IF(E1418="","",IFERROR(VLOOKUP(E1418,REGRAS_CST!$A$2:$C$200,3,FALSE),""))</f>
        <v/>
      </c>
      <c r="L1418" s="23" t="str">
        <f>IF($G1418="", "", $G1418*(1-$V1418))</f>
        <v/>
      </c>
      <c r="M1418" s="24" t="str">
        <f>IF(OR($L1418="",$S1418=""),"",$L1418*$S1418)</f>
        <v/>
      </c>
      <c r="N1418" s="24" t="str">
        <f>IF(OR($L1418="",$T1418=""),"",$L1418*$T1418)</f>
        <v/>
      </c>
      <c r="O1418" s="15" t="str">
        <f>IF(D1418="","",
IF(AND(K1418&lt;&gt;"SIM",V1418&gt;0),"ERRO: % BC &gt; 0, mas NÃO permitida ❌",
IF(AND(K1418="SIM",V1418=0),"ATENÇÃO: BC permitida, mas % = 0 🔎",
"Base de cálculo aplicada corretamente ✅")))</f>
        <v/>
      </c>
      <c r="P1418" s="31" t="str">
        <f>IF(D1418="","",
IF(AND(Q1418&lt;&gt;"SIM",U1418&gt;0),"ERRO: % alíquota &gt; 0, mas NÃO permitida ❌",
IF(AND(Q1418="SIM",U1418=0),"ATENÇÃO: alíquota permitida, mas % = 0 🔎",
"Alíquota aplicada corretamente ✅")))</f>
        <v/>
      </c>
      <c r="Q1418" s="8" t="str">
        <f>IF(E1418="","",IFERROR(VLOOKUP(E1418,REGRAS_CST!$A$2:$D$200,4,FALSE),""))</f>
        <v/>
      </c>
      <c r="S1418" s="9">
        <f>IF($H1418="","",$H1418*(1-$U1418))</f>
        <v>8.9999999999999993E-3</v>
      </c>
      <c r="T1418" s="9">
        <f>IF($I1418="","",$I1418*(1-$U1418))</f>
        <v>1E-3</v>
      </c>
      <c r="U1418" s="16">
        <f>IFERROR(INDEX(BASE_CCLASSTRIB!$E:$E, MATCH(TEXT($D1418,"000000"), BASE_CCLASSTRIB!$A:$A, 0))/100, 0)</f>
        <v>0</v>
      </c>
      <c r="V1418" s="16">
        <f>IFERROR(INDEX(BASE_CCLASSTRIB!$F:$F, MATCH(TEXT($D1418,"000000"), BASE_CCLASSTRIB!$A:$A, 0))/100, 0)</f>
        <v>0</v>
      </c>
    </row>
    <row r="1419" spans="4:22" ht="32.25" customHeight="1">
      <c r="D1419" s="40"/>
      <c r="E1419" s="27" t="str">
        <f>IF(D1419="","",LEFT(D1419,3))</f>
        <v/>
      </c>
      <c r="F1419" s="28" t="str">
        <f>IF(E1419="","",IFERROR(VLOOKUP(E1419,REGRAS_CST!$A$2:$B$200,2,FALSE),""))</f>
        <v/>
      </c>
      <c r="H1419" s="29">
        <v>8.9999999999999993E-3</v>
      </c>
      <c r="I1419" s="29">
        <v>1E-3</v>
      </c>
      <c r="K1419" s="21" t="str">
        <f>IF(E1419="","",IFERROR(VLOOKUP(E1419,REGRAS_CST!$A$2:$C$200,3,FALSE),""))</f>
        <v/>
      </c>
      <c r="L1419" s="23" t="str">
        <f>IF($G1419="", "", $G1419*(1-$V1419))</f>
        <v/>
      </c>
      <c r="M1419" s="24" t="str">
        <f>IF(OR($L1419="",$S1419=""),"",$L1419*$S1419)</f>
        <v/>
      </c>
      <c r="N1419" s="24" t="str">
        <f>IF(OR($L1419="",$T1419=""),"",$L1419*$T1419)</f>
        <v/>
      </c>
      <c r="O1419" s="15" t="str">
        <f>IF(D1419="","",
IF(AND(K1419&lt;&gt;"SIM",V1419&gt;0),"ERRO: % BC &gt; 0, mas NÃO permitida ❌",
IF(AND(K1419="SIM",V1419=0),"ATENÇÃO: BC permitida, mas % = 0 🔎",
"Base de cálculo aplicada corretamente ✅")))</f>
        <v/>
      </c>
      <c r="P1419" s="31" t="str">
        <f>IF(D1419="","",
IF(AND(Q1419&lt;&gt;"SIM",U1419&gt;0),"ERRO: % alíquota &gt; 0, mas NÃO permitida ❌",
IF(AND(Q1419="SIM",U1419=0),"ATENÇÃO: alíquota permitida, mas % = 0 🔎",
"Alíquota aplicada corretamente ✅")))</f>
        <v/>
      </c>
      <c r="Q1419" s="8" t="str">
        <f>IF(E1419="","",IFERROR(VLOOKUP(E1419,REGRAS_CST!$A$2:$D$200,4,FALSE),""))</f>
        <v/>
      </c>
      <c r="S1419" s="9">
        <f>IF($H1419="","",$H1419*(1-$U1419))</f>
        <v>8.9999999999999993E-3</v>
      </c>
      <c r="T1419" s="9">
        <f>IF($I1419="","",$I1419*(1-$U1419))</f>
        <v>1E-3</v>
      </c>
      <c r="U1419" s="16">
        <f>IFERROR(INDEX(BASE_CCLASSTRIB!$E:$E, MATCH(TEXT($D1419,"000000"), BASE_CCLASSTRIB!$A:$A, 0))/100, 0)</f>
        <v>0</v>
      </c>
      <c r="V1419" s="16">
        <f>IFERROR(INDEX(BASE_CCLASSTRIB!$F:$F, MATCH(TEXT($D1419,"000000"), BASE_CCLASSTRIB!$A:$A, 0))/100, 0)</f>
        <v>0</v>
      </c>
    </row>
    <row r="1420" spans="4:22" ht="32.25" customHeight="1">
      <c r="D1420" s="40"/>
      <c r="E1420" s="27" t="str">
        <f>IF(D1420="","",LEFT(D1420,3))</f>
        <v/>
      </c>
      <c r="F1420" s="28" t="str">
        <f>IF(E1420="","",IFERROR(VLOOKUP(E1420,REGRAS_CST!$A$2:$B$200,2,FALSE),""))</f>
        <v/>
      </c>
      <c r="H1420" s="29">
        <v>8.9999999999999993E-3</v>
      </c>
      <c r="I1420" s="29">
        <v>1E-3</v>
      </c>
      <c r="K1420" s="21" t="str">
        <f>IF(E1420="","",IFERROR(VLOOKUP(E1420,REGRAS_CST!$A$2:$C$200,3,FALSE),""))</f>
        <v/>
      </c>
      <c r="L1420" s="23" t="str">
        <f>IF($G1420="", "", $G1420*(1-$V1420))</f>
        <v/>
      </c>
      <c r="M1420" s="24" t="str">
        <f>IF(OR($L1420="",$S1420=""),"",$L1420*$S1420)</f>
        <v/>
      </c>
      <c r="N1420" s="24" t="str">
        <f>IF(OR($L1420="",$T1420=""),"",$L1420*$T1420)</f>
        <v/>
      </c>
      <c r="O1420" s="15" t="str">
        <f>IF(D1420="","",
IF(AND(K1420&lt;&gt;"SIM",V1420&gt;0),"ERRO: % BC &gt; 0, mas NÃO permitida ❌",
IF(AND(K1420="SIM",V1420=0),"ATENÇÃO: BC permitida, mas % = 0 🔎",
"Base de cálculo aplicada corretamente ✅")))</f>
        <v/>
      </c>
      <c r="P1420" s="31" t="str">
        <f>IF(D1420="","",
IF(AND(Q1420&lt;&gt;"SIM",U1420&gt;0),"ERRO: % alíquota &gt; 0, mas NÃO permitida ❌",
IF(AND(Q1420="SIM",U1420=0),"ATENÇÃO: alíquota permitida, mas % = 0 🔎",
"Alíquota aplicada corretamente ✅")))</f>
        <v/>
      </c>
      <c r="Q1420" s="8" t="str">
        <f>IF(E1420="","",IFERROR(VLOOKUP(E1420,REGRAS_CST!$A$2:$D$200,4,FALSE),""))</f>
        <v/>
      </c>
      <c r="S1420" s="9">
        <f>IF($H1420="","",$H1420*(1-$U1420))</f>
        <v>8.9999999999999993E-3</v>
      </c>
      <c r="T1420" s="9">
        <f>IF($I1420="","",$I1420*(1-$U1420))</f>
        <v>1E-3</v>
      </c>
      <c r="U1420" s="16">
        <f>IFERROR(INDEX(BASE_CCLASSTRIB!$E:$E, MATCH(TEXT($D1420,"000000"), BASE_CCLASSTRIB!$A:$A, 0))/100, 0)</f>
        <v>0</v>
      </c>
      <c r="V1420" s="16">
        <f>IFERROR(INDEX(BASE_CCLASSTRIB!$F:$F, MATCH(TEXT($D1420,"000000"), BASE_CCLASSTRIB!$A:$A, 0))/100, 0)</f>
        <v>0</v>
      </c>
    </row>
    <row r="1421" spans="4:22" ht="32.25" customHeight="1">
      <c r="D1421" s="40"/>
      <c r="E1421" s="27" t="str">
        <f>IF(D1421="","",LEFT(D1421,3))</f>
        <v/>
      </c>
      <c r="F1421" s="28" t="str">
        <f>IF(E1421="","",IFERROR(VLOOKUP(E1421,REGRAS_CST!$A$2:$B$200,2,FALSE),""))</f>
        <v/>
      </c>
      <c r="H1421" s="29">
        <v>8.9999999999999993E-3</v>
      </c>
      <c r="I1421" s="29">
        <v>1E-3</v>
      </c>
      <c r="K1421" s="21" t="str">
        <f>IF(E1421="","",IFERROR(VLOOKUP(E1421,REGRAS_CST!$A$2:$C$200,3,FALSE),""))</f>
        <v/>
      </c>
      <c r="L1421" s="23" t="str">
        <f>IF($G1421="", "", $G1421*(1-$V1421))</f>
        <v/>
      </c>
      <c r="M1421" s="24" t="str">
        <f>IF(OR($L1421="",$S1421=""),"",$L1421*$S1421)</f>
        <v/>
      </c>
      <c r="N1421" s="24" t="str">
        <f>IF(OR($L1421="",$T1421=""),"",$L1421*$T1421)</f>
        <v/>
      </c>
      <c r="O1421" s="15" t="str">
        <f>IF(D1421="","",
IF(AND(K1421&lt;&gt;"SIM",V1421&gt;0),"ERRO: % BC &gt; 0, mas NÃO permitida ❌",
IF(AND(K1421="SIM",V1421=0),"ATENÇÃO: BC permitida, mas % = 0 🔎",
"Base de cálculo aplicada corretamente ✅")))</f>
        <v/>
      </c>
      <c r="P1421" s="31" t="str">
        <f>IF(D1421="","",
IF(AND(Q1421&lt;&gt;"SIM",U1421&gt;0),"ERRO: % alíquota &gt; 0, mas NÃO permitida ❌",
IF(AND(Q1421="SIM",U1421=0),"ATENÇÃO: alíquota permitida, mas % = 0 🔎",
"Alíquota aplicada corretamente ✅")))</f>
        <v/>
      </c>
      <c r="Q1421" s="8" t="str">
        <f>IF(E1421="","",IFERROR(VLOOKUP(E1421,REGRAS_CST!$A$2:$D$200,4,FALSE),""))</f>
        <v/>
      </c>
      <c r="S1421" s="9">
        <f>IF($H1421="","",$H1421*(1-$U1421))</f>
        <v>8.9999999999999993E-3</v>
      </c>
      <c r="T1421" s="9">
        <f>IF($I1421="","",$I1421*(1-$U1421))</f>
        <v>1E-3</v>
      </c>
      <c r="U1421" s="16">
        <f>IFERROR(INDEX(BASE_CCLASSTRIB!$E:$E, MATCH(TEXT($D1421,"000000"), BASE_CCLASSTRIB!$A:$A, 0))/100, 0)</f>
        <v>0</v>
      </c>
      <c r="V1421" s="16">
        <f>IFERROR(INDEX(BASE_CCLASSTRIB!$F:$F, MATCH(TEXT($D1421,"000000"), BASE_CCLASSTRIB!$A:$A, 0))/100, 0)</f>
        <v>0</v>
      </c>
    </row>
    <row r="1422" spans="4:22" ht="32.25" customHeight="1">
      <c r="D1422" s="39"/>
      <c r="E1422" s="27" t="str">
        <f>IF(D1422="","",LEFT(D1422,3))</f>
        <v/>
      </c>
      <c r="F1422" s="28" t="str">
        <f>IF(E1422="","",IFERROR(VLOOKUP(E1422,REGRAS_CST!$A$2:$B$200,2,FALSE),""))</f>
        <v/>
      </c>
      <c r="H1422" s="29">
        <v>8.9999999999999993E-3</v>
      </c>
      <c r="I1422" s="29">
        <v>1E-3</v>
      </c>
      <c r="K1422" s="21" t="str">
        <f>IF(E1422="","",IFERROR(VLOOKUP(E1422,REGRAS_CST!$A$2:$C$200,3,FALSE),""))</f>
        <v/>
      </c>
      <c r="L1422" s="23" t="str">
        <f>IF($G1422="", "", $G1422*(1-$V1422))</f>
        <v/>
      </c>
      <c r="M1422" s="24" t="str">
        <f>IF(OR($L1422="",$S1422=""),"",$L1422*$S1422)</f>
        <v/>
      </c>
      <c r="N1422" s="24" t="str">
        <f>IF(OR($L1422="",$T1422=""),"",$L1422*$T1422)</f>
        <v/>
      </c>
      <c r="O1422" s="15" t="str">
        <f>IF(D1422="","",
IF(AND(K1422&lt;&gt;"SIM",V1422&gt;0),"ERRO: % BC &gt; 0, mas NÃO permitida ❌",
IF(AND(K1422="SIM",V1422=0),"ATENÇÃO: BC permitida, mas % = 0 🔎",
"Base de cálculo aplicada corretamente ✅")))</f>
        <v/>
      </c>
      <c r="P1422" s="31" t="str">
        <f>IF(D1422="","",
IF(AND(Q1422&lt;&gt;"SIM",U1422&gt;0),"ERRO: % alíquota &gt; 0, mas NÃO permitida ❌",
IF(AND(Q1422="SIM",U1422=0),"ATENÇÃO: alíquota permitida, mas % = 0 🔎",
"Alíquota aplicada corretamente ✅")))</f>
        <v/>
      </c>
      <c r="Q1422" s="8" t="str">
        <f>IF(E1422="","",IFERROR(VLOOKUP(E1422,REGRAS_CST!$A$2:$D$200,4,FALSE),""))</f>
        <v/>
      </c>
      <c r="S1422" s="9">
        <f>IF($H1422="","",$H1422*(1-$U1422))</f>
        <v>8.9999999999999993E-3</v>
      </c>
      <c r="T1422" s="9">
        <f>IF($I1422="","",$I1422*(1-$U1422))</f>
        <v>1E-3</v>
      </c>
      <c r="U1422" s="16">
        <f>IFERROR(INDEX(BASE_CCLASSTRIB!$E:$E, MATCH(TEXT($D1422,"000000"), BASE_CCLASSTRIB!$A:$A, 0))/100, 0)</f>
        <v>0</v>
      </c>
      <c r="V1422" s="16">
        <f>IFERROR(INDEX(BASE_CCLASSTRIB!$F:$F, MATCH(TEXT($D1422,"000000"), BASE_CCLASSTRIB!$A:$A, 0))/100, 0)</f>
        <v>0</v>
      </c>
    </row>
    <row r="1423" spans="4:22" ht="32.25" customHeight="1">
      <c r="D1423" s="39"/>
      <c r="E1423" s="27" t="str">
        <f>IF(D1423="","",LEFT(D1423,3))</f>
        <v/>
      </c>
      <c r="F1423" s="28" t="str">
        <f>IF(E1423="","",IFERROR(VLOOKUP(E1423,REGRAS_CST!$A$2:$B$200,2,FALSE),""))</f>
        <v/>
      </c>
      <c r="H1423" s="29">
        <v>8.9999999999999993E-3</v>
      </c>
      <c r="I1423" s="29">
        <v>1E-3</v>
      </c>
      <c r="K1423" s="21" t="str">
        <f>IF(E1423="","",IFERROR(VLOOKUP(E1423,REGRAS_CST!$A$2:$C$200,3,FALSE),""))</f>
        <v/>
      </c>
      <c r="L1423" s="23" t="str">
        <f>IF($G1423="", "", $G1423*(1-$V1423))</f>
        <v/>
      </c>
      <c r="M1423" s="24" t="str">
        <f>IF(OR($L1423="",$S1423=""),"",$L1423*$S1423)</f>
        <v/>
      </c>
      <c r="N1423" s="24" t="str">
        <f>IF(OR($L1423="",$T1423=""),"",$L1423*$T1423)</f>
        <v/>
      </c>
      <c r="O1423" s="15" t="str">
        <f>IF(D1423="","",
IF(AND(K1423&lt;&gt;"SIM",V1423&gt;0),"ERRO: % BC &gt; 0, mas NÃO permitida ❌",
IF(AND(K1423="SIM",V1423=0),"ATENÇÃO: BC permitida, mas % = 0 🔎",
"Base de cálculo aplicada corretamente ✅")))</f>
        <v/>
      </c>
      <c r="P1423" s="31" t="str">
        <f>IF(D1423="","",
IF(AND(Q1423&lt;&gt;"SIM",U1423&gt;0),"ERRO: % alíquota &gt; 0, mas NÃO permitida ❌",
IF(AND(Q1423="SIM",U1423=0),"ATENÇÃO: alíquota permitida, mas % = 0 🔎",
"Alíquota aplicada corretamente ✅")))</f>
        <v/>
      </c>
      <c r="Q1423" s="8" t="str">
        <f>IF(E1423="","",IFERROR(VLOOKUP(E1423,REGRAS_CST!$A$2:$D$200,4,FALSE),""))</f>
        <v/>
      </c>
      <c r="S1423" s="9">
        <f>IF($H1423="","",$H1423*(1-$U1423))</f>
        <v>8.9999999999999993E-3</v>
      </c>
      <c r="T1423" s="9">
        <f>IF($I1423="","",$I1423*(1-$U1423))</f>
        <v>1E-3</v>
      </c>
      <c r="U1423" s="16">
        <f>IFERROR(INDEX(BASE_CCLASSTRIB!$E:$E, MATCH(TEXT($D1423,"000000"), BASE_CCLASSTRIB!$A:$A, 0))/100, 0)</f>
        <v>0</v>
      </c>
      <c r="V1423" s="16">
        <f>IFERROR(INDEX(BASE_CCLASSTRIB!$F:$F, MATCH(TEXT($D1423,"000000"), BASE_CCLASSTRIB!$A:$A, 0))/100, 0)</f>
        <v>0</v>
      </c>
    </row>
    <row r="1424" spans="4:22" ht="32.25" customHeight="1">
      <c r="D1424" s="40"/>
      <c r="E1424" s="27" t="str">
        <f>IF(D1424="","",LEFT(D1424,3))</f>
        <v/>
      </c>
      <c r="F1424" s="28" t="str">
        <f>IF(E1424="","",IFERROR(VLOOKUP(E1424,REGRAS_CST!$A$2:$B$200,2,FALSE),""))</f>
        <v/>
      </c>
      <c r="H1424" s="29">
        <v>8.9999999999999993E-3</v>
      </c>
      <c r="I1424" s="29">
        <v>1E-3</v>
      </c>
      <c r="K1424" s="21" t="str">
        <f>IF(E1424="","",IFERROR(VLOOKUP(E1424,REGRAS_CST!$A$2:$C$200,3,FALSE),""))</f>
        <v/>
      </c>
      <c r="L1424" s="23" t="str">
        <f>IF($G1424="", "", $G1424*(1-$V1424))</f>
        <v/>
      </c>
      <c r="M1424" s="24" t="str">
        <f>IF(OR($L1424="",$S1424=""),"",$L1424*$S1424)</f>
        <v/>
      </c>
      <c r="N1424" s="24" t="str">
        <f>IF(OR($L1424="",$T1424=""),"",$L1424*$T1424)</f>
        <v/>
      </c>
      <c r="O1424" s="15" t="str">
        <f>IF(D1424="","",
IF(AND(K1424&lt;&gt;"SIM",V1424&gt;0),"ERRO: % BC &gt; 0, mas NÃO permitida ❌",
IF(AND(K1424="SIM",V1424=0),"ATENÇÃO: BC permitida, mas % = 0 🔎",
"Base de cálculo aplicada corretamente ✅")))</f>
        <v/>
      </c>
      <c r="P1424" s="31" t="str">
        <f>IF(D1424="","",
IF(AND(Q1424&lt;&gt;"SIM",U1424&gt;0),"ERRO: % alíquota &gt; 0, mas NÃO permitida ❌",
IF(AND(Q1424="SIM",U1424=0),"ATENÇÃO: alíquota permitida, mas % = 0 🔎",
"Alíquota aplicada corretamente ✅")))</f>
        <v/>
      </c>
      <c r="Q1424" s="8" t="str">
        <f>IF(E1424="","",IFERROR(VLOOKUP(E1424,REGRAS_CST!$A$2:$D$200,4,FALSE),""))</f>
        <v/>
      </c>
      <c r="S1424" s="9">
        <f>IF($H1424="","",$H1424*(1-$U1424))</f>
        <v>8.9999999999999993E-3</v>
      </c>
      <c r="T1424" s="9">
        <f>IF($I1424="","",$I1424*(1-$U1424))</f>
        <v>1E-3</v>
      </c>
      <c r="U1424" s="16">
        <f>IFERROR(INDEX(BASE_CCLASSTRIB!$E:$E, MATCH(TEXT($D1424,"000000"), BASE_CCLASSTRIB!$A:$A, 0))/100, 0)</f>
        <v>0</v>
      </c>
      <c r="V1424" s="16">
        <f>IFERROR(INDEX(BASE_CCLASSTRIB!$F:$F, MATCH(TEXT($D1424,"000000"), BASE_CCLASSTRIB!$A:$A, 0))/100, 0)</f>
        <v>0</v>
      </c>
    </row>
    <row r="1425" spans="4:22" ht="32.25" customHeight="1">
      <c r="D1425" s="40"/>
      <c r="E1425" s="27" t="str">
        <f>IF(D1425="","",LEFT(D1425,3))</f>
        <v/>
      </c>
      <c r="F1425" s="28" t="str">
        <f>IF(E1425="","",IFERROR(VLOOKUP(E1425,REGRAS_CST!$A$2:$B$200,2,FALSE),""))</f>
        <v/>
      </c>
      <c r="H1425" s="29">
        <v>8.9999999999999993E-3</v>
      </c>
      <c r="I1425" s="29">
        <v>1E-3</v>
      </c>
      <c r="K1425" s="21" t="str">
        <f>IF(E1425="","",IFERROR(VLOOKUP(E1425,REGRAS_CST!$A$2:$C$200,3,FALSE),""))</f>
        <v/>
      </c>
      <c r="L1425" s="23" t="str">
        <f>IF($G1425="", "", $G1425*(1-$V1425))</f>
        <v/>
      </c>
      <c r="M1425" s="24" t="str">
        <f>IF(OR($L1425="",$S1425=""),"",$L1425*$S1425)</f>
        <v/>
      </c>
      <c r="N1425" s="24" t="str">
        <f>IF(OR($L1425="",$T1425=""),"",$L1425*$T1425)</f>
        <v/>
      </c>
      <c r="O1425" s="15" t="str">
        <f>IF(D1425="","",
IF(AND(K1425&lt;&gt;"SIM",V1425&gt;0),"ERRO: % BC &gt; 0, mas NÃO permitida ❌",
IF(AND(K1425="SIM",V1425=0),"ATENÇÃO: BC permitida, mas % = 0 🔎",
"Base de cálculo aplicada corretamente ✅")))</f>
        <v/>
      </c>
      <c r="P1425" s="31" t="str">
        <f>IF(D1425="","",
IF(AND(Q1425&lt;&gt;"SIM",U1425&gt;0),"ERRO: % alíquota &gt; 0, mas NÃO permitida ❌",
IF(AND(Q1425="SIM",U1425=0),"ATENÇÃO: alíquota permitida, mas % = 0 🔎",
"Alíquota aplicada corretamente ✅")))</f>
        <v/>
      </c>
      <c r="Q1425" s="8" t="str">
        <f>IF(E1425="","",IFERROR(VLOOKUP(E1425,REGRAS_CST!$A$2:$D$200,4,FALSE),""))</f>
        <v/>
      </c>
      <c r="S1425" s="9">
        <f>IF($H1425="","",$H1425*(1-$U1425))</f>
        <v>8.9999999999999993E-3</v>
      </c>
      <c r="T1425" s="9">
        <f>IF($I1425="","",$I1425*(1-$U1425))</f>
        <v>1E-3</v>
      </c>
      <c r="U1425" s="16">
        <f>IFERROR(INDEX(BASE_CCLASSTRIB!$E:$E, MATCH(TEXT($D1425,"000000"), BASE_CCLASSTRIB!$A:$A, 0))/100, 0)</f>
        <v>0</v>
      </c>
      <c r="V1425" s="16">
        <f>IFERROR(INDEX(BASE_CCLASSTRIB!$F:$F, MATCH(TEXT($D1425,"000000"), BASE_CCLASSTRIB!$A:$A, 0))/100, 0)</f>
        <v>0</v>
      </c>
    </row>
    <row r="1426" spans="4:22" ht="32.25" customHeight="1">
      <c r="D1426" s="40"/>
      <c r="E1426" s="27" t="str">
        <f>IF(D1426="","",LEFT(D1426,3))</f>
        <v/>
      </c>
      <c r="F1426" s="28" t="str">
        <f>IF(E1426="","",IFERROR(VLOOKUP(E1426,REGRAS_CST!$A$2:$B$200,2,FALSE),""))</f>
        <v/>
      </c>
      <c r="H1426" s="29">
        <v>8.9999999999999993E-3</v>
      </c>
      <c r="I1426" s="29">
        <v>1E-3</v>
      </c>
      <c r="K1426" s="21" t="str">
        <f>IF(E1426="","",IFERROR(VLOOKUP(E1426,REGRAS_CST!$A$2:$C$200,3,FALSE),""))</f>
        <v/>
      </c>
      <c r="L1426" s="23" t="str">
        <f>IF($G1426="", "", $G1426*(1-$V1426))</f>
        <v/>
      </c>
      <c r="M1426" s="24" t="str">
        <f>IF(OR($L1426="",$S1426=""),"",$L1426*$S1426)</f>
        <v/>
      </c>
      <c r="N1426" s="24" t="str">
        <f>IF(OR($L1426="",$T1426=""),"",$L1426*$T1426)</f>
        <v/>
      </c>
      <c r="O1426" s="15" t="str">
        <f>IF(D1426="","",
IF(AND(K1426&lt;&gt;"SIM",V1426&gt;0),"ERRO: % BC &gt; 0, mas NÃO permitida ❌",
IF(AND(K1426="SIM",V1426=0),"ATENÇÃO: BC permitida, mas % = 0 🔎",
"Base de cálculo aplicada corretamente ✅")))</f>
        <v/>
      </c>
      <c r="P1426" s="31" t="str">
        <f>IF(D1426="","",
IF(AND(Q1426&lt;&gt;"SIM",U1426&gt;0),"ERRO: % alíquota &gt; 0, mas NÃO permitida ❌",
IF(AND(Q1426="SIM",U1426=0),"ATENÇÃO: alíquota permitida, mas % = 0 🔎",
"Alíquota aplicada corretamente ✅")))</f>
        <v/>
      </c>
      <c r="Q1426" s="8" t="str">
        <f>IF(E1426="","",IFERROR(VLOOKUP(E1426,REGRAS_CST!$A$2:$D$200,4,FALSE),""))</f>
        <v/>
      </c>
      <c r="S1426" s="9">
        <f>IF($H1426="","",$H1426*(1-$U1426))</f>
        <v>8.9999999999999993E-3</v>
      </c>
      <c r="T1426" s="9">
        <f>IF($I1426="","",$I1426*(1-$U1426))</f>
        <v>1E-3</v>
      </c>
      <c r="U1426" s="16">
        <f>IFERROR(INDEX(BASE_CCLASSTRIB!$E:$E, MATCH(TEXT($D1426,"000000"), BASE_CCLASSTRIB!$A:$A, 0))/100, 0)</f>
        <v>0</v>
      </c>
      <c r="V1426" s="16">
        <f>IFERROR(INDEX(BASE_CCLASSTRIB!$F:$F, MATCH(TEXT($D1426,"000000"), BASE_CCLASSTRIB!$A:$A, 0))/100, 0)</f>
        <v>0</v>
      </c>
    </row>
    <row r="1427" spans="4:22" ht="32.25" customHeight="1">
      <c r="D1427" s="40"/>
      <c r="E1427" s="27" t="str">
        <f>IF(D1427="","",LEFT(D1427,3))</f>
        <v/>
      </c>
      <c r="F1427" s="28" t="str">
        <f>IF(E1427="","",IFERROR(VLOOKUP(E1427,REGRAS_CST!$A$2:$B$200,2,FALSE),""))</f>
        <v/>
      </c>
      <c r="H1427" s="29">
        <v>8.9999999999999993E-3</v>
      </c>
      <c r="I1427" s="29">
        <v>1E-3</v>
      </c>
      <c r="K1427" s="21" t="str">
        <f>IF(E1427="","",IFERROR(VLOOKUP(E1427,REGRAS_CST!$A$2:$C$200,3,FALSE),""))</f>
        <v/>
      </c>
      <c r="L1427" s="23" t="str">
        <f>IF($G1427="", "", $G1427*(1-$V1427))</f>
        <v/>
      </c>
      <c r="M1427" s="24" t="str">
        <f>IF(OR($L1427="",$S1427=""),"",$L1427*$S1427)</f>
        <v/>
      </c>
      <c r="N1427" s="24" t="str">
        <f>IF(OR($L1427="",$T1427=""),"",$L1427*$T1427)</f>
        <v/>
      </c>
      <c r="O1427" s="15" t="str">
        <f>IF(D1427="","",
IF(AND(K1427&lt;&gt;"SIM",V1427&gt;0),"ERRO: % BC &gt; 0, mas NÃO permitida ❌",
IF(AND(K1427="SIM",V1427=0),"ATENÇÃO: BC permitida, mas % = 0 🔎",
"Base de cálculo aplicada corretamente ✅")))</f>
        <v/>
      </c>
      <c r="P1427" s="31" t="str">
        <f>IF(D1427="","",
IF(AND(Q1427&lt;&gt;"SIM",U1427&gt;0),"ERRO: % alíquota &gt; 0, mas NÃO permitida ❌",
IF(AND(Q1427="SIM",U1427=0),"ATENÇÃO: alíquota permitida, mas % = 0 🔎",
"Alíquota aplicada corretamente ✅")))</f>
        <v/>
      </c>
      <c r="Q1427" s="8" t="str">
        <f>IF(E1427="","",IFERROR(VLOOKUP(E1427,REGRAS_CST!$A$2:$D$200,4,FALSE),""))</f>
        <v/>
      </c>
      <c r="S1427" s="9">
        <f>IF($H1427="","",$H1427*(1-$U1427))</f>
        <v>8.9999999999999993E-3</v>
      </c>
      <c r="T1427" s="9">
        <f>IF($I1427="","",$I1427*(1-$U1427))</f>
        <v>1E-3</v>
      </c>
      <c r="U1427" s="16">
        <f>IFERROR(INDEX(BASE_CCLASSTRIB!$E:$E, MATCH(TEXT($D1427,"000000"), BASE_CCLASSTRIB!$A:$A, 0))/100, 0)</f>
        <v>0</v>
      </c>
      <c r="V1427" s="16">
        <f>IFERROR(INDEX(BASE_CCLASSTRIB!$F:$F, MATCH(TEXT($D1427,"000000"), BASE_CCLASSTRIB!$A:$A, 0))/100, 0)</f>
        <v>0</v>
      </c>
    </row>
    <row r="1428" spans="4:22" ht="32.25" customHeight="1">
      <c r="D1428" s="39"/>
      <c r="E1428" s="27" t="str">
        <f>IF(D1428="","",LEFT(D1428,3))</f>
        <v/>
      </c>
      <c r="F1428" s="28" t="str">
        <f>IF(E1428="","",IFERROR(VLOOKUP(E1428,REGRAS_CST!$A$2:$B$200,2,FALSE),""))</f>
        <v/>
      </c>
      <c r="H1428" s="29">
        <v>8.9999999999999993E-3</v>
      </c>
      <c r="I1428" s="29">
        <v>1E-3</v>
      </c>
      <c r="K1428" s="21" t="str">
        <f>IF(E1428="","",IFERROR(VLOOKUP(E1428,REGRAS_CST!$A$2:$C$200,3,FALSE),""))</f>
        <v/>
      </c>
      <c r="L1428" s="23" t="str">
        <f>IF($G1428="", "", $G1428*(1-$V1428))</f>
        <v/>
      </c>
      <c r="M1428" s="24" t="str">
        <f>IF(OR($L1428="",$S1428=""),"",$L1428*$S1428)</f>
        <v/>
      </c>
      <c r="N1428" s="24" t="str">
        <f>IF(OR($L1428="",$T1428=""),"",$L1428*$T1428)</f>
        <v/>
      </c>
      <c r="O1428" s="15" t="str">
        <f>IF(D1428="","",
IF(AND(K1428&lt;&gt;"SIM",V1428&gt;0),"ERRO: % BC &gt; 0, mas NÃO permitida ❌",
IF(AND(K1428="SIM",V1428=0),"ATENÇÃO: BC permitida, mas % = 0 🔎",
"Base de cálculo aplicada corretamente ✅")))</f>
        <v/>
      </c>
      <c r="P1428" s="31" t="str">
        <f>IF(D1428="","",
IF(AND(Q1428&lt;&gt;"SIM",U1428&gt;0),"ERRO: % alíquota &gt; 0, mas NÃO permitida ❌",
IF(AND(Q1428="SIM",U1428=0),"ATENÇÃO: alíquota permitida, mas % = 0 🔎",
"Alíquota aplicada corretamente ✅")))</f>
        <v/>
      </c>
      <c r="Q1428" s="8" t="str">
        <f>IF(E1428="","",IFERROR(VLOOKUP(E1428,REGRAS_CST!$A$2:$D$200,4,FALSE),""))</f>
        <v/>
      </c>
      <c r="S1428" s="9">
        <f>IF($H1428="","",$H1428*(1-$U1428))</f>
        <v>8.9999999999999993E-3</v>
      </c>
      <c r="T1428" s="9">
        <f>IF($I1428="","",$I1428*(1-$U1428))</f>
        <v>1E-3</v>
      </c>
      <c r="U1428" s="16">
        <f>IFERROR(INDEX(BASE_CCLASSTRIB!$E:$E, MATCH(TEXT($D1428,"000000"), BASE_CCLASSTRIB!$A:$A, 0))/100, 0)</f>
        <v>0</v>
      </c>
      <c r="V1428" s="16">
        <f>IFERROR(INDEX(BASE_CCLASSTRIB!$F:$F, MATCH(TEXT($D1428,"000000"), BASE_CCLASSTRIB!$A:$A, 0))/100, 0)</f>
        <v>0</v>
      </c>
    </row>
    <row r="1429" spans="4:22" ht="32.25" customHeight="1">
      <c r="D1429" s="39"/>
      <c r="E1429" s="27" t="str">
        <f>IF(D1429="","",LEFT(D1429,3))</f>
        <v/>
      </c>
      <c r="F1429" s="28" t="str">
        <f>IF(E1429="","",IFERROR(VLOOKUP(E1429,REGRAS_CST!$A$2:$B$200,2,FALSE),""))</f>
        <v/>
      </c>
      <c r="H1429" s="29">
        <v>8.9999999999999993E-3</v>
      </c>
      <c r="I1429" s="29">
        <v>1E-3</v>
      </c>
      <c r="K1429" s="21" t="str">
        <f>IF(E1429="","",IFERROR(VLOOKUP(E1429,REGRAS_CST!$A$2:$C$200,3,FALSE),""))</f>
        <v/>
      </c>
      <c r="L1429" s="23" t="str">
        <f>IF($G1429="", "", $G1429*(1-$V1429))</f>
        <v/>
      </c>
      <c r="M1429" s="24" t="str">
        <f>IF(OR($L1429="",$S1429=""),"",$L1429*$S1429)</f>
        <v/>
      </c>
      <c r="N1429" s="24" t="str">
        <f>IF(OR($L1429="",$T1429=""),"",$L1429*$T1429)</f>
        <v/>
      </c>
      <c r="O1429" s="15" t="str">
        <f>IF(D1429="","",
IF(AND(K1429&lt;&gt;"SIM",V1429&gt;0),"ERRO: % BC &gt; 0, mas NÃO permitida ❌",
IF(AND(K1429="SIM",V1429=0),"ATENÇÃO: BC permitida, mas % = 0 🔎",
"Base de cálculo aplicada corretamente ✅")))</f>
        <v/>
      </c>
      <c r="P1429" s="31" t="str">
        <f>IF(D1429="","",
IF(AND(Q1429&lt;&gt;"SIM",U1429&gt;0),"ERRO: % alíquota &gt; 0, mas NÃO permitida ❌",
IF(AND(Q1429="SIM",U1429=0),"ATENÇÃO: alíquota permitida, mas % = 0 🔎",
"Alíquota aplicada corretamente ✅")))</f>
        <v/>
      </c>
      <c r="Q1429" s="8" t="str">
        <f>IF(E1429="","",IFERROR(VLOOKUP(E1429,REGRAS_CST!$A$2:$D$200,4,FALSE),""))</f>
        <v/>
      </c>
      <c r="S1429" s="9">
        <f>IF($H1429="","",$H1429*(1-$U1429))</f>
        <v>8.9999999999999993E-3</v>
      </c>
      <c r="T1429" s="9">
        <f>IF($I1429="","",$I1429*(1-$U1429))</f>
        <v>1E-3</v>
      </c>
      <c r="U1429" s="16">
        <f>IFERROR(INDEX(BASE_CCLASSTRIB!$E:$E, MATCH(TEXT($D1429,"000000"), BASE_CCLASSTRIB!$A:$A, 0))/100, 0)</f>
        <v>0</v>
      </c>
      <c r="V1429" s="16">
        <f>IFERROR(INDEX(BASE_CCLASSTRIB!$F:$F, MATCH(TEXT($D1429,"000000"), BASE_CCLASSTRIB!$A:$A, 0))/100, 0)</f>
        <v>0</v>
      </c>
    </row>
    <row r="1430" spans="4:22" ht="32.25" customHeight="1">
      <c r="D1430" s="39"/>
      <c r="E1430" s="27" t="str">
        <f>IF(D1430="","",LEFT(D1430,3))</f>
        <v/>
      </c>
      <c r="F1430" s="28" t="str">
        <f>IF(E1430="","",IFERROR(VLOOKUP(E1430,REGRAS_CST!$A$2:$B$200,2,FALSE),""))</f>
        <v/>
      </c>
      <c r="H1430" s="29">
        <v>8.9999999999999993E-3</v>
      </c>
      <c r="I1430" s="29">
        <v>1E-3</v>
      </c>
      <c r="K1430" s="21" t="str">
        <f>IF(E1430="","",IFERROR(VLOOKUP(E1430,REGRAS_CST!$A$2:$C$200,3,FALSE),""))</f>
        <v/>
      </c>
      <c r="L1430" s="23" t="str">
        <f>IF($G1430="", "", $G1430*(1-$V1430))</f>
        <v/>
      </c>
      <c r="M1430" s="24" t="str">
        <f>IF(OR($L1430="",$S1430=""),"",$L1430*$S1430)</f>
        <v/>
      </c>
      <c r="N1430" s="24" t="str">
        <f>IF(OR($L1430="",$T1430=""),"",$L1430*$T1430)</f>
        <v/>
      </c>
      <c r="O1430" s="15" t="str">
        <f>IF(D1430="","",
IF(AND(K1430&lt;&gt;"SIM",V1430&gt;0),"ERRO: % BC &gt; 0, mas NÃO permitida ❌",
IF(AND(K1430="SIM",V1430=0),"ATENÇÃO: BC permitida, mas % = 0 🔎",
"Base de cálculo aplicada corretamente ✅")))</f>
        <v/>
      </c>
      <c r="P1430" s="31" t="str">
        <f>IF(D1430="","",
IF(AND(Q1430&lt;&gt;"SIM",U1430&gt;0),"ERRO: % alíquota &gt; 0, mas NÃO permitida ❌",
IF(AND(Q1430="SIM",U1430=0),"ATENÇÃO: alíquota permitida, mas % = 0 🔎",
"Alíquota aplicada corretamente ✅")))</f>
        <v/>
      </c>
      <c r="Q1430" s="8" t="str">
        <f>IF(E1430="","",IFERROR(VLOOKUP(E1430,REGRAS_CST!$A$2:$D$200,4,FALSE),""))</f>
        <v/>
      </c>
      <c r="S1430" s="9">
        <f>IF($H1430="","",$H1430*(1-$U1430))</f>
        <v>8.9999999999999993E-3</v>
      </c>
      <c r="T1430" s="9">
        <f>IF($I1430="","",$I1430*(1-$U1430))</f>
        <v>1E-3</v>
      </c>
      <c r="U1430" s="16">
        <f>IFERROR(INDEX(BASE_CCLASSTRIB!$E:$E, MATCH(TEXT($D1430,"000000"), BASE_CCLASSTRIB!$A:$A, 0))/100, 0)</f>
        <v>0</v>
      </c>
      <c r="V1430" s="16">
        <f>IFERROR(INDEX(BASE_CCLASSTRIB!$F:$F, MATCH(TEXT($D1430,"000000"), BASE_CCLASSTRIB!$A:$A, 0))/100, 0)</f>
        <v>0</v>
      </c>
    </row>
    <row r="1431" spans="4:22" ht="32.25" customHeight="1">
      <c r="D1431" s="39"/>
      <c r="E1431" s="27" t="str">
        <f>IF(D1431="","",LEFT(D1431,3))</f>
        <v/>
      </c>
      <c r="F1431" s="28" t="str">
        <f>IF(E1431="","",IFERROR(VLOOKUP(E1431,REGRAS_CST!$A$2:$B$200,2,FALSE),""))</f>
        <v/>
      </c>
      <c r="H1431" s="29">
        <v>8.9999999999999993E-3</v>
      </c>
      <c r="I1431" s="29">
        <v>1E-3</v>
      </c>
      <c r="K1431" s="21" t="str">
        <f>IF(E1431="","",IFERROR(VLOOKUP(E1431,REGRAS_CST!$A$2:$C$200,3,FALSE),""))</f>
        <v/>
      </c>
      <c r="L1431" s="23" t="str">
        <f>IF($G1431="", "", $G1431*(1-$V1431))</f>
        <v/>
      </c>
      <c r="M1431" s="24" t="str">
        <f>IF(OR($L1431="",$S1431=""),"",$L1431*$S1431)</f>
        <v/>
      </c>
      <c r="N1431" s="24" t="str">
        <f>IF(OR($L1431="",$T1431=""),"",$L1431*$T1431)</f>
        <v/>
      </c>
      <c r="O1431" s="15" t="str">
        <f>IF(D1431="","",
IF(AND(K1431&lt;&gt;"SIM",V1431&gt;0),"ERRO: % BC &gt; 0, mas NÃO permitida ❌",
IF(AND(K1431="SIM",V1431=0),"ATENÇÃO: BC permitida, mas % = 0 🔎",
"Base de cálculo aplicada corretamente ✅")))</f>
        <v/>
      </c>
      <c r="P1431" s="31" t="str">
        <f>IF(D1431="","",
IF(AND(Q1431&lt;&gt;"SIM",U1431&gt;0),"ERRO: % alíquota &gt; 0, mas NÃO permitida ❌",
IF(AND(Q1431="SIM",U1431=0),"ATENÇÃO: alíquota permitida, mas % = 0 🔎",
"Alíquota aplicada corretamente ✅")))</f>
        <v/>
      </c>
      <c r="Q1431" s="8" t="str">
        <f>IF(E1431="","",IFERROR(VLOOKUP(E1431,REGRAS_CST!$A$2:$D$200,4,FALSE),""))</f>
        <v/>
      </c>
      <c r="S1431" s="9">
        <f>IF($H1431="","",$H1431*(1-$U1431))</f>
        <v>8.9999999999999993E-3</v>
      </c>
      <c r="T1431" s="9">
        <f>IF($I1431="","",$I1431*(1-$U1431))</f>
        <v>1E-3</v>
      </c>
      <c r="U1431" s="16">
        <f>IFERROR(INDEX(BASE_CCLASSTRIB!$E:$E, MATCH(TEXT($D1431,"000000"), BASE_CCLASSTRIB!$A:$A, 0))/100, 0)</f>
        <v>0</v>
      </c>
      <c r="V1431" s="16">
        <f>IFERROR(INDEX(BASE_CCLASSTRIB!$F:$F, MATCH(TEXT($D1431,"000000"), BASE_CCLASSTRIB!$A:$A, 0))/100, 0)</f>
        <v>0</v>
      </c>
    </row>
    <row r="1432" spans="4:22" ht="32.25" customHeight="1">
      <c r="D1432" s="39"/>
      <c r="E1432" s="27" t="str">
        <f>IF(D1432="","",LEFT(D1432,3))</f>
        <v/>
      </c>
      <c r="F1432" s="28" t="str">
        <f>IF(E1432="","",IFERROR(VLOOKUP(E1432,REGRAS_CST!$A$2:$B$200,2,FALSE),""))</f>
        <v/>
      </c>
      <c r="H1432" s="29">
        <v>8.9999999999999993E-3</v>
      </c>
      <c r="I1432" s="29">
        <v>1E-3</v>
      </c>
      <c r="K1432" s="21" t="str">
        <f>IF(E1432="","",IFERROR(VLOOKUP(E1432,REGRAS_CST!$A$2:$C$200,3,FALSE),""))</f>
        <v/>
      </c>
      <c r="L1432" s="23" t="str">
        <f>IF($G1432="", "", $G1432*(1-$V1432))</f>
        <v/>
      </c>
      <c r="M1432" s="24" t="str">
        <f>IF(OR($L1432="",$S1432=""),"",$L1432*$S1432)</f>
        <v/>
      </c>
      <c r="N1432" s="24" t="str">
        <f>IF(OR($L1432="",$T1432=""),"",$L1432*$T1432)</f>
        <v/>
      </c>
      <c r="O1432" s="15" t="str">
        <f>IF(D1432="","",
IF(AND(K1432&lt;&gt;"SIM",V1432&gt;0),"ERRO: % BC &gt; 0, mas NÃO permitida ❌",
IF(AND(K1432="SIM",V1432=0),"ATENÇÃO: BC permitida, mas % = 0 🔎",
"Base de cálculo aplicada corretamente ✅")))</f>
        <v/>
      </c>
      <c r="P1432" s="31" t="str">
        <f>IF(D1432="","",
IF(AND(Q1432&lt;&gt;"SIM",U1432&gt;0),"ERRO: % alíquota &gt; 0, mas NÃO permitida ❌",
IF(AND(Q1432="SIM",U1432=0),"ATENÇÃO: alíquota permitida, mas % = 0 🔎",
"Alíquota aplicada corretamente ✅")))</f>
        <v/>
      </c>
      <c r="Q1432" s="8" t="str">
        <f>IF(E1432="","",IFERROR(VLOOKUP(E1432,REGRAS_CST!$A$2:$D$200,4,FALSE),""))</f>
        <v/>
      </c>
      <c r="S1432" s="9">
        <f>IF($H1432="","",$H1432*(1-$U1432))</f>
        <v>8.9999999999999993E-3</v>
      </c>
      <c r="T1432" s="9">
        <f>IF($I1432="","",$I1432*(1-$U1432))</f>
        <v>1E-3</v>
      </c>
      <c r="U1432" s="16">
        <f>IFERROR(INDEX(BASE_CCLASSTRIB!$E:$E, MATCH(TEXT($D1432,"000000"), BASE_CCLASSTRIB!$A:$A, 0))/100, 0)</f>
        <v>0</v>
      </c>
      <c r="V1432" s="16">
        <f>IFERROR(INDEX(BASE_CCLASSTRIB!$F:$F, MATCH(TEXT($D1432,"000000"), BASE_CCLASSTRIB!$A:$A, 0))/100, 0)</f>
        <v>0</v>
      </c>
    </row>
    <row r="1433" spans="4:22" ht="32.25" customHeight="1">
      <c r="D1433" s="39"/>
      <c r="E1433" s="27" t="str">
        <f>IF(D1433="","",LEFT(D1433,3))</f>
        <v/>
      </c>
      <c r="F1433" s="28" t="str">
        <f>IF(E1433="","",IFERROR(VLOOKUP(E1433,REGRAS_CST!$A$2:$B$200,2,FALSE),""))</f>
        <v/>
      </c>
      <c r="H1433" s="29">
        <v>8.9999999999999993E-3</v>
      </c>
      <c r="I1433" s="29">
        <v>1E-3</v>
      </c>
      <c r="K1433" s="21" t="str">
        <f>IF(E1433="","",IFERROR(VLOOKUP(E1433,REGRAS_CST!$A$2:$C$200,3,FALSE),""))</f>
        <v/>
      </c>
      <c r="L1433" s="23" t="str">
        <f>IF($G1433="", "", $G1433*(1-$V1433))</f>
        <v/>
      </c>
      <c r="M1433" s="24" t="str">
        <f>IF(OR($L1433="",$S1433=""),"",$L1433*$S1433)</f>
        <v/>
      </c>
      <c r="N1433" s="24" t="str">
        <f>IF(OR($L1433="",$T1433=""),"",$L1433*$T1433)</f>
        <v/>
      </c>
      <c r="O1433" s="15" t="str">
        <f>IF(D1433="","",
IF(AND(K1433&lt;&gt;"SIM",V1433&gt;0),"ERRO: % BC &gt; 0, mas NÃO permitida ❌",
IF(AND(K1433="SIM",V1433=0),"ATENÇÃO: BC permitida, mas % = 0 🔎",
"Base de cálculo aplicada corretamente ✅")))</f>
        <v/>
      </c>
      <c r="P1433" s="31" t="str">
        <f>IF(D1433="","",
IF(AND(Q1433&lt;&gt;"SIM",U1433&gt;0),"ERRO: % alíquota &gt; 0, mas NÃO permitida ❌",
IF(AND(Q1433="SIM",U1433=0),"ATENÇÃO: alíquota permitida, mas % = 0 🔎",
"Alíquota aplicada corretamente ✅")))</f>
        <v/>
      </c>
      <c r="Q1433" s="8" t="str">
        <f>IF(E1433="","",IFERROR(VLOOKUP(E1433,REGRAS_CST!$A$2:$D$200,4,FALSE),""))</f>
        <v/>
      </c>
      <c r="S1433" s="9">
        <f>IF($H1433="","",$H1433*(1-$U1433))</f>
        <v>8.9999999999999993E-3</v>
      </c>
      <c r="T1433" s="9">
        <f>IF($I1433="","",$I1433*(1-$U1433))</f>
        <v>1E-3</v>
      </c>
      <c r="U1433" s="16">
        <f>IFERROR(INDEX(BASE_CCLASSTRIB!$E:$E, MATCH(TEXT($D1433,"000000"), BASE_CCLASSTRIB!$A:$A, 0))/100, 0)</f>
        <v>0</v>
      </c>
      <c r="V1433" s="16">
        <f>IFERROR(INDEX(BASE_CCLASSTRIB!$F:$F, MATCH(TEXT($D1433,"000000"), BASE_CCLASSTRIB!$A:$A, 0))/100, 0)</f>
        <v>0</v>
      </c>
    </row>
    <row r="1434" spans="4:22" ht="32.25" customHeight="1">
      <c r="D1434" s="39"/>
      <c r="E1434" s="27" t="str">
        <f>IF(D1434="","",LEFT(D1434,3))</f>
        <v/>
      </c>
      <c r="F1434" s="28" t="str">
        <f>IF(E1434="","",IFERROR(VLOOKUP(E1434,REGRAS_CST!$A$2:$B$200,2,FALSE),""))</f>
        <v/>
      </c>
      <c r="H1434" s="29">
        <v>8.9999999999999993E-3</v>
      </c>
      <c r="I1434" s="29">
        <v>1E-3</v>
      </c>
      <c r="K1434" s="21" t="str">
        <f>IF(E1434="","",IFERROR(VLOOKUP(E1434,REGRAS_CST!$A$2:$C$200,3,FALSE),""))</f>
        <v/>
      </c>
      <c r="L1434" s="23" t="str">
        <f>IF($G1434="", "", $G1434*(1-$V1434))</f>
        <v/>
      </c>
      <c r="M1434" s="24" t="str">
        <f>IF(OR($L1434="",$S1434=""),"",$L1434*$S1434)</f>
        <v/>
      </c>
      <c r="N1434" s="24" t="str">
        <f>IF(OR($L1434="",$T1434=""),"",$L1434*$T1434)</f>
        <v/>
      </c>
      <c r="O1434" s="15" t="str">
        <f>IF(D1434="","",
IF(AND(K1434&lt;&gt;"SIM",V1434&gt;0),"ERRO: % BC &gt; 0, mas NÃO permitida ❌",
IF(AND(K1434="SIM",V1434=0),"ATENÇÃO: BC permitida, mas % = 0 🔎",
"Base de cálculo aplicada corretamente ✅")))</f>
        <v/>
      </c>
      <c r="P1434" s="31" t="str">
        <f>IF(D1434="","",
IF(AND(Q1434&lt;&gt;"SIM",U1434&gt;0),"ERRO: % alíquota &gt; 0, mas NÃO permitida ❌",
IF(AND(Q1434="SIM",U1434=0),"ATENÇÃO: alíquota permitida, mas % = 0 🔎",
"Alíquota aplicada corretamente ✅")))</f>
        <v/>
      </c>
      <c r="Q1434" s="8" t="str">
        <f>IF(E1434="","",IFERROR(VLOOKUP(E1434,REGRAS_CST!$A$2:$D$200,4,FALSE),""))</f>
        <v/>
      </c>
      <c r="S1434" s="9">
        <f>IF($H1434="","",$H1434*(1-$U1434))</f>
        <v>8.9999999999999993E-3</v>
      </c>
      <c r="T1434" s="9">
        <f>IF($I1434="","",$I1434*(1-$U1434))</f>
        <v>1E-3</v>
      </c>
      <c r="U1434" s="16">
        <f>IFERROR(INDEX(BASE_CCLASSTRIB!$E:$E, MATCH(TEXT($D1434,"000000"), BASE_CCLASSTRIB!$A:$A, 0))/100, 0)</f>
        <v>0</v>
      </c>
      <c r="V1434" s="16">
        <f>IFERROR(INDEX(BASE_CCLASSTRIB!$F:$F, MATCH(TEXT($D1434,"000000"), BASE_CCLASSTRIB!$A:$A, 0))/100, 0)</f>
        <v>0</v>
      </c>
    </row>
    <row r="1435" spans="4:22" ht="32.25" customHeight="1">
      <c r="D1435" s="40"/>
      <c r="E1435" s="27" t="str">
        <f>IF(D1435="","",LEFT(D1435,3))</f>
        <v/>
      </c>
      <c r="F1435" s="28" t="str">
        <f>IF(E1435="","",IFERROR(VLOOKUP(E1435,REGRAS_CST!$A$2:$B$200,2,FALSE),""))</f>
        <v/>
      </c>
      <c r="H1435" s="29">
        <v>8.9999999999999993E-3</v>
      </c>
      <c r="I1435" s="29">
        <v>1E-3</v>
      </c>
      <c r="K1435" s="21" t="str">
        <f>IF(E1435="","",IFERROR(VLOOKUP(E1435,REGRAS_CST!$A$2:$C$200,3,FALSE),""))</f>
        <v/>
      </c>
      <c r="L1435" s="23" t="str">
        <f>IF($G1435="", "", $G1435*(1-$V1435))</f>
        <v/>
      </c>
      <c r="M1435" s="24" t="str">
        <f>IF(OR($L1435="",$S1435=""),"",$L1435*$S1435)</f>
        <v/>
      </c>
      <c r="N1435" s="24" t="str">
        <f>IF(OR($L1435="",$T1435=""),"",$L1435*$T1435)</f>
        <v/>
      </c>
      <c r="O1435" s="15" t="str">
        <f>IF(D1435="","",
IF(AND(K1435&lt;&gt;"SIM",V1435&gt;0),"ERRO: % BC &gt; 0, mas NÃO permitida ❌",
IF(AND(K1435="SIM",V1435=0),"ATENÇÃO: BC permitida, mas % = 0 🔎",
"Base de cálculo aplicada corretamente ✅")))</f>
        <v/>
      </c>
      <c r="P1435" s="31" t="str">
        <f>IF(D1435="","",
IF(AND(Q1435&lt;&gt;"SIM",U1435&gt;0),"ERRO: % alíquota &gt; 0, mas NÃO permitida ❌",
IF(AND(Q1435="SIM",U1435=0),"ATENÇÃO: alíquota permitida, mas % = 0 🔎",
"Alíquota aplicada corretamente ✅")))</f>
        <v/>
      </c>
      <c r="Q1435" s="8" t="str">
        <f>IF(E1435="","",IFERROR(VLOOKUP(E1435,REGRAS_CST!$A$2:$D$200,4,FALSE),""))</f>
        <v/>
      </c>
      <c r="S1435" s="9">
        <f>IF($H1435="","",$H1435*(1-$U1435))</f>
        <v>8.9999999999999993E-3</v>
      </c>
      <c r="T1435" s="9">
        <f>IF($I1435="","",$I1435*(1-$U1435))</f>
        <v>1E-3</v>
      </c>
      <c r="U1435" s="16">
        <f>IFERROR(INDEX(BASE_CCLASSTRIB!$E:$E, MATCH(TEXT($D1435,"000000"), BASE_CCLASSTRIB!$A:$A, 0))/100, 0)</f>
        <v>0</v>
      </c>
      <c r="V1435" s="16">
        <f>IFERROR(INDEX(BASE_CCLASSTRIB!$F:$F, MATCH(TEXT($D1435,"000000"), BASE_CCLASSTRIB!$A:$A, 0))/100, 0)</f>
        <v>0</v>
      </c>
    </row>
    <row r="1436" spans="4:22" ht="32.25" customHeight="1">
      <c r="D1436" s="40"/>
      <c r="E1436" s="27" t="str">
        <f>IF(D1436="","",LEFT(D1436,3))</f>
        <v/>
      </c>
      <c r="F1436" s="28" t="str">
        <f>IF(E1436="","",IFERROR(VLOOKUP(E1436,REGRAS_CST!$A$2:$B$200,2,FALSE),""))</f>
        <v/>
      </c>
      <c r="H1436" s="29">
        <v>8.9999999999999993E-3</v>
      </c>
      <c r="I1436" s="29">
        <v>1E-3</v>
      </c>
      <c r="K1436" s="21" t="str">
        <f>IF(E1436="","",IFERROR(VLOOKUP(E1436,REGRAS_CST!$A$2:$C$200,3,FALSE),""))</f>
        <v/>
      </c>
      <c r="L1436" s="23" t="str">
        <f>IF($G1436="", "", $G1436*(1-$V1436))</f>
        <v/>
      </c>
      <c r="M1436" s="24" t="str">
        <f>IF(OR($L1436="",$S1436=""),"",$L1436*$S1436)</f>
        <v/>
      </c>
      <c r="N1436" s="24" t="str">
        <f>IF(OR($L1436="",$T1436=""),"",$L1436*$T1436)</f>
        <v/>
      </c>
      <c r="O1436" s="15" t="str">
        <f>IF(D1436="","",
IF(AND(K1436&lt;&gt;"SIM",V1436&gt;0),"ERRO: % BC &gt; 0, mas NÃO permitida ❌",
IF(AND(K1436="SIM",V1436=0),"ATENÇÃO: BC permitida, mas % = 0 🔎",
"Base de cálculo aplicada corretamente ✅")))</f>
        <v/>
      </c>
      <c r="P1436" s="31" t="str">
        <f>IF(D1436="","",
IF(AND(Q1436&lt;&gt;"SIM",U1436&gt;0),"ERRO: % alíquota &gt; 0, mas NÃO permitida ❌",
IF(AND(Q1436="SIM",U1436=0),"ATENÇÃO: alíquota permitida, mas % = 0 🔎",
"Alíquota aplicada corretamente ✅")))</f>
        <v/>
      </c>
      <c r="Q1436" s="8" t="str">
        <f>IF(E1436="","",IFERROR(VLOOKUP(E1436,REGRAS_CST!$A$2:$D$200,4,FALSE),""))</f>
        <v/>
      </c>
      <c r="S1436" s="9">
        <f>IF($H1436="","",$H1436*(1-$U1436))</f>
        <v>8.9999999999999993E-3</v>
      </c>
      <c r="T1436" s="9">
        <f>IF($I1436="","",$I1436*(1-$U1436))</f>
        <v>1E-3</v>
      </c>
      <c r="U1436" s="16">
        <f>IFERROR(INDEX(BASE_CCLASSTRIB!$E:$E, MATCH(TEXT($D1436,"000000"), BASE_CCLASSTRIB!$A:$A, 0))/100, 0)</f>
        <v>0</v>
      </c>
      <c r="V1436" s="16">
        <f>IFERROR(INDEX(BASE_CCLASSTRIB!$F:$F, MATCH(TEXT($D1436,"000000"), BASE_CCLASSTRIB!$A:$A, 0))/100, 0)</f>
        <v>0</v>
      </c>
    </row>
    <row r="1437" spans="4:22" ht="32.25" customHeight="1">
      <c r="D1437" s="39"/>
      <c r="E1437" s="27" t="str">
        <f>IF(D1437="","",LEFT(D1437,3))</f>
        <v/>
      </c>
      <c r="F1437" s="28" t="str">
        <f>IF(E1437="","",IFERROR(VLOOKUP(E1437,REGRAS_CST!$A$2:$B$200,2,FALSE),""))</f>
        <v/>
      </c>
      <c r="H1437" s="29">
        <v>8.9999999999999993E-3</v>
      </c>
      <c r="I1437" s="29">
        <v>1E-3</v>
      </c>
      <c r="K1437" s="21" t="str">
        <f>IF(E1437="","",IFERROR(VLOOKUP(E1437,REGRAS_CST!$A$2:$C$200,3,FALSE),""))</f>
        <v/>
      </c>
      <c r="L1437" s="23" t="str">
        <f>IF($G1437="", "", $G1437*(1-$V1437))</f>
        <v/>
      </c>
      <c r="M1437" s="24" t="str">
        <f>IF(OR($L1437="",$S1437=""),"",$L1437*$S1437)</f>
        <v/>
      </c>
      <c r="N1437" s="24" t="str">
        <f>IF(OR($L1437="",$T1437=""),"",$L1437*$T1437)</f>
        <v/>
      </c>
      <c r="O1437" s="15" t="str">
        <f>IF(D1437="","",
IF(AND(K1437&lt;&gt;"SIM",V1437&gt;0),"ERRO: % BC &gt; 0, mas NÃO permitida ❌",
IF(AND(K1437="SIM",V1437=0),"ATENÇÃO: BC permitida, mas % = 0 🔎",
"Base de cálculo aplicada corretamente ✅")))</f>
        <v/>
      </c>
      <c r="P1437" s="31" t="str">
        <f>IF(D1437="","",
IF(AND(Q1437&lt;&gt;"SIM",U1437&gt;0),"ERRO: % alíquota &gt; 0, mas NÃO permitida ❌",
IF(AND(Q1437="SIM",U1437=0),"ATENÇÃO: alíquota permitida, mas % = 0 🔎",
"Alíquota aplicada corretamente ✅")))</f>
        <v/>
      </c>
      <c r="Q1437" s="8" t="str">
        <f>IF(E1437="","",IFERROR(VLOOKUP(E1437,REGRAS_CST!$A$2:$D$200,4,FALSE),""))</f>
        <v/>
      </c>
      <c r="S1437" s="9">
        <f>IF($H1437="","",$H1437*(1-$U1437))</f>
        <v>8.9999999999999993E-3</v>
      </c>
      <c r="T1437" s="9">
        <f>IF($I1437="","",$I1437*(1-$U1437))</f>
        <v>1E-3</v>
      </c>
      <c r="U1437" s="16">
        <f>IFERROR(INDEX(BASE_CCLASSTRIB!$E:$E, MATCH(TEXT($D1437,"000000"), BASE_CCLASSTRIB!$A:$A, 0))/100, 0)</f>
        <v>0</v>
      </c>
      <c r="V1437" s="16">
        <f>IFERROR(INDEX(BASE_CCLASSTRIB!$F:$F, MATCH(TEXT($D1437,"000000"), BASE_CCLASSTRIB!$A:$A, 0))/100, 0)</f>
        <v>0</v>
      </c>
    </row>
    <row r="1438" spans="4:22" ht="32.25" customHeight="1">
      <c r="D1438" s="39"/>
      <c r="E1438" s="27" t="str">
        <f>IF(D1438="","",LEFT(D1438,3))</f>
        <v/>
      </c>
      <c r="F1438" s="28" t="str">
        <f>IF(E1438="","",IFERROR(VLOOKUP(E1438,REGRAS_CST!$A$2:$B$200,2,FALSE),""))</f>
        <v/>
      </c>
      <c r="H1438" s="29">
        <v>8.9999999999999993E-3</v>
      </c>
      <c r="I1438" s="29">
        <v>1E-3</v>
      </c>
      <c r="K1438" s="21" t="str">
        <f>IF(E1438="","",IFERROR(VLOOKUP(E1438,REGRAS_CST!$A$2:$C$200,3,FALSE),""))</f>
        <v/>
      </c>
      <c r="L1438" s="23" t="str">
        <f>IF($G1438="", "", $G1438*(1-$V1438))</f>
        <v/>
      </c>
      <c r="M1438" s="24" t="str">
        <f>IF(OR($L1438="",$S1438=""),"",$L1438*$S1438)</f>
        <v/>
      </c>
      <c r="N1438" s="24" t="str">
        <f>IF(OR($L1438="",$T1438=""),"",$L1438*$T1438)</f>
        <v/>
      </c>
      <c r="O1438" s="15" t="str">
        <f>IF(D1438="","",
IF(AND(K1438&lt;&gt;"SIM",V1438&gt;0),"ERRO: % BC &gt; 0, mas NÃO permitida ❌",
IF(AND(K1438="SIM",V1438=0),"ATENÇÃO: BC permitida, mas % = 0 🔎",
"Base de cálculo aplicada corretamente ✅")))</f>
        <v/>
      </c>
      <c r="P1438" s="31" t="str">
        <f>IF(D1438="","",
IF(AND(Q1438&lt;&gt;"SIM",U1438&gt;0),"ERRO: % alíquota &gt; 0, mas NÃO permitida ❌",
IF(AND(Q1438="SIM",U1438=0),"ATENÇÃO: alíquota permitida, mas % = 0 🔎",
"Alíquota aplicada corretamente ✅")))</f>
        <v/>
      </c>
      <c r="Q1438" s="8" t="str">
        <f>IF(E1438="","",IFERROR(VLOOKUP(E1438,REGRAS_CST!$A$2:$D$200,4,FALSE),""))</f>
        <v/>
      </c>
      <c r="S1438" s="9">
        <f>IF($H1438="","",$H1438*(1-$U1438))</f>
        <v>8.9999999999999993E-3</v>
      </c>
      <c r="T1438" s="9">
        <f>IF($I1438="","",$I1438*(1-$U1438))</f>
        <v>1E-3</v>
      </c>
      <c r="U1438" s="16">
        <f>IFERROR(INDEX(BASE_CCLASSTRIB!$E:$E, MATCH(TEXT($D1438,"000000"), BASE_CCLASSTRIB!$A:$A, 0))/100, 0)</f>
        <v>0</v>
      </c>
      <c r="V1438" s="16">
        <f>IFERROR(INDEX(BASE_CCLASSTRIB!$F:$F, MATCH(TEXT($D1438,"000000"), BASE_CCLASSTRIB!$A:$A, 0))/100, 0)</f>
        <v>0</v>
      </c>
    </row>
    <row r="1439" spans="4:22" ht="32.25" customHeight="1">
      <c r="D1439" s="39"/>
      <c r="E1439" s="27" t="str">
        <f>IF(D1439="","",LEFT(D1439,3))</f>
        <v/>
      </c>
      <c r="F1439" s="28" t="str">
        <f>IF(E1439="","",IFERROR(VLOOKUP(E1439,REGRAS_CST!$A$2:$B$200,2,FALSE),""))</f>
        <v/>
      </c>
      <c r="H1439" s="29">
        <v>8.9999999999999993E-3</v>
      </c>
      <c r="I1439" s="29">
        <v>1E-3</v>
      </c>
      <c r="K1439" s="21" t="str">
        <f>IF(E1439="","",IFERROR(VLOOKUP(E1439,REGRAS_CST!$A$2:$C$200,3,FALSE),""))</f>
        <v/>
      </c>
      <c r="L1439" s="23" t="str">
        <f>IF($G1439="", "", $G1439*(1-$V1439))</f>
        <v/>
      </c>
      <c r="M1439" s="24" t="str">
        <f>IF(OR($L1439="",$S1439=""),"",$L1439*$S1439)</f>
        <v/>
      </c>
      <c r="N1439" s="24" t="str">
        <f>IF(OR($L1439="",$T1439=""),"",$L1439*$T1439)</f>
        <v/>
      </c>
      <c r="O1439" s="15" t="str">
        <f>IF(D1439="","",
IF(AND(K1439&lt;&gt;"SIM",V1439&gt;0),"ERRO: % BC &gt; 0, mas NÃO permitida ❌",
IF(AND(K1439="SIM",V1439=0),"ATENÇÃO: BC permitida, mas % = 0 🔎",
"Base de cálculo aplicada corretamente ✅")))</f>
        <v/>
      </c>
      <c r="P1439" s="31" t="str">
        <f>IF(D1439="","",
IF(AND(Q1439&lt;&gt;"SIM",U1439&gt;0),"ERRO: % alíquota &gt; 0, mas NÃO permitida ❌",
IF(AND(Q1439="SIM",U1439=0),"ATENÇÃO: alíquota permitida, mas % = 0 🔎",
"Alíquota aplicada corretamente ✅")))</f>
        <v/>
      </c>
      <c r="Q1439" s="8" t="str">
        <f>IF(E1439="","",IFERROR(VLOOKUP(E1439,REGRAS_CST!$A$2:$D$200,4,FALSE),""))</f>
        <v/>
      </c>
      <c r="S1439" s="9">
        <f>IF($H1439="","",$H1439*(1-$U1439))</f>
        <v>8.9999999999999993E-3</v>
      </c>
      <c r="T1439" s="9">
        <f>IF($I1439="","",$I1439*(1-$U1439))</f>
        <v>1E-3</v>
      </c>
      <c r="U1439" s="16">
        <f>IFERROR(INDEX(BASE_CCLASSTRIB!$E:$E, MATCH(TEXT($D1439,"000000"), BASE_CCLASSTRIB!$A:$A, 0))/100, 0)</f>
        <v>0</v>
      </c>
      <c r="V1439" s="16">
        <f>IFERROR(INDEX(BASE_CCLASSTRIB!$F:$F, MATCH(TEXT($D1439,"000000"), BASE_CCLASSTRIB!$A:$A, 0))/100, 0)</f>
        <v>0</v>
      </c>
    </row>
    <row r="1440" spans="4:22" ht="32.25" customHeight="1">
      <c r="D1440" s="39"/>
      <c r="E1440" s="27" t="str">
        <f>IF(D1440="","",LEFT(D1440,3))</f>
        <v/>
      </c>
      <c r="F1440" s="28" t="str">
        <f>IF(E1440="","",IFERROR(VLOOKUP(E1440,REGRAS_CST!$A$2:$B$200,2,FALSE),""))</f>
        <v/>
      </c>
      <c r="H1440" s="29">
        <v>8.9999999999999993E-3</v>
      </c>
      <c r="I1440" s="29">
        <v>1E-3</v>
      </c>
      <c r="K1440" s="21" t="str">
        <f>IF(E1440="","",IFERROR(VLOOKUP(E1440,REGRAS_CST!$A$2:$C$200,3,FALSE),""))</f>
        <v/>
      </c>
      <c r="L1440" s="23" t="str">
        <f>IF($G1440="", "", $G1440*(1-$V1440))</f>
        <v/>
      </c>
      <c r="M1440" s="24" t="str">
        <f>IF(OR($L1440="",$S1440=""),"",$L1440*$S1440)</f>
        <v/>
      </c>
      <c r="N1440" s="24" t="str">
        <f>IF(OR($L1440="",$T1440=""),"",$L1440*$T1440)</f>
        <v/>
      </c>
      <c r="O1440" s="15" t="str">
        <f>IF(D1440="","",
IF(AND(K1440&lt;&gt;"SIM",V1440&gt;0),"ERRO: % BC &gt; 0, mas NÃO permitida ❌",
IF(AND(K1440="SIM",V1440=0),"ATENÇÃO: BC permitida, mas % = 0 🔎",
"Base de cálculo aplicada corretamente ✅")))</f>
        <v/>
      </c>
      <c r="P1440" s="31" t="str">
        <f>IF(D1440="","",
IF(AND(Q1440&lt;&gt;"SIM",U1440&gt;0),"ERRO: % alíquota &gt; 0, mas NÃO permitida ❌",
IF(AND(Q1440="SIM",U1440=0),"ATENÇÃO: alíquota permitida, mas % = 0 🔎",
"Alíquota aplicada corretamente ✅")))</f>
        <v/>
      </c>
      <c r="Q1440" s="8" t="str">
        <f>IF(E1440="","",IFERROR(VLOOKUP(E1440,REGRAS_CST!$A$2:$D$200,4,FALSE),""))</f>
        <v/>
      </c>
      <c r="S1440" s="9">
        <f>IF($H1440="","",$H1440*(1-$U1440))</f>
        <v>8.9999999999999993E-3</v>
      </c>
      <c r="T1440" s="9">
        <f>IF($I1440="","",$I1440*(1-$U1440))</f>
        <v>1E-3</v>
      </c>
      <c r="U1440" s="16">
        <f>IFERROR(INDEX(BASE_CCLASSTRIB!$E:$E, MATCH(TEXT($D1440,"000000"), BASE_CCLASSTRIB!$A:$A, 0))/100, 0)</f>
        <v>0</v>
      </c>
      <c r="V1440" s="16">
        <f>IFERROR(INDEX(BASE_CCLASSTRIB!$F:$F, MATCH(TEXT($D1440,"000000"), BASE_CCLASSTRIB!$A:$A, 0))/100, 0)</f>
        <v>0</v>
      </c>
    </row>
    <row r="1441" spans="4:22" ht="32.25" customHeight="1">
      <c r="D1441" s="39"/>
      <c r="E1441" s="27" t="str">
        <f>IF(D1441="","",LEFT(D1441,3))</f>
        <v/>
      </c>
      <c r="F1441" s="28" t="str">
        <f>IF(E1441="","",IFERROR(VLOOKUP(E1441,REGRAS_CST!$A$2:$B$200,2,FALSE),""))</f>
        <v/>
      </c>
      <c r="H1441" s="29">
        <v>8.9999999999999993E-3</v>
      </c>
      <c r="I1441" s="29">
        <v>1E-3</v>
      </c>
      <c r="K1441" s="21" t="str">
        <f>IF(E1441="","",IFERROR(VLOOKUP(E1441,REGRAS_CST!$A$2:$C$200,3,FALSE),""))</f>
        <v/>
      </c>
      <c r="L1441" s="23" t="str">
        <f>IF($G1441="", "", $G1441*(1-$V1441))</f>
        <v/>
      </c>
      <c r="M1441" s="24" t="str">
        <f>IF(OR($L1441="",$S1441=""),"",$L1441*$S1441)</f>
        <v/>
      </c>
      <c r="N1441" s="24" t="str">
        <f>IF(OR($L1441="",$T1441=""),"",$L1441*$T1441)</f>
        <v/>
      </c>
      <c r="O1441" s="15" t="str">
        <f>IF(D1441="","",
IF(AND(K1441&lt;&gt;"SIM",V1441&gt;0),"ERRO: % BC &gt; 0, mas NÃO permitida ❌",
IF(AND(K1441="SIM",V1441=0),"ATENÇÃO: BC permitida, mas % = 0 🔎",
"Base de cálculo aplicada corretamente ✅")))</f>
        <v/>
      </c>
      <c r="P1441" s="31" t="str">
        <f>IF(D1441="","",
IF(AND(Q1441&lt;&gt;"SIM",U1441&gt;0),"ERRO: % alíquota &gt; 0, mas NÃO permitida ❌",
IF(AND(Q1441="SIM",U1441=0),"ATENÇÃO: alíquota permitida, mas % = 0 🔎",
"Alíquota aplicada corretamente ✅")))</f>
        <v/>
      </c>
      <c r="Q1441" s="8" t="str">
        <f>IF(E1441="","",IFERROR(VLOOKUP(E1441,REGRAS_CST!$A$2:$D$200,4,FALSE),""))</f>
        <v/>
      </c>
      <c r="S1441" s="9">
        <f>IF($H1441="","",$H1441*(1-$U1441))</f>
        <v>8.9999999999999993E-3</v>
      </c>
      <c r="T1441" s="9">
        <f>IF($I1441="","",$I1441*(1-$U1441))</f>
        <v>1E-3</v>
      </c>
      <c r="U1441" s="16">
        <f>IFERROR(INDEX(BASE_CCLASSTRIB!$E:$E, MATCH(TEXT($D1441,"000000"), BASE_CCLASSTRIB!$A:$A, 0))/100, 0)</f>
        <v>0</v>
      </c>
      <c r="V1441" s="16">
        <f>IFERROR(INDEX(BASE_CCLASSTRIB!$F:$F, MATCH(TEXT($D1441,"000000"), BASE_CCLASSTRIB!$A:$A, 0))/100, 0)</f>
        <v>0</v>
      </c>
    </row>
    <row r="1442" spans="4:22" ht="32.25" customHeight="1">
      <c r="D1442" s="39"/>
      <c r="E1442" s="27" t="str">
        <f>IF(D1442="","",LEFT(D1442,3))</f>
        <v/>
      </c>
      <c r="F1442" s="28" t="str">
        <f>IF(E1442="","",IFERROR(VLOOKUP(E1442,REGRAS_CST!$A$2:$B$200,2,FALSE),""))</f>
        <v/>
      </c>
      <c r="H1442" s="29">
        <v>8.9999999999999993E-3</v>
      </c>
      <c r="I1442" s="29">
        <v>1E-3</v>
      </c>
      <c r="K1442" s="21" t="str">
        <f>IF(E1442="","",IFERROR(VLOOKUP(E1442,REGRAS_CST!$A$2:$C$200,3,FALSE),""))</f>
        <v/>
      </c>
      <c r="L1442" s="23" t="str">
        <f>IF($G1442="", "", $G1442*(1-$V1442))</f>
        <v/>
      </c>
      <c r="M1442" s="24" t="str">
        <f>IF(OR($L1442="",$S1442=""),"",$L1442*$S1442)</f>
        <v/>
      </c>
      <c r="N1442" s="24" t="str">
        <f>IF(OR($L1442="",$T1442=""),"",$L1442*$T1442)</f>
        <v/>
      </c>
      <c r="O1442" s="15" t="str">
        <f>IF(D1442="","",
IF(AND(K1442&lt;&gt;"SIM",V1442&gt;0),"ERRO: % BC &gt; 0, mas NÃO permitida ❌",
IF(AND(K1442="SIM",V1442=0),"ATENÇÃO: BC permitida, mas % = 0 🔎",
"Base de cálculo aplicada corretamente ✅")))</f>
        <v/>
      </c>
      <c r="P1442" s="31" t="str">
        <f>IF(D1442="","",
IF(AND(Q1442&lt;&gt;"SIM",U1442&gt;0),"ERRO: % alíquota &gt; 0, mas NÃO permitida ❌",
IF(AND(Q1442="SIM",U1442=0),"ATENÇÃO: alíquota permitida, mas % = 0 🔎",
"Alíquota aplicada corretamente ✅")))</f>
        <v/>
      </c>
      <c r="Q1442" s="8" t="str">
        <f>IF(E1442="","",IFERROR(VLOOKUP(E1442,REGRAS_CST!$A$2:$D$200,4,FALSE),""))</f>
        <v/>
      </c>
      <c r="S1442" s="9">
        <f>IF($H1442="","",$H1442*(1-$U1442))</f>
        <v>8.9999999999999993E-3</v>
      </c>
      <c r="T1442" s="9">
        <f>IF($I1442="","",$I1442*(1-$U1442))</f>
        <v>1E-3</v>
      </c>
      <c r="U1442" s="16">
        <f>IFERROR(INDEX(BASE_CCLASSTRIB!$E:$E, MATCH(TEXT($D1442,"000000"), BASE_CCLASSTRIB!$A:$A, 0))/100, 0)</f>
        <v>0</v>
      </c>
      <c r="V1442" s="16">
        <f>IFERROR(INDEX(BASE_CCLASSTRIB!$F:$F, MATCH(TEXT($D1442,"000000"), BASE_CCLASSTRIB!$A:$A, 0))/100, 0)</f>
        <v>0</v>
      </c>
    </row>
    <row r="1443" spans="4:22" ht="32.25" customHeight="1">
      <c r="D1443" s="40"/>
      <c r="E1443" s="27" t="str">
        <f>IF(D1443="","",LEFT(D1443,3))</f>
        <v/>
      </c>
      <c r="F1443" s="28" t="str">
        <f>IF(E1443="","",IFERROR(VLOOKUP(E1443,REGRAS_CST!$A$2:$B$200,2,FALSE),""))</f>
        <v/>
      </c>
      <c r="H1443" s="29">
        <v>8.9999999999999993E-3</v>
      </c>
      <c r="I1443" s="29">
        <v>1E-3</v>
      </c>
      <c r="K1443" s="21" t="str">
        <f>IF(E1443="","",IFERROR(VLOOKUP(E1443,REGRAS_CST!$A$2:$C$200,3,FALSE),""))</f>
        <v/>
      </c>
      <c r="L1443" s="23" t="str">
        <f>IF($G1443="", "", $G1443*(1-$V1443))</f>
        <v/>
      </c>
      <c r="M1443" s="24" t="str">
        <f>IF(OR($L1443="",$S1443=""),"",$L1443*$S1443)</f>
        <v/>
      </c>
      <c r="N1443" s="24" t="str">
        <f>IF(OR($L1443="",$T1443=""),"",$L1443*$T1443)</f>
        <v/>
      </c>
      <c r="O1443" s="15" t="str">
        <f>IF(D1443="","",
IF(AND(K1443&lt;&gt;"SIM",V1443&gt;0),"ERRO: % BC &gt; 0, mas NÃO permitida ❌",
IF(AND(K1443="SIM",V1443=0),"ATENÇÃO: BC permitida, mas % = 0 🔎",
"Base de cálculo aplicada corretamente ✅")))</f>
        <v/>
      </c>
      <c r="P1443" s="31" t="str">
        <f>IF(D1443="","",
IF(AND(Q1443&lt;&gt;"SIM",U1443&gt;0),"ERRO: % alíquota &gt; 0, mas NÃO permitida ❌",
IF(AND(Q1443="SIM",U1443=0),"ATENÇÃO: alíquota permitida, mas % = 0 🔎",
"Alíquota aplicada corretamente ✅")))</f>
        <v/>
      </c>
      <c r="Q1443" s="8" t="str">
        <f>IF(E1443="","",IFERROR(VLOOKUP(E1443,REGRAS_CST!$A$2:$D$200,4,FALSE),""))</f>
        <v/>
      </c>
      <c r="S1443" s="9">
        <f>IF($H1443="","",$H1443*(1-$U1443))</f>
        <v>8.9999999999999993E-3</v>
      </c>
      <c r="T1443" s="9">
        <f>IF($I1443="","",$I1443*(1-$U1443))</f>
        <v>1E-3</v>
      </c>
      <c r="U1443" s="16">
        <f>IFERROR(INDEX(BASE_CCLASSTRIB!$E:$E, MATCH(TEXT($D1443,"000000"), BASE_CCLASSTRIB!$A:$A, 0))/100, 0)</f>
        <v>0</v>
      </c>
      <c r="V1443" s="16">
        <f>IFERROR(INDEX(BASE_CCLASSTRIB!$F:$F, MATCH(TEXT($D1443,"000000"), BASE_CCLASSTRIB!$A:$A, 0))/100, 0)</f>
        <v>0</v>
      </c>
    </row>
    <row r="1444" spans="4:22" ht="32.25" customHeight="1">
      <c r="D1444" s="39"/>
      <c r="E1444" s="27" t="str">
        <f>IF(D1444="","",LEFT(D1444,3))</f>
        <v/>
      </c>
      <c r="F1444" s="28" t="str">
        <f>IF(E1444="","",IFERROR(VLOOKUP(E1444,REGRAS_CST!$A$2:$B$200,2,FALSE),""))</f>
        <v/>
      </c>
      <c r="H1444" s="29">
        <v>8.9999999999999993E-3</v>
      </c>
      <c r="I1444" s="29">
        <v>1E-3</v>
      </c>
      <c r="K1444" s="21" t="str">
        <f>IF(E1444="","",IFERROR(VLOOKUP(E1444,REGRAS_CST!$A$2:$C$200,3,FALSE),""))</f>
        <v/>
      </c>
      <c r="L1444" s="23" t="str">
        <f>IF($G1444="", "", $G1444*(1-$V1444))</f>
        <v/>
      </c>
      <c r="M1444" s="24" t="str">
        <f>IF(OR($L1444="",$S1444=""),"",$L1444*$S1444)</f>
        <v/>
      </c>
      <c r="N1444" s="24" t="str">
        <f>IF(OR($L1444="",$T1444=""),"",$L1444*$T1444)</f>
        <v/>
      </c>
      <c r="O1444" s="15" t="str">
        <f>IF(D1444="","",
IF(AND(K1444&lt;&gt;"SIM",V1444&gt;0),"ERRO: % BC &gt; 0, mas NÃO permitida ❌",
IF(AND(K1444="SIM",V1444=0),"ATENÇÃO: BC permitida, mas % = 0 🔎",
"Base de cálculo aplicada corretamente ✅")))</f>
        <v/>
      </c>
      <c r="P1444" s="31" t="str">
        <f>IF(D1444="","",
IF(AND(Q1444&lt;&gt;"SIM",U1444&gt;0),"ERRO: % alíquota &gt; 0, mas NÃO permitida ❌",
IF(AND(Q1444="SIM",U1444=0),"ATENÇÃO: alíquota permitida, mas % = 0 🔎",
"Alíquota aplicada corretamente ✅")))</f>
        <v/>
      </c>
      <c r="Q1444" s="8" t="str">
        <f>IF(E1444="","",IFERROR(VLOOKUP(E1444,REGRAS_CST!$A$2:$D$200,4,FALSE),""))</f>
        <v/>
      </c>
      <c r="S1444" s="9">
        <f>IF($H1444="","",$H1444*(1-$U1444))</f>
        <v>8.9999999999999993E-3</v>
      </c>
      <c r="T1444" s="9">
        <f>IF($I1444="","",$I1444*(1-$U1444))</f>
        <v>1E-3</v>
      </c>
      <c r="U1444" s="16">
        <f>IFERROR(INDEX(BASE_CCLASSTRIB!$E:$E, MATCH(TEXT($D1444,"000000"), BASE_CCLASSTRIB!$A:$A, 0))/100, 0)</f>
        <v>0</v>
      </c>
      <c r="V1444" s="16">
        <f>IFERROR(INDEX(BASE_CCLASSTRIB!$F:$F, MATCH(TEXT($D1444,"000000"), BASE_CCLASSTRIB!$A:$A, 0))/100, 0)</f>
        <v>0</v>
      </c>
    </row>
    <row r="1445" spans="4:22" ht="32.25" customHeight="1">
      <c r="D1445" s="39"/>
      <c r="E1445" s="27" t="str">
        <f>IF(D1445="","",LEFT(D1445,3))</f>
        <v/>
      </c>
      <c r="F1445" s="28" t="str">
        <f>IF(E1445="","",IFERROR(VLOOKUP(E1445,REGRAS_CST!$A$2:$B$200,2,FALSE),""))</f>
        <v/>
      </c>
      <c r="H1445" s="29">
        <v>8.9999999999999993E-3</v>
      </c>
      <c r="I1445" s="29">
        <v>1E-3</v>
      </c>
      <c r="K1445" s="21" t="str">
        <f>IF(E1445="","",IFERROR(VLOOKUP(E1445,REGRAS_CST!$A$2:$C$200,3,FALSE),""))</f>
        <v/>
      </c>
      <c r="L1445" s="23" t="str">
        <f>IF($G1445="", "", $G1445*(1-$V1445))</f>
        <v/>
      </c>
      <c r="M1445" s="24" t="str">
        <f>IF(OR($L1445="",$S1445=""),"",$L1445*$S1445)</f>
        <v/>
      </c>
      <c r="N1445" s="24" t="str">
        <f>IF(OR($L1445="",$T1445=""),"",$L1445*$T1445)</f>
        <v/>
      </c>
      <c r="O1445" s="15" t="str">
        <f>IF(D1445="","",
IF(AND(K1445&lt;&gt;"SIM",V1445&gt;0),"ERRO: % BC &gt; 0, mas NÃO permitida ❌",
IF(AND(K1445="SIM",V1445=0),"ATENÇÃO: BC permitida, mas % = 0 🔎",
"Base de cálculo aplicada corretamente ✅")))</f>
        <v/>
      </c>
      <c r="P1445" s="31" t="str">
        <f>IF(D1445="","",
IF(AND(Q1445&lt;&gt;"SIM",U1445&gt;0),"ERRO: % alíquota &gt; 0, mas NÃO permitida ❌",
IF(AND(Q1445="SIM",U1445=0),"ATENÇÃO: alíquota permitida, mas % = 0 🔎",
"Alíquota aplicada corretamente ✅")))</f>
        <v/>
      </c>
      <c r="Q1445" s="8" t="str">
        <f>IF(E1445="","",IFERROR(VLOOKUP(E1445,REGRAS_CST!$A$2:$D$200,4,FALSE),""))</f>
        <v/>
      </c>
      <c r="S1445" s="9">
        <f>IF($H1445="","",$H1445*(1-$U1445))</f>
        <v>8.9999999999999993E-3</v>
      </c>
      <c r="T1445" s="9">
        <f>IF($I1445="","",$I1445*(1-$U1445))</f>
        <v>1E-3</v>
      </c>
      <c r="U1445" s="16">
        <f>IFERROR(INDEX(BASE_CCLASSTRIB!$E:$E, MATCH(TEXT($D1445,"000000"), BASE_CCLASSTRIB!$A:$A, 0))/100, 0)</f>
        <v>0</v>
      </c>
      <c r="V1445" s="16">
        <f>IFERROR(INDEX(BASE_CCLASSTRIB!$F:$F, MATCH(TEXT($D1445,"000000"), BASE_CCLASSTRIB!$A:$A, 0))/100, 0)</f>
        <v>0</v>
      </c>
    </row>
    <row r="1446" spans="4:22" ht="32.25" customHeight="1">
      <c r="D1446" s="39"/>
      <c r="E1446" s="27" t="str">
        <f>IF(D1446="","",LEFT(D1446,3))</f>
        <v/>
      </c>
      <c r="F1446" s="28" t="str">
        <f>IF(E1446="","",IFERROR(VLOOKUP(E1446,REGRAS_CST!$A$2:$B$200,2,FALSE),""))</f>
        <v/>
      </c>
      <c r="H1446" s="29">
        <v>8.9999999999999993E-3</v>
      </c>
      <c r="I1446" s="29">
        <v>1E-3</v>
      </c>
      <c r="K1446" s="21" t="str">
        <f>IF(E1446="","",IFERROR(VLOOKUP(E1446,REGRAS_CST!$A$2:$C$200,3,FALSE),""))</f>
        <v/>
      </c>
      <c r="L1446" s="23" t="str">
        <f>IF($G1446="", "", $G1446*(1-$V1446))</f>
        <v/>
      </c>
      <c r="M1446" s="24" t="str">
        <f>IF(OR($L1446="",$S1446=""),"",$L1446*$S1446)</f>
        <v/>
      </c>
      <c r="N1446" s="24" t="str">
        <f>IF(OR($L1446="",$T1446=""),"",$L1446*$T1446)</f>
        <v/>
      </c>
      <c r="O1446" s="15" t="str">
        <f>IF(D1446="","",
IF(AND(K1446&lt;&gt;"SIM",V1446&gt;0),"ERRO: % BC &gt; 0, mas NÃO permitida ❌",
IF(AND(K1446="SIM",V1446=0),"ATENÇÃO: BC permitida, mas % = 0 🔎",
"Base de cálculo aplicada corretamente ✅")))</f>
        <v/>
      </c>
      <c r="P1446" s="31" t="str">
        <f>IF(D1446="","",
IF(AND(Q1446&lt;&gt;"SIM",U1446&gt;0),"ERRO: % alíquota &gt; 0, mas NÃO permitida ❌",
IF(AND(Q1446="SIM",U1446=0),"ATENÇÃO: alíquota permitida, mas % = 0 🔎",
"Alíquota aplicada corretamente ✅")))</f>
        <v/>
      </c>
      <c r="Q1446" s="8" t="str">
        <f>IF(E1446="","",IFERROR(VLOOKUP(E1446,REGRAS_CST!$A$2:$D$200,4,FALSE),""))</f>
        <v/>
      </c>
      <c r="S1446" s="9">
        <f>IF($H1446="","",$H1446*(1-$U1446))</f>
        <v>8.9999999999999993E-3</v>
      </c>
      <c r="T1446" s="9">
        <f>IF($I1446="","",$I1446*(1-$U1446))</f>
        <v>1E-3</v>
      </c>
      <c r="U1446" s="16">
        <f>IFERROR(INDEX(BASE_CCLASSTRIB!$E:$E, MATCH(TEXT($D1446,"000000"), BASE_CCLASSTRIB!$A:$A, 0))/100, 0)</f>
        <v>0</v>
      </c>
      <c r="V1446" s="16">
        <f>IFERROR(INDEX(BASE_CCLASSTRIB!$F:$F, MATCH(TEXT($D1446,"000000"), BASE_CCLASSTRIB!$A:$A, 0))/100, 0)</f>
        <v>0</v>
      </c>
    </row>
    <row r="1447" spans="4:22" ht="32.25" customHeight="1">
      <c r="D1447" s="40"/>
      <c r="E1447" s="27" t="str">
        <f>IF(D1447="","",LEFT(D1447,3))</f>
        <v/>
      </c>
      <c r="F1447" s="28" t="str">
        <f>IF(E1447="","",IFERROR(VLOOKUP(E1447,REGRAS_CST!$A$2:$B$200,2,FALSE),""))</f>
        <v/>
      </c>
      <c r="H1447" s="29">
        <v>8.9999999999999993E-3</v>
      </c>
      <c r="I1447" s="29">
        <v>1E-3</v>
      </c>
      <c r="K1447" s="21" t="str">
        <f>IF(E1447="","",IFERROR(VLOOKUP(E1447,REGRAS_CST!$A$2:$C$200,3,FALSE),""))</f>
        <v/>
      </c>
      <c r="L1447" s="23" t="str">
        <f>IF($G1447="", "", $G1447*(1-$V1447))</f>
        <v/>
      </c>
      <c r="M1447" s="24" t="str">
        <f>IF(OR($L1447="",$S1447=""),"",$L1447*$S1447)</f>
        <v/>
      </c>
      <c r="N1447" s="24" t="str">
        <f>IF(OR($L1447="",$T1447=""),"",$L1447*$T1447)</f>
        <v/>
      </c>
      <c r="O1447" s="15" t="str">
        <f>IF(D1447="","",
IF(AND(K1447&lt;&gt;"SIM",V1447&gt;0),"ERRO: % BC &gt; 0, mas NÃO permitida ❌",
IF(AND(K1447="SIM",V1447=0),"ATENÇÃO: BC permitida, mas % = 0 🔎",
"Base de cálculo aplicada corretamente ✅")))</f>
        <v/>
      </c>
      <c r="P1447" s="31" t="str">
        <f>IF(D1447="","",
IF(AND(Q1447&lt;&gt;"SIM",U1447&gt;0),"ERRO: % alíquota &gt; 0, mas NÃO permitida ❌",
IF(AND(Q1447="SIM",U1447=0),"ATENÇÃO: alíquota permitida, mas % = 0 🔎",
"Alíquota aplicada corretamente ✅")))</f>
        <v/>
      </c>
      <c r="Q1447" s="8" t="str">
        <f>IF(E1447="","",IFERROR(VLOOKUP(E1447,REGRAS_CST!$A$2:$D$200,4,FALSE),""))</f>
        <v/>
      </c>
      <c r="S1447" s="9">
        <f>IF($H1447="","",$H1447*(1-$U1447))</f>
        <v>8.9999999999999993E-3</v>
      </c>
      <c r="T1447" s="9">
        <f>IF($I1447="","",$I1447*(1-$U1447))</f>
        <v>1E-3</v>
      </c>
      <c r="U1447" s="16">
        <f>IFERROR(INDEX(BASE_CCLASSTRIB!$E:$E, MATCH(TEXT($D1447,"000000"), BASE_CCLASSTRIB!$A:$A, 0))/100, 0)</f>
        <v>0</v>
      </c>
      <c r="V1447" s="16">
        <f>IFERROR(INDEX(BASE_CCLASSTRIB!$F:$F, MATCH(TEXT($D1447,"000000"), BASE_CCLASSTRIB!$A:$A, 0))/100, 0)</f>
        <v>0</v>
      </c>
    </row>
    <row r="1448" spans="4:22" ht="32.25" customHeight="1">
      <c r="D1448" s="39"/>
      <c r="E1448" s="27" t="str">
        <f>IF(D1448="","",LEFT(D1448,3))</f>
        <v/>
      </c>
      <c r="F1448" s="28" t="str">
        <f>IF(E1448="","",IFERROR(VLOOKUP(E1448,REGRAS_CST!$A$2:$B$200,2,FALSE),""))</f>
        <v/>
      </c>
      <c r="H1448" s="29">
        <v>8.9999999999999993E-3</v>
      </c>
      <c r="I1448" s="29">
        <v>1E-3</v>
      </c>
      <c r="K1448" s="21" t="str">
        <f>IF(E1448="","",IFERROR(VLOOKUP(E1448,REGRAS_CST!$A$2:$C$200,3,FALSE),""))</f>
        <v/>
      </c>
      <c r="L1448" s="23" t="str">
        <f>IF($G1448="", "", $G1448*(1-$V1448))</f>
        <v/>
      </c>
      <c r="M1448" s="24" t="str">
        <f>IF(OR($L1448="",$S1448=""),"",$L1448*$S1448)</f>
        <v/>
      </c>
      <c r="N1448" s="24" t="str">
        <f>IF(OR($L1448="",$T1448=""),"",$L1448*$T1448)</f>
        <v/>
      </c>
      <c r="O1448" s="15" t="str">
        <f>IF(D1448="","",
IF(AND(K1448&lt;&gt;"SIM",V1448&gt;0),"ERRO: % BC &gt; 0, mas NÃO permitida ❌",
IF(AND(K1448="SIM",V1448=0),"ATENÇÃO: BC permitida, mas % = 0 🔎",
"Base de cálculo aplicada corretamente ✅")))</f>
        <v/>
      </c>
      <c r="P1448" s="31" t="str">
        <f>IF(D1448="","",
IF(AND(Q1448&lt;&gt;"SIM",U1448&gt;0),"ERRO: % alíquota &gt; 0, mas NÃO permitida ❌",
IF(AND(Q1448="SIM",U1448=0),"ATENÇÃO: alíquota permitida, mas % = 0 🔎",
"Alíquota aplicada corretamente ✅")))</f>
        <v/>
      </c>
      <c r="Q1448" s="8" t="str">
        <f>IF(E1448="","",IFERROR(VLOOKUP(E1448,REGRAS_CST!$A$2:$D$200,4,FALSE),""))</f>
        <v/>
      </c>
      <c r="S1448" s="9">
        <f>IF($H1448="","",$H1448*(1-$U1448))</f>
        <v>8.9999999999999993E-3</v>
      </c>
      <c r="T1448" s="9">
        <f>IF($I1448="","",$I1448*(1-$U1448))</f>
        <v>1E-3</v>
      </c>
      <c r="U1448" s="16">
        <f>IFERROR(INDEX(BASE_CCLASSTRIB!$E:$E, MATCH(TEXT($D1448,"000000"), BASE_CCLASSTRIB!$A:$A, 0))/100, 0)</f>
        <v>0</v>
      </c>
      <c r="V1448" s="16">
        <f>IFERROR(INDEX(BASE_CCLASSTRIB!$F:$F, MATCH(TEXT($D1448,"000000"), BASE_CCLASSTRIB!$A:$A, 0))/100, 0)</f>
        <v>0</v>
      </c>
    </row>
    <row r="1449" spans="4:22" ht="32.25" customHeight="1">
      <c r="D1449" s="39"/>
      <c r="E1449" s="27" t="str">
        <f>IF(D1449="","",LEFT(D1449,3))</f>
        <v/>
      </c>
      <c r="F1449" s="28" t="str">
        <f>IF(E1449="","",IFERROR(VLOOKUP(E1449,REGRAS_CST!$A$2:$B$200,2,FALSE),""))</f>
        <v/>
      </c>
      <c r="H1449" s="29">
        <v>8.9999999999999993E-3</v>
      </c>
      <c r="I1449" s="29">
        <v>1E-3</v>
      </c>
      <c r="K1449" s="21" t="str">
        <f>IF(E1449="","",IFERROR(VLOOKUP(E1449,REGRAS_CST!$A$2:$C$200,3,FALSE),""))</f>
        <v/>
      </c>
      <c r="L1449" s="23" t="str">
        <f>IF($G1449="", "", $G1449*(1-$V1449))</f>
        <v/>
      </c>
      <c r="M1449" s="24" t="str">
        <f>IF(OR($L1449="",$S1449=""),"",$L1449*$S1449)</f>
        <v/>
      </c>
      <c r="N1449" s="24" t="str">
        <f>IF(OR($L1449="",$T1449=""),"",$L1449*$T1449)</f>
        <v/>
      </c>
      <c r="O1449" s="15" t="str">
        <f>IF(D1449="","",
IF(AND(K1449&lt;&gt;"SIM",V1449&gt;0),"ERRO: % BC &gt; 0, mas NÃO permitida ❌",
IF(AND(K1449="SIM",V1449=0),"ATENÇÃO: BC permitida, mas % = 0 🔎",
"Base de cálculo aplicada corretamente ✅")))</f>
        <v/>
      </c>
      <c r="P1449" s="31" t="str">
        <f>IF(D1449="","",
IF(AND(Q1449&lt;&gt;"SIM",U1449&gt;0),"ERRO: % alíquota &gt; 0, mas NÃO permitida ❌",
IF(AND(Q1449="SIM",U1449=0),"ATENÇÃO: alíquota permitida, mas % = 0 🔎",
"Alíquota aplicada corretamente ✅")))</f>
        <v/>
      </c>
      <c r="Q1449" s="8" t="str">
        <f>IF(E1449="","",IFERROR(VLOOKUP(E1449,REGRAS_CST!$A$2:$D$200,4,FALSE),""))</f>
        <v/>
      </c>
      <c r="S1449" s="9">
        <f>IF($H1449="","",$H1449*(1-$U1449))</f>
        <v>8.9999999999999993E-3</v>
      </c>
      <c r="T1449" s="9">
        <f>IF($I1449="","",$I1449*(1-$U1449))</f>
        <v>1E-3</v>
      </c>
      <c r="U1449" s="16">
        <f>IFERROR(INDEX(BASE_CCLASSTRIB!$E:$E, MATCH(TEXT($D1449,"000000"), BASE_CCLASSTRIB!$A:$A, 0))/100, 0)</f>
        <v>0</v>
      </c>
      <c r="V1449" s="16">
        <f>IFERROR(INDEX(BASE_CCLASSTRIB!$F:$F, MATCH(TEXT($D1449,"000000"), BASE_CCLASSTRIB!$A:$A, 0))/100, 0)</f>
        <v>0</v>
      </c>
    </row>
    <row r="1450" spans="4:22" ht="32.25" customHeight="1">
      <c r="D1450" s="40"/>
      <c r="E1450" s="27" t="str">
        <f>IF(D1450="","",LEFT(D1450,3))</f>
        <v/>
      </c>
      <c r="F1450" s="28" t="str">
        <f>IF(E1450="","",IFERROR(VLOOKUP(E1450,REGRAS_CST!$A$2:$B$200,2,FALSE),""))</f>
        <v/>
      </c>
      <c r="H1450" s="29">
        <v>8.9999999999999993E-3</v>
      </c>
      <c r="I1450" s="29">
        <v>1E-3</v>
      </c>
      <c r="K1450" s="21" t="str">
        <f>IF(E1450="","",IFERROR(VLOOKUP(E1450,REGRAS_CST!$A$2:$C$200,3,FALSE),""))</f>
        <v/>
      </c>
      <c r="L1450" s="23" t="str">
        <f>IF($G1450="", "", $G1450*(1-$V1450))</f>
        <v/>
      </c>
      <c r="M1450" s="24" t="str">
        <f>IF(OR($L1450="",$S1450=""),"",$L1450*$S1450)</f>
        <v/>
      </c>
      <c r="N1450" s="24" t="str">
        <f>IF(OR($L1450="",$T1450=""),"",$L1450*$T1450)</f>
        <v/>
      </c>
      <c r="O1450" s="15" t="str">
        <f>IF(D1450="","",
IF(AND(K1450&lt;&gt;"SIM",V1450&gt;0),"ERRO: % BC &gt; 0, mas NÃO permitida ❌",
IF(AND(K1450="SIM",V1450=0),"ATENÇÃO: BC permitida, mas % = 0 🔎",
"Base de cálculo aplicada corretamente ✅")))</f>
        <v/>
      </c>
      <c r="P1450" s="31" t="str">
        <f>IF(D1450="","",
IF(AND(Q1450&lt;&gt;"SIM",U1450&gt;0),"ERRO: % alíquota &gt; 0, mas NÃO permitida ❌",
IF(AND(Q1450="SIM",U1450=0),"ATENÇÃO: alíquota permitida, mas % = 0 🔎",
"Alíquota aplicada corretamente ✅")))</f>
        <v/>
      </c>
      <c r="Q1450" s="8" t="str">
        <f>IF(E1450="","",IFERROR(VLOOKUP(E1450,REGRAS_CST!$A$2:$D$200,4,FALSE),""))</f>
        <v/>
      </c>
      <c r="S1450" s="9">
        <f>IF($H1450="","",$H1450*(1-$U1450))</f>
        <v>8.9999999999999993E-3</v>
      </c>
      <c r="T1450" s="9">
        <f>IF($I1450="","",$I1450*(1-$U1450))</f>
        <v>1E-3</v>
      </c>
      <c r="U1450" s="16">
        <f>IFERROR(INDEX(BASE_CCLASSTRIB!$E:$E, MATCH(TEXT($D1450,"000000"), BASE_CCLASSTRIB!$A:$A, 0))/100, 0)</f>
        <v>0</v>
      </c>
      <c r="V1450" s="16">
        <f>IFERROR(INDEX(BASE_CCLASSTRIB!$F:$F, MATCH(TEXT($D1450,"000000"), BASE_CCLASSTRIB!$A:$A, 0))/100, 0)</f>
        <v>0</v>
      </c>
    </row>
    <row r="1451" spans="4:22" ht="32.25" customHeight="1">
      <c r="D1451" s="40"/>
      <c r="E1451" s="27" t="str">
        <f>IF(D1451="","",LEFT(D1451,3))</f>
        <v/>
      </c>
      <c r="F1451" s="28" t="str">
        <f>IF(E1451="","",IFERROR(VLOOKUP(E1451,REGRAS_CST!$A$2:$B$200,2,FALSE),""))</f>
        <v/>
      </c>
      <c r="H1451" s="29">
        <v>8.9999999999999993E-3</v>
      </c>
      <c r="I1451" s="29">
        <v>1E-3</v>
      </c>
      <c r="K1451" s="21" t="str">
        <f>IF(E1451="","",IFERROR(VLOOKUP(E1451,REGRAS_CST!$A$2:$C$200,3,FALSE),""))</f>
        <v/>
      </c>
      <c r="L1451" s="23" t="str">
        <f>IF($G1451="", "", $G1451*(1-$V1451))</f>
        <v/>
      </c>
      <c r="M1451" s="24" t="str">
        <f>IF(OR($L1451="",$S1451=""),"",$L1451*$S1451)</f>
        <v/>
      </c>
      <c r="N1451" s="24" t="str">
        <f>IF(OR($L1451="",$T1451=""),"",$L1451*$T1451)</f>
        <v/>
      </c>
      <c r="O1451" s="15" t="str">
        <f>IF(D1451="","",
IF(AND(K1451&lt;&gt;"SIM",V1451&gt;0),"ERRO: % BC &gt; 0, mas NÃO permitida ❌",
IF(AND(K1451="SIM",V1451=0),"ATENÇÃO: BC permitida, mas % = 0 🔎",
"Base de cálculo aplicada corretamente ✅")))</f>
        <v/>
      </c>
      <c r="P1451" s="31" t="str">
        <f>IF(D1451="","",
IF(AND(Q1451&lt;&gt;"SIM",U1451&gt;0),"ERRO: % alíquota &gt; 0, mas NÃO permitida ❌",
IF(AND(Q1451="SIM",U1451=0),"ATENÇÃO: alíquota permitida, mas % = 0 🔎",
"Alíquota aplicada corretamente ✅")))</f>
        <v/>
      </c>
      <c r="Q1451" s="8" t="str">
        <f>IF(E1451="","",IFERROR(VLOOKUP(E1451,REGRAS_CST!$A$2:$D$200,4,FALSE),""))</f>
        <v/>
      </c>
      <c r="S1451" s="9">
        <f>IF($H1451="","",$H1451*(1-$U1451))</f>
        <v>8.9999999999999993E-3</v>
      </c>
      <c r="T1451" s="9">
        <f>IF($I1451="","",$I1451*(1-$U1451))</f>
        <v>1E-3</v>
      </c>
      <c r="U1451" s="16">
        <f>IFERROR(INDEX(BASE_CCLASSTRIB!$E:$E, MATCH(TEXT($D1451,"000000"), BASE_CCLASSTRIB!$A:$A, 0))/100, 0)</f>
        <v>0</v>
      </c>
      <c r="V1451" s="16">
        <f>IFERROR(INDEX(BASE_CCLASSTRIB!$F:$F, MATCH(TEXT($D1451,"000000"), BASE_CCLASSTRIB!$A:$A, 0))/100, 0)</f>
        <v>0</v>
      </c>
    </row>
    <row r="1452" spans="4:22" ht="32.25" customHeight="1">
      <c r="D1452" s="39"/>
      <c r="E1452" s="27" t="str">
        <f>IF(D1452="","",LEFT(D1452,3))</f>
        <v/>
      </c>
      <c r="F1452" s="28" t="str">
        <f>IF(E1452="","",IFERROR(VLOOKUP(E1452,REGRAS_CST!$A$2:$B$200,2,FALSE),""))</f>
        <v/>
      </c>
      <c r="H1452" s="29">
        <v>8.9999999999999993E-3</v>
      </c>
      <c r="I1452" s="29">
        <v>1E-3</v>
      </c>
      <c r="K1452" s="21" t="str">
        <f>IF(E1452="","",IFERROR(VLOOKUP(E1452,REGRAS_CST!$A$2:$C$200,3,FALSE),""))</f>
        <v/>
      </c>
      <c r="L1452" s="23" t="str">
        <f>IF($G1452="", "", $G1452*(1-$V1452))</f>
        <v/>
      </c>
      <c r="M1452" s="24" t="str">
        <f>IF(OR($L1452="",$S1452=""),"",$L1452*$S1452)</f>
        <v/>
      </c>
      <c r="N1452" s="24" t="str">
        <f>IF(OR($L1452="",$T1452=""),"",$L1452*$T1452)</f>
        <v/>
      </c>
      <c r="O1452" s="15" t="str">
        <f>IF(D1452="","",
IF(AND(K1452&lt;&gt;"SIM",V1452&gt;0),"ERRO: % BC &gt; 0, mas NÃO permitida ❌",
IF(AND(K1452="SIM",V1452=0),"ATENÇÃO: BC permitida, mas % = 0 🔎",
"Base de cálculo aplicada corretamente ✅")))</f>
        <v/>
      </c>
      <c r="P1452" s="31" t="str">
        <f>IF(D1452="","",
IF(AND(Q1452&lt;&gt;"SIM",U1452&gt;0),"ERRO: % alíquota &gt; 0, mas NÃO permitida ❌",
IF(AND(Q1452="SIM",U1452=0),"ATENÇÃO: alíquota permitida, mas % = 0 🔎",
"Alíquota aplicada corretamente ✅")))</f>
        <v/>
      </c>
      <c r="Q1452" s="8" t="str">
        <f>IF(E1452="","",IFERROR(VLOOKUP(E1452,REGRAS_CST!$A$2:$D$200,4,FALSE),""))</f>
        <v/>
      </c>
      <c r="S1452" s="9">
        <f>IF($H1452="","",$H1452*(1-$U1452))</f>
        <v>8.9999999999999993E-3</v>
      </c>
      <c r="T1452" s="9">
        <f>IF($I1452="","",$I1452*(1-$U1452))</f>
        <v>1E-3</v>
      </c>
      <c r="U1452" s="16">
        <f>IFERROR(INDEX(BASE_CCLASSTRIB!$E:$E, MATCH(TEXT($D1452,"000000"), BASE_CCLASSTRIB!$A:$A, 0))/100, 0)</f>
        <v>0</v>
      </c>
      <c r="V1452" s="16">
        <f>IFERROR(INDEX(BASE_CCLASSTRIB!$F:$F, MATCH(TEXT($D1452,"000000"), BASE_CCLASSTRIB!$A:$A, 0))/100, 0)</f>
        <v>0</v>
      </c>
    </row>
    <row r="1453" spans="4:22" ht="32.25" customHeight="1">
      <c r="D1453" s="40"/>
      <c r="E1453" s="27" t="str">
        <f>IF(D1453="","",LEFT(D1453,3))</f>
        <v/>
      </c>
      <c r="F1453" s="28" t="str">
        <f>IF(E1453="","",IFERROR(VLOOKUP(E1453,REGRAS_CST!$A$2:$B$200,2,FALSE),""))</f>
        <v/>
      </c>
      <c r="H1453" s="29">
        <v>8.9999999999999993E-3</v>
      </c>
      <c r="I1453" s="29">
        <v>1E-3</v>
      </c>
      <c r="K1453" s="21" t="str">
        <f>IF(E1453="","",IFERROR(VLOOKUP(E1453,REGRAS_CST!$A$2:$C$200,3,FALSE),""))</f>
        <v/>
      </c>
      <c r="L1453" s="23" t="str">
        <f>IF($G1453="", "", $G1453*(1-$V1453))</f>
        <v/>
      </c>
      <c r="M1453" s="24" t="str">
        <f>IF(OR($L1453="",$S1453=""),"",$L1453*$S1453)</f>
        <v/>
      </c>
      <c r="N1453" s="24" t="str">
        <f>IF(OR($L1453="",$T1453=""),"",$L1453*$T1453)</f>
        <v/>
      </c>
      <c r="O1453" s="15" t="str">
        <f>IF(D1453="","",
IF(AND(K1453&lt;&gt;"SIM",V1453&gt;0),"ERRO: % BC &gt; 0, mas NÃO permitida ❌",
IF(AND(K1453="SIM",V1453=0),"ATENÇÃO: BC permitida, mas % = 0 🔎",
"Base de cálculo aplicada corretamente ✅")))</f>
        <v/>
      </c>
      <c r="P1453" s="31" t="str">
        <f>IF(D1453="","",
IF(AND(Q1453&lt;&gt;"SIM",U1453&gt;0),"ERRO: % alíquota &gt; 0, mas NÃO permitida ❌",
IF(AND(Q1453="SIM",U1453=0),"ATENÇÃO: alíquota permitida, mas % = 0 🔎",
"Alíquota aplicada corretamente ✅")))</f>
        <v/>
      </c>
      <c r="Q1453" s="8" t="str">
        <f>IF(E1453="","",IFERROR(VLOOKUP(E1453,REGRAS_CST!$A$2:$D$200,4,FALSE),""))</f>
        <v/>
      </c>
      <c r="S1453" s="9">
        <f>IF($H1453="","",$H1453*(1-$U1453))</f>
        <v>8.9999999999999993E-3</v>
      </c>
      <c r="T1453" s="9">
        <f>IF($I1453="","",$I1453*(1-$U1453))</f>
        <v>1E-3</v>
      </c>
      <c r="U1453" s="16">
        <f>IFERROR(INDEX(BASE_CCLASSTRIB!$E:$E, MATCH(TEXT($D1453,"000000"), BASE_CCLASSTRIB!$A:$A, 0))/100, 0)</f>
        <v>0</v>
      </c>
      <c r="V1453" s="16">
        <f>IFERROR(INDEX(BASE_CCLASSTRIB!$F:$F, MATCH(TEXT($D1453,"000000"), BASE_CCLASSTRIB!$A:$A, 0))/100, 0)</f>
        <v>0</v>
      </c>
    </row>
    <row r="1454" spans="4:22" ht="32.25" customHeight="1">
      <c r="D1454" s="39"/>
      <c r="E1454" s="27" t="str">
        <f>IF(D1454="","",LEFT(D1454,3))</f>
        <v/>
      </c>
      <c r="F1454" s="28" t="str">
        <f>IF(E1454="","",IFERROR(VLOOKUP(E1454,REGRAS_CST!$A$2:$B$200,2,FALSE),""))</f>
        <v/>
      </c>
      <c r="H1454" s="29">
        <v>8.9999999999999993E-3</v>
      </c>
      <c r="I1454" s="29">
        <v>1E-3</v>
      </c>
      <c r="K1454" s="21" t="str">
        <f>IF(E1454="","",IFERROR(VLOOKUP(E1454,REGRAS_CST!$A$2:$C$200,3,FALSE),""))</f>
        <v/>
      </c>
      <c r="L1454" s="23" t="str">
        <f>IF($G1454="", "", $G1454*(1-$V1454))</f>
        <v/>
      </c>
      <c r="M1454" s="24" t="str">
        <f>IF(OR($L1454="",$S1454=""),"",$L1454*$S1454)</f>
        <v/>
      </c>
      <c r="N1454" s="24" t="str">
        <f>IF(OR($L1454="",$T1454=""),"",$L1454*$T1454)</f>
        <v/>
      </c>
      <c r="O1454" s="15" t="str">
        <f>IF(D1454="","",
IF(AND(K1454&lt;&gt;"SIM",V1454&gt;0),"ERRO: % BC &gt; 0, mas NÃO permitida ❌",
IF(AND(K1454="SIM",V1454=0),"ATENÇÃO: BC permitida, mas % = 0 🔎",
"Base de cálculo aplicada corretamente ✅")))</f>
        <v/>
      </c>
      <c r="P1454" s="31" t="str">
        <f>IF(D1454="","",
IF(AND(Q1454&lt;&gt;"SIM",U1454&gt;0),"ERRO: % alíquota &gt; 0, mas NÃO permitida ❌",
IF(AND(Q1454="SIM",U1454=0),"ATENÇÃO: alíquota permitida, mas % = 0 🔎",
"Alíquota aplicada corretamente ✅")))</f>
        <v/>
      </c>
      <c r="Q1454" s="8" t="str">
        <f>IF(E1454="","",IFERROR(VLOOKUP(E1454,REGRAS_CST!$A$2:$D$200,4,FALSE),""))</f>
        <v/>
      </c>
      <c r="S1454" s="9">
        <f>IF($H1454="","",$H1454*(1-$U1454))</f>
        <v>8.9999999999999993E-3</v>
      </c>
      <c r="T1454" s="9">
        <f>IF($I1454="","",$I1454*(1-$U1454))</f>
        <v>1E-3</v>
      </c>
      <c r="U1454" s="16">
        <f>IFERROR(INDEX(BASE_CCLASSTRIB!$E:$E, MATCH(TEXT($D1454,"000000"), BASE_CCLASSTRIB!$A:$A, 0))/100, 0)</f>
        <v>0</v>
      </c>
      <c r="V1454" s="16">
        <f>IFERROR(INDEX(BASE_CCLASSTRIB!$F:$F, MATCH(TEXT($D1454,"000000"), BASE_CCLASSTRIB!$A:$A, 0))/100, 0)</f>
        <v>0</v>
      </c>
    </row>
    <row r="1455" spans="4:22" ht="32.25" customHeight="1">
      <c r="D1455" s="39"/>
      <c r="E1455" s="27" t="str">
        <f>IF(D1455="","",LEFT(D1455,3))</f>
        <v/>
      </c>
      <c r="F1455" s="28" t="str">
        <f>IF(E1455="","",IFERROR(VLOOKUP(E1455,REGRAS_CST!$A$2:$B$200,2,FALSE),""))</f>
        <v/>
      </c>
      <c r="H1455" s="29">
        <v>8.9999999999999993E-3</v>
      </c>
      <c r="I1455" s="29">
        <v>1E-3</v>
      </c>
      <c r="K1455" s="21" t="str">
        <f>IF(E1455="","",IFERROR(VLOOKUP(E1455,REGRAS_CST!$A$2:$C$200,3,FALSE),""))</f>
        <v/>
      </c>
      <c r="L1455" s="23" t="str">
        <f>IF($G1455="", "", $G1455*(1-$V1455))</f>
        <v/>
      </c>
      <c r="M1455" s="24" t="str">
        <f>IF(OR($L1455="",$S1455=""),"",$L1455*$S1455)</f>
        <v/>
      </c>
      <c r="N1455" s="24" t="str">
        <f>IF(OR($L1455="",$T1455=""),"",$L1455*$T1455)</f>
        <v/>
      </c>
      <c r="O1455" s="15" t="str">
        <f>IF(D1455="","",
IF(AND(K1455&lt;&gt;"SIM",V1455&gt;0),"ERRO: % BC &gt; 0, mas NÃO permitida ❌",
IF(AND(K1455="SIM",V1455=0),"ATENÇÃO: BC permitida, mas % = 0 🔎",
"Base de cálculo aplicada corretamente ✅")))</f>
        <v/>
      </c>
      <c r="P1455" s="31" t="str">
        <f>IF(D1455="","",
IF(AND(Q1455&lt;&gt;"SIM",U1455&gt;0),"ERRO: % alíquota &gt; 0, mas NÃO permitida ❌",
IF(AND(Q1455="SIM",U1455=0),"ATENÇÃO: alíquota permitida, mas % = 0 🔎",
"Alíquota aplicada corretamente ✅")))</f>
        <v/>
      </c>
      <c r="Q1455" s="8" t="str">
        <f>IF(E1455="","",IFERROR(VLOOKUP(E1455,REGRAS_CST!$A$2:$D$200,4,FALSE),""))</f>
        <v/>
      </c>
      <c r="S1455" s="9">
        <f>IF($H1455="","",$H1455*(1-$U1455))</f>
        <v>8.9999999999999993E-3</v>
      </c>
      <c r="T1455" s="9">
        <f>IF($I1455="","",$I1455*(1-$U1455))</f>
        <v>1E-3</v>
      </c>
      <c r="U1455" s="16">
        <f>IFERROR(INDEX(BASE_CCLASSTRIB!$E:$E, MATCH(TEXT($D1455,"000000"), BASE_CCLASSTRIB!$A:$A, 0))/100, 0)</f>
        <v>0</v>
      </c>
      <c r="V1455" s="16">
        <f>IFERROR(INDEX(BASE_CCLASSTRIB!$F:$F, MATCH(TEXT($D1455,"000000"), BASE_CCLASSTRIB!$A:$A, 0))/100, 0)</f>
        <v>0</v>
      </c>
    </row>
    <row r="1456" spans="4:22" ht="32.25" customHeight="1">
      <c r="D1456" s="39"/>
      <c r="E1456" s="27" t="str">
        <f>IF(D1456="","",LEFT(D1456,3))</f>
        <v/>
      </c>
      <c r="F1456" s="28" t="str">
        <f>IF(E1456="","",IFERROR(VLOOKUP(E1456,REGRAS_CST!$A$2:$B$200,2,FALSE),""))</f>
        <v/>
      </c>
      <c r="H1456" s="29">
        <v>8.9999999999999993E-3</v>
      </c>
      <c r="I1456" s="29">
        <v>1E-3</v>
      </c>
      <c r="K1456" s="21" t="str">
        <f>IF(E1456="","",IFERROR(VLOOKUP(E1456,REGRAS_CST!$A$2:$C$200,3,FALSE),""))</f>
        <v/>
      </c>
      <c r="L1456" s="23" t="str">
        <f>IF($G1456="", "", $G1456*(1-$V1456))</f>
        <v/>
      </c>
      <c r="M1456" s="24" t="str">
        <f>IF(OR($L1456="",$S1456=""),"",$L1456*$S1456)</f>
        <v/>
      </c>
      <c r="N1456" s="24" t="str">
        <f>IF(OR($L1456="",$T1456=""),"",$L1456*$T1456)</f>
        <v/>
      </c>
      <c r="O1456" s="15" t="str">
        <f>IF(D1456="","",
IF(AND(K1456&lt;&gt;"SIM",V1456&gt;0),"ERRO: % BC &gt; 0, mas NÃO permitida ❌",
IF(AND(K1456="SIM",V1456=0),"ATENÇÃO: BC permitida, mas % = 0 🔎",
"Base de cálculo aplicada corretamente ✅")))</f>
        <v/>
      </c>
      <c r="P1456" s="31" t="str">
        <f>IF(D1456="","",
IF(AND(Q1456&lt;&gt;"SIM",U1456&gt;0),"ERRO: % alíquota &gt; 0, mas NÃO permitida ❌",
IF(AND(Q1456="SIM",U1456=0),"ATENÇÃO: alíquota permitida, mas % = 0 🔎",
"Alíquota aplicada corretamente ✅")))</f>
        <v/>
      </c>
      <c r="Q1456" s="8" t="str">
        <f>IF(E1456="","",IFERROR(VLOOKUP(E1456,REGRAS_CST!$A$2:$D$200,4,FALSE),""))</f>
        <v/>
      </c>
      <c r="S1456" s="9">
        <f>IF($H1456="","",$H1456*(1-$U1456))</f>
        <v>8.9999999999999993E-3</v>
      </c>
      <c r="T1456" s="9">
        <f>IF($I1456="","",$I1456*(1-$U1456))</f>
        <v>1E-3</v>
      </c>
      <c r="U1456" s="16">
        <f>IFERROR(INDEX(BASE_CCLASSTRIB!$E:$E, MATCH(TEXT($D1456,"000000"), BASE_CCLASSTRIB!$A:$A, 0))/100, 0)</f>
        <v>0</v>
      </c>
      <c r="V1456" s="16">
        <f>IFERROR(INDEX(BASE_CCLASSTRIB!$F:$F, MATCH(TEXT($D1456,"000000"), BASE_CCLASSTRIB!$A:$A, 0))/100, 0)</f>
        <v>0</v>
      </c>
    </row>
    <row r="1457" spans="4:22" ht="32.25" customHeight="1">
      <c r="D1457" s="39"/>
      <c r="E1457" s="27" t="str">
        <f>IF(D1457="","",LEFT(D1457,3))</f>
        <v/>
      </c>
      <c r="F1457" s="28" t="str">
        <f>IF(E1457="","",IFERROR(VLOOKUP(E1457,REGRAS_CST!$A$2:$B$200,2,FALSE),""))</f>
        <v/>
      </c>
      <c r="H1457" s="29">
        <v>8.9999999999999993E-3</v>
      </c>
      <c r="I1457" s="29">
        <v>1E-3</v>
      </c>
      <c r="K1457" s="21" t="str">
        <f>IF(E1457="","",IFERROR(VLOOKUP(E1457,REGRAS_CST!$A$2:$C$200,3,FALSE),""))</f>
        <v/>
      </c>
      <c r="L1457" s="23" t="str">
        <f>IF($G1457="", "", $G1457*(1-$V1457))</f>
        <v/>
      </c>
      <c r="M1457" s="24" t="str">
        <f>IF(OR($L1457="",$S1457=""),"",$L1457*$S1457)</f>
        <v/>
      </c>
      <c r="N1457" s="24" t="str">
        <f>IF(OR($L1457="",$T1457=""),"",$L1457*$T1457)</f>
        <v/>
      </c>
      <c r="O1457" s="15" t="str">
        <f>IF(D1457="","",
IF(AND(K1457&lt;&gt;"SIM",V1457&gt;0),"ERRO: % BC &gt; 0, mas NÃO permitida ❌",
IF(AND(K1457="SIM",V1457=0),"ATENÇÃO: BC permitida, mas % = 0 🔎",
"Base de cálculo aplicada corretamente ✅")))</f>
        <v/>
      </c>
      <c r="P1457" s="31" t="str">
        <f>IF(D1457="","",
IF(AND(Q1457&lt;&gt;"SIM",U1457&gt;0),"ERRO: % alíquota &gt; 0, mas NÃO permitida ❌",
IF(AND(Q1457="SIM",U1457=0),"ATENÇÃO: alíquota permitida, mas % = 0 🔎",
"Alíquota aplicada corretamente ✅")))</f>
        <v/>
      </c>
      <c r="Q1457" s="8" t="str">
        <f>IF(E1457="","",IFERROR(VLOOKUP(E1457,REGRAS_CST!$A$2:$D$200,4,FALSE),""))</f>
        <v/>
      </c>
      <c r="S1457" s="9">
        <f>IF($H1457="","",$H1457*(1-$U1457))</f>
        <v>8.9999999999999993E-3</v>
      </c>
      <c r="T1457" s="9">
        <f>IF($I1457="","",$I1457*(1-$U1457))</f>
        <v>1E-3</v>
      </c>
      <c r="U1457" s="16">
        <f>IFERROR(INDEX(BASE_CCLASSTRIB!$E:$E, MATCH(TEXT($D1457,"000000"), BASE_CCLASSTRIB!$A:$A, 0))/100, 0)</f>
        <v>0</v>
      </c>
      <c r="V1457" s="16">
        <f>IFERROR(INDEX(BASE_CCLASSTRIB!$F:$F, MATCH(TEXT($D1457,"000000"), BASE_CCLASSTRIB!$A:$A, 0))/100, 0)</f>
        <v>0</v>
      </c>
    </row>
    <row r="1458" spans="4:22" ht="32.25" customHeight="1">
      <c r="D1458" s="39"/>
      <c r="E1458" s="27" t="str">
        <f>IF(D1458="","",LEFT(D1458,3))</f>
        <v/>
      </c>
      <c r="F1458" s="28" t="str">
        <f>IF(E1458="","",IFERROR(VLOOKUP(E1458,REGRAS_CST!$A$2:$B$200,2,FALSE),""))</f>
        <v/>
      </c>
      <c r="H1458" s="29">
        <v>8.9999999999999993E-3</v>
      </c>
      <c r="I1458" s="29">
        <v>1E-3</v>
      </c>
      <c r="K1458" s="21" t="str">
        <f>IF(E1458="","",IFERROR(VLOOKUP(E1458,REGRAS_CST!$A$2:$C$200,3,FALSE),""))</f>
        <v/>
      </c>
      <c r="L1458" s="23" t="str">
        <f>IF($G1458="", "", $G1458*(1-$V1458))</f>
        <v/>
      </c>
      <c r="M1458" s="24" t="str">
        <f>IF(OR($L1458="",$S1458=""),"",$L1458*$S1458)</f>
        <v/>
      </c>
      <c r="N1458" s="24" t="str">
        <f>IF(OR($L1458="",$T1458=""),"",$L1458*$T1458)</f>
        <v/>
      </c>
      <c r="O1458" s="15" t="str">
        <f>IF(D1458="","",
IF(AND(K1458&lt;&gt;"SIM",V1458&gt;0),"ERRO: % BC &gt; 0, mas NÃO permitida ❌",
IF(AND(K1458="SIM",V1458=0),"ATENÇÃO: BC permitida, mas % = 0 🔎",
"Base de cálculo aplicada corretamente ✅")))</f>
        <v/>
      </c>
      <c r="P1458" s="31" t="str">
        <f>IF(D1458="","",
IF(AND(Q1458&lt;&gt;"SIM",U1458&gt;0),"ERRO: % alíquota &gt; 0, mas NÃO permitida ❌",
IF(AND(Q1458="SIM",U1458=0),"ATENÇÃO: alíquota permitida, mas % = 0 🔎",
"Alíquota aplicada corretamente ✅")))</f>
        <v/>
      </c>
      <c r="Q1458" s="8" t="str">
        <f>IF(E1458="","",IFERROR(VLOOKUP(E1458,REGRAS_CST!$A$2:$D$200,4,FALSE),""))</f>
        <v/>
      </c>
      <c r="S1458" s="9">
        <f>IF($H1458="","",$H1458*(1-$U1458))</f>
        <v>8.9999999999999993E-3</v>
      </c>
      <c r="T1458" s="9">
        <f>IF($I1458="","",$I1458*(1-$U1458))</f>
        <v>1E-3</v>
      </c>
      <c r="U1458" s="16">
        <f>IFERROR(INDEX(BASE_CCLASSTRIB!$E:$E, MATCH(TEXT($D1458,"000000"), BASE_CCLASSTRIB!$A:$A, 0))/100, 0)</f>
        <v>0</v>
      </c>
      <c r="V1458" s="16">
        <f>IFERROR(INDEX(BASE_CCLASSTRIB!$F:$F, MATCH(TEXT($D1458,"000000"), BASE_CCLASSTRIB!$A:$A, 0))/100, 0)</f>
        <v>0</v>
      </c>
    </row>
    <row r="1459" spans="4:22" ht="32.25" customHeight="1">
      <c r="D1459" s="39"/>
      <c r="E1459" s="27" t="str">
        <f>IF(D1459="","",LEFT(D1459,3))</f>
        <v/>
      </c>
      <c r="F1459" s="28" t="str">
        <f>IF(E1459="","",IFERROR(VLOOKUP(E1459,REGRAS_CST!$A$2:$B$200,2,FALSE),""))</f>
        <v/>
      </c>
      <c r="H1459" s="29">
        <v>8.9999999999999993E-3</v>
      </c>
      <c r="I1459" s="29">
        <v>1E-3</v>
      </c>
      <c r="K1459" s="21" t="str">
        <f>IF(E1459="","",IFERROR(VLOOKUP(E1459,REGRAS_CST!$A$2:$C$200,3,FALSE),""))</f>
        <v/>
      </c>
      <c r="L1459" s="23" t="str">
        <f>IF($G1459="", "", $G1459*(1-$V1459))</f>
        <v/>
      </c>
      <c r="M1459" s="24" t="str">
        <f>IF(OR($L1459="",$S1459=""),"",$L1459*$S1459)</f>
        <v/>
      </c>
      <c r="N1459" s="24" t="str">
        <f>IF(OR($L1459="",$T1459=""),"",$L1459*$T1459)</f>
        <v/>
      </c>
      <c r="O1459" s="15" t="str">
        <f>IF(D1459="","",
IF(AND(K1459&lt;&gt;"SIM",V1459&gt;0),"ERRO: % BC &gt; 0, mas NÃO permitida ❌",
IF(AND(K1459="SIM",V1459=0),"ATENÇÃO: BC permitida, mas % = 0 🔎",
"Base de cálculo aplicada corretamente ✅")))</f>
        <v/>
      </c>
      <c r="P1459" s="31" t="str">
        <f>IF(D1459="","",
IF(AND(Q1459&lt;&gt;"SIM",U1459&gt;0),"ERRO: % alíquota &gt; 0, mas NÃO permitida ❌",
IF(AND(Q1459="SIM",U1459=0),"ATENÇÃO: alíquota permitida, mas % = 0 🔎",
"Alíquota aplicada corretamente ✅")))</f>
        <v/>
      </c>
      <c r="Q1459" s="8" t="str">
        <f>IF(E1459="","",IFERROR(VLOOKUP(E1459,REGRAS_CST!$A$2:$D$200,4,FALSE),""))</f>
        <v/>
      </c>
      <c r="S1459" s="9">
        <f>IF($H1459="","",$H1459*(1-$U1459))</f>
        <v>8.9999999999999993E-3</v>
      </c>
      <c r="T1459" s="9">
        <f>IF($I1459="","",$I1459*(1-$U1459))</f>
        <v>1E-3</v>
      </c>
      <c r="U1459" s="16">
        <f>IFERROR(INDEX(BASE_CCLASSTRIB!$E:$E, MATCH(TEXT($D1459,"000000"), BASE_CCLASSTRIB!$A:$A, 0))/100, 0)</f>
        <v>0</v>
      </c>
      <c r="V1459" s="16">
        <f>IFERROR(INDEX(BASE_CCLASSTRIB!$F:$F, MATCH(TEXT($D1459,"000000"), BASE_CCLASSTRIB!$A:$A, 0))/100, 0)</f>
        <v>0</v>
      </c>
    </row>
    <row r="1460" spans="4:22" ht="32.25" customHeight="1">
      <c r="D1460" s="40"/>
      <c r="E1460" s="27" t="str">
        <f>IF(D1460="","",LEFT(D1460,3))</f>
        <v/>
      </c>
      <c r="F1460" s="28" t="str">
        <f>IF(E1460="","",IFERROR(VLOOKUP(E1460,REGRAS_CST!$A$2:$B$200,2,FALSE),""))</f>
        <v/>
      </c>
      <c r="H1460" s="29">
        <v>8.9999999999999993E-3</v>
      </c>
      <c r="I1460" s="29">
        <v>1E-3</v>
      </c>
      <c r="K1460" s="21" t="str">
        <f>IF(E1460="","",IFERROR(VLOOKUP(E1460,REGRAS_CST!$A$2:$C$200,3,FALSE),""))</f>
        <v/>
      </c>
      <c r="L1460" s="23" t="str">
        <f>IF($G1460="", "", $G1460*(1-$V1460))</f>
        <v/>
      </c>
      <c r="M1460" s="24" t="str">
        <f>IF(OR($L1460="",$S1460=""),"",$L1460*$S1460)</f>
        <v/>
      </c>
      <c r="N1460" s="24" t="str">
        <f>IF(OR($L1460="",$T1460=""),"",$L1460*$T1460)</f>
        <v/>
      </c>
      <c r="O1460" s="15" t="str">
        <f>IF(D1460="","",
IF(AND(K1460&lt;&gt;"SIM",V1460&gt;0),"ERRO: % BC &gt; 0, mas NÃO permitida ❌",
IF(AND(K1460="SIM",V1460=0),"ATENÇÃO: BC permitida, mas % = 0 🔎",
"Base de cálculo aplicada corretamente ✅")))</f>
        <v/>
      </c>
      <c r="P1460" s="31" t="str">
        <f>IF(D1460="","",
IF(AND(Q1460&lt;&gt;"SIM",U1460&gt;0),"ERRO: % alíquota &gt; 0, mas NÃO permitida ❌",
IF(AND(Q1460="SIM",U1460=0),"ATENÇÃO: alíquota permitida, mas % = 0 🔎",
"Alíquota aplicada corretamente ✅")))</f>
        <v/>
      </c>
      <c r="Q1460" s="8" t="str">
        <f>IF(E1460="","",IFERROR(VLOOKUP(E1460,REGRAS_CST!$A$2:$D$200,4,FALSE),""))</f>
        <v/>
      </c>
      <c r="S1460" s="9">
        <f>IF($H1460="","",$H1460*(1-$U1460))</f>
        <v>8.9999999999999993E-3</v>
      </c>
      <c r="T1460" s="9">
        <f>IF($I1460="","",$I1460*(1-$U1460))</f>
        <v>1E-3</v>
      </c>
      <c r="U1460" s="16">
        <f>IFERROR(INDEX(BASE_CCLASSTRIB!$E:$E, MATCH(TEXT($D1460,"000000"), BASE_CCLASSTRIB!$A:$A, 0))/100, 0)</f>
        <v>0</v>
      </c>
      <c r="V1460" s="16">
        <f>IFERROR(INDEX(BASE_CCLASSTRIB!$F:$F, MATCH(TEXT($D1460,"000000"), BASE_CCLASSTRIB!$A:$A, 0))/100, 0)</f>
        <v>0</v>
      </c>
    </row>
    <row r="1461" spans="4:22" ht="32.25" customHeight="1">
      <c r="D1461" s="39"/>
      <c r="E1461" s="27" t="str">
        <f>IF(D1461="","",LEFT(D1461,3))</f>
        <v/>
      </c>
      <c r="F1461" s="28" t="str">
        <f>IF(E1461="","",IFERROR(VLOOKUP(E1461,REGRAS_CST!$A$2:$B$200,2,FALSE),""))</f>
        <v/>
      </c>
      <c r="H1461" s="29">
        <v>8.9999999999999993E-3</v>
      </c>
      <c r="I1461" s="29">
        <v>1E-3</v>
      </c>
      <c r="K1461" s="21" t="str">
        <f>IF(E1461="","",IFERROR(VLOOKUP(E1461,REGRAS_CST!$A$2:$C$200,3,FALSE),""))</f>
        <v/>
      </c>
      <c r="L1461" s="23" t="str">
        <f>IF($G1461="", "", $G1461*(1-$V1461))</f>
        <v/>
      </c>
      <c r="M1461" s="24" t="str">
        <f>IF(OR($L1461="",$S1461=""),"",$L1461*$S1461)</f>
        <v/>
      </c>
      <c r="N1461" s="24" t="str">
        <f>IF(OR($L1461="",$T1461=""),"",$L1461*$T1461)</f>
        <v/>
      </c>
      <c r="O1461" s="15" t="str">
        <f>IF(D1461="","",
IF(AND(K1461&lt;&gt;"SIM",V1461&gt;0),"ERRO: % BC &gt; 0, mas NÃO permitida ❌",
IF(AND(K1461="SIM",V1461=0),"ATENÇÃO: BC permitida, mas % = 0 🔎",
"Base de cálculo aplicada corretamente ✅")))</f>
        <v/>
      </c>
      <c r="P1461" s="31" t="str">
        <f>IF(D1461="","",
IF(AND(Q1461&lt;&gt;"SIM",U1461&gt;0),"ERRO: % alíquota &gt; 0, mas NÃO permitida ❌",
IF(AND(Q1461="SIM",U1461=0),"ATENÇÃO: alíquota permitida, mas % = 0 🔎",
"Alíquota aplicada corretamente ✅")))</f>
        <v/>
      </c>
      <c r="Q1461" s="8" t="str">
        <f>IF(E1461="","",IFERROR(VLOOKUP(E1461,REGRAS_CST!$A$2:$D$200,4,FALSE),""))</f>
        <v/>
      </c>
      <c r="S1461" s="9">
        <f>IF($H1461="","",$H1461*(1-$U1461))</f>
        <v>8.9999999999999993E-3</v>
      </c>
      <c r="T1461" s="9">
        <f>IF($I1461="","",$I1461*(1-$U1461))</f>
        <v>1E-3</v>
      </c>
      <c r="U1461" s="16">
        <f>IFERROR(INDEX(BASE_CCLASSTRIB!$E:$E, MATCH(TEXT($D1461,"000000"), BASE_CCLASSTRIB!$A:$A, 0))/100, 0)</f>
        <v>0</v>
      </c>
      <c r="V1461" s="16">
        <f>IFERROR(INDEX(BASE_CCLASSTRIB!$F:$F, MATCH(TEXT($D1461,"000000"), BASE_CCLASSTRIB!$A:$A, 0))/100, 0)</f>
        <v>0</v>
      </c>
    </row>
    <row r="1462" spans="4:22" ht="32.25" customHeight="1">
      <c r="D1462" s="39"/>
      <c r="E1462" s="27" t="str">
        <f>IF(D1462="","",LEFT(D1462,3))</f>
        <v/>
      </c>
      <c r="F1462" s="28" t="str">
        <f>IF(E1462="","",IFERROR(VLOOKUP(E1462,REGRAS_CST!$A$2:$B$200,2,FALSE),""))</f>
        <v/>
      </c>
      <c r="H1462" s="29">
        <v>8.9999999999999993E-3</v>
      </c>
      <c r="I1462" s="29">
        <v>1E-3</v>
      </c>
      <c r="K1462" s="21" t="str">
        <f>IF(E1462="","",IFERROR(VLOOKUP(E1462,REGRAS_CST!$A$2:$C$200,3,FALSE),""))</f>
        <v/>
      </c>
      <c r="L1462" s="23" t="str">
        <f>IF($G1462="", "", $G1462*(1-$V1462))</f>
        <v/>
      </c>
      <c r="M1462" s="24" t="str">
        <f>IF(OR($L1462="",$S1462=""),"",$L1462*$S1462)</f>
        <v/>
      </c>
      <c r="N1462" s="24" t="str">
        <f>IF(OR($L1462="",$T1462=""),"",$L1462*$T1462)</f>
        <v/>
      </c>
      <c r="O1462" s="15" t="str">
        <f>IF(D1462="","",
IF(AND(K1462&lt;&gt;"SIM",V1462&gt;0),"ERRO: % BC &gt; 0, mas NÃO permitida ❌",
IF(AND(K1462="SIM",V1462=0),"ATENÇÃO: BC permitida, mas % = 0 🔎",
"Base de cálculo aplicada corretamente ✅")))</f>
        <v/>
      </c>
      <c r="P1462" s="31" t="str">
        <f>IF(D1462="","",
IF(AND(Q1462&lt;&gt;"SIM",U1462&gt;0),"ERRO: % alíquota &gt; 0, mas NÃO permitida ❌",
IF(AND(Q1462="SIM",U1462=0),"ATENÇÃO: alíquota permitida, mas % = 0 🔎",
"Alíquota aplicada corretamente ✅")))</f>
        <v/>
      </c>
      <c r="Q1462" s="8" t="str">
        <f>IF(E1462="","",IFERROR(VLOOKUP(E1462,REGRAS_CST!$A$2:$D$200,4,FALSE),""))</f>
        <v/>
      </c>
      <c r="S1462" s="9">
        <f>IF($H1462="","",$H1462*(1-$U1462))</f>
        <v>8.9999999999999993E-3</v>
      </c>
      <c r="T1462" s="9">
        <f>IF($I1462="","",$I1462*(1-$U1462))</f>
        <v>1E-3</v>
      </c>
      <c r="U1462" s="16">
        <f>IFERROR(INDEX(BASE_CCLASSTRIB!$E:$E, MATCH(TEXT($D1462,"000000"), BASE_CCLASSTRIB!$A:$A, 0))/100, 0)</f>
        <v>0</v>
      </c>
      <c r="V1462" s="16">
        <f>IFERROR(INDEX(BASE_CCLASSTRIB!$F:$F, MATCH(TEXT($D1462,"000000"), BASE_CCLASSTRIB!$A:$A, 0))/100, 0)</f>
        <v>0</v>
      </c>
    </row>
    <row r="1463" spans="4:22" ht="32.25" customHeight="1">
      <c r="D1463" s="39"/>
      <c r="E1463" s="27" t="str">
        <f>IF(D1463="","",LEFT(D1463,3))</f>
        <v/>
      </c>
      <c r="F1463" s="28" t="str">
        <f>IF(E1463="","",IFERROR(VLOOKUP(E1463,REGRAS_CST!$A$2:$B$200,2,FALSE),""))</f>
        <v/>
      </c>
      <c r="H1463" s="29">
        <v>8.9999999999999993E-3</v>
      </c>
      <c r="I1463" s="29">
        <v>1E-3</v>
      </c>
      <c r="K1463" s="21" t="str">
        <f>IF(E1463="","",IFERROR(VLOOKUP(E1463,REGRAS_CST!$A$2:$C$200,3,FALSE),""))</f>
        <v/>
      </c>
      <c r="L1463" s="23" t="str">
        <f>IF($G1463="", "", $G1463*(1-$V1463))</f>
        <v/>
      </c>
      <c r="M1463" s="24" t="str">
        <f>IF(OR($L1463="",$S1463=""),"",$L1463*$S1463)</f>
        <v/>
      </c>
      <c r="N1463" s="24" t="str">
        <f>IF(OR($L1463="",$T1463=""),"",$L1463*$T1463)</f>
        <v/>
      </c>
      <c r="O1463" s="15" t="str">
        <f>IF(D1463="","",
IF(AND(K1463&lt;&gt;"SIM",V1463&gt;0),"ERRO: % BC &gt; 0, mas NÃO permitida ❌",
IF(AND(K1463="SIM",V1463=0),"ATENÇÃO: BC permitida, mas % = 0 🔎",
"Base de cálculo aplicada corretamente ✅")))</f>
        <v/>
      </c>
      <c r="P1463" s="31" t="str">
        <f>IF(D1463="","",
IF(AND(Q1463&lt;&gt;"SIM",U1463&gt;0),"ERRO: % alíquota &gt; 0, mas NÃO permitida ❌",
IF(AND(Q1463="SIM",U1463=0),"ATENÇÃO: alíquota permitida, mas % = 0 🔎",
"Alíquota aplicada corretamente ✅")))</f>
        <v/>
      </c>
      <c r="Q1463" s="8" t="str">
        <f>IF(E1463="","",IFERROR(VLOOKUP(E1463,REGRAS_CST!$A$2:$D$200,4,FALSE),""))</f>
        <v/>
      </c>
      <c r="S1463" s="9">
        <f>IF($H1463="","",$H1463*(1-$U1463))</f>
        <v>8.9999999999999993E-3</v>
      </c>
      <c r="T1463" s="9">
        <f>IF($I1463="","",$I1463*(1-$U1463))</f>
        <v>1E-3</v>
      </c>
      <c r="U1463" s="16">
        <f>IFERROR(INDEX(BASE_CCLASSTRIB!$E:$E, MATCH(TEXT($D1463,"000000"), BASE_CCLASSTRIB!$A:$A, 0))/100, 0)</f>
        <v>0</v>
      </c>
      <c r="V1463" s="16">
        <f>IFERROR(INDEX(BASE_CCLASSTRIB!$F:$F, MATCH(TEXT($D1463,"000000"), BASE_CCLASSTRIB!$A:$A, 0))/100, 0)</f>
        <v>0</v>
      </c>
    </row>
    <row r="1464" spans="4:22" ht="32.25" customHeight="1">
      <c r="D1464" s="40"/>
      <c r="E1464" s="27" t="str">
        <f>IF(D1464="","",LEFT(D1464,3))</f>
        <v/>
      </c>
      <c r="F1464" s="28" t="str">
        <f>IF(E1464="","",IFERROR(VLOOKUP(E1464,REGRAS_CST!$A$2:$B$200,2,FALSE),""))</f>
        <v/>
      </c>
      <c r="H1464" s="29">
        <v>8.9999999999999993E-3</v>
      </c>
      <c r="I1464" s="29">
        <v>1E-3</v>
      </c>
      <c r="K1464" s="21" t="str">
        <f>IF(E1464="","",IFERROR(VLOOKUP(E1464,REGRAS_CST!$A$2:$C$200,3,FALSE),""))</f>
        <v/>
      </c>
      <c r="L1464" s="23" t="str">
        <f>IF($G1464="", "", $G1464*(1-$V1464))</f>
        <v/>
      </c>
      <c r="M1464" s="24" t="str">
        <f>IF(OR($L1464="",$S1464=""),"",$L1464*$S1464)</f>
        <v/>
      </c>
      <c r="N1464" s="24" t="str">
        <f>IF(OR($L1464="",$T1464=""),"",$L1464*$T1464)</f>
        <v/>
      </c>
      <c r="O1464" s="15" t="str">
        <f>IF(D1464="","",
IF(AND(K1464&lt;&gt;"SIM",V1464&gt;0),"ERRO: % BC &gt; 0, mas NÃO permitida ❌",
IF(AND(K1464="SIM",V1464=0),"ATENÇÃO: BC permitida, mas % = 0 🔎",
"Base de cálculo aplicada corretamente ✅")))</f>
        <v/>
      </c>
      <c r="P1464" s="31" t="str">
        <f>IF(D1464="","",
IF(AND(Q1464&lt;&gt;"SIM",U1464&gt;0),"ERRO: % alíquota &gt; 0, mas NÃO permitida ❌",
IF(AND(Q1464="SIM",U1464=0),"ATENÇÃO: alíquota permitida, mas % = 0 🔎",
"Alíquota aplicada corretamente ✅")))</f>
        <v/>
      </c>
      <c r="Q1464" s="8" t="str">
        <f>IF(E1464="","",IFERROR(VLOOKUP(E1464,REGRAS_CST!$A$2:$D$200,4,FALSE),""))</f>
        <v/>
      </c>
      <c r="S1464" s="9">
        <f>IF($H1464="","",$H1464*(1-$U1464))</f>
        <v>8.9999999999999993E-3</v>
      </c>
      <c r="T1464" s="9">
        <f>IF($I1464="","",$I1464*(1-$U1464))</f>
        <v>1E-3</v>
      </c>
      <c r="U1464" s="16">
        <f>IFERROR(INDEX(BASE_CCLASSTRIB!$E:$E, MATCH(TEXT($D1464,"000000"), BASE_CCLASSTRIB!$A:$A, 0))/100, 0)</f>
        <v>0</v>
      </c>
      <c r="V1464" s="16">
        <f>IFERROR(INDEX(BASE_CCLASSTRIB!$F:$F, MATCH(TEXT($D1464,"000000"), BASE_CCLASSTRIB!$A:$A, 0))/100, 0)</f>
        <v>0</v>
      </c>
    </row>
    <row r="1465" spans="4:22" ht="32.25" customHeight="1">
      <c r="D1465" s="39"/>
      <c r="E1465" s="27" t="str">
        <f>IF(D1465="","",LEFT(D1465,3))</f>
        <v/>
      </c>
      <c r="F1465" s="28" t="str">
        <f>IF(E1465="","",IFERROR(VLOOKUP(E1465,REGRAS_CST!$A$2:$B$200,2,FALSE),""))</f>
        <v/>
      </c>
      <c r="H1465" s="29">
        <v>8.9999999999999993E-3</v>
      </c>
      <c r="I1465" s="29">
        <v>1E-3</v>
      </c>
      <c r="K1465" s="21" t="str">
        <f>IF(E1465="","",IFERROR(VLOOKUP(E1465,REGRAS_CST!$A$2:$C$200,3,FALSE),""))</f>
        <v/>
      </c>
      <c r="L1465" s="23" t="str">
        <f>IF($G1465="", "", $G1465*(1-$V1465))</f>
        <v/>
      </c>
      <c r="M1465" s="24" t="str">
        <f>IF(OR($L1465="",$S1465=""),"",$L1465*$S1465)</f>
        <v/>
      </c>
      <c r="N1465" s="24" t="str">
        <f>IF(OR($L1465="",$T1465=""),"",$L1465*$T1465)</f>
        <v/>
      </c>
      <c r="O1465" s="15" t="str">
        <f>IF(D1465="","",
IF(AND(K1465&lt;&gt;"SIM",V1465&gt;0),"ERRO: % BC &gt; 0, mas NÃO permitida ❌",
IF(AND(K1465="SIM",V1465=0),"ATENÇÃO: BC permitida, mas % = 0 🔎",
"Base de cálculo aplicada corretamente ✅")))</f>
        <v/>
      </c>
      <c r="P1465" s="31" t="str">
        <f>IF(D1465="","",
IF(AND(Q1465&lt;&gt;"SIM",U1465&gt;0),"ERRO: % alíquota &gt; 0, mas NÃO permitida ❌",
IF(AND(Q1465="SIM",U1465=0),"ATENÇÃO: alíquota permitida, mas % = 0 🔎",
"Alíquota aplicada corretamente ✅")))</f>
        <v/>
      </c>
      <c r="Q1465" s="8" t="str">
        <f>IF(E1465="","",IFERROR(VLOOKUP(E1465,REGRAS_CST!$A$2:$D$200,4,FALSE),""))</f>
        <v/>
      </c>
      <c r="S1465" s="9">
        <f>IF($H1465="","",$H1465*(1-$U1465))</f>
        <v>8.9999999999999993E-3</v>
      </c>
      <c r="T1465" s="9">
        <f>IF($I1465="","",$I1465*(1-$U1465))</f>
        <v>1E-3</v>
      </c>
      <c r="U1465" s="16">
        <f>IFERROR(INDEX(BASE_CCLASSTRIB!$E:$E, MATCH(TEXT($D1465,"000000"), BASE_CCLASSTRIB!$A:$A, 0))/100, 0)</f>
        <v>0</v>
      </c>
      <c r="V1465" s="16">
        <f>IFERROR(INDEX(BASE_CCLASSTRIB!$F:$F, MATCH(TEXT($D1465,"000000"), BASE_CCLASSTRIB!$A:$A, 0))/100, 0)</f>
        <v>0</v>
      </c>
    </row>
    <row r="1466" spans="4:22" ht="32.25" customHeight="1">
      <c r="D1466" s="39"/>
      <c r="E1466" s="27" t="str">
        <f>IF(D1466="","",LEFT(D1466,3))</f>
        <v/>
      </c>
      <c r="F1466" s="28" t="str">
        <f>IF(E1466="","",IFERROR(VLOOKUP(E1466,REGRAS_CST!$A$2:$B$200,2,FALSE),""))</f>
        <v/>
      </c>
      <c r="H1466" s="29">
        <v>8.9999999999999993E-3</v>
      </c>
      <c r="I1466" s="29">
        <v>1E-3</v>
      </c>
      <c r="K1466" s="21" t="str">
        <f>IF(E1466="","",IFERROR(VLOOKUP(E1466,REGRAS_CST!$A$2:$C$200,3,FALSE),""))</f>
        <v/>
      </c>
      <c r="L1466" s="23" t="str">
        <f>IF($G1466="", "", $G1466*(1-$V1466))</f>
        <v/>
      </c>
      <c r="M1466" s="24" t="str">
        <f>IF(OR($L1466="",$S1466=""),"",$L1466*$S1466)</f>
        <v/>
      </c>
      <c r="N1466" s="24" t="str">
        <f>IF(OR($L1466="",$T1466=""),"",$L1466*$T1466)</f>
        <v/>
      </c>
      <c r="O1466" s="15" t="str">
        <f>IF(D1466="","",
IF(AND(K1466&lt;&gt;"SIM",V1466&gt;0),"ERRO: % BC &gt; 0, mas NÃO permitida ❌",
IF(AND(K1466="SIM",V1466=0),"ATENÇÃO: BC permitida, mas % = 0 🔎",
"Base de cálculo aplicada corretamente ✅")))</f>
        <v/>
      </c>
      <c r="P1466" s="31" t="str">
        <f>IF(D1466="","",
IF(AND(Q1466&lt;&gt;"SIM",U1466&gt;0),"ERRO: % alíquota &gt; 0, mas NÃO permitida ❌",
IF(AND(Q1466="SIM",U1466=0),"ATENÇÃO: alíquota permitida, mas % = 0 🔎",
"Alíquota aplicada corretamente ✅")))</f>
        <v/>
      </c>
      <c r="Q1466" s="8" t="str">
        <f>IF(E1466="","",IFERROR(VLOOKUP(E1466,REGRAS_CST!$A$2:$D$200,4,FALSE),""))</f>
        <v/>
      </c>
      <c r="S1466" s="9">
        <f>IF($H1466="","",$H1466*(1-$U1466))</f>
        <v>8.9999999999999993E-3</v>
      </c>
      <c r="T1466" s="9">
        <f>IF($I1466="","",$I1466*(1-$U1466))</f>
        <v>1E-3</v>
      </c>
      <c r="U1466" s="16">
        <f>IFERROR(INDEX(BASE_CCLASSTRIB!$E:$E, MATCH(TEXT($D1466,"000000"), BASE_CCLASSTRIB!$A:$A, 0))/100, 0)</f>
        <v>0</v>
      </c>
      <c r="V1466" s="16">
        <f>IFERROR(INDEX(BASE_CCLASSTRIB!$F:$F, MATCH(TEXT($D1466,"000000"), BASE_CCLASSTRIB!$A:$A, 0))/100, 0)</f>
        <v>0</v>
      </c>
    </row>
    <row r="1467" spans="4:22" ht="32.25" customHeight="1">
      <c r="D1467" s="39"/>
      <c r="E1467" s="27" t="str">
        <f>IF(D1467="","",LEFT(D1467,3))</f>
        <v/>
      </c>
      <c r="F1467" s="28" t="str">
        <f>IF(E1467="","",IFERROR(VLOOKUP(E1467,REGRAS_CST!$A$2:$B$200,2,FALSE),""))</f>
        <v/>
      </c>
      <c r="H1467" s="29">
        <v>8.9999999999999993E-3</v>
      </c>
      <c r="I1467" s="29">
        <v>1E-3</v>
      </c>
      <c r="K1467" s="21" t="str">
        <f>IF(E1467="","",IFERROR(VLOOKUP(E1467,REGRAS_CST!$A$2:$C$200,3,FALSE),""))</f>
        <v/>
      </c>
      <c r="L1467" s="23" t="str">
        <f>IF($G1467="", "", $G1467*(1-$V1467))</f>
        <v/>
      </c>
      <c r="M1467" s="24" t="str">
        <f>IF(OR($L1467="",$S1467=""),"",$L1467*$S1467)</f>
        <v/>
      </c>
      <c r="N1467" s="24" t="str">
        <f>IF(OR($L1467="",$T1467=""),"",$L1467*$T1467)</f>
        <v/>
      </c>
      <c r="O1467" s="15" t="str">
        <f>IF(D1467="","",
IF(AND(K1467&lt;&gt;"SIM",V1467&gt;0),"ERRO: % BC &gt; 0, mas NÃO permitida ❌",
IF(AND(K1467="SIM",V1467=0),"ATENÇÃO: BC permitida, mas % = 0 🔎",
"Base de cálculo aplicada corretamente ✅")))</f>
        <v/>
      </c>
      <c r="P1467" s="31" t="str">
        <f>IF(D1467="","",
IF(AND(Q1467&lt;&gt;"SIM",U1467&gt;0),"ERRO: % alíquota &gt; 0, mas NÃO permitida ❌",
IF(AND(Q1467="SIM",U1467=0),"ATENÇÃO: alíquota permitida, mas % = 0 🔎",
"Alíquota aplicada corretamente ✅")))</f>
        <v/>
      </c>
      <c r="Q1467" s="8" t="str">
        <f>IF(E1467="","",IFERROR(VLOOKUP(E1467,REGRAS_CST!$A$2:$D$200,4,FALSE),""))</f>
        <v/>
      </c>
      <c r="S1467" s="9">
        <f>IF($H1467="","",$H1467*(1-$U1467))</f>
        <v>8.9999999999999993E-3</v>
      </c>
      <c r="T1467" s="9">
        <f>IF($I1467="","",$I1467*(1-$U1467))</f>
        <v>1E-3</v>
      </c>
      <c r="U1467" s="16">
        <f>IFERROR(INDEX(BASE_CCLASSTRIB!$E:$E, MATCH(TEXT($D1467,"000000"), BASE_CCLASSTRIB!$A:$A, 0))/100, 0)</f>
        <v>0</v>
      </c>
      <c r="V1467" s="16">
        <f>IFERROR(INDEX(BASE_CCLASSTRIB!$F:$F, MATCH(TEXT($D1467,"000000"), BASE_CCLASSTRIB!$A:$A, 0))/100, 0)</f>
        <v>0</v>
      </c>
    </row>
    <row r="1468" spans="4:22" ht="32.25" customHeight="1">
      <c r="D1468" s="39"/>
      <c r="E1468" s="27" t="str">
        <f>IF(D1468="","",LEFT(D1468,3))</f>
        <v/>
      </c>
      <c r="F1468" s="28" t="str">
        <f>IF(E1468="","",IFERROR(VLOOKUP(E1468,REGRAS_CST!$A$2:$B$200,2,FALSE),""))</f>
        <v/>
      </c>
      <c r="H1468" s="29">
        <v>8.9999999999999993E-3</v>
      </c>
      <c r="I1468" s="29">
        <v>1E-3</v>
      </c>
      <c r="K1468" s="21" t="str">
        <f>IF(E1468="","",IFERROR(VLOOKUP(E1468,REGRAS_CST!$A$2:$C$200,3,FALSE),""))</f>
        <v/>
      </c>
      <c r="L1468" s="23" t="str">
        <f>IF($G1468="", "", $G1468*(1-$V1468))</f>
        <v/>
      </c>
      <c r="M1468" s="24" t="str">
        <f>IF(OR($L1468="",$S1468=""),"",$L1468*$S1468)</f>
        <v/>
      </c>
      <c r="N1468" s="24" t="str">
        <f>IF(OR($L1468="",$T1468=""),"",$L1468*$T1468)</f>
        <v/>
      </c>
      <c r="O1468" s="15" t="str">
        <f>IF(D1468="","",
IF(AND(K1468&lt;&gt;"SIM",V1468&gt;0),"ERRO: % BC &gt; 0, mas NÃO permitida ❌",
IF(AND(K1468="SIM",V1468=0),"ATENÇÃO: BC permitida, mas % = 0 🔎",
"Base de cálculo aplicada corretamente ✅")))</f>
        <v/>
      </c>
      <c r="P1468" s="31" t="str">
        <f>IF(D1468="","",
IF(AND(Q1468&lt;&gt;"SIM",U1468&gt;0),"ERRO: % alíquota &gt; 0, mas NÃO permitida ❌",
IF(AND(Q1468="SIM",U1468=0),"ATENÇÃO: alíquota permitida, mas % = 0 🔎",
"Alíquota aplicada corretamente ✅")))</f>
        <v/>
      </c>
      <c r="Q1468" s="8" t="str">
        <f>IF(E1468="","",IFERROR(VLOOKUP(E1468,REGRAS_CST!$A$2:$D$200,4,FALSE),""))</f>
        <v/>
      </c>
      <c r="S1468" s="9">
        <f>IF($H1468="","",$H1468*(1-$U1468))</f>
        <v>8.9999999999999993E-3</v>
      </c>
      <c r="T1468" s="9">
        <f>IF($I1468="","",$I1468*(1-$U1468))</f>
        <v>1E-3</v>
      </c>
      <c r="U1468" s="16">
        <f>IFERROR(INDEX(BASE_CCLASSTRIB!$E:$E, MATCH(TEXT($D1468,"000000"), BASE_CCLASSTRIB!$A:$A, 0))/100, 0)</f>
        <v>0</v>
      </c>
      <c r="V1468" s="16">
        <f>IFERROR(INDEX(BASE_CCLASSTRIB!$F:$F, MATCH(TEXT($D1468,"000000"), BASE_CCLASSTRIB!$A:$A, 0))/100, 0)</f>
        <v>0</v>
      </c>
    </row>
    <row r="1469" spans="4:22" ht="32.25" customHeight="1">
      <c r="D1469" s="39"/>
      <c r="E1469" s="27" t="str">
        <f>IF(D1469="","",LEFT(D1469,3))</f>
        <v/>
      </c>
      <c r="F1469" s="28" t="str">
        <f>IF(E1469="","",IFERROR(VLOOKUP(E1469,REGRAS_CST!$A$2:$B$200,2,FALSE),""))</f>
        <v/>
      </c>
      <c r="H1469" s="29">
        <v>8.9999999999999993E-3</v>
      </c>
      <c r="I1469" s="29">
        <v>1E-3</v>
      </c>
      <c r="K1469" s="21" t="str">
        <f>IF(E1469="","",IFERROR(VLOOKUP(E1469,REGRAS_CST!$A$2:$C$200,3,FALSE),""))</f>
        <v/>
      </c>
      <c r="L1469" s="23" t="str">
        <f>IF($G1469="", "", $G1469*(1-$V1469))</f>
        <v/>
      </c>
      <c r="M1469" s="24" t="str">
        <f>IF(OR($L1469="",$S1469=""),"",$L1469*$S1469)</f>
        <v/>
      </c>
      <c r="N1469" s="24" t="str">
        <f>IF(OR($L1469="",$T1469=""),"",$L1469*$T1469)</f>
        <v/>
      </c>
      <c r="O1469" s="15" t="str">
        <f>IF(D1469="","",
IF(AND(K1469&lt;&gt;"SIM",V1469&gt;0),"ERRO: % BC &gt; 0, mas NÃO permitida ❌",
IF(AND(K1469="SIM",V1469=0),"ATENÇÃO: BC permitida, mas % = 0 🔎",
"Base de cálculo aplicada corretamente ✅")))</f>
        <v/>
      </c>
      <c r="P1469" s="31" t="str">
        <f>IF(D1469="","",
IF(AND(Q1469&lt;&gt;"SIM",U1469&gt;0),"ERRO: % alíquota &gt; 0, mas NÃO permitida ❌",
IF(AND(Q1469="SIM",U1469=0),"ATENÇÃO: alíquota permitida, mas % = 0 🔎",
"Alíquota aplicada corretamente ✅")))</f>
        <v/>
      </c>
      <c r="Q1469" s="8" t="str">
        <f>IF(E1469="","",IFERROR(VLOOKUP(E1469,REGRAS_CST!$A$2:$D$200,4,FALSE),""))</f>
        <v/>
      </c>
      <c r="S1469" s="9">
        <f>IF($H1469="","",$H1469*(1-$U1469))</f>
        <v>8.9999999999999993E-3</v>
      </c>
      <c r="T1469" s="9">
        <f>IF($I1469="","",$I1469*(1-$U1469))</f>
        <v>1E-3</v>
      </c>
      <c r="U1469" s="16">
        <f>IFERROR(INDEX(BASE_CCLASSTRIB!$E:$E, MATCH(TEXT($D1469,"000000"), BASE_CCLASSTRIB!$A:$A, 0))/100, 0)</f>
        <v>0</v>
      </c>
      <c r="V1469" s="16">
        <f>IFERROR(INDEX(BASE_CCLASSTRIB!$F:$F, MATCH(TEXT($D1469,"000000"), BASE_CCLASSTRIB!$A:$A, 0))/100, 0)</f>
        <v>0</v>
      </c>
    </row>
    <row r="1470" spans="4:22" ht="32.25" customHeight="1">
      <c r="D1470" s="39"/>
      <c r="E1470" s="27" t="str">
        <f>IF(D1470="","",LEFT(D1470,3))</f>
        <v/>
      </c>
      <c r="F1470" s="28" t="str">
        <f>IF(E1470="","",IFERROR(VLOOKUP(E1470,REGRAS_CST!$A$2:$B$200,2,FALSE),""))</f>
        <v/>
      </c>
      <c r="H1470" s="29">
        <v>8.9999999999999993E-3</v>
      </c>
      <c r="I1470" s="29">
        <v>1E-3</v>
      </c>
      <c r="K1470" s="21" t="str">
        <f>IF(E1470="","",IFERROR(VLOOKUP(E1470,REGRAS_CST!$A$2:$C$200,3,FALSE),""))</f>
        <v/>
      </c>
      <c r="L1470" s="23" t="str">
        <f>IF($G1470="", "", $G1470*(1-$V1470))</f>
        <v/>
      </c>
      <c r="M1470" s="24" t="str">
        <f>IF(OR($L1470="",$S1470=""),"",$L1470*$S1470)</f>
        <v/>
      </c>
      <c r="N1470" s="24" t="str">
        <f>IF(OR($L1470="",$T1470=""),"",$L1470*$T1470)</f>
        <v/>
      </c>
      <c r="O1470" s="15" t="str">
        <f>IF(D1470="","",
IF(AND(K1470&lt;&gt;"SIM",V1470&gt;0),"ERRO: % BC &gt; 0, mas NÃO permitida ❌",
IF(AND(K1470="SIM",V1470=0),"ATENÇÃO: BC permitida, mas % = 0 🔎",
"Base de cálculo aplicada corretamente ✅")))</f>
        <v/>
      </c>
      <c r="P1470" s="31" t="str">
        <f>IF(D1470="","",
IF(AND(Q1470&lt;&gt;"SIM",U1470&gt;0),"ERRO: % alíquota &gt; 0, mas NÃO permitida ❌",
IF(AND(Q1470="SIM",U1470=0),"ATENÇÃO: alíquota permitida, mas % = 0 🔎",
"Alíquota aplicada corretamente ✅")))</f>
        <v/>
      </c>
      <c r="Q1470" s="8" t="str">
        <f>IF(E1470="","",IFERROR(VLOOKUP(E1470,REGRAS_CST!$A$2:$D$200,4,FALSE),""))</f>
        <v/>
      </c>
      <c r="S1470" s="9">
        <f>IF($H1470="","",$H1470*(1-$U1470))</f>
        <v>8.9999999999999993E-3</v>
      </c>
      <c r="T1470" s="9">
        <f>IF($I1470="","",$I1470*(1-$U1470))</f>
        <v>1E-3</v>
      </c>
      <c r="U1470" s="16">
        <f>IFERROR(INDEX(BASE_CCLASSTRIB!$E:$E, MATCH(TEXT($D1470,"000000"), BASE_CCLASSTRIB!$A:$A, 0))/100, 0)</f>
        <v>0</v>
      </c>
      <c r="V1470" s="16">
        <f>IFERROR(INDEX(BASE_CCLASSTRIB!$F:$F, MATCH(TEXT($D1470,"000000"), BASE_CCLASSTRIB!$A:$A, 0))/100, 0)</f>
        <v>0</v>
      </c>
    </row>
    <row r="1471" spans="4:22" ht="32.25" customHeight="1">
      <c r="D1471" s="39"/>
      <c r="E1471" s="27" t="str">
        <f>IF(D1471="","",LEFT(D1471,3))</f>
        <v/>
      </c>
      <c r="F1471" s="28" t="str">
        <f>IF(E1471="","",IFERROR(VLOOKUP(E1471,REGRAS_CST!$A$2:$B$200,2,FALSE),""))</f>
        <v/>
      </c>
      <c r="H1471" s="29">
        <v>8.9999999999999993E-3</v>
      </c>
      <c r="I1471" s="29">
        <v>1E-3</v>
      </c>
      <c r="K1471" s="21" t="str">
        <f>IF(E1471="","",IFERROR(VLOOKUP(E1471,REGRAS_CST!$A$2:$C$200,3,FALSE),""))</f>
        <v/>
      </c>
      <c r="L1471" s="23" t="str">
        <f>IF($G1471="", "", $G1471*(1-$V1471))</f>
        <v/>
      </c>
      <c r="M1471" s="24" t="str">
        <f>IF(OR($L1471="",$S1471=""),"",$L1471*$S1471)</f>
        <v/>
      </c>
      <c r="N1471" s="24" t="str">
        <f>IF(OR($L1471="",$T1471=""),"",$L1471*$T1471)</f>
        <v/>
      </c>
      <c r="O1471" s="15" t="str">
        <f>IF(D1471="","",
IF(AND(K1471&lt;&gt;"SIM",V1471&gt;0),"ERRO: % BC &gt; 0, mas NÃO permitida ❌",
IF(AND(K1471="SIM",V1471=0),"ATENÇÃO: BC permitida, mas % = 0 🔎",
"Base de cálculo aplicada corretamente ✅")))</f>
        <v/>
      </c>
      <c r="P1471" s="31" t="str">
        <f>IF(D1471="","",
IF(AND(Q1471&lt;&gt;"SIM",U1471&gt;0),"ERRO: % alíquota &gt; 0, mas NÃO permitida ❌",
IF(AND(Q1471="SIM",U1471=0),"ATENÇÃO: alíquota permitida, mas % = 0 🔎",
"Alíquota aplicada corretamente ✅")))</f>
        <v/>
      </c>
      <c r="Q1471" s="8" t="str">
        <f>IF(E1471="","",IFERROR(VLOOKUP(E1471,REGRAS_CST!$A$2:$D$200,4,FALSE),""))</f>
        <v/>
      </c>
      <c r="S1471" s="9">
        <f>IF($H1471="","",$H1471*(1-$U1471))</f>
        <v>8.9999999999999993E-3</v>
      </c>
      <c r="T1471" s="9">
        <f>IF($I1471="","",$I1471*(1-$U1471))</f>
        <v>1E-3</v>
      </c>
      <c r="U1471" s="16">
        <f>IFERROR(INDEX(BASE_CCLASSTRIB!$E:$E, MATCH(TEXT($D1471,"000000"), BASE_CCLASSTRIB!$A:$A, 0))/100, 0)</f>
        <v>0</v>
      </c>
      <c r="V1471" s="16">
        <f>IFERROR(INDEX(BASE_CCLASSTRIB!$F:$F, MATCH(TEXT($D1471,"000000"), BASE_CCLASSTRIB!$A:$A, 0))/100, 0)</f>
        <v>0</v>
      </c>
    </row>
    <row r="1472" spans="4:22" ht="32.25" customHeight="1">
      <c r="D1472" s="39"/>
      <c r="E1472" s="27" t="str">
        <f>IF(D1472="","",LEFT(D1472,3))</f>
        <v/>
      </c>
      <c r="F1472" s="28" t="str">
        <f>IF(E1472="","",IFERROR(VLOOKUP(E1472,REGRAS_CST!$A$2:$B$200,2,FALSE),""))</f>
        <v/>
      </c>
      <c r="H1472" s="29">
        <v>8.9999999999999993E-3</v>
      </c>
      <c r="I1472" s="29">
        <v>1E-3</v>
      </c>
      <c r="K1472" s="21" t="str">
        <f>IF(E1472="","",IFERROR(VLOOKUP(E1472,REGRAS_CST!$A$2:$C$200,3,FALSE),""))</f>
        <v/>
      </c>
      <c r="L1472" s="23" t="str">
        <f>IF($G1472="", "", $G1472*(1-$V1472))</f>
        <v/>
      </c>
      <c r="M1472" s="24" t="str">
        <f>IF(OR($L1472="",$S1472=""),"",$L1472*$S1472)</f>
        <v/>
      </c>
      <c r="N1472" s="24" t="str">
        <f>IF(OR($L1472="",$T1472=""),"",$L1472*$T1472)</f>
        <v/>
      </c>
      <c r="O1472" s="15" t="str">
        <f>IF(D1472="","",
IF(AND(K1472&lt;&gt;"SIM",V1472&gt;0),"ERRO: % BC &gt; 0, mas NÃO permitida ❌",
IF(AND(K1472="SIM",V1472=0),"ATENÇÃO: BC permitida, mas % = 0 🔎",
"Base de cálculo aplicada corretamente ✅")))</f>
        <v/>
      </c>
      <c r="P1472" s="31" t="str">
        <f>IF(D1472="","",
IF(AND(Q1472&lt;&gt;"SIM",U1472&gt;0),"ERRO: % alíquota &gt; 0, mas NÃO permitida ❌",
IF(AND(Q1472="SIM",U1472=0),"ATENÇÃO: alíquota permitida, mas % = 0 🔎",
"Alíquota aplicada corretamente ✅")))</f>
        <v/>
      </c>
      <c r="Q1472" s="8" t="str">
        <f>IF(E1472="","",IFERROR(VLOOKUP(E1472,REGRAS_CST!$A$2:$D$200,4,FALSE),""))</f>
        <v/>
      </c>
      <c r="S1472" s="9">
        <f>IF($H1472="","",$H1472*(1-$U1472))</f>
        <v>8.9999999999999993E-3</v>
      </c>
      <c r="T1472" s="9">
        <f>IF($I1472="","",$I1472*(1-$U1472))</f>
        <v>1E-3</v>
      </c>
      <c r="U1472" s="16">
        <f>IFERROR(INDEX(BASE_CCLASSTRIB!$E:$E, MATCH(TEXT($D1472,"000000"), BASE_CCLASSTRIB!$A:$A, 0))/100, 0)</f>
        <v>0</v>
      </c>
      <c r="V1472" s="16">
        <f>IFERROR(INDEX(BASE_CCLASSTRIB!$F:$F, MATCH(TEXT($D1472,"000000"), BASE_CCLASSTRIB!$A:$A, 0))/100, 0)</f>
        <v>0</v>
      </c>
    </row>
    <row r="1473" spans="4:22" ht="32.25" customHeight="1">
      <c r="D1473" s="39"/>
      <c r="E1473" s="27" t="str">
        <f>IF(D1473="","",LEFT(D1473,3))</f>
        <v/>
      </c>
      <c r="F1473" s="28" t="str">
        <f>IF(E1473="","",IFERROR(VLOOKUP(E1473,REGRAS_CST!$A$2:$B$200,2,FALSE),""))</f>
        <v/>
      </c>
      <c r="H1473" s="29">
        <v>8.9999999999999993E-3</v>
      </c>
      <c r="I1473" s="29">
        <v>1E-3</v>
      </c>
      <c r="K1473" s="21" t="str">
        <f>IF(E1473="","",IFERROR(VLOOKUP(E1473,REGRAS_CST!$A$2:$C$200,3,FALSE),""))</f>
        <v/>
      </c>
      <c r="L1473" s="23" t="str">
        <f>IF($G1473="", "", $G1473*(1-$V1473))</f>
        <v/>
      </c>
      <c r="M1473" s="24" t="str">
        <f>IF(OR($L1473="",$S1473=""),"",$L1473*$S1473)</f>
        <v/>
      </c>
      <c r="N1473" s="24" t="str">
        <f>IF(OR($L1473="",$T1473=""),"",$L1473*$T1473)</f>
        <v/>
      </c>
      <c r="O1473" s="15" t="str">
        <f>IF(D1473="","",
IF(AND(K1473&lt;&gt;"SIM",V1473&gt;0),"ERRO: % BC &gt; 0, mas NÃO permitida ❌",
IF(AND(K1473="SIM",V1473=0),"ATENÇÃO: BC permitida, mas % = 0 🔎",
"Base de cálculo aplicada corretamente ✅")))</f>
        <v/>
      </c>
      <c r="P1473" s="31" t="str">
        <f>IF(D1473="","",
IF(AND(Q1473&lt;&gt;"SIM",U1473&gt;0),"ERRO: % alíquota &gt; 0, mas NÃO permitida ❌",
IF(AND(Q1473="SIM",U1473=0),"ATENÇÃO: alíquota permitida, mas % = 0 🔎",
"Alíquota aplicada corretamente ✅")))</f>
        <v/>
      </c>
      <c r="Q1473" s="8" t="str">
        <f>IF(E1473="","",IFERROR(VLOOKUP(E1473,REGRAS_CST!$A$2:$D$200,4,FALSE),""))</f>
        <v/>
      </c>
      <c r="S1473" s="9">
        <f>IF($H1473="","",$H1473*(1-$U1473))</f>
        <v>8.9999999999999993E-3</v>
      </c>
      <c r="T1473" s="9">
        <f>IF($I1473="","",$I1473*(1-$U1473))</f>
        <v>1E-3</v>
      </c>
      <c r="U1473" s="16">
        <f>IFERROR(INDEX(BASE_CCLASSTRIB!$E:$E, MATCH(TEXT($D1473,"000000"), BASE_CCLASSTRIB!$A:$A, 0))/100, 0)</f>
        <v>0</v>
      </c>
      <c r="V1473" s="16">
        <f>IFERROR(INDEX(BASE_CCLASSTRIB!$F:$F, MATCH(TEXT($D1473,"000000"), BASE_CCLASSTRIB!$A:$A, 0))/100, 0)</f>
        <v>0</v>
      </c>
    </row>
    <row r="1474" spans="4:22" ht="32.25" customHeight="1">
      <c r="D1474" s="39"/>
      <c r="E1474" s="27" t="str">
        <f>IF(D1474="","",LEFT(D1474,3))</f>
        <v/>
      </c>
      <c r="F1474" s="28" t="str">
        <f>IF(E1474="","",IFERROR(VLOOKUP(E1474,REGRAS_CST!$A$2:$B$200,2,FALSE),""))</f>
        <v/>
      </c>
      <c r="H1474" s="29">
        <v>8.9999999999999993E-3</v>
      </c>
      <c r="I1474" s="29">
        <v>1E-3</v>
      </c>
      <c r="K1474" s="21" t="str">
        <f>IF(E1474="","",IFERROR(VLOOKUP(E1474,REGRAS_CST!$A$2:$C$200,3,FALSE),""))</f>
        <v/>
      </c>
      <c r="L1474" s="23" t="str">
        <f>IF($G1474="", "", $G1474*(1-$V1474))</f>
        <v/>
      </c>
      <c r="M1474" s="24" t="str">
        <f>IF(OR($L1474="",$S1474=""),"",$L1474*$S1474)</f>
        <v/>
      </c>
      <c r="N1474" s="24" t="str">
        <f>IF(OR($L1474="",$T1474=""),"",$L1474*$T1474)</f>
        <v/>
      </c>
      <c r="O1474" s="15" t="str">
        <f>IF(D1474="","",
IF(AND(K1474&lt;&gt;"SIM",V1474&gt;0),"ERRO: % BC &gt; 0, mas NÃO permitida ❌",
IF(AND(K1474="SIM",V1474=0),"ATENÇÃO: BC permitida, mas % = 0 🔎",
"Base de cálculo aplicada corretamente ✅")))</f>
        <v/>
      </c>
      <c r="P1474" s="31" t="str">
        <f>IF(D1474="","",
IF(AND(Q1474&lt;&gt;"SIM",U1474&gt;0),"ERRO: % alíquota &gt; 0, mas NÃO permitida ❌",
IF(AND(Q1474="SIM",U1474=0),"ATENÇÃO: alíquota permitida, mas % = 0 🔎",
"Alíquota aplicada corretamente ✅")))</f>
        <v/>
      </c>
      <c r="Q1474" s="8" t="str">
        <f>IF(E1474="","",IFERROR(VLOOKUP(E1474,REGRAS_CST!$A$2:$D$200,4,FALSE),""))</f>
        <v/>
      </c>
      <c r="S1474" s="9">
        <f>IF($H1474="","",$H1474*(1-$U1474))</f>
        <v>8.9999999999999993E-3</v>
      </c>
      <c r="T1474" s="9">
        <f>IF($I1474="","",$I1474*(1-$U1474))</f>
        <v>1E-3</v>
      </c>
      <c r="U1474" s="16">
        <f>IFERROR(INDEX(BASE_CCLASSTRIB!$E:$E, MATCH(TEXT($D1474,"000000"), BASE_CCLASSTRIB!$A:$A, 0))/100, 0)</f>
        <v>0</v>
      </c>
      <c r="V1474" s="16">
        <f>IFERROR(INDEX(BASE_CCLASSTRIB!$F:$F, MATCH(TEXT($D1474,"000000"), BASE_CCLASSTRIB!$A:$A, 0))/100, 0)</f>
        <v>0</v>
      </c>
    </row>
    <row r="1475" spans="4:22" ht="32.25" customHeight="1">
      <c r="D1475" s="40"/>
      <c r="E1475" s="27" t="str">
        <f>IF(D1475="","",LEFT(D1475,3))</f>
        <v/>
      </c>
      <c r="F1475" s="28" t="str">
        <f>IF(E1475="","",IFERROR(VLOOKUP(E1475,REGRAS_CST!$A$2:$B$200,2,FALSE),""))</f>
        <v/>
      </c>
      <c r="H1475" s="29">
        <v>8.9999999999999993E-3</v>
      </c>
      <c r="I1475" s="29">
        <v>1E-3</v>
      </c>
      <c r="K1475" s="21" t="str">
        <f>IF(E1475="","",IFERROR(VLOOKUP(E1475,REGRAS_CST!$A$2:$C$200,3,FALSE),""))</f>
        <v/>
      </c>
      <c r="L1475" s="23" t="str">
        <f>IF($G1475="", "", $G1475*(1-$V1475))</f>
        <v/>
      </c>
      <c r="M1475" s="24" t="str">
        <f>IF(OR($L1475="",$S1475=""),"",$L1475*$S1475)</f>
        <v/>
      </c>
      <c r="N1475" s="24" t="str">
        <f>IF(OR($L1475="",$T1475=""),"",$L1475*$T1475)</f>
        <v/>
      </c>
      <c r="O1475" s="15" t="str">
        <f>IF(D1475="","",
IF(AND(K1475&lt;&gt;"SIM",V1475&gt;0),"ERRO: % BC &gt; 0, mas NÃO permitida ❌",
IF(AND(K1475="SIM",V1475=0),"ATENÇÃO: BC permitida, mas % = 0 🔎",
"Base de cálculo aplicada corretamente ✅")))</f>
        <v/>
      </c>
      <c r="P1475" s="31" t="str">
        <f>IF(D1475="","",
IF(AND(Q1475&lt;&gt;"SIM",U1475&gt;0),"ERRO: % alíquota &gt; 0, mas NÃO permitida ❌",
IF(AND(Q1475="SIM",U1475=0),"ATENÇÃO: alíquota permitida, mas % = 0 🔎",
"Alíquota aplicada corretamente ✅")))</f>
        <v/>
      </c>
      <c r="Q1475" s="8" t="str">
        <f>IF(E1475="","",IFERROR(VLOOKUP(E1475,REGRAS_CST!$A$2:$D$200,4,FALSE),""))</f>
        <v/>
      </c>
      <c r="S1475" s="9">
        <f>IF($H1475="","",$H1475*(1-$U1475))</f>
        <v>8.9999999999999993E-3</v>
      </c>
      <c r="T1475" s="9">
        <f>IF($I1475="","",$I1475*(1-$U1475))</f>
        <v>1E-3</v>
      </c>
      <c r="U1475" s="16">
        <f>IFERROR(INDEX(BASE_CCLASSTRIB!$E:$E, MATCH(TEXT($D1475,"000000"), BASE_CCLASSTRIB!$A:$A, 0))/100, 0)</f>
        <v>0</v>
      </c>
      <c r="V1475" s="16">
        <f>IFERROR(INDEX(BASE_CCLASSTRIB!$F:$F, MATCH(TEXT($D1475,"000000"), BASE_CCLASSTRIB!$A:$A, 0))/100, 0)</f>
        <v>0</v>
      </c>
    </row>
    <row r="1476" spans="4:22" ht="32.25" customHeight="1">
      <c r="D1476" s="39"/>
      <c r="E1476" s="27" t="str">
        <f>IF(D1476="","",LEFT(D1476,3))</f>
        <v/>
      </c>
      <c r="F1476" s="28" t="str">
        <f>IF(E1476="","",IFERROR(VLOOKUP(E1476,REGRAS_CST!$A$2:$B$200,2,FALSE),""))</f>
        <v/>
      </c>
      <c r="H1476" s="29">
        <v>8.9999999999999993E-3</v>
      </c>
      <c r="I1476" s="29">
        <v>1E-3</v>
      </c>
      <c r="K1476" s="21" t="str">
        <f>IF(E1476="","",IFERROR(VLOOKUP(E1476,REGRAS_CST!$A$2:$C$200,3,FALSE),""))</f>
        <v/>
      </c>
      <c r="L1476" s="23" t="str">
        <f>IF($G1476="", "", $G1476*(1-$V1476))</f>
        <v/>
      </c>
      <c r="M1476" s="24" t="str">
        <f>IF(OR($L1476="",$S1476=""),"",$L1476*$S1476)</f>
        <v/>
      </c>
      <c r="N1476" s="24" t="str">
        <f>IF(OR($L1476="",$T1476=""),"",$L1476*$T1476)</f>
        <v/>
      </c>
      <c r="O1476" s="15" t="str">
        <f>IF(D1476="","",
IF(AND(K1476&lt;&gt;"SIM",V1476&gt;0),"ERRO: % BC &gt; 0, mas NÃO permitida ❌",
IF(AND(K1476="SIM",V1476=0),"ATENÇÃO: BC permitida, mas % = 0 🔎",
"Base de cálculo aplicada corretamente ✅")))</f>
        <v/>
      </c>
      <c r="P1476" s="31" t="str">
        <f>IF(D1476="","",
IF(AND(Q1476&lt;&gt;"SIM",U1476&gt;0),"ERRO: % alíquota &gt; 0, mas NÃO permitida ❌",
IF(AND(Q1476="SIM",U1476=0),"ATENÇÃO: alíquota permitida, mas % = 0 🔎",
"Alíquota aplicada corretamente ✅")))</f>
        <v/>
      </c>
      <c r="Q1476" s="8" t="str">
        <f>IF(E1476="","",IFERROR(VLOOKUP(E1476,REGRAS_CST!$A$2:$D$200,4,FALSE),""))</f>
        <v/>
      </c>
      <c r="S1476" s="9">
        <f>IF($H1476="","",$H1476*(1-$U1476))</f>
        <v>8.9999999999999993E-3</v>
      </c>
      <c r="T1476" s="9">
        <f>IF($I1476="","",$I1476*(1-$U1476))</f>
        <v>1E-3</v>
      </c>
      <c r="U1476" s="16">
        <f>IFERROR(INDEX(BASE_CCLASSTRIB!$E:$E, MATCH(TEXT($D1476,"000000"), BASE_CCLASSTRIB!$A:$A, 0))/100, 0)</f>
        <v>0</v>
      </c>
      <c r="V1476" s="16">
        <f>IFERROR(INDEX(BASE_CCLASSTRIB!$F:$F, MATCH(TEXT($D1476,"000000"), BASE_CCLASSTRIB!$A:$A, 0))/100, 0)</f>
        <v>0</v>
      </c>
    </row>
    <row r="1477" spans="4:22" ht="32.25" customHeight="1">
      <c r="D1477" s="39"/>
      <c r="E1477" s="27" t="str">
        <f>IF(D1477="","",LEFT(D1477,3))</f>
        <v/>
      </c>
      <c r="F1477" s="28" t="str">
        <f>IF(E1477="","",IFERROR(VLOOKUP(E1477,REGRAS_CST!$A$2:$B$200,2,FALSE),""))</f>
        <v/>
      </c>
      <c r="H1477" s="29">
        <v>8.9999999999999993E-3</v>
      </c>
      <c r="I1477" s="29">
        <v>1E-3</v>
      </c>
      <c r="K1477" s="21" t="str">
        <f>IF(E1477="","",IFERROR(VLOOKUP(E1477,REGRAS_CST!$A$2:$C$200,3,FALSE),""))</f>
        <v/>
      </c>
      <c r="L1477" s="23" t="str">
        <f>IF($G1477="", "", $G1477*(1-$V1477))</f>
        <v/>
      </c>
      <c r="M1477" s="24" t="str">
        <f>IF(OR($L1477="",$S1477=""),"",$L1477*$S1477)</f>
        <v/>
      </c>
      <c r="N1477" s="24" t="str">
        <f>IF(OR($L1477="",$T1477=""),"",$L1477*$T1477)</f>
        <v/>
      </c>
      <c r="O1477" s="15" t="str">
        <f>IF(D1477="","",
IF(AND(K1477&lt;&gt;"SIM",V1477&gt;0),"ERRO: % BC &gt; 0, mas NÃO permitida ❌",
IF(AND(K1477="SIM",V1477=0),"ATENÇÃO: BC permitida, mas % = 0 🔎",
"Base de cálculo aplicada corretamente ✅")))</f>
        <v/>
      </c>
      <c r="P1477" s="31" t="str">
        <f>IF(D1477="","",
IF(AND(Q1477&lt;&gt;"SIM",U1477&gt;0),"ERRO: % alíquota &gt; 0, mas NÃO permitida ❌",
IF(AND(Q1477="SIM",U1477=0),"ATENÇÃO: alíquota permitida, mas % = 0 🔎",
"Alíquota aplicada corretamente ✅")))</f>
        <v/>
      </c>
      <c r="Q1477" s="8" t="str">
        <f>IF(E1477="","",IFERROR(VLOOKUP(E1477,REGRAS_CST!$A$2:$D$200,4,FALSE),""))</f>
        <v/>
      </c>
      <c r="S1477" s="9">
        <f>IF($H1477="","",$H1477*(1-$U1477))</f>
        <v>8.9999999999999993E-3</v>
      </c>
      <c r="T1477" s="9">
        <f>IF($I1477="","",$I1477*(1-$U1477))</f>
        <v>1E-3</v>
      </c>
      <c r="U1477" s="16">
        <f>IFERROR(INDEX(BASE_CCLASSTRIB!$E:$E, MATCH(TEXT($D1477,"000000"), BASE_CCLASSTRIB!$A:$A, 0))/100, 0)</f>
        <v>0</v>
      </c>
      <c r="V1477" s="16">
        <f>IFERROR(INDEX(BASE_CCLASSTRIB!$F:$F, MATCH(TEXT($D1477,"000000"), BASE_CCLASSTRIB!$A:$A, 0))/100, 0)</f>
        <v>0</v>
      </c>
    </row>
    <row r="1478" spans="4:22" ht="32.25" customHeight="1">
      <c r="D1478" s="39"/>
      <c r="E1478" s="27" t="str">
        <f>IF(D1478="","",LEFT(D1478,3))</f>
        <v/>
      </c>
      <c r="F1478" s="28" t="str">
        <f>IF(E1478="","",IFERROR(VLOOKUP(E1478,REGRAS_CST!$A$2:$B$200,2,FALSE),""))</f>
        <v/>
      </c>
      <c r="H1478" s="29">
        <v>8.9999999999999993E-3</v>
      </c>
      <c r="I1478" s="29">
        <v>1E-3</v>
      </c>
      <c r="K1478" s="21" t="str">
        <f>IF(E1478="","",IFERROR(VLOOKUP(E1478,REGRAS_CST!$A$2:$C$200,3,FALSE),""))</f>
        <v/>
      </c>
      <c r="L1478" s="23" t="str">
        <f>IF($G1478="", "", $G1478*(1-$V1478))</f>
        <v/>
      </c>
      <c r="M1478" s="24" t="str">
        <f>IF(OR($L1478="",$S1478=""),"",$L1478*$S1478)</f>
        <v/>
      </c>
      <c r="N1478" s="24" t="str">
        <f>IF(OR($L1478="",$T1478=""),"",$L1478*$T1478)</f>
        <v/>
      </c>
      <c r="O1478" s="15" t="str">
        <f>IF(D1478="","",
IF(AND(K1478&lt;&gt;"SIM",V1478&gt;0),"ERRO: % BC &gt; 0, mas NÃO permitida ❌",
IF(AND(K1478="SIM",V1478=0),"ATENÇÃO: BC permitida, mas % = 0 🔎",
"Base de cálculo aplicada corretamente ✅")))</f>
        <v/>
      </c>
      <c r="P1478" s="31" t="str">
        <f>IF(D1478="","",
IF(AND(Q1478&lt;&gt;"SIM",U1478&gt;0),"ERRO: % alíquota &gt; 0, mas NÃO permitida ❌",
IF(AND(Q1478="SIM",U1478=0),"ATENÇÃO: alíquota permitida, mas % = 0 🔎",
"Alíquota aplicada corretamente ✅")))</f>
        <v/>
      </c>
      <c r="Q1478" s="8" t="str">
        <f>IF(E1478="","",IFERROR(VLOOKUP(E1478,REGRAS_CST!$A$2:$D$200,4,FALSE),""))</f>
        <v/>
      </c>
      <c r="S1478" s="9">
        <f>IF($H1478="","",$H1478*(1-$U1478))</f>
        <v>8.9999999999999993E-3</v>
      </c>
      <c r="T1478" s="9">
        <f>IF($I1478="","",$I1478*(1-$U1478))</f>
        <v>1E-3</v>
      </c>
      <c r="U1478" s="16">
        <f>IFERROR(INDEX(BASE_CCLASSTRIB!$E:$E, MATCH(TEXT($D1478,"000000"), BASE_CCLASSTRIB!$A:$A, 0))/100, 0)</f>
        <v>0</v>
      </c>
      <c r="V1478" s="16">
        <f>IFERROR(INDEX(BASE_CCLASSTRIB!$F:$F, MATCH(TEXT($D1478,"000000"), BASE_CCLASSTRIB!$A:$A, 0))/100, 0)</f>
        <v>0</v>
      </c>
    </row>
    <row r="1479" spans="4:22" ht="32.25" customHeight="1">
      <c r="D1479" s="40"/>
      <c r="E1479" s="27" t="str">
        <f>IF(D1479="","",LEFT(D1479,3))</f>
        <v/>
      </c>
      <c r="F1479" s="28" t="str">
        <f>IF(E1479="","",IFERROR(VLOOKUP(E1479,REGRAS_CST!$A$2:$B$200,2,FALSE),""))</f>
        <v/>
      </c>
      <c r="H1479" s="29">
        <v>8.9999999999999993E-3</v>
      </c>
      <c r="I1479" s="29">
        <v>1E-3</v>
      </c>
      <c r="K1479" s="21" t="str">
        <f>IF(E1479="","",IFERROR(VLOOKUP(E1479,REGRAS_CST!$A$2:$C$200,3,FALSE),""))</f>
        <v/>
      </c>
      <c r="L1479" s="23" t="str">
        <f>IF($G1479="", "", $G1479*(1-$V1479))</f>
        <v/>
      </c>
      <c r="M1479" s="24" t="str">
        <f>IF(OR($L1479="",$S1479=""),"",$L1479*$S1479)</f>
        <v/>
      </c>
      <c r="N1479" s="24" t="str">
        <f>IF(OR($L1479="",$T1479=""),"",$L1479*$T1479)</f>
        <v/>
      </c>
      <c r="O1479" s="15" t="str">
        <f>IF(D1479="","",
IF(AND(K1479&lt;&gt;"SIM",V1479&gt;0),"ERRO: % BC &gt; 0, mas NÃO permitida ❌",
IF(AND(K1479="SIM",V1479=0),"ATENÇÃO: BC permitida, mas % = 0 🔎",
"Base de cálculo aplicada corretamente ✅")))</f>
        <v/>
      </c>
      <c r="P1479" s="31" t="str">
        <f>IF(D1479="","",
IF(AND(Q1479&lt;&gt;"SIM",U1479&gt;0),"ERRO: % alíquota &gt; 0, mas NÃO permitida ❌",
IF(AND(Q1479="SIM",U1479=0),"ATENÇÃO: alíquota permitida, mas % = 0 🔎",
"Alíquota aplicada corretamente ✅")))</f>
        <v/>
      </c>
      <c r="Q1479" s="8" t="str">
        <f>IF(E1479="","",IFERROR(VLOOKUP(E1479,REGRAS_CST!$A$2:$D$200,4,FALSE),""))</f>
        <v/>
      </c>
      <c r="S1479" s="9">
        <f>IF($H1479="","",$H1479*(1-$U1479))</f>
        <v>8.9999999999999993E-3</v>
      </c>
      <c r="T1479" s="9">
        <f>IF($I1479="","",$I1479*(1-$U1479))</f>
        <v>1E-3</v>
      </c>
      <c r="U1479" s="16">
        <f>IFERROR(INDEX(BASE_CCLASSTRIB!$E:$E, MATCH(TEXT($D1479,"000000"), BASE_CCLASSTRIB!$A:$A, 0))/100, 0)</f>
        <v>0</v>
      </c>
      <c r="V1479" s="16">
        <f>IFERROR(INDEX(BASE_CCLASSTRIB!$F:$F, MATCH(TEXT($D1479,"000000"), BASE_CCLASSTRIB!$A:$A, 0))/100, 0)</f>
        <v>0</v>
      </c>
    </row>
    <row r="1480" spans="4:22" ht="32.25" customHeight="1">
      <c r="D1480" s="39"/>
      <c r="E1480" s="27" t="str">
        <f>IF(D1480="","",LEFT(D1480,3))</f>
        <v/>
      </c>
      <c r="F1480" s="28" t="str">
        <f>IF(E1480="","",IFERROR(VLOOKUP(E1480,REGRAS_CST!$A$2:$B$200,2,FALSE),""))</f>
        <v/>
      </c>
      <c r="H1480" s="29">
        <v>8.9999999999999993E-3</v>
      </c>
      <c r="I1480" s="29">
        <v>1E-3</v>
      </c>
      <c r="K1480" s="21" t="str">
        <f>IF(E1480="","",IFERROR(VLOOKUP(E1480,REGRAS_CST!$A$2:$C$200,3,FALSE),""))</f>
        <v/>
      </c>
      <c r="L1480" s="23" t="str">
        <f>IF($G1480="", "", $G1480*(1-$V1480))</f>
        <v/>
      </c>
      <c r="M1480" s="24" t="str">
        <f>IF(OR($L1480="",$S1480=""),"",$L1480*$S1480)</f>
        <v/>
      </c>
      <c r="N1480" s="24" t="str">
        <f>IF(OR($L1480="",$T1480=""),"",$L1480*$T1480)</f>
        <v/>
      </c>
      <c r="O1480" s="15" t="str">
        <f>IF(D1480="","",
IF(AND(K1480&lt;&gt;"SIM",V1480&gt;0),"ERRO: % BC &gt; 0, mas NÃO permitida ❌",
IF(AND(K1480="SIM",V1480=0),"ATENÇÃO: BC permitida, mas % = 0 🔎",
"Base de cálculo aplicada corretamente ✅")))</f>
        <v/>
      </c>
      <c r="P1480" s="31" t="str">
        <f>IF(D1480="","",
IF(AND(Q1480&lt;&gt;"SIM",U1480&gt;0),"ERRO: % alíquota &gt; 0, mas NÃO permitida ❌",
IF(AND(Q1480="SIM",U1480=0),"ATENÇÃO: alíquota permitida, mas % = 0 🔎",
"Alíquota aplicada corretamente ✅")))</f>
        <v/>
      </c>
      <c r="Q1480" s="8" t="str">
        <f>IF(E1480="","",IFERROR(VLOOKUP(E1480,REGRAS_CST!$A$2:$D$200,4,FALSE),""))</f>
        <v/>
      </c>
      <c r="S1480" s="9">
        <f>IF($H1480="","",$H1480*(1-$U1480))</f>
        <v>8.9999999999999993E-3</v>
      </c>
      <c r="T1480" s="9">
        <f>IF($I1480="","",$I1480*(1-$U1480))</f>
        <v>1E-3</v>
      </c>
      <c r="U1480" s="16">
        <f>IFERROR(INDEX(BASE_CCLASSTRIB!$E:$E, MATCH(TEXT($D1480,"000000"), BASE_CCLASSTRIB!$A:$A, 0))/100, 0)</f>
        <v>0</v>
      </c>
      <c r="V1480" s="16">
        <f>IFERROR(INDEX(BASE_CCLASSTRIB!$F:$F, MATCH(TEXT($D1480,"000000"), BASE_CCLASSTRIB!$A:$A, 0))/100, 0)</f>
        <v>0</v>
      </c>
    </row>
    <row r="1481" spans="4:22" ht="32.25" customHeight="1">
      <c r="D1481" s="39"/>
      <c r="E1481" s="27" t="str">
        <f>IF(D1481="","",LEFT(D1481,3))</f>
        <v/>
      </c>
      <c r="F1481" s="28" t="str">
        <f>IF(E1481="","",IFERROR(VLOOKUP(E1481,REGRAS_CST!$A$2:$B$200,2,FALSE),""))</f>
        <v/>
      </c>
      <c r="H1481" s="29">
        <v>8.9999999999999993E-3</v>
      </c>
      <c r="I1481" s="29">
        <v>1E-3</v>
      </c>
      <c r="K1481" s="21" t="str">
        <f>IF(E1481="","",IFERROR(VLOOKUP(E1481,REGRAS_CST!$A$2:$C$200,3,FALSE),""))</f>
        <v/>
      </c>
      <c r="L1481" s="23" t="str">
        <f>IF($G1481="", "", $G1481*(1-$V1481))</f>
        <v/>
      </c>
      <c r="M1481" s="24" t="str">
        <f>IF(OR($L1481="",$S1481=""),"",$L1481*$S1481)</f>
        <v/>
      </c>
      <c r="N1481" s="24" t="str">
        <f>IF(OR($L1481="",$T1481=""),"",$L1481*$T1481)</f>
        <v/>
      </c>
      <c r="O1481" s="15" t="str">
        <f>IF(D1481="","",
IF(AND(K1481&lt;&gt;"SIM",V1481&gt;0),"ERRO: % BC &gt; 0, mas NÃO permitida ❌",
IF(AND(K1481="SIM",V1481=0),"ATENÇÃO: BC permitida, mas % = 0 🔎",
"Base de cálculo aplicada corretamente ✅")))</f>
        <v/>
      </c>
      <c r="P1481" s="31" t="str">
        <f>IF(D1481="","",
IF(AND(Q1481&lt;&gt;"SIM",U1481&gt;0),"ERRO: % alíquota &gt; 0, mas NÃO permitida ❌",
IF(AND(Q1481="SIM",U1481=0),"ATENÇÃO: alíquota permitida, mas % = 0 🔎",
"Alíquota aplicada corretamente ✅")))</f>
        <v/>
      </c>
      <c r="Q1481" s="8" t="str">
        <f>IF(E1481="","",IFERROR(VLOOKUP(E1481,REGRAS_CST!$A$2:$D$200,4,FALSE),""))</f>
        <v/>
      </c>
      <c r="S1481" s="9">
        <f>IF($H1481="","",$H1481*(1-$U1481))</f>
        <v>8.9999999999999993E-3</v>
      </c>
      <c r="T1481" s="9">
        <f>IF($I1481="","",$I1481*(1-$U1481))</f>
        <v>1E-3</v>
      </c>
      <c r="U1481" s="16">
        <f>IFERROR(INDEX(BASE_CCLASSTRIB!$E:$E, MATCH(TEXT($D1481,"000000"), BASE_CCLASSTRIB!$A:$A, 0))/100, 0)</f>
        <v>0</v>
      </c>
      <c r="V1481" s="16">
        <f>IFERROR(INDEX(BASE_CCLASSTRIB!$F:$F, MATCH(TEXT($D1481,"000000"), BASE_CCLASSTRIB!$A:$A, 0))/100, 0)</f>
        <v>0</v>
      </c>
    </row>
    <row r="1482" spans="4:22" ht="32.25" customHeight="1">
      <c r="D1482" s="39"/>
      <c r="E1482" s="27" t="str">
        <f>IF(D1482="","",LEFT(D1482,3))</f>
        <v/>
      </c>
      <c r="F1482" s="28" t="str">
        <f>IF(E1482="","",IFERROR(VLOOKUP(E1482,REGRAS_CST!$A$2:$B$200,2,FALSE),""))</f>
        <v/>
      </c>
      <c r="H1482" s="29">
        <v>8.9999999999999993E-3</v>
      </c>
      <c r="I1482" s="29">
        <v>1E-3</v>
      </c>
      <c r="K1482" s="21" t="str">
        <f>IF(E1482="","",IFERROR(VLOOKUP(E1482,REGRAS_CST!$A$2:$C$200,3,FALSE),""))</f>
        <v/>
      </c>
      <c r="L1482" s="23" t="str">
        <f>IF($G1482="", "", $G1482*(1-$V1482))</f>
        <v/>
      </c>
      <c r="M1482" s="24" t="str">
        <f>IF(OR($L1482="",$S1482=""),"",$L1482*$S1482)</f>
        <v/>
      </c>
      <c r="N1482" s="24" t="str">
        <f>IF(OR($L1482="",$T1482=""),"",$L1482*$T1482)</f>
        <v/>
      </c>
      <c r="O1482" s="15" t="str">
        <f>IF(D1482="","",
IF(AND(K1482&lt;&gt;"SIM",V1482&gt;0),"ERRO: % BC &gt; 0, mas NÃO permitida ❌",
IF(AND(K1482="SIM",V1482=0),"ATENÇÃO: BC permitida, mas % = 0 🔎",
"Base de cálculo aplicada corretamente ✅")))</f>
        <v/>
      </c>
      <c r="P1482" s="31" t="str">
        <f>IF(D1482="","",
IF(AND(Q1482&lt;&gt;"SIM",U1482&gt;0),"ERRO: % alíquota &gt; 0, mas NÃO permitida ❌",
IF(AND(Q1482="SIM",U1482=0),"ATENÇÃO: alíquota permitida, mas % = 0 🔎",
"Alíquota aplicada corretamente ✅")))</f>
        <v/>
      </c>
      <c r="Q1482" s="8" t="str">
        <f>IF(E1482="","",IFERROR(VLOOKUP(E1482,REGRAS_CST!$A$2:$D$200,4,FALSE),""))</f>
        <v/>
      </c>
      <c r="S1482" s="9">
        <f>IF($H1482="","",$H1482*(1-$U1482))</f>
        <v>8.9999999999999993E-3</v>
      </c>
      <c r="T1482" s="9">
        <f>IF($I1482="","",$I1482*(1-$U1482))</f>
        <v>1E-3</v>
      </c>
      <c r="U1482" s="16">
        <f>IFERROR(INDEX(BASE_CCLASSTRIB!$E:$E, MATCH(TEXT($D1482,"000000"), BASE_CCLASSTRIB!$A:$A, 0))/100, 0)</f>
        <v>0</v>
      </c>
      <c r="V1482" s="16">
        <f>IFERROR(INDEX(BASE_CCLASSTRIB!$F:$F, MATCH(TEXT($D1482,"000000"), BASE_CCLASSTRIB!$A:$A, 0))/100, 0)</f>
        <v>0</v>
      </c>
    </row>
    <row r="1483" spans="4:22" ht="32.25" customHeight="1">
      <c r="D1483" s="40"/>
      <c r="E1483" s="27" t="str">
        <f>IF(D1483="","",LEFT(D1483,3))</f>
        <v/>
      </c>
      <c r="F1483" s="28" t="str">
        <f>IF(E1483="","",IFERROR(VLOOKUP(E1483,REGRAS_CST!$A$2:$B$200,2,FALSE),""))</f>
        <v/>
      </c>
      <c r="H1483" s="29">
        <v>8.9999999999999993E-3</v>
      </c>
      <c r="I1483" s="29">
        <v>1E-3</v>
      </c>
      <c r="K1483" s="21" t="str">
        <f>IF(E1483="","",IFERROR(VLOOKUP(E1483,REGRAS_CST!$A$2:$C$200,3,FALSE),""))</f>
        <v/>
      </c>
      <c r="L1483" s="23" t="str">
        <f>IF($G1483="", "", $G1483*(1-$V1483))</f>
        <v/>
      </c>
      <c r="M1483" s="24" t="str">
        <f>IF(OR($L1483="",$S1483=""),"",$L1483*$S1483)</f>
        <v/>
      </c>
      <c r="N1483" s="24" t="str">
        <f>IF(OR($L1483="",$T1483=""),"",$L1483*$T1483)</f>
        <v/>
      </c>
      <c r="O1483" s="15" t="str">
        <f>IF(D1483="","",
IF(AND(K1483&lt;&gt;"SIM",V1483&gt;0),"ERRO: % BC &gt; 0, mas NÃO permitida ❌",
IF(AND(K1483="SIM",V1483=0),"ATENÇÃO: BC permitida, mas % = 0 🔎",
"Base de cálculo aplicada corretamente ✅")))</f>
        <v/>
      </c>
      <c r="P1483" s="31" t="str">
        <f>IF(D1483="","",
IF(AND(Q1483&lt;&gt;"SIM",U1483&gt;0),"ERRO: % alíquota &gt; 0, mas NÃO permitida ❌",
IF(AND(Q1483="SIM",U1483=0),"ATENÇÃO: alíquota permitida, mas % = 0 🔎",
"Alíquota aplicada corretamente ✅")))</f>
        <v/>
      </c>
      <c r="Q1483" s="8" t="str">
        <f>IF(E1483="","",IFERROR(VLOOKUP(E1483,REGRAS_CST!$A$2:$D$200,4,FALSE),""))</f>
        <v/>
      </c>
      <c r="S1483" s="9">
        <f>IF($H1483="","",$H1483*(1-$U1483))</f>
        <v>8.9999999999999993E-3</v>
      </c>
      <c r="T1483" s="9">
        <f>IF($I1483="","",$I1483*(1-$U1483))</f>
        <v>1E-3</v>
      </c>
      <c r="U1483" s="16">
        <f>IFERROR(INDEX(BASE_CCLASSTRIB!$E:$E, MATCH(TEXT($D1483,"000000"), BASE_CCLASSTRIB!$A:$A, 0))/100, 0)</f>
        <v>0</v>
      </c>
      <c r="V1483" s="16">
        <f>IFERROR(INDEX(BASE_CCLASSTRIB!$F:$F, MATCH(TEXT($D1483,"000000"), BASE_CCLASSTRIB!$A:$A, 0))/100, 0)</f>
        <v>0</v>
      </c>
    </row>
    <row r="1484" spans="4:22" ht="32.25" customHeight="1">
      <c r="D1484" s="39"/>
      <c r="E1484" s="27" t="str">
        <f>IF(D1484="","",LEFT(D1484,3))</f>
        <v/>
      </c>
      <c r="F1484" s="28" t="str">
        <f>IF(E1484="","",IFERROR(VLOOKUP(E1484,REGRAS_CST!$A$2:$B$200,2,FALSE),""))</f>
        <v/>
      </c>
      <c r="H1484" s="29">
        <v>8.9999999999999993E-3</v>
      </c>
      <c r="I1484" s="29">
        <v>1E-3</v>
      </c>
      <c r="K1484" s="21" t="str">
        <f>IF(E1484="","",IFERROR(VLOOKUP(E1484,REGRAS_CST!$A$2:$C$200,3,FALSE),""))</f>
        <v/>
      </c>
      <c r="L1484" s="23" t="str">
        <f>IF($G1484="", "", $G1484*(1-$V1484))</f>
        <v/>
      </c>
      <c r="M1484" s="24" t="str">
        <f>IF(OR($L1484="",$S1484=""),"",$L1484*$S1484)</f>
        <v/>
      </c>
      <c r="N1484" s="24" t="str">
        <f>IF(OR($L1484="",$T1484=""),"",$L1484*$T1484)</f>
        <v/>
      </c>
      <c r="O1484" s="15" t="str">
        <f>IF(D1484="","",
IF(AND(K1484&lt;&gt;"SIM",V1484&gt;0),"ERRO: % BC &gt; 0, mas NÃO permitida ❌",
IF(AND(K1484="SIM",V1484=0),"ATENÇÃO: BC permitida, mas % = 0 🔎",
"Base de cálculo aplicada corretamente ✅")))</f>
        <v/>
      </c>
      <c r="P1484" s="31" t="str">
        <f>IF(D1484="","",
IF(AND(Q1484&lt;&gt;"SIM",U1484&gt;0),"ERRO: % alíquota &gt; 0, mas NÃO permitida ❌",
IF(AND(Q1484="SIM",U1484=0),"ATENÇÃO: alíquota permitida, mas % = 0 🔎",
"Alíquota aplicada corretamente ✅")))</f>
        <v/>
      </c>
      <c r="Q1484" s="8" t="str">
        <f>IF(E1484="","",IFERROR(VLOOKUP(E1484,REGRAS_CST!$A$2:$D$200,4,FALSE),""))</f>
        <v/>
      </c>
      <c r="S1484" s="9">
        <f>IF($H1484="","",$H1484*(1-$U1484))</f>
        <v>8.9999999999999993E-3</v>
      </c>
      <c r="T1484" s="9">
        <f>IF($I1484="","",$I1484*(1-$U1484))</f>
        <v>1E-3</v>
      </c>
      <c r="U1484" s="16">
        <f>IFERROR(INDEX(BASE_CCLASSTRIB!$E:$E, MATCH(TEXT($D1484,"000000"), BASE_CCLASSTRIB!$A:$A, 0))/100, 0)</f>
        <v>0</v>
      </c>
      <c r="V1484" s="16">
        <f>IFERROR(INDEX(BASE_CCLASSTRIB!$F:$F, MATCH(TEXT($D1484,"000000"), BASE_CCLASSTRIB!$A:$A, 0))/100, 0)</f>
        <v>0</v>
      </c>
    </row>
    <row r="1485" spans="4:22" ht="32.25" customHeight="1">
      <c r="D1485" s="39"/>
      <c r="E1485" s="27" t="str">
        <f>IF(D1485="","",LEFT(D1485,3))</f>
        <v/>
      </c>
      <c r="F1485" s="28" t="str">
        <f>IF(E1485="","",IFERROR(VLOOKUP(E1485,REGRAS_CST!$A$2:$B$200,2,FALSE),""))</f>
        <v/>
      </c>
      <c r="H1485" s="29">
        <v>8.9999999999999993E-3</v>
      </c>
      <c r="I1485" s="29">
        <v>1E-3</v>
      </c>
      <c r="K1485" s="21" t="str">
        <f>IF(E1485="","",IFERROR(VLOOKUP(E1485,REGRAS_CST!$A$2:$C$200,3,FALSE),""))</f>
        <v/>
      </c>
      <c r="L1485" s="23" t="str">
        <f>IF($G1485="", "", $G1485*(1-$V1485))</f>
        <v/>
      </c>
      <c r="M1485" s="24" t="str">
        <f>IF(OR($L1485="",$S1485=""),"",$L1485*$S1485)</f>
        <v/>
      </c>
      <c r="N1485" s="24" t="str">
        <f>IF(OR($L1485="",$T1485=""),"",$L1485*$T1485)</f>
        <v/>
      </c>
      <c r="O1485" s="15" t="str">
        <f>IF(D1485="","",
IF(AND(K1485&lt;&gt;"SIM",V1485&gt;0),"ERRO: % BC &gt; 0, mas NÃO permitida ❌",
IF(AND(K1485="SIM",V1485=0),"ATENÇÃO: BC permitida, mas % = 0 🔎",
"Base de cálculo aplicada corretamente ✅")))</f>
        <v/>
      </c>
      <c r="P1485" s="31" t="str">
        <f>IF(D1485="","",
IF(AND(Q1485&lt;&gt;"SIM",U1485&gt;0),"ERRO: % alíquota &gt; 0, mas NÃO permitida ❌",
IF(AND(Q1485="SIM",U1485=0),"ATENÇÃO: alíquota permitida, mas % = 0 🔎",
"Alíquota aplicada corretamente ✅")))</f>
        <v/>
      </c>
      <c r="Q1485" s="8" t="str">
        <f>IF(E1485="","",IFERROR(VLOOKUP(E1485,REGRAS_CST!$A$2:$D$200,4,FALSE),""))</f>
        <v/>
      </c>
      <c r="S1485" s="9">
        <f>IF($H1485="","",$H1485*(1-$U1485))</f>
        <v>8.9999999999999993E-3</v>
      </c>
      <c r="T1485" s="9">
        <f>IF($I1485="","",$I1485*(1-$U1485))</f>
        <v>1E-3</v>
      </c>
      <c r="U1485" s="16">
        <f>IFERROR(INDEX(BASE_CCLASSTRIB!$E:$E, MATCH(TEXT($D1485,"000000"), BASE_CCLASSTRIB!$A:$A, 0))/100, 0)</f>
        <v>0</v>
      </c>
      <c r="V1485" s="16">
        <f>IFERROR(INDEX(BASE_CCLASSTRIB!$F:$F, MATCH(TEXT($D1485,"000000"), BASE_CCLASSTRIB!$A:$A, 0))/100, 0)</f>
        <v>0</v>
      </c>
    </row>
    <row r="1486" spans="4:22" ht="32.25" customHeight="1">
      <c r="D1486" s="39"/>
      <c r="E1486" s="27" t="str">
        <f>IF(D1486="","",LEFT(D1486,3))</f>
        <v/>
      </c>
      <c r="F1486" s="28" t="str">
        <f>IF(E1486="","",IFERROR(VLOOKUP(E1486,REGRAS_CST!$A$2:$B$200,2,FALSE),""))</f>
        <v/>
      </c>
      <c r="H1486" s="29">
        <v>8.9999999999999993E-3</v>
      </c>
      <c r="I1486" s="29">
        <v>1E-3</v>
      </c>
      <c r="K1486" s="21" t="str">
        <f>IF(E1486="","",IFERROR(VLOOKUP(E1486,REGRAS_CST!$A$2:$C$200,3,FALSE),""))</f>
        <v/>
      </c>
      <c r="L1486" s="23" t="str">
        <f>IF($G1486="", "", $G1486*(1-$V1486))</f>
        <v/>
      </c>
      <c r="M1486" s="24" t="str">
        <f>IF(OR($L1486="",$S1486=""),"",$L1486*$S1486)</f>
        <v/>
      </c>
      <c r="N1486" s="24" t="str">
        <f>IF(OR($L1486="",$T1486=""),"",$L1486*$T1486)</f>
        <v/>
      </c>
      <c r="O1486" s="15" t="str">
        <f>IF(D1486="","",
IF(AND(K1486&lt;&gt;"SIM",V1486&gt;0),"ERRO: % BC &gt; 0, mas NÃO permitida ❌",
IF(AND(K1486="SIM",V1486=0),"ATENÇÃO: BC permitida, mas % = 0 🔎",
"Base de cálculo aplicada corretamente ✅")))</f>
        <v/>
      </c>
      <c r="P1486" s="31" t="str">
        <f>IF(D1486="","",
IF(AND(Q1486&lt;&gt;"SIM",U1486&gt;0),"ERRO: % alíquota &gt; 0, mas NÃO permitida ❌",
IF(AND(Q1486="SIM",U1486=0),"ATENÇÃO: alíquota permitida, mas % = 0 🔎",
"Alíquota aplicada corretamente ✅")))</f>
        <v/>
      </c>
      <c r="Q1486" s="8" t="str">
        <f>IF(E1486="","",IFERROR(VLOOKUP(E1486,REGRAS_CST!$A$2:$D$200,4,FALSE),""))</f>
        <v/>
      </c>
      <c r="S1486" s="9">
        <f>IF($H1486="","",$H1486*(1-$U1486))</f>
        <v>8.9999999999999993E-3</v>
      </c>
      <c r="T1486" s="9">
        <f>IF($I1486="","",$I1486*(1-$U1486))</f>
        <v>1E-3</v>
      </c>
      <c r="U1486" s="16">
        <f>IFERROR(INDEX(BASE_CCLASSTRIB!$E:$E, MATCH(TEXT($D1486,"000000"), BASE_CCLASSTRIB!$A:$A, 0))/100, 0)</f>
        <v>0</v>
      </c>
      <c r="V1486" s="16">
        <f>IFERROR(INDEX(BASE_CCLASSTRIB!$F:$F, MATCH(TEXT($D1486,"000000"), BASE_CCLASSTRIB!$A:$A, 0))/100, 0)</f>
        <v>0</v>
      </c>
    </row>
    <row r="1487" spans="4:22" ht="32.25" customHeight="1">
      <c r="D1487" s="39"/>
      <c r="E1487" s="27" t="str">
        <f>IF(D1487="","",LEFT(D1487,3))</f>
        <v/>
      </c>
      <c r="F1487" s="28" t="str">
        <f>IF(E1487="","",IFERROR(VLOOKUP(E1487,REGRAS_CST!$A$2:$B$200,2,FALSE),""))</f>
        <v/>
      </c>
      <c r="H1487" s="29">
        <v>8.9999999999999993E-3</v>
      </c>
      <c r="I1487" s="29">
        <v>1E-3</v>
      </c>
      <c r="K1487" s="21" t="str">
        <f>IF(E1487="","",IFERROR(VLOOKUP(E1487,REGRAS_CST!$A$2:$C$200,3,FALSE),""))</f>
        <v/>
      </c>
      <c r="L1487" s="23" t="str">
        <f>IF($G1487="", "", $G1487*(1-$V1487))</f>
        <v/>
      </c>
      <c r="M1487" s="24" t="str">
        <f>IF(OR($L1487="",$S1487=""),"",$L1487*$S1487)</f>
        <v/>
      </c>
      <c r="N1487" s="24" t="str">
        <f>IF(OR($L1487="",$T1487=""),"",$L1487*$T1487)</f>
        <v/>
      </c>
      <c r="O1487" s="15" t="str">
        <f>IF(D1487="","",
IF(AND(K1487&lt;&gt;"SIM",V1487&gt;0),"ERRO: % BC &gt; 0, mas NÃO permitida ❌",
IF(AND(K1487="SIM",V1487=0),"ATENÇÃO: BC permitida, mas % = 0 🔎",
"Base de cálculo aplicada corretamente ✅")))</f>
        <v/>
      </c>
      <c r="P1487" s="31" t="str">
        <f>IF(D1487="","",
IF(AND(Q1487&lt;&gt;"SIM",U1487&gt;0),"ERRO: % alíquota &gt; 0, mas NÃO permitida ❌",
IF(AND(Q1487="SIM",U1487=0),"ATENÇÃO: alíquota permitida, mas % = 0 🔎",
"Alíquota aplicada corretamente ✅")))</f>
        <v/>
      </c>
      <c r="Q1487" s="8" t="str">
        <f>IF(E1487="","",IFERROR(VLOOKUP(E1487,REGRAS_CST!$A$2:$D$200,4,FALSE),""))</f>
        <v/>
      </c>
      <c r="S1487" s="9">
        <f>IF($H1487="","",$H1487*(1-$U1487))</f>
        <v>8.9999999999999993E-3</v>
      </c>
      <c r="T1487" s="9">
        <f>IF($I1487="","",$I1487*(1-$U1487))</f>
        <v>1E-3</v>
      </c>
      <c r="U1487" s="16">
        <f>IFERROR(INDEX(BASE_CCLASSTRIB!$E:$E, MATCH(TEXT($D1487,"000000"), BASE_CCLASSTRIB!$A:$A, 0))/100, 0)</f>
        <v>0</v>
      </c>
      <c r="V1487" s="16">
        <f>IFERROR(INDEX(BASE_CCLASSTRIB!$F:$F, MATCH(TEXT($D1487,"000000"), BASE_CCLASSTRIB!$A:$A, 0))/100, 0)</f>
        <v>0</v>
      </c>
    </row>
    <row r="1488" spans="4:22" ht="32.25" customHeight="1">
      <c r="D1488" s="39"/>
      <c r="E1488" s="27" t="str">
        <f>IF(D1488="","",LEFT(D1488,3))</f>
        <v/>
      </c>
      <c r="F1488" s="28" t="str">
        <f>IF(E1488="","",IFERROR(VLOOKUP(E1488,REGRAS_CST!$A$2:$B$200,2,FALSE),""))</f>
        <v/>
      </c>
      <c r="H1488" s="29">
        <v>8.9999999999999993E-3</v>
      </c>
      <c r="I1488" s="29">
        <v>1E-3</v>
      </c>
      <c r="K1488" s="21" t="str">
        <f>IF(E1488="","",IFERROR(VLOOKUP(E1488,REGRAS_CST!$A$2:$C$200,3,FALSE),""))</f>
        <v/>
      </c>
      <c r="L1488" s="23" t="str">
        <f>IF($G1488="", "", $G1488*(1-$V1488))</f>
        <v/>
      </c>
      <c r="M1488" s="24" t="str">
        <f>IF(OR($L1488="",$S1488=""),"",$L1488*$S1488)</f>
        <v/>
      </c>
      <c r="N1488" s="24" t="str">
        <f>IF(OR($L1488="",$T1488=""),"",$L1488*$T1488)</f>
        <v/>
      </c>
      <c r="O1488" s="15" t="str">
        <f>IF(D1488="","",
IF(AND(K1488&lt;&gt;"SIM",V1488&gt;0),"ERRO: % BC &gt; 0, mas NÃO permitida ❌",
IF(AND(K1488="SIM",V1488=0),"ATENÇÃO: BC permitida, mas % = 0 🔎",
"Base de cálculo aplicada corretamente ✅")))</f>
        <v/>
      </c>
      <c r="P1488" s="31" t="str">
        <f>IF(D1488="","",
IF(AND(Q1488&lt;&gt;"SIM",U1488&gt;0),"ERRO: % alíquota &gt; 0, mas NÃO permitida ❌",
IF(AND(Q1488="SIM",U1488=0),"ATENÇÃO: alíquota permitida, mas % = 0 🔎",
"Alíquota aplicada corretamente ✅")))</f>
        <v/>
      </c>
      <c r="Q1488" s="8" t="str">
        <f>IF(E1488="","",IFERROR(VLOOKUP(E1488,REGRAS_CST!$A$2:$D$200,4,FALSE),""))</f>
        <v/>
      </c>
      <c r="S1488" s="9">
        <f>IF($H1488="","",$H1488*(1-$U1488))</f>
        <v>8.9999999999999993E-3</v>
      </c>
      <c r="T1488" s="9">
        <f>IF($I1488="","",$I1488*(1-$U1488))</f>
        <v>1E-3</v>
      </c>
      <c r="U1488" s="16">
        <f>IFERROR(INDEX(BASE_CCLASSTRIB!$E:$E, MATCH(TEXT($D1488,"000000"), BASE_CCLASSTRIB!$A:$A, 0))/100, 0)</f>
        <v>0</v>
      </c>
      <c r="V1488" s="16">
        <f>IFERROR(INDEX(BASE_CCLASSTRIB!$F:$F, MATCH(TEXT($D1488,"000000"), BASE_CCLASSTRIB!$A:$A, 0))/100, 0)</f>
        <v>0</v>
      </c>
    </row>
    <row r="1489" spans="4:22" ht="32.25" customHeight="1">
      <c r="D1489" s="40"/>
      <c r="E1489" s="27" t="str">
        <f>IF(D1489="","",LEFT(D1489,3))</f>
        <v/>
      </c>
      <c r="F1489" s="28" t="str">
        <f>IF(E1489="","",IFERROR(VLOOKUP(E1489,REGRAS_CST!$A$2:$B$200,2,FALSE),""))</f>
        <v/>
      </c>
      <c r="H1489" s="29">
        <v>8.9999999999999993E-3</v>
      </c>
      <c r="I1489" s="29">
        <v>1E-3</v>
      </c>
      <c r="K1489" s="21" t="str">
        <f>IF(E1489="","",IFERROR(VLOOKUP(E1489,REGRAS_CST!$A$2:$C$200,3,FALSE),""))</f>
        <v/>
      </c>
      <c r="L1489" s="23" t="str">
        <f>IF($G1489="", "", $G1489*(1-$V1489))</f>
        <v/>
      </c>
      <c r="M1489" s="24" t="str">
        <f>IF(OR($L1489="",$S1489=""),"",$L1489*$S1489)</f>
        <v/>
      </c>
      <c r="N1489" s="24" t="str">
        <f>IF(OR($L1489="",$T1489=""),"",$L1489*$T1489)</f>
        <v/>
      </c>
      <c r="O1489" s="15" t="str">
        <f>IF(D1489="","",
IF(AND(K1489&lt;&gt;"SIM",V1489&gt;0),"ERRO: % BC &gt; 0, mas NÃO permitida ❌",
IF(AND(K1489="SIM",V1489=0),"ATENÇÃO: BC permitida, mas % = 0 🔎",
"Base de cálculo aplicada corretamente ✅")))</f>
        <v/>
      </c>
      <c r="P1489" s="31" t="str">
        <f>IF(D1489="","",
IF(AND(Q1489&lt;&gt;"SIM",U1489&gt;0),"ERRO: % alíquota &gt; 0, mas NÃO permitida ❌",
IF(AND(Q1489="SIM",U1489=0),"ATENÇÃO: alíquota permitida, mas % = 0 🔎",
"Alíquota aplicada corretamente ✅")))</f>
        <v/>
      </c>
      <c r="Q1489" s="8" t="str">
        <f>IF(E1489="","",IFERROR(VLOOKUP(E1489,REGRAS_CST!$A$2:$D$200,4,FALSE),""))</f>
        <v/>
      </c>
      <c r="S1489" s="9">
        <f>IF($H1489="","",$H1489*(1-$U1489))</f>
        <v>8.9999999999999993E-3</v>
      </c>
      <c r="T1489" s="9">
        <f>IF($I1489="","",$I1489*(1-$U1489))</f>
        <v>1E-3</v>
      </c>
      <c r="U1489" s="16">
        <f>IFERROR(INDEX(BASE_CCLASSTRIB!$E:$E, MATCH(TEXT($D1489,"000000"), BASE_CCLASSTRIB!$A:$A, 0))/100, 0)</f>
        <v>0</v>
      </c>
      <c r="V1489" s="16">
        <f>IFERROR(INDEX(BASE_CCLASSTRIB!$F:$F, MATCH(TEXT($D1489,"000000"), BASE_CCLASSTRIB!$A:$A, 0))/100, 0)</f>
        <v>0</v>
      </c>
    </row>
    <row r="1490" spans="4:22" ht="32.25" customHeight="1">
      <c r="D1490" s="39"/>
      <c r="E1490" s="27" t="str">
        <f>IF(D1490="","",LEFT(D1490,3))</f>
        <v/>
      </c>
      <c r="F1490" s="28" t="str">
        <f>IF(E1490="","",IFERROR(VLOOKUP(E1490,REGRAS_CST!$A$2:$B$200,2,FALSE),""))</f>
        <v/>
      </c>
      <c r="H1490" s="29">
        <v>8.9999999999999993E-3</v>
      </c>
      <c r="I1490" s="29">
        <v>1E-3</v>
      </c>
      <c r="K1490" s="21" t="str">
        <f>IF(E1490="","",IFERROR(VLOOKUP(E1490,REGRAS_CST!$A$2:$C$200,3,FALSE),""))</f>
        <v/>
      </c>
      <c r="L1490" s="23" t="str">
        <f>IF($G1490="", "", $G1490*(1-$V1490))</f>
        <v/>
      </c>
      <c r="M1490" s="24" t="str">
        <f>IF(OR($L1490="",$S1490=""),"",$L1490*$S1490)</f>
        <v/>
      </c>
      <c r="N1490" s="24" t="str">
        <f>IF(OR($L1490="",$T1490=""),"",$L1490*$T1490)</f>
        <v/>
      </c>
      <c r="O1490" s="15" t="str">
        <f>IF(D1490="","",
IF(AND(K1490&lt;&gt;"SIM",V1490&gt;0),"ERRO: % BC &gt; 0, mas NÃO permitida ❌",
IF(AND(K1490="SIM",V1490=0),"ATENÇÃO: BC permitida, mas % = 0 🔎",
"Base de cálculo aplicada corretamente ✅")))</f>
        <v/>
      </c>
      <c r="P1490" s="31" t="str">
        <f>IF(D1490="","",
IF(AND(Q1490&lt;&gt;"SIM",U1490&gt;0),"ERRO: % alíquota &gt; 0, mas NÃO permitida ❌",
IF(AND(Q1490="SIM",U1490=0),"ATENÇÃO: alíquota permitida, mas % = 0 🔎",
"Alíquota aplicada corretamente ✅")))</f>
        <v/>
      </c>
      <c r="Q1490" s="8" t="str">
        <f>IF(E1490="","",IFERROR(VLOOKUP(E1490,REGRAS_CST!$A$2:$D$200,4,FALSE),""))</f>
        <v/>
      </c>
      <c r="S1490" s="9">
        <f>IF($H1490="","",$H1490*(1-$U1490))</f>
        <v>8.9999999999999993E-3</v>
      </c>
      <c r="T1490" s="9">
        <f>IF($I1490="","",$I1490*(1-$U1490))</f>
        <v>1E-3</v>
      </c>
      <c r="U1490" s="16">
        <f>IFERROR(INDEX(BASE_CCLASSTRIB!$E:$E, MATCH(TEXT($D1490,"000000"), BASE_CCLASSTRIB!$A:$A, 0))/100, 0)</f>
        <v>0</v>
      </c>
      <c r="V1490" s="16">
        <f>IFERROR(INDEX(BASE_CCLASSTRIB!$F:$F, MATCH(TEXT($D1490,"000000"), BASE_CCLASSTRIB!$A:$A, 0))/100, 0)</f>
        <v>0</v>
      </c>
    </row>
    <row r="1491" spans="4:22" ht="32.25" customHeight="1">
      <c r="D1491" s="39"/>
      <c r="E1491" s="27" t="str">
        <f>IF(D1491="","",LEFT(D1491,3))</f>
        <v/>
      </c>
      <c r="F1491" s="28" t="str">
        <f>IF(E1491="","",IFERROR(VLOOKUP(E1491,REGRAS_CST!$A$2:$B$200,2,FALSE),""))</f>
        <v/>
      </c>
      <c r="H1491" s="29">
        <v>8.9999999999999993E-3</v>
      </c>
      <c r="I1491" s="29">
        <v>1E-3</v>
      </c>
      <c r="K1491" s="21" t="str">
        <f>IF(E1491="","",IFERROR(VLOOKUP(E1491,REGRAS_CST!$A$2:$C$200,3,FALSE),""))</f>
        <v/>
      </c>
      <c r="L1491" s="23" t="str">
        <f>IF($G1491="", "", $G1491*(1-$V1491))</f>
        <v/>
      </c>
      <c r="M1491" s="24" t="str">
        <f>IF(OR($L1491="",$S1491=""),"",$L1491*$S1491)</f>
        <v/>
      </c>
      <c r="N1491" s="24" t="str">
        <f>IF(OR($L1491="",$T1491=""),"",$L1491*$T1491)</f>
        <v/>
      </c>
      <c r="O1491" s="15" t="str">
        <f>IF(D1491="","",
IF(AND(K1491&lt;&gt;"SIM",V1491&gt;0),"ERRO: % BC &gt; 0, mas NÃO permitida ❌",
IF(AND(K1491="SIM",V1491=0),"ATENÇÃO: BC permitida, mas % = 0 🔎",
"Base de cálculo aplicada corretamente ✅")))</f>
        <v/>
      </c>
      <c r="P1491" s="31" t="str">
        <f>IF(D1491="","",
IF(AND(Q1491&lt;&gt;"SIM",U1491&gt;0),"ERRO: % alíquota &gt; 0, mas NÃO permitida ❌",
IF(AND(Q1491="SIM",U1491=0),"ATENÇÃO: alíquota permitida, mas % = 0 🔎",
"Alíquota aplicada corretamente ✅")))</f>
        <v/>
      </c>
      <c r="Q1491" s="8" t="str">
        <f>IF(E1491="","",IFERROR(VLOOKUP(E1491,REGRAS_CST!$A$2:$D$200,4,FALSE),""))</f>
        <v/>
      </c>
      <c r="S1491" s="9">
        <f>IF($H1491="","",$H1491*(1-$U1491))</f>
        <v>8.9999999999999993E-3</v>
      </c>
      <c r="T1491" s="9">
        <f>IF($I1491="","",$I1491*(1-$U1491))</f>
        <v>1E-3</v>
      </c>
      <c r="U1491" s="16">
        <f>IFERROR(INDEX(BASE_CCLASSTRIB!$E:$E, MATCH(TEXT($D1491,"000000"), BASE_CCLASSTRIB!$A:$A, 0))/100, 0)</f>
        <v>0</v>
      </c>
      <c r="V1491" s="16">
        <f>IFERROR(INDEX(BASE_CCLASSTRIB!$F:$F, MATCH(TEXT($D1491,"000000"), BASE_CCLASSTRIB!$A:$A, 0))/100, 0)</f>
        <v>0</v>
      </c>
    </row>
    <row r="1492" spans="4:22" ht="32.25" customHeight="1">
      <c r="D1492" s="40"/>
      <c r="E1492" s="27" t="str">
        <f>IF(D1492="","",LEFT(D1492,3))</f>
        <v/>
      </c>
      <c r="F1492" s="28" t="str">
        <f>IF(E1492="","",IFERROR(VLOOKUP(E1492,REGRAS_CST!$A$2:$B$200,2,FALSE),""))</f>
        <v/>
      </c>
      <c r="H1492" s="29">
        <v>8.9999999999999993E-3</v>
      </c>
      <c r="I1492" s="29">
        <v>1E-3</v>
      </c>
      <c r="K1492" s="21" t="str">
        <f>IF(E1492="","",IFERROR(VLOOKUP(E1492,REGRAS_CST!$A$2:$C$200,3,FALSE),""))</f>
        <v/>
      </c>
      <c r="L1492" s="23" t="str">
        <f>IF($G1492="", "", $G1492*(1-$V1492))</f>
        <v/>
      </c>
      <c r="M1492" s="24" t="str">
        <f>IF(OR($L1492="",$S1492=""),"",$L1492*$S1492)</f>
        <v/>
      </c>
      <c r="N1492" s="24" t="str">
        <f>IF(OR($L1492="",$T1492=""),"",$L1492*$T1492)</f>
        <v/>
      </c>
      <c r="O1492" s="15" t="str">
        <f>IF(D1492="","",
IF(AND(K1492&lt;&gt;"SIM",V1492&gt;0),"ERRO: % BC &gt; 0, mas NÃO permitida ❌",
IF(AND(K1492="SIM",V1492=0),"ATENÇÃO: BC permitida, mas % = 0 🔎",
"Base de cálculo aplicada corretamente ✅")))</f>
        <v/>
      </c>
      <c r="P1492" s="31" t="str">
        <f>IF(D1492="","",
IF(AND(Q1492&lt;&gt;"SIM",U1492&gt;0),"ERRO: % alíquota &gt; 0, mas NÃO permitida ❌",
IF(AND(Q1492="SIM",U1492=0),"ATENÇÃO: alíquota permitida, mas % = 0 🔎",
"Alíquota aplicada corretamente ✅")))</f>
        <v/>
      </c>
      <c r="Q1492" s="8" t="str">
        <f>IF(E1492="","",IFERROR(VLOOKUP(E1492,REGRAS_CST!$A$2:$D$200,4,FALSE),""))</f>
        <v/>
      </c>
      <c r="S1492" s="9">
        <f>IF($H1492="","",$H1492*(1-$U1492))</f>
        <v>8.9999999999999993E-3</v>
      </c>
      <c r="T1492" s="9">
        <f>IF($I1492="","",$I1492*(1-$U1492))</f>
        <v>1E-3</v>
      </c>
      <c r="U1492" s="16">
        <f>IFERROR(INDEX(BASE_CCLASSTRIB!$E:$E, MATCH(TEXT($D1492,"000000"), BASE_CCLASSTRIB!$A:$A, 0))/100, 0)</f>
        <v>0</v>
      </c>
      <c r="V1492" s="16">
        <f>IFERROR(INDEX(BASE_CCLASSTRIB!$F:$F, MATCH(TEXT($D1492,"000000"), BASE_CCLASSTRIB!$A:$A, 0))/100, 0)</f>
        <v>0</v>
      </c>
    </row>
    <row r="1493" spans="4:22" ht="32.25" customHeight="1">
      <c r="D1493" s="39"/>
      <c r="E1493" s="27" t="str">
        <f>IF(D1493="","",LEFT(D1493,3))</f>
        <v/>
      </c>
      <c r="F1493" s="28" t="str">
        <f>IF(E1493="","",IFERROR(VLOOKUP(E1493,REGRAS_CST!$A$2:$B$200,2,FALSE),""))</f>
        <v/>
      </c>
      <c r="H1493" s="29">
        <v>8.9999999999999993E-3</v>
      </c>
      <c r="I1493" s="29">
        <v>1E-3</v>
      </c>
      <c r="K1493" s="21" t="str">
        <f>IF(E1493="","",IFERROR(VLOOKUP(E1493,REGRAS_CST!$A$2:$C$200,3,FALSE),""))</f>
        <v/>
      </c>
      <c r="L1493" s="23" t="str">
        <f>IF($G1493="", "", $G1493*(1-$V1493))</f>
        <v/>
      </c>
      <c r="M1493" s="24" t="str">
        <f>IF(OR($L1493="",$S1493=""),"",$L1493*$S1493)</f>
        <v/>
      </c>
      <c r="N1493" s="24" t="str">
        <f>IF(OR($L1493="",$T1493=""),"",$L1493*$T1493)</f>
        <v/>
      </c>
      <c r="O1493" s="15" t="str">
        <f>IF(D1493="","",
IF(AND(K1493&lt;&gt;"SIM",V1493&gt;0),"ERRO: % BC &gt; 0, mas NÃO permitida ❌",
IF(AND(K1493="SIM",V1493=0),"ATENÇÃO: BC permitida, mas % = 0 🔎",
"Base de cálculo aplicada corretamente ✅")))</f>
        <v/>
      </c>
      <c r="P1493" s="31" t="str">
        <f>IF(D1493="","",
IF(AND(Q1493&lt;&gt;"SIM",U1493&gt;0),"ERRO: % alíquota &gt; 0, mas NÃO permitida ❌",
IF(AND(Q1493="SIM",U1493=0),"ATENÇÃO: alíquota permitida, mas % = 0 🔎",
"Alíquota aplicada corretamente ✅")))</f>
        <v/>
      </c>
      <c r="Q1493" s="8" t="str">
        <f>IF(E1493="","",IFERROR(VLOOKUP(E1493,REGRAS_CST!$A$2:$D$200,4,FALSE),""))</f>
        <v/>
      </c>
      <c r="S1493" s="9">
        <f>IF($H1493="","",$H1493*(1-$U1493))</f>
        <v>8.9999999999999993E-3</v>
      </c>
      <c r="T1493" s="9">
        <f>IF($I1493="","",$I1493*(1-$U1493))</f>
        <v>1E-3</v>
      </c>
      <c r="U1493" s="16">
        <f>IFERROR(INDEX(BASE_CCLASSTRIB!$E:$E, MATCH(TEXT($D1493,"000000"), BASE_CCLASSTRIB!$A:$A, 0))/100, 0)</f>
        <v>0</v>
      </c>
      <c r="V1493" s="16">
        <f>IFERROR(INDEX(BASE_CCLASSTRIB!$F:$F, MATCH(TEXT($D1493,"000000"), BASE_CCLASSTRIB!$A:$A, 0))/100, 0)</f>
        <v>0</v>
      </c>
    </row>
    <row r="1494" spans="4:22" ht="32.25" customHeight="1">
      <c r="D1494" s="40"/>
      <c r="E1494" s="27" t="str">
        <f>IF(D1494="","",LEFT(D1494,3))</f>
        <v/>
      </c>
      <c r="F1494" s="28" t="str">
        <f>IF(E1494="","",IFERROR(VLOOKUP(E1494,REGRAS_CST!$A$2:$B$200,2,FALSE),""))</f>
        <v/>
      </c>
      <c r="H1494" s="29">
        <v>8.9999999999999993E-3</v>
      </c>
      <c r="I1494" s="29">
        <v>1E-3</v>
      </c>
      <c r="K1494" s="21" t="str">
        <f>IF(E1494="","",IFERROR(VLOOKUP(E1494,REGRAS_CST!$A$2:$C$200,3,FALSE),""))</f>
        <v/>
      </c>
      <c r="L1494" s="23" t="str">
        <f>IF($G1494="", "", $G1494*(1-$V1494))</f>
        <v/>
      </c>
      <c r="M1494" s="24" t="str">
        <f>IF(OR($L1494="",$S1494=""),"",$L1494*$S1494)</f>
        <v/>
      </c>
      <c r="N1494" s="24" t="str">
        <f>IF(OR($L1494="",$T1494=""),"",$L1494*$T1494)</f>
        <v/>
      </c>
      <c r="O1494" s="15" t="str">
        <f>IF(D1494="","",
IF(AND(K1494&lt;&gt;"SIM",V1494&gt;0),"ERRO: % BC &gt; 0, mas NÃO permitida ❌",
IF(AND(K1494="SIM",V1494=0),"ATENÇÃO: BC permitida, mas % = 0 🔎",
"Base de cálculo aplicada corretamente ✅")))</f>
        <v/>
      </c>
      <c r="P1494" s="31" t="str">
        <f>IF(D1494="","",
IF(AND(Q1494&lt;&gt;"SIM",U1494&gt;0),"ERRO: % alíquota &gt; 0, mas NÃO permitida ❌",
IF(AND(Q1494="SIM",U1494=0),"ATENÇÃO: alíquota permitida, mas % = 0 🔎",
"Alíquota aplicada corretamente ✅")))</f>
        <v/>
      </c>
      <c r="Q1494" s="8" t="str">
        <f>IF(E1494="","",IFERROR(VLOOKUP(E1494,REGRAS_CST!$A$2:$D$200,4,FALSE),""))</f>
        <v/>
      </c>
      <c r="S1494" s="9">
        <f>IF($H1494="","",$H1494*(1-$U1494))</f>
        <v>8.9999999999999993E-3</v>
      </c>
      <c r="T1494" s="9">
        <f>IF($I1494="","",$I1494*(1-$U1494))</f>
        <v>1E-3</v>
      </c>
      <c r="U1494" s="16">
        <f>IFERROR(INDEX(BASE_CCLASSTRIB!$E:$E, MATCH(TEXT($D1494,"000000"), BASE_CCLASSTRIB!$A:$A, 0))/100, 0)</f>
        <v>0</v>
      </c>
      <c r="V1494" s="16">
        <f>IFERROR(INDEX(BASE_CCLASSTRIB!$F:$F, MATCH(TEXT($D1494,"000000"), BASE_CCLASSTRIB!$A:$A, 0))/100, 0)</f>
        <v>0</v>
      </c>
    </row>
    <row r="1495" spans="4:22" ht="32.25" customHeight="1">
      <c r="D1495" s="39"/>
      <c r="E1495" s="27" t="str">
        <f>IF(D1495="","",LEFT(D1495,3))</f>
        <v/>
      </c>
      <c r="F1495" s="28" t="str">
        <f>IF(E1495="","",IFERROR(VLOOKUP(E1495,REGRAS_CST!$A$2:$B$200,2,FALSE),""))</f>
        <v/>
      </c>
      <c r="H1495" s="29">
        <v>8.9999999999999993E-3</v>
      </c>
      <c r="I1495" s="29">
        <v>1E-3</v>
      </c>
      <c r="K1495" s="21" t="str">
        <f>IF(E1495="","",IFERROR(VLOOKUP(E1495,REGRAS_CST!$A$2:$C$200,3,FALSE),""))</f>
        <v/>
      </c>
      <c r="L1495" s="23" t="str">
        <f>IF($G1495="", "", $G1495*(1-$V1495))</f>
        <v/>
      </c>
      <c r="M1495" s="24" t="str">
        <f>IF(OR($L1495="",$S1495=""),"",$L1495*$S1495)</f>
        <v/>
      </c>
      <c r="N1495" s="24" t="str">
        <f>IF(OR($L1495="",$T1495=""),"",$L1495*$T1495)</f>
        <v/>
      </c>
      <c r="O1495" s="15" t="str">
        <f>IF(D1495="","",
IF(AND(K1495&lt;&gt;"SIM",V1495&gt;0),"ERRO: % BC &gt; 0, mas NÃO permitida ❌",
IF(AND(K1495="SIM",V1495=0),"ATENÇÃO: BC permitida, mas % = 0 🔎",
"Base de cálculo aplicada corretamente ✅")))</f>
        <v/>
      </c>
      <c r="P1495" s="31" t="str">
        <f>IF(D1495="","",
IF(AND(Q1495&lt;&gt;"SIM",U1495&gt;0),"ERRO: % alíquota &gt; 0, mas NÃO permitida ❌",
IF(AND(Q1495="SIM",U1495=0),"ATENÇÃO: alíquota permitida, mas % = 0 🔎",
"Alíquota aplicada corretamente ✅")))</f>
        <v/>
      </c>
      <c r="Q1495" s="8" t="str">
        <f>IF(E1495="","",IFERROR(VLOOKUP(E1495,REGRAS_CST!$A$2:$D$200,4,FALSE),""))</f>
        <v/>
      </c>
      <c r="S1495" s="9">
        <f>IF($H1495="","",$H1495*(1-$U1495))</f>
        <v>8.9999999999999993E-3</v>
      </c>
      <c r="T1495" s="9">
        <f>IF($I1495="","",$I1495*(1-$U1495))</f>
        <v>1E-3</v>
      </c>
      <c r="U1495" s="16">
        <f>IFERROR(INDEX(BASE_CCLASSTRIB!$E:$E, MATCH(TEXT($D1495,"000000"), BASE_CCLASSTRIB!$A:$A, 0))/100, 0)</f>
        <v>0</v>
      </c>
      <c r="V1495" s="16">
        <f>IFERROR(INDEX(BASE_CCLASSTRIB!$F:$F, MATCH(TEXT($D1495,"000000"), BASE_CCLASSTRIB!$A:$A, 0))/100, 0)</f>
        <v>0</v>
      </c>
    </row>
    <row r="1496" spans="4:22" ht="32.25" customHeight="1">
      <c r="D1496" s="39"/>
      <c r="E1496" s="27" t="str">
        <f>IF(D1496="","",LEFT(D1496,3))</f>
        <v/>
      </c>
      <c r="F1496" s="28" t="str">
        <f>IF(E1496="","",IFERROR(VLOOKUP(E1496,REGRAS_CST!$A$2:$B$200,2,FALSE),""))</f>
        <v/>
      </c>
      <c r="H1496" s="29">
        <v>8.9999999999999993E-3</v>
      </c>
      <c r="I1496" s="29">
        <v>1E-3</v>
      </c>
      <c r="K1496" s="21" t="str">
        <f>IF(E1496="","",IFERROR(VLOOKUP(E1496,REGRAS_CST!$A$2:$C$200,3,FALSE),""))</f>
        <v/>
      </c>
      <c r="L1496" s="23" t="str">
        <f>IF($G1496="", "", $G1496*(1-$V1496))</f>
        <v/>
      </c>
      <c r="M1496" s="24" t="str">
        <f>IF(OR($L1496="",$S1496=""),"",$L1496*$S1496)</f>
        <v/>
      </c>
      <c r="N1496" s="24" t="str">
        <f>IF(OR($L1496="",$T1496=""),"",$L1496*$T1496)</f>
        <v/>
      </c>
      <c r="O1496" s="15" t="str">
        <f>IF(D1496="","",
IF(AND(K1496&lt;&gt;"SIM",V1496&gt;0),"ERRO: % BC &gt; 0, mas NÃO permitida ❌",
IF(AND(K1496="SIM",V1496=0),"ATENÇÃO: BC permitida, mas % = 0 🔎",
"Base de cálculo aplicada corretamente ✅")))</f>
        <v/>
      </c>
      <c r="P1496" s="31" t="str">
        <f>IF(D1496="","",
IF(AND(Q1496&lt;&gt;"SIM",U1496&gt;0),"ERRO: % alíquota &gt; 0, mas NÃO permitida ❌",
IF(AND(Q1496="SIM",U1496=0),"ATENÇÃO: alíquota permitida, mas % = 0 🔎",
"Alíquota aplicada corretamente ✅")))</f>
        <v/>
      </c>
      <c r="Q1496" s="8" t="str">
        <f>IF(E1496="","",IFERROR(VLOOKUP(E1496,REGRAS_CST!$A$2:$D$200,4,FALSE),""))</f>
        <v/>
      </c>
      <c r="S1496" s="9">
        <f>IF($H1496="","",$H1496*(1-$U1496))</f>
        <v>8.9999999999999993E-3</v>
      </c>
      <c r="T1496" s="9">
        <f>IF($I1496="","",$I1496*(1-$U1496))</f>
        <v>1E-3</v>
      </c>
      <c r="U1496" s="16">
        <f>IFERROR(INDEX(BASE_CCLASSTRIB!$E:$E, MATCH(TEXT($D1496,"000000"), BASE_CCLASSTRIB!$A:$A, 0))/100, 0)</f>
        <v>0</v>
      </c>
      <c r="V1496" s="16">
        <f>IFERROR(INDEX(BASE_CCLASSTRIB!$F:$F, MATCH(TEXT($D1496,"000000"), BASE_CCLASSTRIB!$A:$A, 0))/100, 0)</f>
        <v>0</v>
      </c>
    </row>
    <row r="1497" spans="4:22" ht="32.25" customHeight="1">
      <c r="D1497" s="40"/>
      <c r="E1497" s="27" t="str">
        <f>IF(D1497="","",LEFT(D1497,3))</f>
        <v/>
      </c>
      <c r="F1497" s="28" t="str">
        <f>IF(E1497="","",IFERROR(VLOOKUP(E1497,REGRAS_CST!$A$2:$B$200,2,FALSE),""))</f>
        <v/>
      </c>
      <c r="H1497" s="29">
        <v>8.9999999999999993E-3</v>
      </c>
      <c r="I1497" s="29">
        <v>1E-3</v>
      </c>
      <c r="K1497" s="21" t="str">
        <f>IF(E1497="","",IFERROR(VLOOKUP(E1497,REGRAS_CST!$A$2:$C$200,3,FALSE),""))</f>
        <v/>
      </c>
      <c r="L1497" s="23" t="str">
        <f>IF($G1497="", "", $G1497*(1-$V1497))</f>
        <v/>
      </c>
      <c r="M1497" s="24" t="str">
        <f>IF(OR($L1497="",$S1497=""),"",$L1497*$S1497)</f>
        <v/>
      </c>
      <c r="N1497" s="24" t="str">
        <f>IF(OR($L1497="",$T1497=""),"",$L1497*$T1497)</f>
        <v/>
      </c>
      <c r="O1497" s="15" t="str">
        <f>IF(D1497="","",
IF(AND(K1497&lt;&gt;"SIM",V1497&gt;0),"ERRO: % BC &gt; 0, mas NÃO permitida ❌",
IF(AND(K1497="SIM",V1497=0),"ATENÇÃO: BC permitida, mas % = 0 🔎",
"Base de cálculo aplicada corretamente ✅")))</f>
        <v/>
      </c>
      <c r="P1497" s="31" t="str">
        <f>IF(D1497="","",
IF(AND(Q1497&lt;&gt;"SIM",U1497&gt;0),"ERRO: % alíquota &gt; 0, mas NÃO permitida ❌",
IF(AND(Q1497="SIM",U1497=0),"ATENÇÃO: alíquota permitida, mas % = 0 🔎",
"Alíquota aplicada corretamente ✅")))</f>
        <v/>
      </c>
      <c r="Q1497" s="8" t="str">
        <f>IF(E1497="","",IFERROR(VLOOKUP(E1497,REGRAS_CST!$A$2:$D$200,4,FALSE),""))</f>
        <v/>
      </c>
      <c r="S1497" s="9">
        <f>IF($H1497="","",$H1497*(1-$U1497))</f>
        <v>8.9999999999999993E-3</v>
      </c>
      <c r="T1497" s="9">
        <f>IF($I1497="","",$I1497*(1-$U1497))</f>
        <v>1E-3</v>
      </c>
      <c r="U1497" s="16">
        <f>IFERROR(INDEX(BASE_CCLASSTRIB!$E:$E, MATCH(TEXT($D1497,"000000"), BASE_CCLASSTRIB!$A:$A, 0))/100, 0)</f>
        <v>0</v>
      </c>
      <c r="V1497" s="16">
        <f>IFERROR(INDEX(BASE_CCLASSTRIB!$F:$F, MATCH(TEXT($D1497,"000000"), BASE_CCLASSTRIB!$A:$A, 0))/100, 0)</f>
        <v>0</v>
      </c>
    </row>
    <row r="1498" spans="4:22" ht="32.25" customHeight="1">
      <c r="D1498" s="39"/>
      <c r="E1498" s="27" t="str">
        <f>IF(D1498="","",LEFT(D1498,3))</f>
        <v/>
      </c>
      <c r="F1498" s="28" t="str">
        <f>IF(E1498="","",IFERROR(VLOOKUP(E1498,REGRAS_CST!$A$2:$B$200,2,FALSE),""))</f>
        <v/>
      </c>
      <c r="H1498" s="29">
        <v>8.9999999999999993E-3</v>
      </c>
      <c r="I1498" s="29">
        <v>1E-3</v>
      </c>
      <c r="K1498" s="21" t="str">
        <f>IF(E1498="","",IFERROR(VLOOKUP(E1498,REGRAS_CST!$A$2:$C$200,3,FALSE),""))</f>
        <v/>
      </c>
      <c r="L1498" s="23" t="str">
        <f>IF($G1498="", "", $G1498*(1-$V1498))</f>
        <v/>
      </c>
      <c r="M1498" s="24" t="str">
        <f>IF(OR($L1498="",$S1498=""),"",$L1498*$S1498)</f>
        <v/>
      </c>
      <c r="N1498" s="24" t="str">
        <f>IF(OR($L1498="",$T1498=""),"",$L1498*$T1498)</f>
        <v/>
      </c>
      <c r="O1498" s="15" t="str">
        <f>IF(D1498="","",
IF(AND(K1498&lt;&gt;"SIM",V1498&gt;0),"ERRO: % BC &gt; 0, mas NÃO permitida ❌",
IF(AND(K1498="SIM",V1498=0),"ATENÇÃO: BC permitida, mas % = 0 🔎",
"Base de cálculo aplicada corretamente ✅")))</f>
        <v/>
      </c>
      <c r="P1498" s="31" t="str">
        <f>IF(D1498="","",
IF(AND(Q1498&lt;&gt;"SIM",U1498&gt;0),"ERRO: % alíquota &gt; 0, mas NÃO permitida ❌",
IF(AND(Q1498="SIM",U1498=0),"ATENÇÃO: alíquota permitida, mas % = 0 🔎",
"Alíquota aplicada corretamente ✅")))</f>
        <v/>
      </c>
      <c r="Q1498" s="8" t="str">
        <f>IF(E1498="","",IFERROR(VLOOKUP(E1498,REGRAS_CST!$A$2:$D$200,4,FALSE),""))</f>
        <v/>
      </c>
      <c r="S1498" s="9">
        <f>IF($H1498="","",$H1498*(1-$U1498))</f>
        <v>8.9999999999999993E-3</v>
      </c>
      <c r="T1498" s="9">
        <f>IF($I1498="","",$I1498*(1-$U1498))</f>
        <v>1E-3</v>
      </c>
      <c r="U1498" s="16">
        <f>IFERROR(INDEX(BASE_CCLASSTRIB!$E:$E, MATCH(TEXT($D1498,"000000"), BASE_CCLASSTRIB!$A:$A, 0))/100, 0)</f>
        <v>0</v>
      </c>
      <c r="V1498" s="16">
        <f>IFERROR(INDEX(BASE_CCLASSTRIB!$F:$F, MATCH(TEXT($D1498,"000000"), BASE_CCLASSTRIB!$A:$A, 0))/100, 0)</f>
        <v>0</v>
      </c>
    </row>
    <row r="1499" spans="4:22" ht="32.25" customHeight="1">
      <c r="D1499" s="40"/>
      <c r="E1499" s="27" t="str">
        <f>IF(D1499="","",LEFT(D1499,3))</f>
        <v/>
      </c>
      <c r="F1499" s="28" t="str">
        <f>IF(E1499="","",IFERROR(VLOOKUP(E1499,REGRAS_CST!$A$2:$B$200,2,FALSE),""))</f>
        <v/>
      </c>
      <c r="H1499" s="29">
        <v>8.9999999999999993E-3</v>
      </c>
      <c r="I1499" s="29">
        <v>1E-3</v>
      </c>
      <c r="K1499" s="21" t="str">
        <f>IF(E1499="","",IFERROR(VLOOKUP(E1499,REGRAS_CST!$A$2:$C$200,3,FALSE),""))</f>
        <v/>
      </c>
      <c r="L1499" s="23" t="str">
        <f>IF($G1499="", "", $G1499*(1-$V1499))</f>
        <v/>
      </c>
      <c r="M1499" s="24" t="str">
        <f>IF(OR($L1499="",$S1499=""),"",$L1499*$S1499)</f>
        <v/>
      </c>
      <c r="N1499" s="24" t="str">
        <f>IF(OR($L1499="",$T1499=""),"",$L1499*$T1499)</f>
        <v/>
      </c>
      <c r="O1499" s="15" t="str">
        <f>IF(D1499="","",
IF(AND(K1499&lt;&gt;"SIM",V1499&gt;0),"ERRO: % BC &gt; 0, mas NÃO permitida ❌",
IF(AND(K1499="SIM",V1499=0),"ATENÇÃO: BC permitida, mas % = 0 🔎",
"Base de cálculo aplicada corretamente ✅")))</f>
        <v/>
      </c>
      <c r="P1499" s="31" t="str">
        <f>IF(D1499="","",
IF(AND(Q1499&lt;&gt;"SIM",U1499&gt;0),"ERRO: % alíquota &gt; 0, mas NÃO permitida ❌",
IF(AND(Q1499="SIM",U1499=0),"ATENÇÃO: alíquota permitida, mas % = 0 🔎",
"Alíquota aplicada corretamente ✅")))</f>
        <v/>
      </c>
      <c r="Q1499" s="8" t="str">
        <f>IF(E1499="","",IFERROR(VLOOKUP(E1499,REGRAS_CST!$A$2:$D$200,4,FALSE),""))</f>
        <v/>
      </c>
      <c r="S1499" s="9">
        <f>IF($H1499="","",$H1499*(1-$U1499))</f>
        <v>8.9999999999999993E-3</v>
      </c>
      <c r="T1499" s="9">
        <f>IF($I1499="","",$I1499*(1-$U1499))</f>
        <v>1E-3</v>
      </c>
      <c r="U1499" s="16">
        <f>IFERROR(INDEX(BASE_CCLASSTRIB!$E:$E, MATCH(TEXT($D1499,"000000"), BASE_CCLASSTRIB!$A:$A, 0))/100, 0)</f>
        <v>0</v>
      </c>
      <c r="V1499" s="16">
        <f>IFERROR(INDEX(BASE_CCLASSTRIB!$F:$F, MATCH(TEXT($D1499,"000000"), BASE_CCLASSTRIB!$A:$A, 0))/100, 0)</f>
        <v>0</v>
      </c>
    </row>
    <row r="1500" spans="4:22" ht="32.25" customHeight="1">
      <c r="D1500" s="39"/>
      <c r="E1500" s="27" t="str">
        <f>IF(D1500="","",LEFT(D1500,3))</f>
        <v/>
      </c>
      <c r="F1500" s="28" t="str">
        <f>IF(E1500="","",IFERROR(VLOOKUP(E1500,REGRAS_CST!$A$2:$B$200,2,FALSE),""))</f>
        <v/>
      </c>
      <c r="H1500" s="29">
        <v>8.9999999999999993E-3</v>
      </c>
      <c r="I1500" s="29">
        <v>1E-3</v>
      </c>
      <c r="K1500" s="21" t="str">
        <f>IF(E1500="","",IFERROR(VLOOKUP(E1500,REGRAS_CST!$A$2:$C$200,3,FALSE),""))</f>
        <v/>
      </c>
      <c r="L1500" s="23" t="str">
        <f>IF($G1500="", "", $G1500*(1-$V1500))</f>
        <v/>
      </c>
      <c r="M1500" s="24" t="str">
        <f>IF(OR($L1500="",$S1500=""),"",$L1500*$S1500)</f>
        <v/>
      </c>
      <c r="N1500" s="24" t="str">
        <f>IF(OR($L1500="",$T1500=""),"",$L1500*$T1500)</f>
        <v/>
      </c>
      <c r="O1500" s="15" t="str">
        <f>IF(D1500="","",
IF(AND(K1500&lt;&gt;"SIM",V1500&gt;0),"ERRO: % BC &gt; 0, mas NÃO permitida ❌",
IF(AND(K1500="SIM",V1500=0),"ATENÇÃO: BC permitida, mas % = 0 🔎",
"Base de cálculo aplicada corretamente ✅")))</f>
        <v/>
      </c>
      <c r="P1500" s="31" t="str">
        <f>IF(D1500="","",
IF(AND(Q1500&lt;&gt;"SIM",U1500&gt;0),"ERRO: % alíquota &gt; 0, mas NÃO permitida ❌",
IF(AND(Q1500="SIM",U1500=0),"ATENÇÃO: alíquota permitida, mas % = 0 🔎",
"Alíquota aplicada corretamente ✅")))</f>
        <v/>
      </c>
      <c r="Q1500" s="8" t="str">
        <f>IF(E1500="","",IFERROR(VLOOKUP(E1500,REGRAS_CST!$A$2:$D$200,4,FALSE),""))</f>
        <v/>
      </c>
      <c r="S1500" s="9">
        <f>IF($H1500="","",$H1500*(1-$U1500))</f>
        <v>8.9999999999999993E-3</v>
      </c>
      <c r="T1500" s="9">
        <f>IF($I1500="","",$I1500*(1-$U1500))</f>
        <v>1E-3</v>
      </c>
      <c r="U1500" s="16">
        <f>IFERROR(INDEX(BASE_CCLASSTRIB!$E:$E, MATCH(TEXT($D1500,"000000"), BASE_CCLASSTRIB!$A:$A, 0))/100, 0)</f>
        <v>0</v>
      </c>
      <c r="V1500" s="16">
        <f>IFERROR(INDEX(BASE_CCLASSTRIB!$F:$F, MATCH(TEXT($D1500,"000000"), BASE_CCLASSTRIB!$A:$A, 0))/100, 0)</f>
        <v>0</v>
      </c>
    </row>
    <row r="1501" spans="4:22" ht="32.25" customHeight="1">
      <c r="D1501" s="40"/>
      <c r="E1501" s="27" t="str">
        <f>IF(D1501="","",LEFT(D1501,3))</f>
        <v/>
      </c>
      <c r="F1501" s="28" t="str">
        <f>IF(E1501="","",IFERROR(VLOOKUP(E1501,REGRAS_CST!$A$2:$B$200,2,FALSE),""))</f>
        <v/>
      </c>
      <c r="H1501" s="29">
        <v>8.9999999999999993E-3</v>
      </c>
      <c r="I1501" s="29">
        <v>1E-3</v>
      </c>
      <c r="K1501" s="21" t="str">
        <f>IF(E1501="","",IFERROR(VLOOKUP(E1501,REGRAS_CST!$A$2:$C$200,3,FALSE),""))</f>
        <v/>
      </c>
      <c r="L1501" s="23" t="str">
        <f>IF($G1501="", "", $G1501*(1-$V1501))</f>
        <v/>
      </c>
      <c r="M1501" s="24" t="str">
        <f>IF(OR($L1501="",$S1501=""),"",$L1501*$S1501)</f>
        <v/>
      </c>
      <c r="N1501" s="24" t="str">
        <f>IF(OR($L1501="",$T1501=""),"",$L1501*$T1501)</f>
        <v/>
      </c>
      <c r="O1501" s="15" t="str">
        <f>IF(D1501="","",
IF(AND(K1501&lt;&gt;"SIM",V1501&gt;0),"ERRO: % BC &gt; 0, mas NÃO permitida ❌",
IF(AND(K1501="SIM",V1501=0),"ATENÇÃO: BC permitida, mas % = 0 🔎",
"Base de cálculo aplicada corretamente ✅")))</f>
        <v/>
      </c>
      <c r="P1501" s="31" t="str">
        <f>IF(D1501="","",
IF(AND(Q1501&lt;&gt;"SIM",U1501&gt;0),"ERRO: % alíquota &gt; 0, mas NÃO permitida ❌",
IF(AND(Q1501="SIM",U1501=0),"ATENÇÃO: alíquota permitida, mas % = 0 🔎",
"Alíquota aplicada corretamente ✅")))</f>
        <v/>
      </c>
      <c r="Q1501" s="8" t="str">
        <f>IF(E1501="","",IFERROR(VLOOKUP(E1501,REGRAS_CST!$A$2:$D$200,4,FALSE),""))</f>
        <v/>
      </c>
      <c r="S1501" s="9">
        <f>IF($H1501="","",$H1501*(1-$U1501))</f>
        <v>8.9999999999999993E-3</v>
      </c>
      <c r="T1501" s="9">
        <f>IF($I1501="","",$I1501*(1-$U1501))</f>
        <v>1E-3</v>
      </c>
      <c r="U1501" s="16">
        <f>IFERROR(INDEX(BASE_CCLASSTRIB!$E:$E, MATCH(TEXT($D1501,"000000"), BASE_CCLASSTRIB!$A:$A, 0))/100, 0)</f>
        <v>0</v>
      </c>
      <c r="V1501" s="16">
        <f>IFERROR(INDEX(BASE_CCLASSTRIB!$F:$F, MATCH(TEXT($D1501,"000000"), BASE_CCLASSTRIB!$A:$A, 0))/100, 0)</f>
        <v>0</v>
      </c>
    </row>
    <row r="1502" spans="4:22" ht="32.25" customHeight="1">
      <c r="D1502" s="39"/>
      <c r="E1502" s="27" t="str">
        <f>IF(D1502="","",LEFT(D1502,3))</f>
        <v/>
      </c>
      <c r="F1502" s="28" t="str">
        <f>IF(E1502="","",IFERROR(VLOOKUP(E1502,REGRAS_CST!$A$2:$B$200,2,FALSE),""))</f>
        <v/>
      </c>
      <c r="H1502" s="29">
        <v>8.9999999999999993E-3</v>
      </c>
      <c r="I1502" s="29">
        <v>1E-3</v>
      </c>
      <c r="K1502" s="21" t="str">
        <f>IF(E1502="","",IFERROR(VLOOKUP(E1502,REGRAS_CST!$A$2:$C$200,3,FALSE),""))</f>
        <v/>
      </c>
      <c r="L1502" s="23" t="str">
        <f>IF($G1502="", "", $G1502*(1-$V1502))</f>
        <v/>
      </c>
      <c r="M1502" s="24" t="str">
        <f>IF(OR($L1502="",$S1502=""),"",$L1502*$S1502)</f>
        <v/>
      </c>
      <c r="N1502" s="24" t="str">
        <f>IF(OR($L1502="",$T1502=""),"",$L1502*$T1502)</f>
        <v/>
      </c>
      <c r="O1502" s="15" t="str">
        <f>IF(D1502="","",
IF(AND(K1502&lt;&gt;"SIM",V1502&gt;0),"ERRO: % BC &gt; 0, mas NÃO permitida ❌",
IF(AND(K1502="SIM",V1502=0),"ATENÇÃO: BC permitida, mas % = 0 🔎",
"Base de cálculo aplicada corretamente ✅")))</f>
        <v/>
      </c>
      <c r="P1502" s="31" t="str">
        <f>IF(D1502="","",
IF(AND(Q1502&lt;&gt;"SIM",U1502&gt;0),"ERRO: % alíquota &gt; 0, mas NÃO permitida ❌",
IF(AND(Q1502="SIM",U1502=0),"ATENÇÃO: alíquota permitida, mas % = 0 🔎",
"Alíquota aplicada corretamente ✅")))</f>
        <v/>
      </c>
      <c r="Q1502" s="8" t="str">
        <f>IF(E1502="","",IFERROR(VLOOKUP(E1502,REGRAS_CST!$A$2:$D$200,4,FALSE),""))</f>
        <v/>
      </c>
      <c r="S1502" s="9">
        <f>IF($H1502="","",$H1502*(1-$U1502))</f>
        <v>8.9999999999999993E-3</v>
      </c>
      <c r="T1502" s="9">
        <f>IF($I1502="","",$I1502*(1-$U1502))</f>
        <v>1E-3</v>
      </c>
      <c r="U1502" s="16">
        <f>IFERROR(INDEX(BASE_CCLASSTRIB!$E:$E, MATCH(TEXT($D1502,"000000"), BASE_CCLASSTRIB!$A:$A, 0))/100, 0)</f>
        <v>0</v>
      </c>
      <c r="V1502" s="16">
        <f>IFERROR(INDEX(BASE_CCLASSTRIB!$F:$F, MATCH(TEXT($D1502,"000000"), BASE_CCLASSTRIB!$A:$A, 0))/100, 0)</f>
        <v>0</v>
      </c>
    </row>
    <row r="1503" spans="4:22" ht="32.25" customHeight="1">
      <c r="D1503" s="39"/>
      <c r="E1503" s="27" t="str">
        <f>IF(D1503="","",LEFT(D1503,3))</f>
        <v/>
      </c>
      <c r="F1503" s="28" t="str">
        <f>IF(E1503="","",IFERROR(VLOOKUP(E1503,REGRAS_CST!$A$2:$B$200,2,FALSE),""))</f>
        <v/>
      </c>
      <c r="H1503" s="29">
        <v>8.9999999999999993E-3</v>
      </c>
      <c r="I1503" s="29">
        <v>1E-3</v>
      </c>
      <c r="K1503" s="21" t="str">
        <f>IF(E1503="","",IFERROR(VLOOKUP(E1503,REGRAS_CST!$A$2:$C$200,3,FALSE),""))</f>
        <v/>
      </c>
      <c r="L1503" s="23" t="str">
        <f>IF($G1503="", "", $G1503*(1-$V1503))</f>
        <v/>
      </c>
      <c r="M1503" s="24" t="str">
        <f>IF(OR($L1503="",$S1503=""),"",$L1503*$S1503)</f>
        <v/>
      </c>
      <c r="N1503" s="24" t="str">
        <f>IF(OR($L1503="",$T1503=""),"",$L1503*$T1503)</f>
        <v/>
      </c>
      <c r="O1503" s="15" t="str">
        <f>IF(D1503="","",
IF(AND(K1503&lt;&gt;"SIM",V1503&gt;0),"ERRO: % BC &gt; 0, mas NÃO permitida ❌",
IF(AND(K1503="SIM",V1503=0),"ATENÇÃO: BC permitida, mas % = 0 🔎",
"Base de cálculo aplicada corretamente ✅")))</f>
        <v/>
      </c>
      <c r="P1503" s="31" t="str">
        <f>IF(D1503="","",
IF(AND(Q1503&lt;&gt;"SIM",U1503&gt;0),"ERRO: % alíquota &gt; 0, mas NÃO permitida ❌",
IF(AND(Q1503="SIM",U1503=0),"ATENÇÃO: alíquota permitida, mas % = 0 🔎",
"Alíquota aplicada corretamente ✅")))</f>
        <v/>
      </c>
      <c r="Q1503" s="8" t="str">
        <f>IF(E1503="","",IFERROR(VLOOKUP(E1503,REGRAS_CST!$A$2:$D$200,4,FALSE),""))</f>
        <v/>
      </c>
      <c r="S1503" s="9">
        <f>IF($H1503="","",$H1503*(1-$U1503))</f>
        <v>8.9999999999999993E-3</v>
      </c>
      <c r="T1503" s="9">
        <f>IF($I1503="","",$I1503*(1-$U1503))</f>
        <v>1E-3</v>
      </c>
      <c r="U1503" s="16">
        <f>IFERROR(INDEX(BASE_CCLASSTRIB!$E:$E, MATCH(TEXT($D1503,"000000"), BASE_CCLASSTRIB!$A:$A, 0))/100, 0)</f>
        <v>0</v>
      </c>
      <c r="V1503" s="16">
        <f>IFERROR(INDEX(BASE_CCLASSTRIB!$F:$F, MATCH(TEXT($D1503,"000000"), BASE_CCLASSTRIB!$A:$A, 0))/100, 0)</f>
        <v>0</v>
      </c>
    </row>
    <row r="1504" spans="4:22" ht="32.25" customHeight="1">
      <c r="D1504" s="39"/>
      <c r="E1504" s="27" t="str">
        <f>IF(D1504="","",LEFT(D1504,3))</f>
        <v/>
      </c>
      <c r="F1504" s="28" t="str">
        <f>IF(E1504="","",IFERROR(VLOOKUP(E1504,REGRAS_CST!$A$2:$B$200,2,FALSE),""))</f>
        <v/>
      </c>
      <c r="H1504" s="29">
        <v>8.9999999999999993E-3</v>
      </c>
      <c r="I1504" s="29">
        <v>1E-3</v>
      </c>
      <c r="K1504" s="21" t="str">
        <f>IF(E1504="","",IFERROR(VLOOKUP(E1504,REGRAS_CST!$A$2:$C$200,3,FALSE),""))</f>
        <v/>
      </c>
      <c r="L1504" s="23" t="str">
        <f>IF($G1504="", "", $G1504*(1-$V1504))</f>
        <v/>
      </c>
      <c r="M1504" s="24" t="str">
        <f>IF(OR($L1504="",$S1504=""),"",$L1504*$S1504)</f>
        <v/>
      </c>
      <c r="N1504" s="24" t="str">
        <f>IF(OR($L1504="",$T1504=""),"",$L1504*$T1504)</f>
        <v/>
      </c>
      <c r="O1504" s="15" t="str">
        <f>IF(D1504="","",
IF(AND(K1504&lt;&gt;"SIM",V1504&gt;0),"ERRO: % BC &gt; 0, mas NÃO permitida ❌",
IF(AND(K1504="SIM",V1504=0),"ATENÇÃO: BC permitida, mas % = 0 🔎",
"Base de cálculo aplicada corretamente ✅")))</f>
        <v/>
      </c>
      <c r="P1504" s="31" t="str">
        <f>IF(D1504="","",
IF(AND(Q1504&lt;&gt;"SIM",U1504&gt;0),"ERRO: % alíquota &gt; 0, mas NÃO permitida ❌",
IF(AND(Q1504="SIM",U1504=0),"ATENÇÃO: alíquota permitida, mas % = 0 🔎",
"Alíquota aplicada corretamente ✅")))</f>
        <v/>
      </c>
      <c r="Q1504" s="8" t="str">
        <f>IF(E1504="","",IFERROR(VLOOKUP(E1504,REGRAS_CST!$A$2:$D$200,4,FALSE),""))</f>
        <v/>
      </c>
      <c r="S1504" s="9">
        <f>IF($H1504="","",$H1504*(1-$U1504))</f>
        <v>8.9999999999999993E-3</v>
      </c>
      <c r="T1504" s="9">
        <f>IF($I1504="","",$I1504*(1-$U1504))</f>
        <v>1E-3</v>
      </c>
      <c r="U1504" s="16">
        <f>IFERROR(INDEX(BASE_CCLASSTRIB!$E:$E, MATCH(TEXT($D1504,"000000"), BASE_CCLASSTRIB!$A:$A, 0))/100, 0)</f>
        <v>0</v>
      </c>
      <c r="V1504" s="16">
        <f>IFERROR(INDEX(BASE_CCLASSTRIB!$F:$F, MATCH(TEXT($D1504,"000000"), BASE_CCLASSTRIB!$A:$A, 0))/100, 0)</f>
        <v>0</v>
      </c>
    </row>
    <row r="1505" spans="4:22" ht="32.25" customHeight="1">
      <c r="D1505" s="39"/>
      <c r="E1505" s="27" t="str">
        <f>IF(D1505="","",LEFT(D1505,3))</f>
        <v/>
      </c>
      <c r="F1505" s="28" t="str">
        <f>IF(E1505="","",IFERROR(VLOOKUP(E1505,REGRAS_CST!$A$2:$B$200,2,FALSE),""))</f>
        <v/>
      </c>
      <c r="H1505" s="29">
        <v>8.9999999999999993E-3</v>
      </c>
      <c r="I1505" s="29">
        <v>1E-3</v>
      </c>
      <c r="K1505" s="21" t="str">
        <f>IF(E1505="","",IFERROR(VLOOKUP(E1505,REGRAS_CST!$A$2:$C$200,3,FALSE),""))</f>
        <v/>
      </c>
      <c r="L1505" s="23" t="str">
        <f>IF($G1505="", "", $G1505*(1-$V1505))</f>
        <v/>
      </c>
      <c r="M1505" s="24" t="str">
        <f>IF(OR($L1505="",$S1505=""),"",$L1505*$S1505)</f>
        <v/>
      </c>
      <c r="N1505" s="24" t="str">
        <f>IF(OR($L1505="",$T1505=""),"",$L1505*$T1505)</f>
        <v/>
      </c>
      <c r="O1505" s="15" t="str">
        <f>IF(D1505="","",
IF(AND(K1505&lt;&gt;"SIM",V1505&gt;0),"ERRO: % BC &gt; 0, mas NÃO permitida ❌",
IF(AND(K1505="SIM",V1505=0),"ATENÇÃO: BC permitida, mas % = 0 🔎",
"Base de cálculo aplicada corretamente ✅")))</f>
        <v/>
      </c>
      <c r="P1505" s="31" t="str">
        <f>IF(D1505="","",
IF(AND(Q1505&lt;&gt;"SIM",U1505&gt;0),"ERRO: % alíquota &gt; 0, mas NÃO permitida ❌",
IF(AND(Q1505="SIM",U1505=0),"ATENÇÃO: alíquota permitida, mas % = 0 🔎",
"Alíquota aplicada corretamente ✅")))</f>
        <v/>
      </c>
      <c r="Q1505" s="8" t="str">
        <f>IF(E1505="","",IFERROR(VLOOKUP(E1505,REGRAS_CST!$A$2:$D$200,4,FALSE),""))</f>
        <v/>
      </c>
      <c r="S1505" s="9">
        <f>IF($H1505="","",$H1505*(1-$U1505))</f>
        <v>8.9999999999999993E-3</v>
      </c>
      <c r="T1505" s="9">
        <f>IF($I1505="","",$I1505*(1-$U1505))</f>
        <v>1E-3</v>
      </c>
      <c r="U1505" s="16">
        <f>IFERROR(INDEX(BASE_CCLASSTRIB!$E:$E, MATCH(TEXT($D1505,"000000"), BASE_CCLASSTRIB!$A:$A, 0))/100, 0)</f>
        <v>0</v>
      </c>
      <c r="V1505" s="16">
        <f>IFERROR(INDEX(BASE_CCLASSTRIB!$F:$F, MATCH(TEXT($D1505,"000000"), BASE_CCLASSTRIB!$A:$A, 0))/100, 0)</f>
        <v>0</v>
      </c>
    </row>
    <row r="1506" spans="4:22" ht="32.25" customHeight="1">
      <c r="D1506" s="39"/>
      <c r="E1506" s="27" t="str">
        <f>IF(D1506="","",LEFT(D1506,3))</f>
        <v/>
      </c>
      <c r="F1506" s="28" t="str">
        <f>IF(E1506="","",IFERROR(VLOOKUP(E1506,REGRAS_CST!$A$2:$B$200,2,FALSE),""))</f>
        <v/>
      </c>
      <c r="H1506" s="29">
        <v>8.9999999999999993E-3</v>
      </c>
      <c r="I1506" s="29">
        <v>1E-3</v>
      </c>
      <c r="K1506" s="21" t="str">
        <f>IF(E1506="","",IFERROR(VLOOKUP(E1506,REGRAS_CST!$A$2:$C$200,3,FALSE),""))</f>
        <v/>
      </c>
      <c r="L1506" s="23" t="str">
        <f>IF($G1506="", "", $G1506*(1-$V1506))</f>
        <v/>
      </c>
      <c r="M1506" s="24" t="str">
        <f>IF(OR($L1506="",$S1506=""),"",$L1506*$S1506)</f>
        <v/>
      </c>
      <c r="N1506" s="24" t="str">
        <f>IF(OR($L1506="",$T1506=""),"",$L1506*$T1506)</f>
        <v/>
      </c>
      <c r="O1506" s="15" t="str">
        <f>IF(D1506="","",
IF(AND(K1506&lt;&gt;"SIM",V1506&gt;0),"ERRO: % BC &gt; 0, mas NÃO permitida ❌",
IF(AND(K1506="SIM",V1506=0),"ATENÇÃO: BC permitida, mas % = 0 🔎",
"Base de cálculo aplicada corretamente ✅")))</f>
        <v/>
      </c>
      <c r="P1506" s="31" t="str">
        <f>IF(D1506="","",
IF(AND(Q1506&lt;&gt;"SIM",U1506&gt;0),"ERRO: % alíquota &gt; 0, mas NÃO permitida ❌",
IF(AND(Q1506="SIM",U1506=0),"ATENÇÃO: alíquota permitida, mas % = 0 🔎",
"Alíquota aplicada corretamente ✅")))</f>
        <v/>
      </c>
      <c r="Q1506" s="8" t="str">
        <f>IF(E1506="","",IFERROR(VLOOKUP(E1506,REGRAS_CST!$A$2:$D$200,4,FALSE),""))</f>
        <v/>
      </c>
      <c r="S1506" s="9">
        <f>IF($H1506="","",$H1506*(1-$U1506))</f>
        <v>8.9999999999999993E-3</v>
      </c>
      <c r="T1506" s="9">
        <f>IF($I1506="","",$I1506*(1-$U1506))</f>
        <v>1E-3</v>
      </c>
      <c r="U1506" s="16">
        <f>IFERROR(INDEX(BASE_CCLASSTRIB!$E:$E, MATCH(TEXT($D1506,"000000"), BASE_CCLASSTRIB!$A:$A, 0))/100, 0)</f>
        <v>0</v>
      </c>
      <c r="V1506" s="16">
        <f>IFERROR(INDEX(BASE_CCLASSTRIB!$F:$F, MATCH(TEXT($D1506,"000000"), BASE_CCLASSTRIB!$A:$A, 0))/100, 0)</f>
        <v>0</v>
      </c>
    </row>
    <row r="1507" spans="4:22" ht="32.25" customHeight="1">
      <c r="D1507" s="39"/>
      <c r="E1507" s="27" t="str">
        <f>IF(D1507="","",LEFT(D1507,3))</f>
        <v/>
      </c>
      <c r="F1507" s="28" t="str">
        <f>IF(E1507="","",IFERROR(VLOOKUP(E1507,REGRAS_CST!$A$2:$B$200,2,FALSE),""))</f>
        <v/>
      </c>
      <c r="H1507" s="29">
        <v>8.9999999999999993E-3</v>
      </c>
      <c r="I1507" s="29">
        <v>1E-3</v>
      </c>
      <c r="K1507" s="21" t="str">
        <f>IF(E1507="","",IFERROR(VLOOKUP(E1507,REGRAS_CST!$A$2:$C$200,3,FALSE),""))</f>
        <v/>
      </c>
      <c r="L1507" s="23" t="str">
        <f>IF($G1507="", "", $G1507*(1-$V1507))</f>
        <v/>
      </c>
      <c r="M1507" s="24" t="str">
        <f>IF(OR($L1507="",$S1507=""),"",$L1507*$S1507)</f>
        <v/>
      </c>
      <c r="N1507" s="24" t="str">
        <f>IF(OR($L1507="",$T1507=""),"",$L1507*$T1507)</f>
        <v/>
      </c>
      <c r="O1507" s="15" t="str">
        <f>IF(D1507="","",
IF(AND(K1507&lt;&gt;"SIM",V1507&gt;0),"ERRO: % BC &gt; 0, mas NÃO permitida ❌",
IF(AND(K1507="SIM",V1507=0),"ATENÇÃO: BC permitida, mas % = 0 🔎",
"Base de cálculo aplicada corretamente ✅")))</f>
        <v/>
      </c>
      <c r="P1507" s="31" t="str">
        <f>IF(D1507="","",
IF(AND(Q1507&lt;&gt;"SIM",U1507&gt;0),"ERRO: % alíquota &gt; 0, mas NÃO permitida ❌",
IF(AND(Q1507="SIM",U1507=0),"ATENÇÃO: alíquota permitida, mas % = 0 🔎",
"Alíquota aplicada corretamente ✅")))</f>
        <v/>
      </c>
      <c r="Q1507" s="8" t="str">
        <f>IF(E1507="","",IFERROR(VLOOKUP(E1507,REGRAS_CST!$A$2:$D$200,4,FALSE),""))</f>
        <v/>
      </c>
      <c r="S1507" s="9">
        <f>IF($H1507="","",$H1507*(1-$U1507))</f>
        <v>8.9999999999999993E-3</v>
      </c>
      <c r="T1507" s="9">
        <f>IF($I1507="","",$I1507*(1-$U1507))</f>
        <v>1E-3</v>
      </c>
      <c r="U1507" s="16">
        <f>IFERROR(INDEX(BASE_CCLASSTRIB!$E:$E, MATCH(TEXT($D1507,"000000"), BASE_CCLASSTRIB!$A:$A, 0))/100, 0)</f>
        <v>0</v>
      </c>
      <c r="V1507" s="16">
        <f>IFERROR(INDEX(BASE_CCLASSTRIB!$F:$F, MATCH(TEXT($D1507,"000000"), BASE_CCLASSTRIB!$A:$A, 0))/100, 0)</f>
        <v>0</v>
      </c>
    </row>
    <row r="1508" spans="4:22" ht="32.25" customHeight="1">
      <c r="D1508" s="39"/>
      <c r="E1508" s="27" t="str">
        <f>IF(D1508="","",LEFT(D1508,3))</f>
        <v/>
      </c>
      <c r="F1508" s="28" t="str">
        <f>IF(E1508="","",IFERROR(VLOOKUP(E1508,REGRAS_CST!$A$2:$B$200,2,FALSE),""))</f>
        <v/>
      </c>
      <c r="H1508" s="29">
        <v>8.9999999999999993E-3</v>
      </c>
      <c r="I1508" s="29">
        <v>1E-3</v>
      </c>
      <c r="K1508" s="21" t="str">
        <f>IF(E1508="","",IFERROR(VLOOKUP(E1508,REGRAS_CST!$A$2:$C$200,3,FALSE),""))</f>
        <v/>
      </c>
      <c r="L1508" s="23" t="str">
        <f>IF($G1508="", "", $G1508*(1-$V1508))</f>
        <v/>
      </c>
      <c r="M1508" s="24" t="str">
        <f>IF(OR($L1508="",$S1508=""),"",$L1508*$S1508)</f>
        <v/>
      </c>
      <c r="N1508" s="24" t="str">
        <f>IF(OR($L1508="",$T1508=""),"",$L1508*$T1508)</f>
        <v/>
      </c>
      <c r="O1508" s="15" t="str">
        <f>IF(D1508="","",
IF(AND(K1508&lt;&gt;"SIM",V1508&gt;0),"ERRO: % BC &gt; 0, mas NÃO permitida ❌",
IF(AND(K1508="SIM",V1508=0),"ATENÇÃO: BC permitida, mas % = 0 🔎",
"Base de cálculo aplicada corretamente ✅")))</f>
        <v/>
      </c>
      <c r="P1508" s="31" t="str">
        <f>IF(D1508="","",
IF(AND(Q1508&lt;&gt;"SIM",U1508&gt;0),"ERRO: % alíquota &gt; 0, mas NÃO permitida ❌",
IF(AND(Q1508="SIM",U1508=0),"ATENÇÃO: alíquota permitida, mas % = 0 🔎",
"Alíquota aplicada corretamente ✅")))</f>
        <v/>
      </c>
      <c r="Q1508" s="8" t="str">
        <f>IF(E1508="","",IFERROR(VLOOKUP(E1508,REGRAS_CST!$A$2:$D$200,4,FALSE),""))</f>
        <v/>
      </c>
      <c r="S1508" s="9">
        <f>IF($H1508="","",$H1508*(1-$U1508))</f>
        <v>8.9999999999999993E-3</v>
      </c>
      <c r="T1508" s="9">
        <f>IF($I1508="","",$I1508*(1-$U1508))</f>
        <v>1E-3</v>
      </c>
      <c r="U1508" s="16">
        <f>IFERROR(INDEX(BASE_CCLASSTRIB!$E:$E, MATCH(TEXT($D1508,"000000"), BASE_CCLASSTRIB!$A:$A, 0))/100, 0)</f>
        <v>0</v>
      </c>
      <c r="V1508" s="16">
        <f>IFERROR(INDEX(BASE_CCLASSTRIB!$F:$F, MATCH(TEXT($D1508,"000000"), BASE_CCLASSTRIB!$A:$A, 0))/100, 0)</f>
        <v>0</v>
      </c>
    </row>
    <row r="1509" spans="4:22" ht="32.25" customHeight="1">
      <c r="D1509" s="39"/>
      <c r="E1509" s="27" t="str">
        <f>IF(D1509="","",LEFT(D1509,3))</f>
        <v/>
      </c>
      <c r="F1509" s="28" t="str">
        <f>IF(E1509="","",IFERROR(VLOOKUP(E1509,REGRAS_CST!$A$2:$B$200,2,FALSE),""))</f>
        <v/>
      </c>
      <c r="H1509" s="29">
        <v>8.9999999999999993E-3</v>
      </c>
      <c r="I1509" s="29">
        <v>1E-3</v>
      </c>
      <c r="K1509" s="21" t="str">
        <f>IF(E1509="","",IFERROR(VLOOKUP(E1509,REGRAS_CST!$A$2:$C$200,3,FALSE),""))</f>
        <v/>
      </c>
      <c r="L1509" s="23" t="str">
        <f>IF($G1509="", "", $G1509*(1-$V1509))</f>
        <v/>
      </c>
      <c r="M1509" s="24" t="str">
        <f>IF(OR($L1509="",$S1509=""),"",$L1509*$S1509)</f>
        <v/>
      </c>
      <c r="N1509" s="24" t="str">
        <f>IF(OR($L1509="",$T1509=""),"",$L1509*$T1509)</f>
        <v/>
      </c>
      <c r="O1509" s="15" t="str">
        <f>IF(D1509="","",
IF(AND(K1509&lt;&gt;"SIM",V1509&gt;0),"ERRO: % BC &gt; 0, mas NÃO permitida ❌",
IF(AND(K1509="SIM",V1509=0),"ATENÇÃO: BC permitida, mas % = 0 🔎",
"Base de cálculo aplicada corretamente ✅")))</f>
        <v/>
      </c>
      <c r="P1509" s="31" t="str">
        <f>IF(D1509="","",
IF(AND(Q1509&lt;&gt;"SIM",U1509&gt;0),"ERRO: % alíquota &gt; 0, mas NÃO permitida ❌",
IF(AND(Q1509="SIM",U1509=0),"ATENÇÃO: alíquota permitida, mas % = 0 🔎",
"Alíquota aplicada corretamente ✅")))</f>
        <v/>
      </c>
      <c r="Q1509" s="8" t="str">
        <f>IF(E1509="","",IFERROR(VLOOKUP(E1509,REGRAS_CST!$A$2:$D$200,4,FALSE),""))</f>
        <v/>
      </c>
      <c r="S1509" s="9">
        <f>IF($H1509="","",$H1509*(1-$U1509))</f>
        <v>8.9999999999999993E-3</v>
      </c>
      <c r="T1509" s="9">
        <f>IF($I1509="","",$I1509*(1-$U1509))</f>
        <v>1E-3</v>
      </c>
      <c r="U1509" s="16">
        <f>IFERROR(INDEX(BASE_CCLASSTRIB!$E:$E, MATCH(TEXT($D1509,"000000"), BASE_CCLASSTRIB!$A:$A, 0))/100, 0)</f>
        <v>0</v>
      </c>
      <c r="V1509" s="16">
        <f>IFERROR(INDEX(BASE_CCLASSTRIB!$F:$F, MATCH(TEXT($D1509,"000000"), BASE_CCLASSTRIB!$A:$A, 0))/100, 0)</f>
        <v>0</v>
      </c>
    </row>
    <row r="1510" spans="4:22" ht="32.25" customHeight="1">
      <c r="D1510" s="39"/>
      <c r="E1510" s="27" t="str">
        <f>IF(D1510="","",LEFT(D1510,3))</f>
        <v/>
      </c>
      <c r="F1510" s="28" t="str">
        <f>IF(E1510="","",IFERROR(VLOOKUP(E1510,REGRAS_CST!$A$2:$B$200,2,FALSE),""))</f>
        <v/>
      </c>
      <c r="H1510" s="29">
        <v>8.9999999999999993E-3</v>
      </c>
      <c r="I1510" s="29">
        <v>1E-3</v>
      </c>
      <c r="K1510" s="21" t="str">
        <f>IF(E1510="","",IFERROR(VLOOKUP(E1510,REGRAS_CST!$A$2:$C$200,3,FALSE),""))</f>
        <v/>
      </c>
      <c r="L1510" s="23" t="str">
        <f>IF($G1510="", "", $G1510*(1-$V1510))</f>
        <v/>
      </c>
      <c r="M1510" s="24" t="str">
        <f>IF(OR($L1510="",$S1510=""),"",$L1510*$S1510)</f>
        <v/>
      </c>
      <c r="N1510" s="24" t="str">
        <f>IF(OR($L1510="",$T1510=""),"",$L1510*$T1510)</f>
        <v/>
      </c>
      <c r="O1510" s="15" t="str">
        <f>IF(D1510="","",
IF(AND(K1510&lt;&gt;"SIM",V1510&gt;0),"ERRO: % BC &gt; 0, mas NÃO permitida ❌",
IF(AND(K1510="SIM",V1510=0),"ATENÇÃO: BC permitida, mas % = 0 🔎",
"Base de cálculo aplicada corretamente ✅")))</f>
        <v/>
      </c>
      <c r="P1510" s="31" t="str">
        <f>IF(D1510="","",
IF(AND(Q1510&lt;&gt;"SIM",U1510&gt;0),"ERRO: % alíquota &gt; 0, mas NÃO permitida ❌",
IF(AND(Q1510="SIM",U1510=0),"ATENÇÃO: alíquota permitida, mas % = 0 🔎",
"Alíquota aplicada corretamente ✅")))</f>
        <v/>
      </c>
      <c r="Q1510" s="8" t="str">
        <f>IF(E1510="","",IFERROR(VLOOKUP(E1510,REGRAS_CST!$A$2:$D$200,4,FALSE),""))</f>
        <v/>
      </c>
      <c r="S1510" s="9">
        <f>IF($H1510="","",$H1510*(1-$U1510))</f>
        <v>8.9999999999999993E-3</v>
      </c>
      <c r="T1510" s="9">
        <f>IF($I1510="","",$I1510*(1-$U1510))</f>
        <v>1E-3</v>
      </c>
      <c r="U1510" s="16">
        <f>IFERROR(INDEX(BASE_CCLASSTRIB!$E:$E, MATCH(TEXT($D1510,"000000"), BASE_CCLASSTRIB!$A:$A, 0))/100, 0)</f>
        <v>0</v>
      </c>
      <c r="V1510" s="16">
        <f>IFERROR(INDEX(BASE_CCLASSTRIB!$F:$F, MATCH(TEXT($D1510,"000000"), BASE_CCLASSTRIB!$A:$A, 0))/100, 0)</f>
        <v>0</v>
      </c>
    </row>
    <row r="1511" spans="4:22" ht="32.25" customHeight="1">
      <c r="D1511" s="39"/>
      <c r="E1511" s="27" t="str">
        <f>IF(D1511="","",LEFT(D1511,3))</f>
        <v/>
      </c>
      <c r="F1511" s="28" t="str">
        <f>IF(E1511="","",IFERROR(VLOOKUP(E1511,REGRAS_CST!$A$2:$B$200,2,FALSE),""))</f>
        <v/>
      </c>
      <c r="H1511" s="29">
        <v>8.9999999999999993E-3</v>
      </c>
      <c r="I1511" s="29">
        <v>1E-3</v>
      </c>
      <c r="K1511" s="21" t="str">
        <f>IF(E1511="","",IFERROR(VLOOKUP(E1511,REGRAS_CST!$A$2:$C$200,3,FALSE),""))</f>
        <v/>
      </c>
      <c r="L1511" s="23" t="str">
        <f>IF($G1511="", "", $G1511*(1-$V1511))</f>
        <v/>
      </c>
      <c r="M1511" s="24" t="str">
        <f>IF(OR($L1511="",$S1511=""),"",$L1511*$S1511)</f>
        <v/>
      </c>
      <c r="N1511" s="24" t="str">
        <f>IF(OR($L1511="",$T1511=""),"",$L1511*$T1511)</f>
        <v/>
      </c>
      <c r="O1511" s="15" t="str">
        <f>IF(D1511="","",
IF(AND(K1511&lt;&gt;"SIM",V1511&gt;0),"ERRO: % BC &gt; 0, mas NÃO permitida ❌",
IF(AND(K1511="SIM",V1511=0),"ATENÇÃO: BC permitida, mas % = 0 🔎",
"Base de cálculo aplicada corretamente ✅")))</f>
        <v/>
      </c>
      <c r="P1511" s="31" t="str">
        <f>IF(D1511="","",
IF(AND(Q1511&lt;&gt;"SIM",U1511&gt;0),"ERRO: % alíquota &gt; 0, mas NÃO permitida ❌",
IF(AND(Q1511="SIM",U1511=0),"ATENÇÃO: alíquota permitida, mas % = 0 🔎",
"Alíquota aplicada corretamente ✅")))</f>
        <v/>
      </c>
      <c r="Q1511" s="8" t="str">
        <f>IF(E1511="","",IFERROR(VLOOKUP(E1511,REGRAS_CST!$A$2:$D$200,4,FALSE),""))</f>
        <v/>
      </c>
      <c r="S1511" s="9">
        <f>IF($H1511="","",$H1511*(1-$U1511))</f>
        <v>8.9999999999999993E-3</v>
      </c>
      <c r="T1511" s="9">
        <f>IF($I1511="","",$I1511*(1-$U1511))</f>
        <v>1E-3</v>
      </c>
      <c r="U1511" s="16">
        <f>IFERROR(INDEX(BASE_CCLASSTRIB!$E:$E, MATCH(TEXT($D1511,"000000"), BASE_CCLASSTRIB!$A:$A, 0))/100, 0)</f>
        <v>0</v>
      </c>
      <c r="V1511" s="16">
        <f>IFERROR(INDEX(BASE_CCLASSTRIB!$F:$F, MATCH(TEXT($D1511,"000000"), BASE_CCLASSTRIB!$A:$A, 0))/100, 0)</f>
        <v>0</v>
      </c>
    </row>
    <row r="1512" spans="4:22" ht="32.25" customHeight="1">
      <c r="D1512" s="39"/>
      <c r="E1512" s="27" t="str">
        <f>IF(D1512="","",LEFT(D1512,3))</f>
        <v/>
      </c>
      <c r="F1512" s="28" t="str">
        <f>IF(E1512="","",IFERROR(VLOOKUP(E1512,REGRAS_CST!$A$2:$B$200,2,FALSE),""))</f>
        <v/>
      </c>
      <c r="H1512" s="29">
        <v>8.9999999999999993E-3</v>
      </c>
      <c r="I1512" s="29">
        <v>1E-3</v>
      </c>
      <c r="K1512" s="21" t="str">
        <f>IF(E1512="","",IFERROR(VLOOKUP(E1512,REGRAS_CST!$A$2:$C$200,3,FALSE),""))</f>
        <v/>
      </c>
      <c r="L1512" s="23" t="str">
        <f>IF($G1512="", "", $G1512*(1-$V1512))</f>
        <v/>
      </c>
      <c r="M1512" s="24" t="str">
        <f>IF(OR($L1512="",$S1512=""),"",$L1512*$S1512)</f>
        <v/>
      </c>
      <c r="N1512" s="24" t="str">
        <f>IF(OR($L1512="",$T1512=""),"",$L1512*$T1512)</f>
        <v/>
      </c>
      <c r="O1512" s="15" t="str">
        <f>IF(D1512="","",
IF(AND(K1512&lt;&gt;"SIM",V1512&gt;0),"ERRO: % BC &gt; 0, mas NÃO permitida ❌",
IF(AND(K1512="SIM",V1512=0),"ATENÇÃO: BC permitida, mas % = 0 🔎",
"Base de cálculo aplicada corretamente ✅")))</f>
        <v/>
      </c>
      <c r="P1512" s="31" t="str">
        <f>IF(D1512="","",
IF(AND(Q1512&lt;&gt;"SIM",U1512&gt;0),"ERRO: % alíquota &gt; 0, mas NÃO permitida ❌",
IF(AND(Q1512="SIM",U1512=0),"ATENÇÃO: alíquota permitida, mas % = 0 🔎",
"Alíquota aplicada corretamente ✅")))</f>
        <v/>
      </c>
      <c r="Q1512" s="8" t="str">
        <f>IF(E1512="","",IFERROR(VLOOKUP(E1512,REGRAS_CST!$A$2:$D$200,4,FALSE),""))</f>
        <v/>
      </c>
      <c r="S1512" s="9">
        <f>IF($H1512="","",$H1512*(1-$U1512))</f>
        <v>8.9999999999999993E-3</v>
      </c>
      <c r="T1512" s="9">
        <f>IF($I1512="","",$I1512*(1-$U1512))</f>
        <v>1E-3</v>
      </c>
      <c r="U1512" s="16">
        <f>IFERROR(INDEX(BASE_CCLASSTRIB!$E:$E, MATCH(TEXT($D1512,"000000"), BASE_CCLASSTRIB!$A:$A, 0))/100, 0)</f>
        <v>0</v>
      </c>
      <c r="V1512" s="16">
        <f>IFERROR(INDEX(BASE_CCLASSTRIB!$F:$F, MATCH(TEXT($D1512,"000000"), BASE_CCLASSTRIB!$A:$A, 0))/100, 0)</f>
        <v>0</v>
      </c>
    </row>
    <row r="1513" spans="4:22" ht="32.25" customHeight="1">
      <c r="D1513" s="39"/>
      <c r="E1513" s="27" t="str">
        <f>IF(D1513="","",LEFT(D1513,3))</f>
        <v/>
      </c>
      <c r="F1513" s="28" t="str">
        <f>IF(E1513="","",IFERROR(VLOOKUP(E1513,REGRAS_CST!$A$2:$B$200,2,FALSE),""))</f>
        <v/>
      </c>
      <c r="H1513" s="29">
        <v>8.9999999999999993E-3</v>
      </c>
      <c r="I1513" s="29">
        <v>1E-3</v>
      </c>
      <c r="K1513" s="21" t="str">
        <f>IF(E1513="","",IFERROR(VLOOKUP(E1513,REGRAS_CST!$A$2:$C$200,3,FALSE),""))</f>
        <v/>
      </c>
      <c r="L1513" s="23" t="str">
        <f>IF($G1513="", "", $G1513*(1-$V1513))</f>
        <v/>
      </c>
      <c r="M1513" s="24" t="str">
        <f>IF(OR($L1513="",$S1513=""),"",$L1513*$S1513)</f>
        <v/>
      </c>
      <c r="N1513" s="24" t="str">
        <f>IF(OR($L1513="",$T1513=""),"",$L1513*$T1513)</f>
        <v/>
      </c>
      <c r="O1513" s="15" t="str">
        <f>IF(D1513="","",
IF(AND(K1513&lt;&gt;"SIM",V1513&gt;0),"ERRO: % BC &gt; 0, mas NÃO permitida ❌",
IF(AND(K1513="SIM",V1513=0),"ATENÇÃO: BC permitida, mas % = 0 🔎",
"Base de cálculo aplicada corretamente ✅")))</f>
        <v/>
      </c>
      <c r="P1513" s="31" t="str">
        <f>IF(D1513="","",
IF(AND(Q1513&lt;&gt;"SIM",U1513&gt;0),"ERRO: % alíquota &gt; 0, mas NÃO permitida ❌",
IF(AND(Q1513="SIM",U1513=0),"ATENÇÃO: alíquota permitida, mas % = 0 🔎",
"Alíquota aplicada corretamente ✅")))</f>
        <v/>
      </c>
      <c r="Q1513" s="8" t="str">
        <f>IF(E1513="","",IFERROR(VLOOKUP(E1513,REGRAS_CST!$A$2:$D$200,4,FALSE),""))</f>
        <v/>
      </c>
      <c r="S1513" s="9">
        <f>IF($H1513="","",$H1513*(1-$U1513))</f>
        <v>8.9999999999999993E-3</v>
      </c>
      <c r="T1513" s="9">
        <f>IF($I1513="","",$I1513*(1-$U1513))</f>
        <v>1E-3</v>
      </c>
      <c r="U1513" s="16">
        <f>IFERROR(INDEX(BASE_CCLASSTRIB!$E:$E, MATCH(TEXT($D1513,"000000"), BASE_CCLASSTRIB!$A:$A, 0))/100, 0)</f>
        <v>0</v>
      </c>
      <c r="V1513" s="16">
        <f>IFERROR(INDEX(BASE_CCLASSTRIB!$F:$F, MATCH(TEXT($D1513,"000000"), BASE_CCLASSTRIB!$A:$A, 0))/100, 0)</f>
        <v>0</v>
      </c>
    </row>
    <row r="1514" spans="4:22" ht="32.25" customHeight="1">
      <c r="D1514" s="39"/>
      <c r="E1514" s="27" t="str">
        <f>IF(D1514="","",LEFT(D1514,3))</f>
        <v/>
      </c>
      <c r="F1514" s="28" t="str">
        <f>IF(E1514="","",IFERROR(VLOOKUP(E1514,REGRAS_CST!$A$2:$B$200,2,FALSE),""))</f>
        <v/>
      </c>
      <c r="H1514" s="29">
        <v>8.9999999999999993E-3</v>
      </c>
      <c r="I1514" s="29">
        <v>1E-3</v>
      </c>
      <c r="K1514" s="21" t="str">
        <f>IF(E1514="","",IFERROR(VLOOKUP(E1514,REGRAS_CST!$A$2:$C$200,3,FALSE),""))</f>
        <v/>
      </c>
      <c r="L1514" s="23" t="str">
        <f>IF($G1514="", "", $G1514*(1-$V1514))</f>
        <v/>
      </c>
      <c r="M1514" s="24" t="str">
        <f>IF(OR($L1514="",$S1514=""),"",$L1514*$S1514)</f>
        <v/>
      </c>
      <c r="N1514" s="24" t="str">
        <f>IF(OR($L1514="",$T1514=""),"",$L1514*$T1514)</f>
        <v/>
      </c>
      <c r="O1514" s="15" t="str">
        <f>IF(D1514="","",
IF(AND(K1514&lt;&gt;"SIM",V1514&gt;0),"ERRO: % BC &gt; 0, mas NÃO permitida ❌",
IF(AND(K1514="SIM",V1514=0),"ATENÇÃO: BC permitida, mas % = 0 🔎",
"Base de cálculo aplicada corretamente ✅")))</f>
        <v/>
      </c>
      <c r="P1514" s="31" t="str">
        <f>IF(D1514="","",
IF(AND(Q1514&lt;&gt;"SIM",U1514&gt;0),"ERRO: % alíquota &gt; 0, mas NÃO permitida ❌",
IF(AND(Q1514="SIM",U1514=0),"ATENÇÃO: alíquota permitida, mas % = 0 🔎",
"Alíquota aplicada corretamente ✅")))</f>
        <v/>
      </c>
      <c r="Q1514" s="8" t="str">
        <f>IF(E1514="","",IFERROR(VLOOKUP(E1514,REGRAS_CST!$A$2:$D$200,4,FALSE),""))</f>
        <v/>
      </c>
      <c r="S1514" s="9">
        <f>IF($H1514="","",$H1514*(1-$U1514))</f>
        <v>8.9999999999999993E-3</v>
      </c>
      <c r="T1514" s="9">
        <f>IF($I1514="","",$I1514*(1-$U1514))</f>
        <v>1E-3</v>
      </c>
      <c r="U1514" s="16">
        <f>IFERROR(INDEX(BASE_CCLASSTRIB!$E:$E, MATCH(TEXT($D1514,"000000"), BASE_CCLASSTRIB!$A:$A, 0))/100, 0)</f>
        <v>0</v>
      </c>
      <c r="V1514" s="16">
        <f>IFERROR(INDEX(BASE_CCLASSTRIB!$F:$F, MATCH(TEXT($D1514,"000000"), BASE_CCLASSTRIB!$A:$A, 0))/100, 0)</f>
        <v>0</v>
      </c>
    </row>
    <row r="1515" spans="4:22" ht="32.25" customHeight="1">
      <c r="D1515" s="39"/>
      <c r="E1515" s="27" t="str">
        <f>IF(D1515="","",LEFT(D1515,3))</f>
        <v/>
      </c>
      <c r="F1515" s="28" t="str">
        <f>IF(E1515="","",IFERROR(VLOOKUP(E1515,REGRAS_CST!$A$2:$B$200,2,FALSE),""))</f>
        <v/>
      </c>
      <c r="H1515" s="29">
        <v>8.9999999999999993E-3</v>
      </c>
      <c r="I1515" s="29">
        <v>1E-3</v>
      </c>
      <c r="K1515" s="21" t="str">
        <f>IF(E1515="","",IFERROR(VLOOKUP(E1515,REGRAS_CST!$A$2:$C$200,3,FALSE),""))</f>
        <v/>
      </c>
      <c r="L1515" s="23" t="str">
        <f>IF($G1515="", "", $G1515*(1-$V1515))</f>
        <v/>
      </c>
      <c r="M1515" s="24" t="str">
        <f>IF(OR($L1515="",$S1515=""),"",$L1515*$S1515)</f>
        <v/>
      </c>
      <c r="N1515" s="24" t="str">
        <f>IF(OR($L1515="",$T1515=""),"",$L1515*$T1515)</f>
        <v/>
      </c>
      <c r="O1515" s="15" t="str">
        <f>IF(D1515="","",
IF(AND(K1515&lt;&gt;"SIM",V1515&gt;0),"ERRO: % BC &gt; 0, mas NÃO permitida ❌",
IF(AND(K1515="SIM",V1515=0),"ATENÇÃO: BC permitida, mas % = 0 🔎",
"Base de cálculo aplicada corretamente ✅")))</f>
        <v/>
      </c>
      <c r="P1515" s="31" t="str">
        <f>IF(D1515="","",
IF(AND(Q1515&lt;&gt;"SIM",U1515&gt;0),"ERRO: % alíquota &gt; 0, mas NÃO permitida ❌",
IF(AND(Q1515="SIM",U1515=0),"ATENÇÃO: alíquota permitida, mas % = 0 🔎",
"Alíquota aplicada corretamente ✅")))</f>
        <v/>
      </c>
      <c r="Q1515" s="8" t="str">
        <f>IF(E1515="","",IFERROR(VLOOKUP(E1515,REGRAS_CST!$A$2:$D$200,4,FALSE),""))</f>
        <v/>
      </c>
      <c r="S1515" s="9">
        <f>IF($H1515="","",$H1515*(1-$U1515))</f>
        <v>8.9999999999999993E-3</v>
      </c>
      <c r="T1515" s="9">
        <f>IF($I1515="","",$I1515*(1-$U1515))</f>
        <v>1E-3</v>
      </c>
      <c r="U1515" s="16">
        <f>IFERROR(INDEX(BASE_CCLASSTRIB!$E:$E, MATCH(TEXT($D1515,"000000"), BASE_CCLASSTRIB!$A:$A, 0))/100, 0)</f>
        <v>0</v>
      </c>
      <c r="V1515" s="16">
        <f>IFERROR(INDEX(BASE_CCLASSTRIB!$F:$F, MATCH(TEXT($D1515,"000000"), BASE_CCLASSTRIB!$A:$A, 0))/100, 0)</f>
        <v>0</v>
      </c>
    </row>
    <row r="1516" spans="4:22" ht="32.25" customHeight="1">
      <c r="D1516" s="39"/>
      <c r="E1516" s="27" t="str">
        <f>IF(D1516="","",LEFT(D1516,3))</f>
        <v/>
      </c>
      <c r="F1516" s="28" t="str">
        <f>IF(E1516="","",IFERROR(VLOOKUP(E1516,REGRAS_CST!$A$2:$B$200,2,FALSE),""))</f>
        <v/>
      </c>
      <c r="H1516" s="29">
        <v>8.9999999999999993E-3</v>
      </c>
      <c r="I1516" s="29">
        <v>1E-3</v>
      </c>
      <c r="K1516" s="21" t="str">
        <f>IF(E1516="","",IFERROR(VLOOKUP(E1516,REGRAS_CST!$A$2:$C$200,3,FALSE),""))</f>
        <v/>
      </c>
      <c r="L1516" s="23" t="str">
        <f>IF($G1516="", "", $G1516*(1-$V1516))</f>
        <v/>
      </c>
      <c r="M1516" s="24" t="str">
        <f>IF(OR($L1516="",$S1516=""),"",$L1516*$S1516)</f>
        <v/>
      </c>
      <c r="N1516" s="24" t="str">
        <f>IF(OR($L1516="",$T1516=""),"",$L1516*$T1516)</f>
        <v/>
      </c>
      <c r="O1516" s="15" t="str">
        <f>IF(D1516="","",
IF(AND(K1516&lt;&gt;"SIM",V1516&gt;0),"ERRO: % BC &gt; 0, mas NÃO permitida ❌",
IF(AND(K1516="SIM",V1516=0),"ATENÇÃO: BC permitida, mas % = 0 🔎",
"Base de cálculo aplicada corretamente ✅")))</f>
        <v/>
      </c>
      <c r="P1516" s="31" t="str">
        <f>IF(D1516="","",
IF(AND(Q1516&lt;&gt;"SIM",U1516&gt;0),"ERRO: % alíquota &gt; 0, mas NÃO permitida ❌",
IF(AND(Q1516="SIM",U1516=0),"ATENÇÃO: alíquota permitida, mas % = 0 🔎",
"Alíquota aplicada corretamente ✅")))</f>
        <v/>
      </c>
      <c r="Q1516" s="8" t="str">
        <f>IF(E1516="","",IFERROR(VLOOKUP(E1516,REGRAS_CST!$A$2:$D$200,4,FALSE),""))</f>
        <v/>
      </c>
      <c r="S1516" s="9">
        <f>IF($H1516="","",$H1516*(1-$U1516))</f>
        <v>8.9999999999999993E-3</v>
      </c>
      <c r="T1516" s="9">
        <f>IF($I1516="","",$I1516*(1-$U1516))</f>
        <v>1E-3</v>
      </c>
      <c r="U1516" s="16">
        <f>IFERROR(INDEX(BASE_CCLASSTRIB!$E:$E, MATCH(TEXT($D1516,"000000"), BASE_CCLASSTRIB!$A:$A, 0))/100, 0)</f>
        <v>0</v>
      </c>
      <c r="V1516" s="16">
        <f>IFERROR(INDEX(BASE_CCLASSTRIB!$F:$F, MATCH(TEXT($D1516,"000000"), BASE_CCLASSTRIB!$A:$A, 0))/100, 0)</f>
        <v>0</v>
      </c>
    </row>
    <row r="1517" spans="4:22" ht="32.25" customHeight="1">
      <c r="D1517" s="40"/>
      <c r="E1517" s="27" t="str">
        <f>IF(D1517="","",LEFT(D1517,3))</f>
        <v/>
      </c>
      <c r="F1517" s="28" t="str">
        <f>IF(E1517="","",IFERROR(VLOOKUP(E1517,REGRAS_CST!$A$2:$B$200,2,FALSE),""))</f>
        <v/>
      </c>
      <c r="H1517" s="29">
        <v>8.9999999999999993E-3</v>
      </c>
      <c r="I1517" s="29">
        <v>1E-3</v>
      </c>
      <c r="K1517" s="21" t="str">
        <f>IF(E1517="","",IFERROR(VLOOKUP(E1517,REGRAS_CST!$A$2:$C$200,3,FALSE),""))</f>
        <v/>
      </c>
      <c r="L1517" s="23" t="str">
        <f>IF($G1517="", "", $G1517*(1-$V1517))</f>
        <v/>
      </c>
      <c r="M1517" s="24" t="str">
        <f>IF(OR($L1517="",$S1517=""),"",$L1517*$S1517)</f>
        <v/>
      </c>
      <c r="N1517" s="24" t="str">
        <f>IF(OR($L1517="",$T1517=""),"",$L1517*$T1517)</f>
        <v/>
      </c>
      <c r="O1517" s="15" t="str">
        <f>IF(D1517="","",
IF(AND(K1517&lt;&gt;"SIM",V1517&gt;0),"ERRO: % BC &gt; 0, mas NÃO permitida ❌",
IF(AND(K1517="SIM",V1517=0),"ATENÇÃO: BC permitida, mas % = 0 🔎",
"Base de cálculo aplicada corretamente ✅")))</f>
        <v/>
      </c>
      <c r="P1517" s="31" t="str">
        <f>IF(D1517="","",
IF(AND(Q1517&lt;&gt;"SIM",U1517&gt;0),"ERRO: % alíquota &gt; 0, mas NÃO permitida ❌",
IF(AND(Q1517="SIM",U1517=0),"ATENÇÃO: alíquota permitida, mas % = 0 🔎",
"Alíquota aplicada corretamente ✅")))</f>
        <v/>
      </c>
      <c r="Q1517" s="8" t="str">
        <f>IF(E1517="","",IFERROR(VLOOKUP(E1517,REGRAS_CST!$A$2:$D$200,4,FALSE),""))</f>
        <v/>
      </c>
      <c r="S1517" s="9">
        <f>IF($H1517="","",$H1517*(1-$U1517))</f>
        <v>8.9999999999999993E-3</v>
      </c>
      <c r="T1517" s="9">
        <f>IF($I1517="","",$I1517*(1-$U1517))</f>
        <v>1E-3</v>
      </c>
      <c r="U1517" s="16">
        <f>IFERROR(INDEX(BASE_CCLASSTRIB!$E:$E, MATCH(TEXT($D1517,"000000"), BASE_CCLASSTRIB!$A:$A, 0))/100, 0)</f>
        <v>0</v>
      </c>
      <c r="V1517" s="16">
        <f>IFERROR(INDEX(BASE_CCLASSTRIB!$F:$F, MATCH(TEXT($D1517,"000000"), BASE_CCLASSTRIB!$A:$A, 0))/100, 0)</f>
        <v>0</v>
      </c>
    </row>
    <row r="1518" spans="4:22" ht="32.25" customHeight="1">
      <c r="D1518" s="39"/>
      <c r="E1518" s="27" t="str">
        <f>IF(D1518="","",LEFT(D1518,3))</f>
        <v/>
      </c>
      <c r="F1518" s="28" t="str">
        <f>IF(E1518="","",IFERROR(VLOOKUP(E1518,REGRAS_CST!$A$2:$B$200,2,FALSE),""))</f>
        <v/>
      </c>
      <c r="H1518" s="29">
        <v>8.9999999999999993E-3</v>
      </c>
      <c r="I1518" s="29">
        <v>1E-3</v>
      </c>
      <c r="K1518" s="21" t="str">
        <f>IF(E1518="","",IFERROR(VLOOKUP(E1518,REGRAS_CST!$A$2:$C$200,3,FALSE),""))</f>
        <v/>
      </c>
      <c r="L1518" s="23" t="str">
        <f>IF($G1518="", "", $G1518*(1-$V1518))</f>
        <v/>
      </c>
      <c r="M1518" s="24" t="str">
        <f>IF(OR($L1518="",$S1518=""),"",$L1518*$S1518)</f>
        <v/>
      </c>
      <c r="N1518" s="24" t="str">
        <f>IF(OR($L1518="",$T1518=""),"",$L1518*$T1518)</f>
        <v/>
      </c>
      <c r="O1518" s="15" t="str">
        <f>IF(D1518="","",
IF(AND(K1518&lt;&gt;"SIM",V1518&gt;0),"ERRO: % BC &gt; 0, mas NÃO permitida ❌",
IF(AND(K1518="SIM",V1518=0),"ATENÇÃO: BC permitida, mas % = 0 🔎",
"Base de cálculo aplicada corretamente ✅")))</f>
        <v/>
      </c>
      <c r="P1518" s="31" t="str">
        <f>IF(D1518="","",
IF(AND(Q1518&lt;&gt;"SIM",U1518&gt;0),"ERRO: % alíquota &gt; 0, mas NÃO permitida ❌",
IF(AND(Q1518="SIM",U1518=0),"ATENÇÃO: alíquota permitida, mas % = 0 🔎",
"Alíquota aplicada corretamente ✅")))</f>
        <v/>
      </c>
      <c r="Q1518" s="8" t="str">
        <f>IF(E1518="","",IFERROR(VLOOKUP(E1518,REGRAS_CST!$A$2:$D$200,4,FALSE),""))</f>
        <v/>
      </c>
      <c r="S1518" s="9">
        <f>IF($H1518="","",$H1518*(1-$U1518))</f>
        <v>8.9999999999999993E-3</v>
      </c>
      <c r="T1518" s="9">
        <f>IF($I1518="","",$I1518*(1-$U1518))</f>
        <v>1E-3</v>
      </c>
      <c r="U1518" s="16">
        <f>IFERROR(INDEX(BASE_CCLASSTRIB!$E:$E, MATCH(TEXT($D1518,"000000"), BASE_CCLASSTRIB!$A:$A, 0))/100, 0)</f>
        <v>0</v>
      </c>
      <c r="V1518" s="16">
        <f>IFERROR(INDEX(BASE_CCLASSTRIB!$F:$F, MATCH(TEXT($D1518,"000000"), BASE_CCLASSTRIB!$A:$A, 0))/100, 0)</f>
        <v>0</v>
      </c>
    </row>
    <row r="1519" spans="4:22" ht="32.25" customHeight="1">
      <c r="D1519" s="40"/>
      <c r="E1519" s="27" t="str">
        <f>IF(D1519="","",LEFT(D1519,3))</f>
        <v/>
      </c>
      <c r="F1519" s="28" t="str">
        <f>IF(E1519="","",IFERROR(VLOOKUP(E1519,REGRAS_CST!$A$2:$B$200,2,FALSE),""))</f>
        <v/>
      </c>
      <c r="H1519" s="29">
        <v>8.9999999999999993E-3</v>
      </c>
      <c r="I1519" s="29">
        <v>1E-3</v>
      </c>
      <c r="K1519" s="21" t="str">
        <f>IF(E1519="","",IFERROR(VLOOKUP(E1519,REGRAS_CST!$A$2:$C$200,3,FALSE),""))</f>
        <v/>
      </c>
      <c r="L1519" s="23" t="str">
        <f>IF($G1519="", "", $G1519*(1-$V1519))</f>
        <v/>
      </c>
      <c r="M1519" s="24" t="str">
        <f>IF(OR($L1519="",$S1519=""),"",$L1519*$S1519)</f>
        <v/>
      </c>
      <c r="N1519" s="24" t="str">
        <f>IF(OR($L1519="",$T1519=""),"",$L1519*$T1519)</f>
        <v/>
      </c>
      <c r="O1519" s="15" t="str">
        <f>IF(D1519="","",
IF(AND(K1519&lt;&gt;"SIM",V1519&gt;0),"ERRO: % BC &gt; 0, mas NÃO permitida ❌",
IF(AND(K1519="SIM",V1519=0),"ATENÇÃO: BC permitida, mas % = 0 🔎",
"Base de cálculo aplicada corretamente ✅")))</f>
        <v/>
      </c>
      <c r="P1519" s="31" t="str">
        <f>IF(D1519="","",
IF(AND(Q1519&lt;&gt;"SIM",U1519&gt;0),"ERRO: % alíquota &gt; 0, mas NÃO permitida ❌",
IF(AND(Q1519="SIM",U1519=0),"ATENÇÃO: alíquota permitida, mas % = 0 🔎",
"Alíquota aplicada corretamente ✅")))</f>
        <v/>
      </c>
      <c r="Q1519" s="8" t="str">
        <f>IF(E1519="","",IFERROR(VLOOKUP(E1519,REGRAS_CST!$A$2:$D$200,4,FALSE),""))</f>
        <v/>
      </c>
      <c r="S1519" s="9">
        <f>IF($H1519="","",$H1519*(1-$U1519))</f>
        <v>8.9999999999999993E-3</v>
      </c>
      <c r="T1519" s="9">
        <f>IF($I1519="","",$I1519*(1-$U1519))</f>
        <v>1E-3</v>
      </c>
      <c r="U1519" s="16">
        <f>IFERROR(INDEX(BASE_CCLASSTRIB!$E:$E, MATCH(TEXT($D1519,"000000"), BASE_CCLASSTRIB!$A:$A, 0))/100, 0)</f>
        <v>0</v>
      </c>
      <c r="V1519" s="16">
        <f>IFERROR(INDEX(BASE_CCLASSTRIB!$F:$F, MATCH(TEXT($D1519,"000000"), BASE_CCLASSTRIB!$A:$A, 0))/100, 0)</f>
        <v>0</v>
      </c>
    </row>
    <row r="1520" spans="4:22" ht="32.25" customHeight="1">
      <c r="D1520" s="39"/>
      <c r="E1520" s="27" t="str">
        <f>IF(D1520="","",LEFT(D1520,3))</f>
        <v/>
      </c>
      <c r="F1520" s="28" t="str">
        <f>IF(E1520="","",IFERROR(VLOOKUP(E1520,REGRAS_CST!$A$2:$B$200,2,FALSE),""))</f>
        <v/>
      </c>
      <c r="H1520" s="29">
        <v>8.9999999999999993E-3</v>
      </c>
      <c r="I1520" s="29">
        <v>1E-3</v>
      </c>
      <c r="K1520" s="21" t="str">
        <f>IF(E1520="","",IFERROR(VLOOKUP(E1520,REGRAS_CST!$A$2:$C$200,3,FALSE),""))</f>
        <v/>
      </c>
      <c r="L1520" s="23" t="str">
        <f>IF($G1520="", "", $G1520*(1-$V1520))</f>
        <v/>
      </c>
      <c r="M1520" s="24" t="str">
        <f>IF(OR($L1520="",$S1520=""),"",$L1520*$S1520)</f>
        <v/>
      </c>
      <c r="N1520" s="24" t="str">
        <f>IF(OR($L1520="",$T1520=""),"",$L1520*$T1520)</f>
        <v/>
      </c>
      <c r="O1520" s="15" t="str">
        <f>IF(D1520="","",
IF(AND(K1520&lt;&gt;"SIM",V1520&gt;0),"ERRO: % BC &gt; 0, mas NÃO permitida ❌",
IF(AND(K1520="SIM",V1520=0),"ATENÇÃO: BC permitida, mas % = 0 🔎",
"Base de cálculo aplicada corretamente ✅")))</f>
        <v/>
      </c>
      <c r="P1520" s="31" t="str">
        <f>IF(D1520="","",
IF(AND(Q1520&lt;&gt;"SIM",U1520&gt;0),"ERRO: % alíquota &gt; 0, mas NÃO permitida ❌",
IF(AND(Q1520="SIM",U1520=0),"ATENÇÃO: alíquota permitida, mas % = 0 🔎",
"Alíquota aplicada corretamente ✅")))</f>
        <v/>
      </c>
      <c r="Q1520" s="8" t="str">
        <f>IF(E1520="","",IFERROR(VLOOKUP(E1520,REGRAS_CST!$A$2:$D$200,4,FALSE),""))</f>
        <v/>
      </c>
      <c r="S1520" s="9">
        <f>IF($H1520="","",$H1520*(1-$U1520))</f>
        <v>8.9999999999999993E-3</v>
      </c>
      <c r="T1520" s="9">
        <f>IF($I1520="","",$I1520*(1-$U1520))</f>
        <v>1E-3</v>
      </c>
      <c r="U1520" s="16">
        <f>IFERROR(INDEX(BASE_CCLASSTRIB!$E:$E, MATCH(TEXT($D1520,"000000"), BASE_CCLASSTRIB!$A:$A, 0))/100, 0)</f>
        <v>0</v>
      </c>
      <c r="V1520" s="16">
        <f>IFERROR(INDEX(BASE_CCLASSTRIB!$F:$F, MATCH(TEXT($D1520,"000000"), BASE_CCLASSTRIB!$A:$A, 0))/100, 0)</f>
        <v>0</v>
      </c>
    </row>
    <row r="1521" spans="4:22" ht="32.25" customHeight="1">
      <c r="D1521" s="39"/>
      <c r="E1521" s="27" t="str">
        <f>IF(D1521="","",LEFT(D1521,3))</f>
        <v/>
      </c>
      <c r="F1521" s="28" t="str">
        <f>IF(E1521="","",IFERROR(VLOOKUP(E1521,REGRAS_CST!$A$2:$B$200,2,FALSE),""))</f>
        <v/>
      </c>
      <c r="H1521" s="29">
        <v>8.9999999999999993E-3</v>
      </c>
      <c r="I1521" s="29">
        <v>1E-3</v>
      </c>
      <c r="K1521" s="21" t="str">
        <f>IF(E1521="","",IFERROR(VLOOKUP(E1521,REGRAS_CST!$A$2:$C$200,3,FALSE),""))</f>
        <v/>
      </c>
      <c r="L1521" s="23" t="str">
        <f>IF($G1521="", "", $G1521*(1-$V1521))</f>
        <v/>
      </c>
      <c r="M1521" s="24" t="str">
        <f>IF(OR($L1521="",$S1521=""),"",$L1521*$S1521)</f>
        <v/>
      </c>
      <c r="N1521" s="24" t="str">
        <f>IF(OR($L1521="",$T1521=""),"",$L1521*$T1521)</f>
        <v/>
      </c>
      <c r="O1521" s="15" t="str">
        <f>IF(D1521="","",
IF(AND(K1521&lt;&gt;"SIM",V1521&gt;0),"ERRO: % BC &gt; 0, mas NÃO permitida ❌",
IF(AND(K1521="SIM",V1521=0),"ATENÇÃO: BC permitida, mas % = 0 🔎",
"Base de cálculo aplicada corretamente ✅")))</f>
        <v/>
      </c>
      <c r="P1521" s="31" t="str">
        <f>IF(D1521="","",
IF(AND(Q1521&lt;&gt;"SIM",U1521&gt;0),"ERRO: % alíquota &gt; 0, mas NÃO permitida ❌",
IF(AND(Q1521="SIM",U1521=0),"ATENÇÃO: alíquota permitida, mas % = 0 🔎",
"Alíquota aplicada corretamente ✅")))</f>
        <v/>
      </c>
      <c r="Q1521" s="8" t="str">
        <f>IF(E1521="","",IFERROR(VLOOKUP(E1521,REGRAS_CST!$A$2:$D$200,4,FALSE),""))</f>
        <v/>
      </c>
      <c r="S1521" s="9">
        <f>IF($H1521="","",$H1521*(1-$U1521))</f>
        <v>8.9999999999999993E-3</v>
      </c>
      <c r="T1521" s="9">
        <f>IF($I1521="","",$I1521*(1-$U1521))</f>
        <v>1E-3</v>
      </c>
      <c r="U1521" s="16">
        <f>IFERROR(INDEX(BASE_CCLASSTRIB!$E:$E, MATCH(TEXT($D1521,"000000"), BASE_CCLASSTRIB!$A:$A, 0))/100, 0)</f>
        <v>0</v>
      </c>
      <c r="V1521" s="16">
        <f>IFERROR(INDEX(BASE_CCLASSTRIB!$F:$F, MATCH(TEXT($D1521,"000000"), BASE_CCLASSTRIB!$A:$A, 0))/100, 0)</f>
        <v>0</v>
      </c>
    </row>
    <row r="1522" spans="4:22" ht="32.25" customHeight="1">
      <c r="D1522" s="40"/>
      <c r="E1522" s="27" t="str">
        <f>IF(D1522="","",LEFT(D1522,3))</f>
        <v/>
      </c>
      <c r="F1522" s="28" t="str">
        <f>IF(E1522="","",IFERROR(VLOOKUP(E1522,REGRAS_CST!$A$2:$B$200,2,FALSE),""))</f>
        <v/>
      </c>
      <c r="H1522" s="29">
        <v>8.9999999999999993E-3</v>
      </c>
      <c r="I1522" s="29">
        <v>1E-3</v>
      </c>
      <c r="K1522" s="21" t="str">
        <f>IF(E1522="","",IFERROR(VLOOKUP(E1522,REGRAS_CST!$A$2:$C$200,3,FALSE),""))</f>
        <v/>
      </c>
      <c r="L1522" s="23" t="str">
        <f>IF($G1522="", "", $G1522*(1-$V1522))</f>
        <v/>
      </c>
      <c r="M1522" s="24" t="str">
        <f>IF(OR($L1522="",$S1522=""),"",$L1522*$S1522)</f>
        <v/>
      </c>
      <c r="N1522" s="24" t="str">
        <f>IF(OR($L1522="",$T1522=""),"",$L1522*$T1522)</f>
        <v/>
      </c>
      <c r="O1522" s="15" t="str">
        <f>IF(D1522="","",
IF(AND(K1522&lt;&gt;"SIM",V1522&gt;0),"ERRO: % BC &gt; 0, mas NÃO permitida ❌",
IF(AND(K1522="SIM",V1522=0),"ATENÇÃO: BC permitida, mas % = 0 🔎",
"Base de cálculo aplicada corretamente ✅")))</f>
        <v/>
      </c>
      <c r="P1522" s="31" t="str">
        <f>IF(D1522="","",
IF(AND(Q1522&lt;&gt;"SIM",U1522&gt;0),"ERRO: % alíquota &gt; 0, mas NÃO permitida ❌",
IF(AND(Q1522="SIM",U1522=0),"ATENÇÃO: alíquota permitida, mas % = 0 🔎",
"Alíquota aplicada corretamente ✅")))</f>
        <v/>
      </c>
      <c r="Q1522" s="8" t="str">
        <f>IF(E1522="","",IFERROR(VLOOKUP(E1522,REGRAS_CST!$A$2:$D$200,4,FALSE),""))</f>
        <v/>
      </c>
      <c r="S1522" s="9">
        <f>IF($H1522="","",$H1522*(1-$U1522))</f>
        <v>8.9999999999999993E-3</v>
      </c>
      <c r="T1522" s="9">
        <f>IF($I1522="","",$I1522*(1-$U1522))</f>
        <v>1E-3</v>
      </c>
      <c r="U1522" s="16">
        <f>IFERROR(INDEX(BASE_CCLASSTRIB!$E:$E, MATCH(TEXT($D1522,"000000"), BASE_CCLASSTRIB!$A:$A, 0))/100, 0)</f>
        <v>0</v>
      </c>
      <c r="V1522" s="16">
        <f>IFERROR(INDEX(BASE_CCLASSTRIB!$F:$F, MATCH(TEXT($D1522,"000000"), BASE_CCLASSTRIB!$A:$A, 0))/100, 0)</f>
        <v>0</v>
      </c>
    </row>
    <row r="1523" spans="4:22" ht="32.25" customHeight="1">
      <c r="D1523" s="40"/>
      <c r="E1523" s="27" t="str">
        <f>IF(D1523="","",LEFT(D1523,3))</f>
        <v/>
      </c>
      <c r="F1523" s="28" t="str">
        <f>IF(E1523="","",IFERROR(VLOOKUP(E1523,REGRAS_CST!$A$2:$B$200,2,FALSE),""))</f>
        <v/>
      </c>
      <c r="H1523" s="29">
        <v>8.9999999999999993E-3</v>
      </c>
      <c r="I1523" s="29">
        <v>1E-3</v>
      </c>
      <c r="K1523" s="21" t="str">
        <f>IF(E1523="","",IFERROR(VLOOKUP(E1523,REGRAS_CST!$A$2:$C$200,3,FALSE),""))</f>
        <v/>
      </c>
      <c r="L1523" s="23" t="str">
        <f>IF($G1523="", "", $G1523*(1-$V1523))</f>
        <v/>
      </c>
      <c r="M1523" s="24" t="str">
        <f>IF(OR($L1523="",$S1523=""),"",$L1523*$S1523)</f>
        <v/>
      </c>
      <c r="N1523" s="24" t="str">
        <f>IF(OR($L1523="",$T1523=""),"",$L1523*$T1523)</f>
        <v/>
      </c>
      <c r="O1523" s="15" t="str">
        <f>IF(D1523="","",
IF(AND(K1523&lt;&gt;"SIM",V1523&gt;0),"ERRO: % BC &gt; 0, mas NÃO permitida ❌",
IF(AND(K1523="SIM",V1523=0),"ATENÇÃO: BC permitida, mas % = 0 🔎",
"Base de cálculo aplicada corretamente ✅")))</f>
        <v/>
      </c>
      <c r="P1523" s="31" t="str">
        <f>IF(D1523="","",
IF(AND(Q1523&lt;&gt;"SIM",U1523&gt;0),"ERRO: % alíquota &gt; 0, mas NÃO permitida ❌",
IF(AND(Q1523="SIM",U1523=0),"ATENÇÃO: alíquota permitida, mas % = 0 🔎",
"Alíquota aplicada corretamente ✅")))</f>
        <v/>
      </c>
      <c r="Q1523" s="8" t="str">
        <f>IF(E1523="","",IFERROR(VLOOKUP(E1523,REGRAS_CST!$A$2:$D$200,4,FALSE),""))</f>
        <v/>
      </c>
      <c r="S1523" s="9">
        <f>IF($H1523="","",$H1523*(1-$U1523))</f>
        <v>8.9999999999999993E-3</v>
      </c>
      <c r="T1523" s="9">
        <f>IF($I1523="","",$I1523*(1-$U1523))</f>
        <v>1E-3</v>
      </c>
      <c r="U1523" s="16">
        <f>IFERROR(INDEX(BASE_CCLASSTRIB!$E:$E, MATCH(TEXT($D1523,"000000"), BASE_CCLASSTRIB!$A:$A, 0))/100, 0)</f>
        <v>0</v>
      </c>
      <c r="V1523" s="16">
        <f>IFERROR(INDEX(BASE_CCLASSTRIB!$F:$F, MATCH(TEXT($D1523,"000000"), BASE_CCLASSTRIB!$A:$A, 0))/100, 0)</f>
        <v>0</v>
      </c>
    </row>
    <row r="1524" spans="4:22" ht="32.25" customHeight="1">
      <c r="D1524" s="39"/>
      <c r="E1524" s="27" t="str">
        <f>IF(D1524="","",LEFT(D1524,3))</f>
        <v/>
      </c>
      <c r="F1524" s="28" t="str">
        <f>IF(E1524="","",IFERROR(VLOOKUP(E1524,REGRAS_CST!$A$2:$B$200,2,FALSE),""))</f>
        <v/>
      </c>
      <c r="H1524" s="29">
        <v>8.9999999999999993E-3</v>
      </c>
      <c r="I1524" s="29">
        <v>1E-3</v>
      </c>
      <c r="K1524" s="21" t="str">
        <f>IF(E1524="","",IFERROR(VLOOKUP(E1524,REGRAS_CST!$A$2:$C$200,3,FALSE),""))</f>
        <v/>
      </c>
      <c r="L1524" s="23" t="str">
        <f>IF($G1524="", "", $G1524*(1-$V1524))</f>
        <v/>
      </c>
      <c r="M1524" s="24" t="str">
        <f>IF(OR($L1524="",$S1524=""),"",$L1524*$S1524)</f>
        <v/>
      </c>
      <c r="N1524" s="24" t="str">
        <f>IF(OR($L1524="",$T1524=""),"",$L1524*$T1524)</f>
        <v/>
      </c>
      <c r="O1524" s="15" t="str">
        <f>IF(D1524="","",
IF(AND(K1524&lt;&gt;"SIM",V1524&gt;0),"ERRO: % BC &gt; 0, mas NÃO permitida ❌",
IF(AND(K1524="SIM",V1524=0),"ATENÇÃO: BC permitida, mas % = 0 🔎",
"Base de cálculo aplicada corretamente ✅")))</f>
        <v/>
      </c>
      <c r="P1524" s="31" t="str">
        <f>IF(D1524="","",
IF(AND(Q1524&lt;&gt;"SIM",U1524&gt;0),"ERRO: % alíquota &gt; 0, mas NÃO permitida ❌",
IF(AND(Q1524="SIM",U1524=0),"ATENÇÃO: alíquota permitida, mas % = 0 🔎",
"Alíquota aplicada corretamente ✅")))</f>
        <v/>
      </c>
      <c r="Q1524" s="8" t="str">
        <f>IF(E1524="","",IFERROR(VLOOKUP(E1524,REGRAS_CST!$A$2:$D$200,4,FALSE),""))</f>
        <v/>
      </c>
      <c r="S1524" s="9">
        <f>IF($H1524="","",$H1524*(1-$U1524))</f>
        <v>8.9999999999999993E-3</v>
      </c>
      <c r="T1524" s="9">
        <f>IF($I1524="","",$I1524*(1-$U1524))</f>
        <v>1E-3</v>
      </c>
      <c r="U1524" s="16">
        <f>IFERROR(INDEX(BASE_CCLASSTRIB!$E:$E, MATCH(TEXT($D1524,"000000"), BASE_CCLASSTRIB!$A:$A, 0))/100, 0)</f>
        <v>0</v>
      </c>
      <c r="V1524" s="16">
        <f>IFERROR(INDEX(BASE_CCLASSTRIB!$F:$F, MATCH(TEXT($D1524,"000000"), BASE_CCLASSTRIB!$A:$A, 0))/100, 0)</f>
        <v>0</v>
      </c>
    </row>
    <row r="1525" spans="4:22" ht="32.25" customHeight="1">
      <c r="D1525" s="39"/>
      <c r="E1525" s="27" t="str">
        <f>IF(D1525="","",LEFT(D1525,3))</f>
        <v/>
      </c>
      <c r="F1525" s="28" t="str">
        <f>IF(E1525="","",IFERROR(VLOOKUP(E1525,REGRAS_CST!$A$2:$B$200,2,FALSE),""))</f>
        <v/>
      </c>
      <c r="H1525" s="29">
        <v>8.9999999999999993E-3</v>
      </c>
      <c r="I1525" s="29">
        <v>1E-3</v>
      </c>
      <c r="K1525" s="21" t="str">
        <f>IF(E1525="","",IFERROR(VLOOKUP(E1525,REGRAS_CST!$A$2:$C$200,3,FALSE),""))</f>
        <v/>
      </c>
      <c r="L1525" s="23" t="str">
        <f>IF($G1525="", "", $G1525*(1-$V1525))</f>
        <v/>
      </c>
      <c r="M1525" s="24" t="str">
        <f>IF(OR($L1525="",$S1525=""),"",$L1525*$S1525)</f>
        <v/>
      </c>
      <c r="N1525" s="24" t="str">
        <f>IF(OR($L1525="",$T1525=""),"",$L1525*$T1525)</f>
        <v/>
      </c>
      <c r="O1525" s="15" t="str">
        <f>IF(D1525="","",
IF(AND(K1525&lt;&gt;"SIM",V1525&gt;0),"ERRO: % BC &gt; 0, mas NÃO permitida ❌",
IF(AND(K1525="SIM",V1525=0),"ATENÇÃO: BC permitida, mas % = 0 🔎",
"Base de cálculo aplicada corretamente ✅")))</f>
        <v/>
      </c>
      <c r="P1525" s="31" t="str">
        <f>IF(D1525="","",
IF(AND(Q1525&lt;&gt;"SIM",U1525&gt;0),"ERRO: % alíquota &gt; 0, mas NÃO permitida ❌",
IF(AND(Q1525="SIM",U1525=0),"ATENÇÃO: alíquota permitida, mas % = 0 🔎",
"Alíquota aplicada corretamente ✅")))</f>
        <v/>
      </c>
      <c r="Q1525" s="8" t="str">
        <f>IF(E1525="","",IFERROR(VLOOKUP(E1525,REGRAS_CST!$A$2:$D$200,4,FALSE),""))</f>
        <v/>
      </c>
      <c r="S1525" s="9">
        <f>IF($H1525="","",$H1525*(1-$U1525))</f>
        <v>8.9999999999999993E-3</v>
      </c>
      <c r="T1525" s="9">
        <f>IF($I1525="","",$I1525*(1-$U1525))</f>
        <v>1E-3</v>
      </c>
      <c r="U1525" s="16">
        <f>IFERROR(INDEX(BASE_CCLASSTRIB!$E:$E, MATCH(TEXT($D1525,"000000"), BASE_CCLASSTRIB!$A:$A, 0))/100, 0)</f>
        <v>0</v>
      </c>
      <c r="V1525" s="16">
        <f>IFERROR(INDEX(BASE_CCLASSTRIB!$F:$F, MATCH(TEXT($D1525,"000000"), BASE_CCLASSTRIB!$A:$A, 0))/100, 0)</f>
        <v>0</v>
      </c>
    </row>
    <row r="1526" spans="4:22" ht="32.25" customHeight="1">
      <c r="D1526" s="39"/>
      <c r="E1526" s="27" t="str">
        <f>IF(D1526="","",LEFT(D1526,3))</f>
        <v/>
      </c>
      <c r="F1526" s="28" t="str">
        <f>IF(E1526="","",IFERROR(VLOOKUP(E1526,REGRAS_CST!$A$2:$B$200,2,FALSE),""))</f>
        <v/>
      </c>
      <c r="H1526" s="29">
        <v>8.9999999999999993E-3</v>
      </c>
      <c r="I1526" s="29">
        <v>1E-3</v>
      </c>
      <c r="K1526" s="21" t="str">
        <f>IF(E1526="","",IFERROR(VLOOKUP(E1526,REGRAS_CST!$A$2:$C$200,3,FALSE),""))</f>
        <v/>
      </c>
      <c r="L1526" s="23" t="str">
        <f>IF($G1526="", "", $G1526*(1-$V1526))</f>
        <v/>
      </c>
      <c r="M1526" s="24" t="str">
        <f>IF(OR($L1526="",$S1526=""),"",$L1526*$S1526)</f>
        <v/>
      </c>
      <c r="N1526" s="24" t="str">
        <f>IF(OR($L1526="",$T1526=""),"",$L1526*$T1526)</f>
        <v/>
      </c>
      <c r="O1526" s="15" t="str">
        <f>IF(D1526="","",
IF(AND(K1526&lt;&gt;"SIM",V1526&gt;0),"ERRO: % BC &gt; 0, mas NÃO permitida ❌",
IF(AND(K1526="SIM",V1526=0),"ATENÇÃO: BC permitida, mas % = 0 🔎",
"Base de cálculo aplicada corretamente ✅")))</f>
        <v/>
      </c>
      <c r="P1526" s="31" t="str">
        <f>IF(D1526="","",
IF(AND(Q1526&lt;&gt;"SIM",U1526&gt;0),"ERRO: % alíquota &gt; 0, mas NÃO permitida ❌",
IF(AND(Q1526="SIM",U1526=0),"ATENÇÃO: alíquota permitida, mas % = 0 🔎",
"Alíquota aplicada corretamente ✅")))</f>
        <v/>
      </c>
      <c r="Q1526" s="8" t="str">
        <f>IF(E1526="","",IFERROR(VLOOKUP(E1526,REGRAS_CST!$A$2:$D$200,4,FALSE),""))</f>
        <v/>
      </c>
      <c r="S1526" s="9">
        <f>IF($H1526="","",$H1526*(1-$U1526))</f>
        <v>8.9999999999999993E-3</v>
      </c>
      <c r="T1526" s="9">
        <f>IF($I1526="","",$I1526*(1-$U1526))</f>
        <v>1E-3</v>
      </c>
      <c r="U1526" s="16">
        <f>IFERROR(INDEX(BASE_CCLASSTRIB!$E:$E, MATCH(TEXT($D1526,"000000"), BASE_CCLASSTRIB!$A:$A, 0))/100, 0)</f>
        <v>0</v>
      </c>
      <c r="V1526" s="16">
        <f>IFERROR(INDEX(BASE_CCLASSTRIB!$F:$F, MATCH(TEXT($D1526,"000000"), BASE_CCLASSTRIB!$A:$A, 0))/100, 0)</f>
        <v>0</v>
      </c>
    </row>
    <row r="1527" spans="4:22" ht="32.25" customHeight="1">
      <c r="D1527" s="39"/>
      <c r="E1527" s="27" t="str">
        <f>IF(D1527="","",LEFT(D1527,3))</f>
        <v/>
      </c>
      <c r="F1527" s="28" t="str">
        <f>IF(E1527="","",IFERROR(VLOOKUP(E1527,REGRAS_CST!$A$2:$B$200,2,FALSE),""))</f>
        <v/>
      </c>
      <c r="H1527" s="29">
        <v>8.9999999999999993E-3</v>
      </c>
      <c r="I1527" s="29">
        <v>1E-3</v>
      </c>
      <c r="K1527" s="21" t="str">
        <f>IF(E1527="","",IFERROR(VLOOKUP(E1527,REGRAS_CST!$A$2:$C$200,3,FALSE),""))</f>
        <v/>
      </c>
      <c r="L1527" s="23" t="str">
        <f>IF($G1527="", "", $G1527*(1-$V1527))</f>
        <v/>
      </c>
      <c r="M1527" s="24" t="str">
        <f>IF(OR($L1527="",$S1527=""),"",$L1527*$S1527)</f>
        <v/>
      </c>
      <c r="N1527" s="24" t="str">
        <f>IF(OR($L1527="",$T1527=""),"",$L1527*$T1527)</f>
        <v/>
      </c>
      <c r="O1527" s="15" t="str">
        <f>IF(D1527="","",
IF(AND(K1527&lt;&gt;"SIM",V1527&gt;0),"ERRO: % BC &gt; 0, mas NÃO permitida ❌",
IF(AND(K1527="SIM",V1527=0),"ATENÇÃO: BC permitida, mas % = 0 🔎",
"Base de cálculo aplicada corretamente ✅")))</f>
        <v/>
      </c>
      <c r="P1527" s="31" t="str">
        <f>IF(D1527="","",
IF(AND(Q1527&lt;&gt;"SIM",U1527&gt;0),"ERRO: % alíquota &gt; 0, mas NÃO permitida ❌",
IF(AND(Q1527="SIM",U1527=0),"ATENÇÃO: alíquota permitida, mas % = 0 🔎",
"Alíquota aplicada corretamente ✅")))</f>
        <v/>
      </c>
      <c r="Q1527" s="8" t="str">
        <f>IF(E1527="","",IFERROR(VLOOKUP(E1527,REGRAS_CST!$A$2:$D$200,4,FALSE),""))</f>
        <v/>
      </c>
      <c r="S1527" s="9">
        <f>IF($H1527="","",$H1527*(1-$U1527))</f>
        <v>8.9999999999999993E-3</v>
      </c>
      <c r="T1527" s="9">
        <f>IF($I1527="","",$I1527*(1-$U1527))</f>
        <v>1E-3</v>
      </c>
      <c r="U1527" s="16">
        <f>IFERROR(INDEX(BASE_CCLASSTRIB!$E:$E, MATCH(TEXT($D1527,"000000"), BASE_CCLASSTRIB!$A:$A, 0))/100, 0)</f>
        <v>0</v>
      </c>
      <c r="V1527" s="16">
        <f>IFERROR(INDEX(BASE_CCLASSTRIB!$F:$F, MATCH(TEXT($D1527,"000000"), BASE_CCLASSTRIB!$A:$A, 0))/100, 0)</f>
        <v>0</v>
      </c>
    </row>
    <row r="1528" spans="4:22" ht="32.25" customHeight="1">
      <c r="D1528" s="39"/>
      <c r="E1528" s="27" t="str">
        <f>IF(D1528="","",LEFT(D1528,3))</f>
        <v/>
      </c>
      <c r="F1528" s="28" t="str">
        <f>IF(E1528="","",IFERROR(VLOOKUP(E1528,REGRAS_CST!$A$2:$B$200,2,FALSE),""))</f>
        <v/>
      </c>
      <c r="H1528" s="29">
        <v>8.9999999999999993E-3</v>
      </c>
      <c r="I1528" s="29">
        <v>1E-3</v>
      </c>
      <c r="K1528" s="21" t="str">
        <f>IF(E1528="","",IFERROR(VLOOKUP(E1528,REGRAS_CST!$A$2:$C$200,3,FALSE),""))</f>
        <v/>
      </c>
      <c r="L1528" s="23" t="str">
        <f>IF($G1528="", "", $G1528*(1-$V1528))</f>
        <v/>
      </c>
      <c r="M1528" s="24" t="str">
        <f>IF(OR($L1528="",$S1528=""),"",$L1528*$S1528)</f>
        <v/>
      </c>
      <c r="N1528" s="24" t="str">
        <f>IF(OR($L1528="",$T1528=""),"",$L1528*$T1528)</f>
        <v/>
      </c>
      <c r="O1528" s="15" t="str">
        <f>IF(D1528="","",
IF(AND(K1528&lt;&gt;"SIM",V1528&gt;0),"ERRO: % BC &gt; 0, mas NÃO permitida ❌",
IF(AND(K1528="SIM",V1528=0),"ATENÇÃO: BC permitida, mas % = 0 🔎",
"Base de cálculo aplicada corretamente ✅")))</f>
        <v/>
      </c>
      <c r="P1528" s="31" t="str">
        <f>IF(D1528="","",
IF(AND(Q1528&lt;&gt;"SIM",U1528&gt;0),"ERRO: % alíquota &gt; 0, mas NÃO permitida ❌",
IF(AND(Q1528="SIM",U1528=0),"ATENÇÃO: alíquota permitida, mas % = 0 🔎",
"Alíquota aplicada corretamente ✅")))</f>
        <v/>
      </c>
      <c r="Q1528" s="8" t="str">
        <f>IF(E1528="","",IFERROR(VLOOKUP(E1528,REGRAS_CST!$A$2:$D$200,4,FALSE),""))</f>
        <v/>
      </c>
      <c r="S1528" s="9">
        <f>IF($H1528="","",$H1528*(1-$U1528))</f>
        <v>8.9999999999999993E-3</v>
      </c>
      <c r="T1528" s="9">
        <f>IF($I1528="","",$I1528*(1-$U1528))</f>
        <v>1E-3</v>
      </c>
      <c r="U1528" s="16">
        <f>IFERROR(INDEX(BASE_CCLASSTRIB!$E:$E, MATCH(TEXT($D1528,"000000"), BASE_CCLASSTRIB!$A:$A, 0))/100, 0)</f>
        <v>0</v>
      </c>
      <c r="V1528" s="16">
        <f>IFERROR(INDEX(BASE_CCLASSTRIB!$F:$F, MATCH(TEXT($D1528,"000000"), BASE_CCLASSTRIB!$A:$A, 0))/100, 0)</f>
        <v>0</v>
      </c>
    </row>
    <row r="1529" spans="4:22" ht="32.25" customHeight="1">
      <c r="D1529" s="39"/>
      <c r="E1529" s="27" t="str">
        <f>IF(D1529="","",LEFT(D1529,3))</f>
        <v/>
      </c>
      <c r="F1529" s="28" t="str">
        <f>IF(E1529="","",IFERROR(VLOOKUP(E1529,REGRAS_CST!$A$2:$B$200,2,FALSE),""))</f>
        <v/>
      </c>
      <c r="H1529" s="29">
        <v>8.9999999999999993E-3</v>
      </c>
      <c r="I1529" s="29">
        <v>1E-3</v>
      </c>
      <c r="K1529" s="21" t="str">
        <f>IF(E1529="","",IFERROR(VLOOKUP(E1529,REGRAS_CST!$A$2:$C$200,3,FALSE),""))</f>
        <v/>
      </c>
      <c r="L1529" s="23" t="str">
        <f>IF($G1529="", "", $G1529*(1-$V1529))</f>
        <v/>
      </c>
      <c r="M1529" s="24" t="str">
        <f>IF(OR($L1529="",$S1529=""),"",$L1529*$S1529)</f>
        <v/>
      </c>
      <c r="N1529" s="24" t="str">
        <f>IF(OR($L1529="",$T1529=""),"",$L1529*$T1529)</f>
        <v/>
      </c>
      <c r="O1529" s="15" t="str">
        <f>IF(D1529="","",
IF(AND(K1529&lt;&gt;"SIM",V1529&gt;0),"ERRO: % BC &gt; 0, mas NÃO permitida ❌",
IF(AND(K1529="SIM",V1529=0),"ATENÇÃO: BC permitida, mas % = 0 🔎",
"Base de cálculo aplicada corretamente ✅")))</f>
        <v/>
      </c>
      <c r="P1529" s="31" t="str">
        <f>IF(D1529="","",
IF(AND(Q1529&lt;&gt;"SIM",U1529&gt;0),"ERRO: % alíquota &gt; 0, mas NÃO permitida ❌",
IF(AND(Q1529="SIM",U1529=0),"ATENÇÃO: alíquota permitida, mas % = 0 🔎",
"Alíquota aplicada corretamente ✅")))</f>
        <v/>
      </c>
      <c r="Q1529" s="8" t="str">
        <f>IF(E1529="","",IFERROR(VLOOKUP(E1529,REGRAS_CST!$A$2:$D$200,4,FALSE),""))</f>
        <v/>
      </c>
      <c r="S1529" s="9">
        <f>IF($H1529="","",$H1529*(1-$U1529))</f>
        <v>8.9999999999999993E-3</v>
      </c>
      <c r="T1529" s="9">
        <f>IF($I1529="","",$I1529*(1-$U1529))</f>
        <v>1E-3</v>
      </c>
      <c r="U1529" s="16">
        <f>IFERROR(INDEX(BASE_CCLASSTRIB!$E:$E, MATCH(TEXT($D1529,"000000"), BASE_CCLASSTRIB!$A:$A, 0))/100, 0)</f>
        <v>0</v>
      </c>
      <c r="V1529" s="16">
        <f>IFERROR(INDEX(BASE_CCLASSTRIB!$F:$F, MATCH(TEXT($D1529,"000000"), BASE_CCLASSTRIB!$A:$A, 0))/100, 0)</f>
        <v>0</v>
      </c>
    </row>
    <row r="1530" spans="4:22" ht="32.25" customHeight="1">
      <c r="D1530" s="40"/>
      <c r="E1530" s="27" t="str">
        <f>IF(D1530="","",LEFT(D1530,3))</f>
        <v/>
      </c>
      <c r="F1530" s="28" t="str">
        <f>IF(E1530="","",IFERROR(VLOOKUP(E1530,REGRAS_CST!$A$2:$B$200,2,FALSE),""))</f>
        <v/>
      </c>
      <c r="H1530" s="29">
        <v>8.9999999999999993E-3</v>
      </c>
      <c r="I1530" s="29">
        <v>1E-3</v>
      </c>
      <c r="K1530" s="21" t="str">
        <f>IF(E1530="","",IFERROR(VLOOKUP(E1530,REGRAS_CST!$A$2:$C$200,3,FALSE),""))</f>
        <v/>
      </c>
      <c r="L1530" s="23" t="str">
        <f>IF($G1530="", "", $G1530*(1-$V1530))</f>
        <v/>
      </c>
      <c r="M1530" s="24" t="str">
        <f>IF(OR($L1530="",$S1530=""),"",$L1530*$S1530)</f>
        <v/>
      </c>
      <c r="N1530" s="24" t="str">
        <f>IF(OR($L1530="",$T1530=""),"",$L1530*$T1530)</f>
        <v/>
      </c>
      <c r="O1530" s="15" t="str">
        <f>IF(D1530="","",
IF(AND(K1530&lt;&gt;"SIM",V1530&gt;0),"ERRO: % BC &gt; 0, mas NÃO permitida ❌",
IF(AND(K1530="SIM",V1530=0),"ATENÇÃO: BC permitida, mas % = 0 🔎",
"Base de cálculo aplicada corretamente ✅")))</f>
        <v/>
      </c>
      <c r="P1530" s="31" t="str">
        <f>IF(D1530="","",
IF(AND(Q1530&lt;&gt;"SIM",U1530&gt;0),"ERRO: % alíquota &gt; 0, mas NÃO permitida ❌",
IF(AND(Q1530="SIM",U1530=0),"ATENÇÃO: alíquota permitida, mas % = 0 🔎",
"Alíquota aplicada corretamente ✅")))</f>
        <v/>
      </c>
      <c r="Q1530" s="8" t="str">
        <f>IF(E1530="","",IFERROR(VLOOKUP(E1530,REGRAS_CST!$A$2:$D$200,4,FALSE),""))</f>
        <v/>
      </c>
      <c r="S1530" s="9">
        <f>IF($H1530="","",$H1530*(1-$U1530))</f>
        <v>8.9999999999999993E-3</v>
      </c>
      <c r="T1530" s="9">
        <f>IF($I1530="","",$I1530*(1-$U1530))</f>
        <v>1E-3</v>
      </c>
      <c r="U1530" s="16">
        <f>IFERROR(INDEX(BASE_CCLASSTRIB!$E:$E, MATCH(TEXT($D1530,"000000"), BASE_CCLASSTRIB!$A:$A, 0))/100, 0)</f>
        <v>0</v>
      </c>
      <c r="V1530" s="16">
        <f>IFERROR(INDEX(BASE_CCLASSTRIB!$F:$F, MATCH(TEXT($D1530,"000000"), BASE_CCLASSTRIB!$A:$A, 0))/100, 0)</f>
        <v>0</v>
      </c>
    </row>
    <row r="1531" spans="4:22" ht="32.25" customHeight="1">
      <c r="D1531" s="39"/>
      <c r="E1531" s="27" t="str">
        <f>IF(D1531="","",LEFT(D1531,3))</f>
        <v/>
      </c>
      <c r="F1531" s="28" t="str">
        <f>IF(E1531="","",IFERROR(VLOOKUP(E1531,REGRAS_CST!$A$2:$B$200,2,FALSE),""))</f>
        <v/>
      </c>
      <c r="H1531" s="29">
        <v>8.9999999999999993E-3</v>
      </c>
      <c r="I1531" s="29">
        <v>1E-3</v>
      </c>
      <c r="K1531" s="21" t="str">
        <f>IF(E1531="","",IFERROR(VLOOKUP(E1531,REGRAS_CST!$A$2:$C$200,3,FALSE),""))</f>
        <v/>
      </c>
      <c r="L1531" s="23" t="str">
        <f>IF($G1531="", "", $G1531*(1-$V1531))</f>
        <v/>
      </c>
      <c r="M1531" s="24" t="str">
        <f>IF(OR($L1531="",$S1531=""),"",$L1531*$S1531)</f>
        <v/>
      </c>
      <c r="N1531" s="24" t="str">
        <f>IF(OR($L1531="",$T1531=""),"",$L1531*$T1531)</f>
        <v/>
      </c>
      <c r="O1531" s="15" t="str">
        <f>IF(D1531="","",
IF(AND(K1531&lt;&gt;"SIM",V1531&gt;0),"ERRO: % BC &gt; 0, mas NÃO permitida ❌",
IF(AND(K1531="SIM",V1531=0),"ATENÇÃO: BC permitida, mas % = 0 🔎",
"Base de cálculo aplicada corretamente ✅")))</f>
        <v/>
      </c>
      <c r="P1531" s="31" t="str">
        <f>IF(D1531="","",
IF(AND(Q1531&lt;&gt;"SIM",U1531&gt;0),"ERRO: % alíquota &gt; 0, mas NÃO permitida ❌",
IF(AND(Q1531="SIM",U1531=0),"ATENÇÃO: alíquota permitida, mas % = 0 🔎",
"Alíquota aplicada corretamente ✅")))</f>
        <v/>
      </c>
      <c r="Q1531" s="8" t="str">
        <f>IF(E1531="","",IFERROR(VLOOKUP(E1531,REGRAS_CST!$A$2:$D$200,4,FALSE),""))</f>
        <v/>
      </c>
      <c r="S1531" s="9">
        <f>IF($H1531="","",$H1531*(1-$U1531))</f>
        <v>8.9999999999999993E-3</v>
      </c>
      <c r="T1531" s="9">
        <f>IF($I1531="","",$I1531*(1-$U1531))</f>
        <v>1E-3</v>
      </c>
      <c r="U1531" s="16">
        <f>IFERROR(INDEX(BASE_CCLASSTRIB!$E:$E, MATCH(TEXT($D1531,"000000"), BASE_CCLASSTRIB!$A:$A, 0))/100, 0)</f>
        <v>0</v>
      </c>
      <c r="V1531" s="16">
        <f>IFERROR(INDEX(BASE_CCLASSTRIB!$F:$F, MATCH(TEXT($D1531,"000000"), BASE_CCLASSTRIB!$A:$A, 0))/100, 0)</f>
        <v>0</v>
      </c>
    </row>
    <row r="1532" spans="4:22" ht="32.25" customHeight="1">
      <c r="D1532" s="39"/>
      <c r="E1532" s="27" t="str">
        <f>IF(D1532="","",LEFT(D1532,3))</f>
        <v/>
      </c>
      <c r="F1532" s="28" t="str">
        <f>IF(E1532="","",IFERROR(VLOOKUP(E1532,REGRAS_CST!$A$2:$B$200,2,FALSE),""))</f>
        <v/>
      </c>
      <c r="H1532" s="29">
        <v>8.9999999999999993E-3</v>
      </c>
      <c r="I1532" s="29">
        <v>1E-3</v>
      </c>
      <c r="K1532" s="21" t="str">
        <f>IF(E1532="","",IFERROR(VLOOKUP(E1532,REGRAS_CST!$A$2:$C$200,3,FALSE),""))</f>
        <v/>
      </c>
      <c r="L1532" s="23" t="str">
        <f>IF($G1532="", "", $G1532*(1-$V1532))</f>
        <v/>
      </c>
      <c r="M1532" s="24" t="str">
        <f>IF(OR($L1532="",$S1532=""),"",$L1532*$S1532)</f>
        <v/>
      </c>
      <c r="N1532" s="24" t="str">
        <f>IF(OR($L1532="",$T1532=""),"",$L1532*$T1532)</f>
        <v/>
      </c>
      <c r="O1532" s="15" t="str">
        <f>IF(D1532="","",
IF(AND(K1532&lt;&gt;"SIM",V1532&gt;0),"ERRO: % BC &gt; 0, mas NÃO permitida ❌",
IF(AND(K1532="SIM",V1532=0),"ATENÇÃO: BC permitida, mas % = 0 🔎",
"Base de cálculo aplicada corretamente ✅")))</f>
        <v/>
      </c>
      <c r="P1532" s="31" t="str">
        <f>IF(D1532="","",
IF(AND(Q1532&lt;&gt;"SIM",U1532&gt;0),"ERRO: % alíquota &gt; 0, mas NÃO permitida ❌",
IF(AND(Q1532="SIM",U1532=0),"ATENÇÃO: alíquota permitida, mas % = 0 🔎",
"Alíquota aplicada corretamente ✅")))</f>
        <v/>
      </c>
      <c r="Q1532" s="8" t="str">
        <f>IF(E1532="","",IFERROR(VLOOKUP(E1532,REGRAS_CST!$A$2:$D$200,4,FALSE),""))</f>
        <v/>
      </c>
      <c r="S1532" s="9">
        <f>IF($H1532="","",$H1532*(1-$U1532))</f>
        <v>8.9999999999999993E-3</v>
      </c>
      <c r="T1532" s="9">
        <f>IF($I1532="","",$I1532*(1-$U1532))</f>
        <v>1E-3</v>
      </c>
      <c r="U1532" s="16">
        <f>IFERROR(INDEX(BASE_CCLASSTRIB!$E:$E, MATCH(TEXT($D1532,"000000"), BASE_CCLASSTRIB!$A:$A, 0))/100, 0)</f>
        <v>0</v>
      </c>
      <c r="V1532" s="16">
        <f>IFERROR(INDEX(BASE_CCLASSTRIB!$F:$F, MATCH(TEXT($D1532,"000000"), BASE_CCLASSTRIB!$A:$A, 0))/100, 0)</f>
        <v>0</v>
      </c>
    </row>
    <row r="1533" spans="4:22" ht="32.25" customHeight="1">
      <c r="D1533" s="39"/>
      <c r="E1533" s="27" t="str">
        <f>IF(D1533="","",LEFT(D1533,3))</f>
        <v/>
      </c>
      <c r="F1533" s="28" t="str">
        <f>IF(E1533="","",IFERROR(VLOOKUP(E1533,REGRAS_CST!$A$2:$B$200,2,FALSE),""))</f>
        <v/>
      </c>
      <c r="H1533" s="29">
        <v>8.9999999999999993E-3</v>
      </c>
      <c r="I1533" s="29">
        <v>1E-3</v>
      </c>
      <c r="K1533" s="21" t="str">
        <f>IF(E1533="","",IFERROR(VLOOKUP(E1533,REGRAS_CST!$A$2:$C$200,3,FALSE),""))</f>
        <v/>
      </c>
      <c r="L1533" s="23" t="str">
        <f>IF($G1533="", "", $G1533*(1-$V1533))</f>
        <v/>
      </c>
      <c r="M1533" s="24" t="str">
        <f>IF(OR($L1533="",$S1533=""),"",$L1533*$S1533)</f>
        <v/>
      </c>
      <c r="N1533" s="24" t="str">
        <f>IF(OR($L1533="",$T1533=""),"",$L1533*$T1533)</f>
        <v/>
      </c>
      <c r="O1533" s="15" t="str">
        <f>IF(D1533="","",
IF(AND(K1533&lt;&gt;"SIM",V1533&gt;0),"ERRO: % BC &gt; 0, mas NÃO permitida ❌",
IF(AND(K1533="SIM",V1533=0),"ATENÇÃO: BC permitida, mas % = 0 🔎",
"Base de cálculo aplicada corretamente ✅")))</f>
        <v/>
      </c>
      <c r="P1533" s="31" t="str">
        <f>IF(D1533="","",
IF(AND(Q1533&lt;&gt;"SIM",U1533&gt;0),"ERRO: % alíquota &gt; 0, mas NÃO permitida ❌",
IF(AND(Q1533="SIM",U1533=0),"ATENÇÃO: alíquota permitida, mas % = 0 🔎",
"Alíquota aplicada corretamente ✅")))</f>
        <v/>
      </c>
      <c r="Q1533" s="8" t="str">
        <f>IF(E1533="","",IFERROR(VLOOKUP(E1533,REGRAS_CST!$A$2:$D$200,4,FALSE),""))</f>
        <v/>
      </c>
      <c r="S1533" s="9">
        <f>IF($H1533="","",$H1533*(1-$U1533))</f>
        <v>8.9999999999999993E-3</v>
      </c>
      <c r="T1533" s="9">
        <f>IF($I1533="","",$I1533*(1-$U1533))</f>
        <v>1E-3</v>
      </c>
      <c r="U1533" s="16">
        <f>IFERROR(INDEX(BASE_CCLASSTRIB!$E:$E, MATCH(TEXT($D1533,"000000"), BASE_CCLASSTRIB!$A:$A, 0))/100, 0)</f>
        <v>0</v>
      </c>
      <c r="V1533" s="16">
        <f>IFERROR(INDEX(BASE_CCLASSTRIB!$F:$F, MATCH(TEXT($D1533,"000000"), BASE_CCLASSTRIB!$A:$A, 0))/100, 0)</f>
        <v>0</v>
      </c>
    </row>
    <row r="1534" spans="4:22" ht="32.25" customHeight="1">
      <c r="D1534" s="40"/>
      <c r="E1534" s="27" t="str">
        <f>IF(D1534="","",LEFT(D1534,3))</f>
        <v/>
      </c>
      <c r="F1534" s="28" t="str">
        <f>IF(E1534="","",IFERROR(VLOOKUP(E1534,REGRAS_CST!$A$2:$B$200,2,FALSE),""))</f>
        <v/>
      </c>
      <c r="H1534" s="29">
        <v>8.9999999999999993E-3</v>
      </c>
      <c r="I1534" s="29">
        <v>1E-3</v>
      </c>
      <c r="K1534" s="21" t="str">
        <f>IF(E1534="","",IFERROR(VLOOKUP(E1534,REGRAS_CST!$A$2:$C$200,3,FALSE),""))</f>
        <v/>
      </c>
      <c r="L1534" s="23" t="str">
        <f>IF($G1534="", "", $G1534*(1-$V1534))</f>
        <v/>
      </c>
      <c r="M1534" s="24" t="str">
        <f>IF(OR($L1534="",$S1534=""),"",$L1534*$S1534)</f>
        <v/>
      </c>
      <c r="N1534" s="24" t="str">
        <f>IF(OR($L1534="",$T1534=""),"",$L1534*$T1534)</f>
        <v/>
      </c>
      <c r="O1534" s="15" t="str">
        <f>IF(D1534="","",
IF(AND(K1534&lt;&gt;"SIM",V1534&gt;0),"ERRO: % BC &gt; 0, mas NÃO permitida ❌",
IF(AND(K1534="SIM",V1534=0),"ATENÇÃO: BC permitida, mas % = 0 🔎",
"Base de cálculo aplicada corretamente ✅")))</f>
        <v/>
      </c>
      <c r="P1534" s="31" t="str">
        <f>IF(D1534="","",
IF(AND(Q1534&lt;&gt;"SIM",U1534&gt;0),"ERRO: % alíquota &gt; 0, mas NÃO permitida ❌",
IF(AND(Q1534="SIM",U1534=0),"ATENÇÃO: alíquota permitida, mas % = 0 🔎",
"Alíquota aplicada corretamente ✅")))</f>
        <v/>
      </c>
      <c r="Q1534" s="8" t="str">
        <f>IF(E1534="","",IFERROR(VLOOKUP(E1534,REGRAS_CST!$A$2:$D$200,4,FALSE),""))</f>
        <v/>
      </c>
      <c r="S1534" s="9">
        <f>IF($H1534="","",$H1534*(1-$U1534))</f>
        <v>8.9999999999999993E-3</v>
      </c>
      <c r="T1534" s="9">
        <f>IF($I1534="","",$I1534*(1-$U1534))</f>
        <v>1E-3</v>
      </c>
      <c r="U1534" s="16">
        <f>IFERROR(INDEX(BASE_CCLASSTRIB!$E:$E, MATCH(TEXT($D1534,"000000"), BASE_CCLASSTRIB!$A:$A, 0))/100, 0)</f>
        <v>0</v>
      </c>
      <c r="V1534" s="16">
        <f>IFERROR(INDEX(BASE_CCLASSTRIB!$F:$F, MATCH(TEXT($D1534,"000000"), BASE_CCLASSTRIB!$A:$A, 0))/100, 0)</f>
        <v>0</v>
      </c>
    </row>
    <row r="1535" spans="4:22" ht="32.25" customHeight="1">
      <c r="D1535" s="40"/>
      <c r="E1535" s="27" t="str">
        <f>IF(D1535="","",LEFT(D1535,3))</f>
        <v/>
      </c>
      <c r="F1535" s="28" t="str">
        <f>IF(E1535="","",IFERROR(VLOOKUP(E1535,REGRAS_CST!$A$2:$B$200,2,FALSE),""))</f>
        <v/>
      </c>
      <c r="H1535" s="29">
        <v>8.9999999999999993E-3</v>
      </c>
      <c r="I1535" s="29">
        <v>1E-3</v>
      </c>
      <c r="K1535" s="21" t="str">
        <f>IF(E1535="","",IFERROR(VLOOKUP(E1535,REGRAS_CST!$A$2:$C$200,3,FALSE),""))</f>
        <v/>
      </c>
      <c r="L1535" s="23" t="str">
        <f>IF($G1535="", "", $G1535*(1-$V1535))</f>
        <v/>
      </c>
      <c r="M1535" s="24" t="str">
        <f>IF(OR($L1535="",$S1535=""),"",$L1535*$S1535)</f>
        <v/>
      </c>
      <c r="N1535" s="24" t="str">
        <f>IF(OR($L1535="",$T1535=""),"",$L1535*$T1535)</f>
        <v/>
      </c>
      <c r="O1535" s="15" t="str">
        <f>IF(D1535="","",
IF(AND(K1535&lt;&gt;"SIM",V1535&gt;0),"ERRO: % BC &gt; 0, mas NÃO permitida ❌",
IF(AND(K1535="SIM",V1535=0),"ATENÇÃO: BC permitida, mas % = 0 🔎",
"Base de cálculo aplicada corretamente ✅")))</f>
        <v/>
      </c>
      <c r="P1535" s="31" t="str">
        <f>IF(D1535="","",
IF(AND(Q1535&lt;&gt;"SIM",U1535&gt;0),"ERRO: % alíquota &gt; 0, mas NÃO permitida ❌",
IF(AND(Q1535="SIM",U1535=0),"ATENÇÃO: alíquota permitida, mas % = 0 🔎",
"Alíquota aplicada corretamente ✅")))</f>
        <v/>
      </c>
      <c r="Q1535" s="8" t="str">
        <f>IF(E1535="","",IFERROR(VLOOKUP(E1535,REGRAS_CST!$A$2:$D$200,4,FALSE),""))</f>
        <v/>
      </c>
      <c r="S1535" s="9">
        <f>IF($H1535="","",$H1535*(1-$U1535))</f>
        <v>8.9999999999999993E-3</v>
      </c>
      <c r="T1535" s="9">
        <f>IF($I1535="","",$I1535*(1-$U1535))</f>
        <v>1E-3</v>
      </c>
      <c r="U1535" s="16">
        <f>IFERROR(INDEX(BASE_CCLASSTRIB!$E:$E, MATCH(TEXT($D1535,"000000"), BASE_CCLASSTRIB!$A:$A, 0))/100, 0)</f>
        <v>0</v>
      </c>
      <c r="V1535" s="16">
        <f>IFERROR(INDEX(BASE_CCLASSTRIB!$F:$F, MATCH(TEXT($D1535,"000000"), BASE_CCLASSTRIB!$A:$A, 0))/100, 0)</f>
        <v>0</v>
      </c>
    </row>
    <row r="1536" spans="4:22" ht="32.25" customHeight="1">
      <c r="D1536" s="39"/>
      <c r="E1536" s="27" t="str">
        <f>IF(D1536="","",LEFT(D1536,3))</f>
        <v/>
      </c>
      <c r="F1536" s="28" t="str">
        <f>IF(E1536="","",IFERROR(VLOOKUP(E1536,REGRAS_CST!$A$2:$B$200,2,FALSE),""))</f>
        <v/>
      </c>
      <c r="H1536" s="29">
        <v>8.9999999999999993E-3</v>
      </c>
      <c r="I1536" s="29">
        <v>1E-3</v>
      </c>
      <c r="K1536" s="21" t="str">
        <f>IF(E1536="","",IFERROR(VLOOKUP(E1536,REGRAS_CST!$A$2:$C$200,3,FALSE),""))</f>
        <v/>
      </c>
      <c r="L1536" s="23" t="str">
        <f>IF($G1536="", "", $G1536*(1-$V1536))</f>
        <v/>
      </c>
      <c r="M1536" s="24" t="str">
        <f>IF(OR($L1536="",$S1536=""),"",$L1536*$S1536)</f>
        <v/>
      </c>
      <c r="N1536" s="24" t="str">
        <f>IF(OR($L1536="",$T1536=""),"",$L1536*$T1536)</f>
        <v/>
      </c>
      <c r="O1536" s="15" t="str">
        <f>IF(D1536="","",
IF(AND(K1536&lt;&gt;"SIM",V1536&gt;0),"ERRO: % BC &gt; 0, mas NÃO permitida ❌",
IF(AND(K1536="SIM",V1536=0),"ATENÇÃO: BC permitida, mas % = 0 🔎",
"Base de cálculo aplicada corretamente ✅")))</f>
        <v/>
      </c>
      <c r="P1536" s="31" t="str">
        <f>IF(D1536="","",
IF(AND(Q1536&lt;&gt;"SIM",U1536&gt;0),"ERRO: % alíquota &gt; 0, mas NÃO permitida ❌",
IF(AND(Q1536="SIM",U1536=0),"ATENÇÃO: alíquota permitida, mas % = 0 🔎",
"Alíquota aplicada corretamente ✅")))</f>
        <v/>
      </c>
      <c r="Q1536" s="8" t="str">
        <f>IF(E1536="","",IFERROR(VLOOKUP(E1536,REGRAS_CST!$A$2:$D$200,4,FALSE),""))</f>
        <v/>
      </c>
      <c r="S1536" s="9">
        <f>IF($H1536="","",$H1536*(1-$U1536))</f>
        <v>8.9999999999999993E-3</v>
      </c>
      <c r="T1536" s="9">
        <f>IF($I1536="","",$I1536*(1-$U1536))</f>
        <v>1E-3</v>
      </c>
      <c r="U1536" s="16">
        <f>IFERROR(INDEX(BASE_CCLASSTRIB!$E:$E, MATCH(TEXT($D1536,"000000"), BASE_CCLASSTRIB!$A:$A, 0))/100, 0)</f>
        <v>0</v>
      </c>
      <c r="V1536" s="16">
        <f>IFERROR(INDEX(BASE_CCLASSTRIB!$F:$F, MATCH(TEXT($D1536,"000000"), BASE_CCLASSTRIB!$A:$A, 0))/100, 0)</f>
        <v>0</v>
      </c>
    </row>
    <row r="1537" spans="4:22" ht="32.25" customHeight="1">
      <c r="D1537" s="39"/>
      <c r="E1537" s="27" t="str">
        <f>IF(D1537="","",LEFT(D1537,3))</f>
        <v/>
      </c>
      <c r="F1537" s="28" t="str">
        <f>IF(E1537="","",IFERROR(VLOOKUP(E1537,REGRAS_CST!$A$2:$B$200,2,FALSE),""))</f>
        <v/>
      </c>
      <c r="H1537" s="29">
        <v>8.9999999999999993E-3</v>
      </c>
      <c r="I1537" s="29">
        <v>1E-3</v>
      </c>
      <c r="K1537" s="21" t="str">
        <f>IF(E1537="","",IFERROR(VLOOKUP(E1537,REGRAS_CST!$A$2:$C$200,3,FALSE),""))</f>
        <v/>
      </c>
      <c r="L1537" s="23" t="str">
        <f>IF($G1537="", "", $G1537*(1-$V1537))</f>
        <v/>
      </c>
      <c r="M1537" s="24" t="str">
        <f>IF(OR($L1537="",$S1537=""),"",$L1537*$S1537)</f>
        <v/>
      </c>
      <c r="N1537" s="24" t="str">
        <f>IF(OR($L1537="",$T1537=""),"",$L1537*$T1537)</f>
        <v/>
      </c>
      <c r="O1537" s="15" t="str">
        <f>IF(D1537="","",
IF(AND(K1537&lt;&gt;"SIM",V1537&gt;0),"ERRO: % BC &gt; 0, mas NÃO permitida ❌",
IF(AND(K1537="SIM",V1537=0),"ATENÇÃO: BC permitida, mas % = 0 🔎",
"Base de cálculo aplicada corretamente ✅")))</f>
        <v/>
      </c>
      <c r="P1537" s="31" t="str">
        <f>IF(D1537="","",
IF(AND(Q1537&lt;&gt;"SIM",U1537&gt;0),"ERRO: % alíquota &gt; 0, mas NÃO permitida ❌",
IF(AND(Q1537="SIM",U1537=0),"ATENÇÃO: alíquota permitida, mas % = 0 🔎",
"Alíquota aplicada corretamente ✅")))</f>
        <v/>
      </c>
      <c r="Q1537" s="8" t="str">
        <f>IF(E1537="","",IFERROR(VLOOKUP(E1537,REGRAS_CST!$A$2:$D$200,4,FALSE),""))</f>
        <v/>
      </c>
      <c r="S1537" s="9">
        <f>IF($H1537="","",$H1537*(1-$U1537))</f>
        <v>8.9999999999999993E-3</v>
      </c>
      <c r="T1537" s="9">
        <f>IF($I1537="","",$I1537*(1-$U1537))</f>
        <v>1E-3</v>
      </c>
      <c r="U1537" s="16">
        <f>IFERROR(INDEX(BASE_CCLASSTRIB!$E:$E, MATCH(TEXT($D1537,"000000"), BASE_CCLASSTRIB!$A:$A, 0))/100, 0)</f>
        <v>0</v>
      </c>
      <c r="V1537" s="16">
        <f>IFERROR(INDEX(BASE_CCLASSTRIB!$F:$F, MATCH(TEXT($D1537,"000000"), BASE_CCLASSTRIB!$A:$A, 0))/100, 0)</f>
        <v>0</v>
      </c>
    </row>
    <row r="1538" spans="4:22" ht="32.25" customHeight="1">
      <c r="D1538" s="39"/>
      <c r="E1538" s="27" t="str">
        <f>IF(D1538="","",LEFT(D1538,3))</f>
        <v/>
      </c>
      <c r="F1538" s="28" t="str">
        <f>IF(E1538="","",IFERROR(VLOOKUP(E1538,REGRAS_CST!$A$2:$B$200,2,FALSE),""))</f>
        <v/>
      </c>
      <c r="H1538" s="29">
        <v>8.9999999999999993E-3</v>
      </c>
      <c r="I1538" s="29">
        <v>1E-3</v>
      </c>
      <c r="K1538" s="21" t="str">
        <f>IF(E1538="","",IFERROR(VLOOKUP(E1538,REGRAS_CST!$A$2:$C$200,3,FALSE),""))</f>
        <v/>
      </c>
      <c r="L1538" s="23" t="str">
        <f>IF($G1538="", "", $G1538*(1-$V1538))</f>
        <v/>
      </c>
      <c r="M1538" s="24" t="str">
        <f>IF(OR($L1538="",$S1538=""),"",$L1538*$S1538)</f>
        <v/>
      </c>
      <c r="N1538" s="24" t="str">
        <f>IF(OR($L1538="",$T1538=""),"",$L1538*$T1538)</f>
        <v/>
      </c>
      <c r="O1538" s="15" t="str">
        <f>IF(D1538="","",
IF(AND(K1538&lt;&gt;"SIM",V1538&gt;0),"ERRO: % BC &gt; 0, mas NÃO permitida ❌",
IF(AND(K1538="SIM",V1538=0),"ATENÇÃO: BC permitida, mas % = 0 🔎",
"Base de cálculo aplicada corretamente ✅")))</f>
        <v/>
      </c>
      <c r="P1538" s="31" t="str">
        <f>IF(D1538="","",
IF(AND(Q1538&lt;&gt;"SIM",U1538&gt;0),"ERRO: % alíquota &gt; 0, mas NÃO permitida ❌",
IF(AND(Q1538="SIM",U1538=0),"ATENÇÃO: alíquota permitida, mas % = 0 🔎",
"Alíquota aplicada corretamente ✅")))</f>
        <v/>
      </c>
      <c r="Q1538" s="8" t="str">
        <f>IF(E1538="","",IFERROR(VLOOKUP(E1538,REGRAS_CST!$A$2:$D$200,4,FALSE),""))</f>
        <v/>
      </c>
      <c r="S1538" s="9">
        <f>IF($H1538="","",$H1538*(1-$U1538))</f>
        <v>8.9999999999999993E-3</v>
      </c>
      <c r="T1538" s="9">
        <f>IF($I1538="","",$I1538*(1-$U1538))</f>
        <v>1E-3</v>
      </c>
      <c r="U1538" s="16">
        <f>IFERROR(INDEX(BASE_CCLASSTRIB!$E:$E, MATCH(TEXT($D1538,"000000"), BASE_CCLASSTRIB!$A:$A, 0))/100, 0)</f>
        <v>0</v>
      </c>
      <c r="V1538" s="16">
        <f>IFERROR(INDEX(BASE_CCLASSTRIB!$F:$F, MATCH(TEXT($D1538,"000000"), BASE_CCLASSTRIB!$A:$A, 0))/100, 0)</f>
        <v>0</v>
      </c>
    </row>
    <row r="1539" spans="4:22" ht="32.25" customHeight="1">
      <c r="D1539" s="39"/>
      <c r="E1539" s="27" t="str">
        <f>IF(D1539="","",LEFT(D1539,3))</f>
        <v/>
      </c>
      <c r="F1539" s="28" t="str">
        <f>IF(E1539="","",IFERROR(VLOOKUP(E1539,REGRAS_CST!$A$2:$B$200,2,FALSE),""))</f>
        <v/>
      </c>
      <c r="H1539" s="29">
        <v>8.9999999999999993E-3</v>
      </c>
      <c r="I1539" s="29">
        <v>1E-3</v>
      </c>
      <c r="K1539" s="21" t="str">
        <f>IF(E1539="","",IFERROR(VLOOKUP(E1539,REGRAS_CST!$A$2:$C$200,3,FALSE),""))</f>
        <v/>
      </c>
      <c r="L1539" s="23" t="str">
        <f>IF($G1539="", "", $G1539*(1-$V1539))</f>
        <v/>
      </c>
      <c r="M1539" s="24" t="str">
        <f>IF(OR($L1539="",$S1539=""),"",$L1539*$S1539)</f>
        <v/>
      </c>
      <c r="N1539" s="24" t="str">
        <f>IF(OR($L1539="",$T1539=""),"",$L1539*$T1539)</f>
        <v/>
      </c>
      <c r="O1539" s="15" t="str">
        <f>IF(D1539="","",
IF(AND(K1539&lt;&gt;"SIM",V1539&gt;0),"ERRO: % BC &gt; 0, mas NÃO permitida ❌",
IF(AND(K1539="SIM",V1539=0),"ATENÇÃO: BC permitida, mas % = 0 🔎",
"Base de cálculo aplicada corretamente ✅")))</f>
        <v/>
      </c>
      <c r="P1539" s="31" t="str">
        <f>IF(D1539="","",
IF(AND(Q1539&lt;&gt;"SIM",U1539&gt;0),"ERRO: % alíquota &gt; 0, mas NÃO permitida ❌",
IF(AND(Q1539="SIM",U1539=0),"ATENÇÃO: alíquota permitida, mas % = 0 🔎",
"Alíquota aplicada corretamente ✅")))</f>
        <v/>
      </c>
      <c r="Q1539" s="8" t="str">
        <f>IF(E1539="","",IFERROR(VLOOKUP(E1539,REGRAS_CST!$A$2:$D$200,4,FALSE),""))</f>
        <v/>
      </c>
      <c r="S1539" s="9">
        <f>IF($H1539="","",$H1539*(1-$U1539))</f>
        <v>8.9999999999999993E-3</v>
      </c>
      <c r="T1539" s="9">
        <f>IF($I1539="","",$I1539*(1-$U1539))</f>
        <v>1E-3</v>
      </c>
      <c r="U1539" s="16">
        <f>IFERROR(INDEX(BASE_CCLASSTRIB!$E:$E, MATCH(TEXT($D1539,"000000"), BASE_CCLASSTRIB!$A:$A, 0))/100, 0)</f>
        <v>0</v>
      </c>
      <c r="V1539" s="16">
        <f>IFERROR(INDEX(BASE_CCLASSTRIB!$F:$F, MATCH(TEXT($D1539,"000000"), BASE_CCLASSTRIB!$A:$A, 0))/100, 0)</f>
        <v>0</v>
      </c>
    </row>
    <row r="1540" spans="4:22" ht="32.25" customHeight="1">
      <c r="D1540" s="40"/>
      <c r="E1540" s="27" t="str">
        <f>IF(D1540="","",LEFT(D1540,3))</f>
        <v/>
      </c>
      <c r="F1540" s="28" t="str">
        <f>IF(E1540="","",IFERROR(VLOOKUP(E1540,REGRAS_CST!$A$2:$B$200,2,FALSE),""))</f>
        <v/>
      </c>
      <c r="H1540" s="29">
        <v>8.9999999999999993E-3</v>
      </c>
      <c r="I1540" s="29">
        <v>1E-3</v>
      </c>
      <c r="K1540" s="21" t="str">
        <f>IF(E1540="","",IFERROR(VLOOKUP(E1540,REGRAS_CST!$A$2:$C$200,3,FALSE),""))</f>
        <v/>
      </c>
      <c r="L1540" s="23" t="str">
        <f>IF($G1540="", "", $G1540*(1-$V1540))</f>
        <v/>
      </c>
      <c r="M1540" s="24" t="str">
        <f>IF(OR($L1540="",$S1540=""),"",$L1540*$S1540)</f>
        <v/>
      </c>
      <c r="N1540" s="24" t="str">
        <f>IF(OR($L1540="",$T1540=""),"",$L1540*$T1540)</f>
        <v/>
      </c>
      <c r="O1540" s="15" t="str">
        <f>IF(D1540="","",
IF(AND(K1540&lt;&gt;"SIM",V1540&gt;0),"ERRO: % BC &gt; 0, mas NÃO permitida ❌",
IF(AND(K1540="SIM",V1540=0),"ATENÇÃO: BC permitida, mas % = 0 🔎",
"Base de cálculo aplicada corretamente ✅")))</f>
        <v/>
      </c>
      <c r="P1540" s="31" t="str">
        <f>IF(D1540="","",
IF(AND(Q1540&lt;&gt;"SIM",U1540&gt;0),"ERRO: % alíquota &gt; 0, mas NÃO permitida ❌",
IF(AND(Q1540="SIM",U1540=0),"ATENÇÃO: alíquota permitida, mas % = 0 🔎",
"Alíquota aplicada corretamente ✅")))</f>
        <v/>
      </c>
      <c r="Q1540" s="8" t="str">
        <f>IF(E1540="","",IFERROR(VLOOKUP(E1540,REGRAS_CST!$A$2:$D$200,4,FALSE),""))</f>
        <v/>
      </c>
      <c r="S1540" s="9">
        <f>IF($H1540="","",$H1540*(1-$U1540))</f>
        <v>8.9999999999999993E-3</v>
      </c>
      <c r="T1540" s="9">
        <f>IF($I1540="","",$I1540*(1-$U1540))</f>
        <v>1E-3</v>
      </c>
      <c r="U1540" s="16">
        <f>IFERROR(INDEX(BASE_CCLASSTRIB!$E:$E, MATCH(TEXT($D1540,"000000"), BASE_CCLASSTRIB!$A:$A, 0))/100, 0)</f>
        <v>0</v>
      </c>
      <c r="V1540" s="16">
        <f>IFERROR(INDEX(BASE_CCLASSTRIB!$F:$F, MATCH(TEXT($D1540,"000000"), BASE_CCLASSTRIB!$A:$A, 0))/100, 0)</f>
        <v>0</v>
      </c>
    </row>
    <row r="1541" spans="4:22" ht="32.25" customHeight="1">
      <c r="D1541" s="39"/>
      <c r="E1541" s="27" t="str">
        <f>IF(D1541="","",LEFT(D1541,3))</f>
        <v/>
      </c>
      <c r="F1541" s="28" t="str">
        <f>IF(E1541="","",IFERROR(VLOOKUP(E1541,REGRAS_CST!$A$2:$B$200,2,FALSE),""))</f>
        <v/>
      </c>
      <c r="H1541" s="29">
        <v>8.9999999999999993E-3</v>
      </c>
      <c r="I1541" s="29">
        <v>1E-3</v>
      </c>
      <c r="K1541" s="21" t="str">
        <f>IF(E1541="","",IFERROR(VLOOKUP(E1541,REGRAS_CST!$A$2:$C$200,3,FALSE),""))</f>
        <v/>
      </c>
      <c r="L1541" s="23" t="str">
        <f>IF($G1541="", "", $G1541*(1-$V1541))</f>
        <v/>
      </c>
      <c r="M1541" s="24" t="str">
        <f>IF(OR($L1541="",$S1541=""),"",$L1541*$S1541)</f>
        <v/>
      </c>
      <c r="N1541" s="24" t="str">
        <f>IF(OR($L1541="",$T1541=""),"",$L1541*$T1541)</f>
        <v/>
      </c>
      <c r="O1541" s="15" t="str">
        <f>IF(D1541="","",
IF(AND(K1541&lt;&gt;"SIM",V1541&gt;0),"ERRO: % BC &gt; 0, mas NÃO permitida ❌",
IF(AND(K1541="SIM",V1541=0),"ATENÇÃO: BC permitida, mas % = 0 🔎",
"Base de cálculo aplicada corretamente ✅")))</f>
        <v/>
      </c>
      <c r="P1541" s="31" t="str">
        <f>IF(D1541="","",
IF(AND(Q1541&lt;&gt;"SIM",U1541&gt;0),"ERRO: % alíquota &gt; 0, mas NÃO permitida ❌",
IF(AND(Q1541="SIM",U1541=0),"ATENÇÃO: alíquota permitida, mas % = 0 🔎",
"Alíquota aplicada corretamente ✅")))</f>
        <v/>
      </c>
      <c r="Q1541" s="8" t="str">
        <f>IF(E1541="","",IFERROR(VLOOKUP(E1541,REGRAS_CST!$A$2:$D$200,4,FALSE),""))</f>
        <v/>
      </c>
      <c r="S1541" s="9">
        <f>IF($H1541="","",$H1541*(1-$U1541))</f>
        <v>8.9999999999999993E-3</v>
      </c>
      <c r="T1541" s="9">
        <f>IF($I1541="","",$I1541*(1-$U1541))</f>
        <v>1E-3</v>
      </c>
      <c r="U1541" s="16">
        <f>IFERROR(INDEX(BASE_CCLASSTRIB!$E:$E, MATCH(TEXT($D1541,"000000"), BASE_CCLASSTRIB!$A:$A, 0))/100, 0)</f>
        <v>0</v>
      </c>
      <c r="V1541" s="16">
        <f>IFERROR(INDEX(BASE_CCLASSTRIB!$F:$F, MATCH(TEXT($D1541,"000000"), BASE_CCLASSTRIB!$A:$A, 0))/100, 0)</f>
        <v>0</v>
      </c>
    </row>
    <row r="1542" spans="4:22" ht="32.25" customHeight="1">
      <c r="D1542" s="39"/>
      <c r="E1542" s="27" t="str">
        <f>IF(D1542="","",LEFT(D1542,3))</f>
        <v/>
      </c>
      <c r="F1542" s="28" t="str">
        <f>IF(E1542="","",IFERROR(VLOOKUP(E1542,REGRAS_CST!$A$2:$B$200,2,FALSE),""))</f>
        <v/>
      </c>
      <c r="H1542" s="29">
        <v>8.9999999999999993E-3</v>
      </c>
      <c r="I1542" s="29">
        <v>1E-3</v>
      </c>
      <c r="K1542" s="21" t="str">
        <f>IF(E1542="","",IFERROR(VLOOKUP(E1542,REGRAS_CST!$A$2:$C$200,3,FALSE),""))</f>
        <v/>
      </c>
      <c r="L1542" s="23" t="str">
        <f>IF($G1542="", "", $G1542*(1-$V1542))</f>
        <v/>
      </c>
      <c r="M1542" s="24" t="str">
        <f>IF(OR($L1542="",$S1542=""),"",$L1542*$S1542)</f>
        <v/>
      </c>
      <c r="N1542" s="24" t="str">
        <f>IF(OR($L1542="",$T1542=""),"",$L1542*$T1542)</f>
        <v/>
      </c>
      <c r="O1542" s="15" t="str">
        <f>IF(D1542="","",
IF(AND(K1542&lt;&gt;"SIM",V1542&gt;0),"ERRO: % BC &gt; 0, mas NÃO permitida ❌",
IF(AND(K1542="SIM",V1542=0),"ATENÇÃO: BC permitida, mas % = 0 🔎",
"Base de cálculo aplicada corretamente ✅")))</f>
        <v/>
      </c>
      <c r="P1542" s="31" t="str">
        <f>IF(D1542="","",
IF(AND(Q1542&lt;&gt;"SIM",U1542&gt;0),"ERRO: % alíquota &gt; 0, mas NÃO permitida ❌",
IF(AND(Q1542="SIM",U1542=0),"ATENÇÃO: alíquota permitida, mas % = 0 🔎",
"Alíquota aplicada corretamente ✅")))</f>
        <v/>
      </c>
      <c r="Q1542" s="8" t="str">
        <f>IF(E1542="","",IFERROR(VLOOKUP(E1542,REGRAS_CST!$A$2:$D$200,4,FALSE),""))</f>
        <v/>
      </c>
      <c r="S1542" s="9">
        <f>IF($H1542="","",$H1542*(1-$U1542))</f>
        <v>8.9999999999999993E-3</v>
      </c>
      <c r="T1542" s="9">
        <f>IF($I1542="","",$I1542*(1-$U1542))</f>
        <v>1E-3</v>
      </c>
      <c r="U1542" s="16">
        <f>IFERROR(INDEX(BASE_CCLASSTRIB!$E:$E, MATCH(TEXT($D1542,"000000"), BASE_CCLASSTRIB!$A:$A, 0))/100, 0)</f>
        <v>0</v>
      </c>
      <c r="V1542" s="16">
        <f>IFERROR(INDEX(BASE_CCLASSTRIB!$F:$F, MATCH(TEXT($D1542,"000000"), BASE_CCLASSTRIB!$A:$A, 0))/100, 0)</f>
        <v>0</v>
      </c>
    </row>
    <row r="1543" spans="4:22" ht="32.25" customHeight="1">
      <c r="D1543" s="39"/>
      <c r="E1543" s="27" t="str">
        <f>IF(D1543="","",LEFT(D1543,3))</f>
        <v/>
      </c>
      <c r="F1543" s="28" t="str">
        <f>IF(E1543="","",IFERROR(VLOOKUP(E1543,REGRAS_CST!$A$2:$B$200,2,FALSE),""))</f>
        <v/>
      </c>
      <c r="H1543" s="29">
        <v>8.9999999999999993E-3</v>
      </c>
      <c r="I1543" s="29">
        <v>1E-3</v>
      </c>
      <c r="K1543" s="21" t="str">
        <f>IF(E1543="","",IFERROR(VLOOKUP(E1543,REGRAS_CST!$A$2:$C$200,3,FALSE),""))</f>
        <v/>
      </c>
      <c r="L1543" s="23" t="str">
        <f>IF($G1543="", "", $G1543*(1-$V1543))</f>
        <v/>
      </c>
      <c r="M1543" s="24" t="str">
        <f>IF(OR($L1543="",$S1543=""),"",$L1543*$S1543)</f>
        <v/>
      </c>
      <c r="N1543" s="24" t="str">
        <f>IF(OR($L1543="",$T1543=""),"",$L1543*$T1543)</f>
        <v/>
      </c>
      <c r="O1543" s="15" t="str">
        <f>IF(D1543="","",
IF(AND(K1543&lt;&gt;"SIM",V1543&gt;0),"ERRO: % BC &gt; 0, mas NÃO permitida ❌",
IF(AND(K1543="SIM",V1543=0),"ATENÇÃO: BC permitida, mas % = 0 🔎",
"Base de cálculo aplicada corretamente ✅")))</f>
        <v/>
      </c>
      <c r="P1543" s="31" t="str">
        <f>IF(D1543="","",
IF(AND(Q1543&lt;&gt;"SIM",U1543&gt;0),"ERRO: % alíquota &gt; 0, mas NÃO permitida ❌",
IF(AND(Q1543="SIM",U1543=0),"ATENÇÃO: alíquota permitida, mas % = 0 🔎",
"Alíquota aplicada corretamente ✅")))</f>
        <v/>
      </c>
      <c r="Q1543" s="8" t="str">
        <f>IF(E1543="","",IFERROR(VLOOKUP(E1543,REGRAS_CST!$A$2:$D$200,4,FALSE),""))</f>
        <v/>
      </c>
      <c r="S1543" s="9">
        <f>IF($H1543="","",$H1543*(1-$U1543))</f>
        <v>8.9999999999999993E-3</v>
      </c>
      <c r="T1543" s="9">
        <f>IF($I1543="","",$I1543*(1-$U1543))</f>
        <v>1E-3</v>
      </c>
      <c r="U1543" s="16">
        <f>IFERROR(INDEX(BASE_CCLASSTRIB!$E:$E, MATCH(TEXT($D1543,"000000"), BASE_CCLASSTRIB!$A:$A, 0))/100, 0)</f>
        <v>0</v>
      </c>
      <c r="V1543" s="16">
        <f>IFERROR(INDEX(BASE_CCLASSTRIB!$F:$F, MATCH(TEXT($D1543,"000000"), BASE_CCLASSTRIB!$A:$A, 0))/100, 0)</f>
        <v>0</v>
      </c>
    </row>
    <row r="1544" spans="4:22" ht="32.25" customHeight="1">
      <c r="D1544" s="39"/>
      <c r="E1544" s="27" t="str">
        <f>IF(D1544="","",LEFT(D1544,3))</f>
        <v/>
      </c>
      <c r="F1544" s="28" t="str">
        <f>IF(E1544="","",IFERROR(VLOOKUP(E1544,REGRAS_CST!$A$2:$B$200,2,FALSE),""))</f>
        <v/>
      </c>
      <c r="H1544" s="29">
        <v>8.9999999999999993E-3</v>
      </c>
      <c r="I1544" s="29">
        <v>1E-3</v>
      </c>
      <c r="K1544" s="21" t="str">
        <f>IF(E1544="","",IFERROR(VLOOKUP(E1544,REGRAS_CST!$A$2:$C$200,3,FALSE),""))</f>
        <v/>
      </c>
      <c r="L1544" s="23" t="str">
        <f>IF($G1544="", "", $G1544*(1-$V1544))</f>
        <v/>
      </c>
      <c r="M1544" s="24" t="str">
        <f>IF(OR($L1544="",$S1544=""),"",$L1544*$S1544)</f>
        <v/>
      </c>
      <c r="N1544" s="24" t="str">
        <f>IF(OR($L1544="",$T1544=""),"",$L1544*$T1544)</f>
        <v/>
      </c>
      <c r="O1544" s="15" t="str">
        <f>IF(D1544="","",
IF(AND(K1544&lt;&gt;"SIM",V1544&gt;0),"ERRO: % BC &gt; 0, mas NÃO permitida ❌",
IF(AND(K1544="SIM",V1544=0),"ATENÇÃO: BC permitida, mas % = 0 🔎",
"Base de cálculo aplicada corretamente ✅")))</f>
        <v/>
      </c>
      <c r="P1544" s="31" t="str">
        <f>IF(D1544="","",
IF(AND(Q1544&lt;&gt;"SIM",U1544&gt;0),"ERRO: % alíquota &gt; 0, mas NÃO permitida ❌",
IF(AND(Q1544="SIM",U1544=0),"ATENÇÃO: alíquota permitida, mas % = 0 🔎",
"Alíquota aplicada corretamente ✅")))</f>
        <v/>
      </c>
      <c r="Q1544" s="8" t="str">
        <f>IF(E1544="","",IFERROR(VLOOKUP(E1544,REGRAS_CST!$A$2:$D$200,4,FALSE),""))</f>
        <v/>
      </c>
      <c r="S1544" s="9">
        <f>IF($H1544="","",$H1544*(1-$U1544))</f>
        <v>8.9999999999999993E-3</v>
      </c>
      <c r="T1544" s="9">
        <f>IF($I1544="","",$I1544*(1-$U1544))</f>
        <v>1E-3</v>
      </c>
      <c r="U1544" s="16">
        <f>IFERROR(INDEX(BASE_CCLASSTRIB!$E:$E, MATCH(TEXT($D1544,"000000"), BASE_CCLASSTRIB!$A:$A, 0))/100, 0)</f>
        <v>0</v>
      </c>
      <c r="V1544" s="16">
        <f>IFERROR(INDEX(BASE_CCLASSTRIB!$F:$F, MATCH(TEXT($D1544,"000000"), BASE_CCLASSTRIB!$A:$A, 0))/100, 0)</f>
        <v>0</v>
      </c>
    </row>
    <row r="1545" spans="4:22" ht="32.25" customHeight="1">
      <c r="D1545" s="39"/>
      <c r="E1545" s="27" t="str">
        <f>IF(D1545="","",LEFT(D1545,3))</f>
        <v/>
      </c>
      <c r="F1545" s="28" t="str">
        <f>IF(E1545="","",IFERROR(VLOOKUP(E1545,REGRAS_CST!$A$2:$B$200,2,FALSE),""))</f>
        <v/>
      </c>
      <c r="H1545" s="29">
        <v>8.9999999999999993E-3</v>
      </c>
      <c r="I1545" s="29">
        <v>1E-3</v>
      </c>
      <c r="K1545" s="21" t="str">
        <f>IF(E1545="","",IFERROR(VLOOKUP(E1545,REGRAS_CST!$A$2:$C$200,3,FALSE),""))</f>
        <v/>
      </c>
      <c r="L1545" s="23" t="str">
        <f>IF($G1545="", "", $G1545*(1-$V1545))</f>
        <v/>
      </c>
      <c r="M1545" s="24" t="str">
        <f>IF(OR($L1545="",$S1545=""),"",$L1545*$S1545)</f>
        <v/>
      </c>
      <c r="N1545" s="24" t="str">
        <f>IF(OR($L1545="",$T1545=""),"",$L1545*$T1545)</f>
        <v/>
      </c>
      <c r="O1545" s="15" t="str">
        <f>IF(D1545="","",
IF(AND(K1545&lt;&gt;"SIM",V1545&gt;0),"ERRO: % BC &gt; 0, mas NÃO permitida ❌",
IF(AND(K1545="SIM",V1545=0),"ATENÇÃO: BC permitida, mas % = 0 🔎",
"Base de cálculo aplicada corretamente ✅")))</f>
        <v/>
      </c>
      <c r="P1545" s="31" t="str">
        <f>IF(D1545="","",
IF(AND(Q1545&lt;&gt;"SIM",U1545&gt;0),"ERRO: % alíquota &gt; 0, mas NÃO permitida ❌",
IF(AND(Q1545="SIM",U1545=0),"ATENÇÃO: alíquota permitida, mas % = 0 🔎",
"Alíquota aplicada corretamente ✅")))</f>
        <v/>
      </c>
      <c r="Q1545" s="8" t="str">
        <f>IF(E1545="","",IFERROR(VLOOKUP(E1545,REGRAS_CST!$A$2:$D$200,4,FALSE),""))</f>
        <v/>
      </c>
      <c r="S1545" s="9">
        <f>IF($H1545="","",$H1545*(1-$U1545))</f>
        <v>8.9999999999999993E-3</v>
      </c>
      <c r="T1545" s="9">
        <f>IF($I1545="","",$I1545*(1-$U1545))</f>
        <v>1E-3</v>
      </c>
      <c r="U1545" s="16">
        <f>IFERROR(INDEX(BASE_CCLASSTRIB!$E:$E, MATCH(TEXT($D1545,"000000"), BASE_CCLASSTRIB!$A:$A, 0))/100, 0)</f>
        <v>0</v>
      </c>
      <c r="V1545" s="16">
        <f>IFERROR(INDEX(BASE_CCLASSTRIB!$F:$F, MATCH(TEXT($D1545,"000000"), BASE_CCLASSTRIB!$A:$A, 0))/100, 0)</f>
        <v>0</v>
      </c>
    </row>
    <row r="1546" spans="4:22" ht="32.25" customHeight="1">
      <c r="D1546" s="39"/>
      <c r="E1546" s="27" t="str">
        <f>IF(D1546="","",LEFT(D1546,3))</f>
        <v/>
      </c>
      <c r="F1546" s="28" t="str">
        <f>IF(E1546="","",IFERROR(VLOOKUP(E1546,REGRAS_CST!$A$2:$B$200,2,FALSE),""))</f>
        <v/>
      </c>
      <c r="H1546" s="29">
        <v>8.9999999999999993E-3</v>
      </c>
      <c r="I1546" s="29">
        <v>1E-3</v>
      </c>
      <c r="K1546" s="21" t="str">
        <f>IF(E1546="","",IFERROR(VLOOKUP(E1546,REGRAS_CST!$A$2:$C$200,3,FALSE),""))</f>
        <v/>
      </c>
      <c r="L1546" s="23" t="str">
        <f>IF($G1546="", "", $G1546*(1-$V1546))</f>
        <v/>
      </c>
      <c r="M1546" s="24" t="str">
        <f>IF(OR($L1546="",$S1546=""),"",$L1546*$S1546)</f>
        <v/>
      </c>
      <c r="N1546" s="24" t="str">
        <f>IF(OR($L1546="",$T1546=""),"",$L1546*$T1546)</f>
        <v/>
      </c>
      <c r="O1546" s="15" t="str">
        <f>IF(D1546="","",
IF(AND(K1546&lt;&gt;"SIM",V1546&gt;0),"ERRO: % BC &gt; 0, mas NÃO permitida ❌",
IF(AND(K1546="SIM",V1546=0),"ATENÇÃO: BC permitida, mas % = 0 🔎",
"Base de cálculo aplicada corretamente ✅")))</f>
        <v/>
      </c>
      <c r="P1546" s="31" t="str">
        <f>IF(D1546="","",
IF(AND(Q1546&lt;&gt;"SIM",U1546&gt;0),"ERRO: % alíquota &gt; 0, mas NÃO permitida ❌",
IF(AND(Q1546="SIM",U1546=0),"ATENÇÃO: alíquota permitida, mas % = 0 🔎",
"Alíquota aplicada corretamente ✅")))</f>
        <v/>
      </c>
      <c r="Q1546" s="8" t="str">
        <f>IF(E1546="","",IFERROR(VLOOKUP(E1546,REGRAS_CST!$A$2:$D$200,4,FALSE),""))</f>
        <v/>
      </c>
      <c r="S1546" s="9">
        <f>IF($H1546="","",$H1546*(1-$U1546))</f>
        <v>8.9999999999999993E-3</v>
      </c>
      <c r="T1546" s="9">
        <f>IF($I1546="","",$I1546*(1-$U1546))</f>
        <v>1E-3</v>
      </c>
      <c r="U1546" s="16">
        <f>IFERROR(INDEX(BASE_CCLASSTRIB!$E:$E, MATCH(TEXT($D1546,"000000"), BASE_CCLASSTRIB!$A:$A, 0))/100, 0)</f>
        <v>0</v>
      </c>
      <c r="V1546" s="16">
        <f>IFERROR(INDEX(BASE_CCLASSTRIB!$F:$F, MATCH(TEXT($D1546,"000000"), BASE_CCLASSTRIB!$A:$A, 0))/100, 0)</f>
        <v>0</v>
      </c>
    </row>
    <row r="1547" spans="4:22" ht="32.25" customHeight="1">
      <c r="D1547" s="39"/>
      <c r="E1547" s="27" t="str">
        <f>IF(D1547="","",LEFT(D1547,3))</f>
        <v/>
      </c>
      <c r="F1547" s="28" t="str">
        <f>IF(E1547="","",IFERROR(VLOOKUP(E1547,REGRAS_CST!$A$2:$B$200,2,FALSE),""))</f>
        <v/>
      </c>
      <c r="H1547" s="29">
        <v>8.9999999999999993E-3</v>
      </c>
      <c r="I1547" s="29">
        <v>1E-3</v>
      </c>
      <c r="K1547" s="21" t="str">
        <f>IF(E1547="","",IFERROR(VLOOKUP(E1547,REGRAS_CST!$A$2:$C$200,3,FALSE),""))</f>
        <v/>
      </c>
      <c r="L1547" s="23" t="str">
        <f>IF($G1547="", "", $G1547*(1-$V1547))</f>
        <v/>
      </c>
      <c r="M1547" s="24" t="str">
        <f>IF(OR($L1547="",$S1547=""),"",$L1547*$S1547)</f>
        <v/>
      </c>
      <c r="N1547" s="24" t="str">
        <f>IF(OR($L1547="",$T1547=""),"",$L1547*$T1547)</f>
        <v/>
      </c>
      <c r="O1547" s="15" t="str">
        <f>IF(D1547="","",
IF(AND(K1547&lt;&gt;"SIM",V1547&gt;0),"ERRO: % BC &gt; 0, mas NÃO permitida ❌",
IF(AND(K1547="SIM",V1547=0),"ATENÇÃO: BC permitida, mas % = 0 🔎",
"Base de cálculo aplicada corretamente ✅")))</f>
        <v/>
      </c>
      <c r="P1547" s="31" t="str">
        <f>IF(D1547="","",
IF(AND(Q1547&lt;&gt;"SIM",U1547&gt;0),"ERRO: % alíquota &gt; 0, mas NÃO permitida ❌",
IF(AND(Q1547="SIM",U1547=0),"ATENÇÃO: alíquota permitida, mas % = 0 🔎",
"Alíquota aplicada corretamente ✅")))</f>
        <v/>
      </c>
      <c r="Q1547" s="8" t="str">
        <f>IF(E1547="","",IFERROR(VLOOKUP(E1547,REGRAS_CST!$A$2:$D$200,4,FALSE),""))</f>
        <v/>
      </c>
      <c r="S1547" s="9">
        <f>IF($H1547="","",$H1547*(1-$U1547))</f>
        <v>8.9999999999999993E-3</v>
      </c>
      <c r="T1547" s="9">
        <f>IF($I1547="","",$I1547*(1-$U1547))</f>
        <v>1E-3</v>
      </c>
      <c r="U1547" s="16">
        <f>IFERROR(INDEX(BASE_CCLASSTRIB!$E:$E, MATCH(TEXT($D1547,"000000"), BASE_CCLASSTRIB!$A:$A, 0))/100, 0)</f>
        <v>0</v>
      </c>
      <c r="V1547" s="16">
        <f>IFERROR(INDEX(BASE_CCLASSTRIB!$F:$F, MATCH(TEXT($D1547,"000000"), BASE_CCLASSTRIB!$A:$A, 0))/100, 0)</f>
        <v>0</v>
      </c>
    </row>
    <row r="1548" spans="4:22" ht="32.25" customHeight="1">
      <c r="D1548" s="39"/>
      <c r="E1548" s="27" t="str">
        <f>IF(D1548="","",LEFT(D1548,3))</f>
        <v/>
      </c>
      <c r="F1548" s="28" t="str">
        <f>IF(E1548="","",IFERROR(VLOOKUP(E1548,REGRAS_CST!$A$2:$B$200,2,FALSE),""))</f>
        <v/>
      </c>
      <c r="H1548" s="29">
        <v>8.9999999999999993E-3</v>
      </c>
      <c r="I1548" s="29">
        <v>1E-3</v>
      </c>
      <c r="K1548" s="21" t="str">
        <f>IF(E1548="","",IFERROR(VLOOKUP(E1548,REGRAS_CST!$A$2:$C$200,3,FALSE),""))</f>
        <v/>
      </c>
      <c r="L1548" s="23" t="str">
        <f>IF($G1548="", "", $G1548*(1-$V1548))</f>
        <v/>
      </c>
      <c r="M1548" s="24" t="str">
        <f>IF(OR($L1548="",$S1548=""),"",$L1548*$S1548)</f>
        <v/>
      </c>
      <c r="N1548" s="24" t="str">
        <f>IF(OR($L1548="",$T1548=""),"",$L1548*$T1548)</f>
        <v/>
      </c>
      <c r="O1548" s="15" t="str">
        <f>IF(D1548="","",
IF(AND(K1548&lt;&gt;"SIM",V1548&gt;0),"ERRO: % BC &gt; 0, mas NÃO permitida ❌",
IF(AND(K1548="SIM",V1548=0),"ATENÇÃO: BC permitida, mas % = 0 🔎",
"Base de cálculo aplicada corretamente ✅")))</f>
        <v/>
      </c>
      <c r="P1548" s="31" t="str">
        <f>IF(D1548="","",
IF(AND(Q1548&lt;&gt;"SIM",U1548&gt;0),"ERRO: % alíquota &gt; 0, mas NÃO permitida ❌",
IF(AND(Q1548="SIM",U1548=0),"ATENÇÃO: alíquota permitida, mas % = 0 🔎",
"Alíquota aplicada corretamente ✅")))</f>
        <v/>
      </c>
      <c r="Q1548" s="8" t="str">
        <f>IF(E1548="","",IFERROR(VLOOKUP(E1548,REGRAS_CST!$A$2:$D$200,4,FALSE),""))</f>
        <v/>
      </c>
      <c r="S1548" s="9">
        <f>IF($H1548="","",$H1548*(1-$U1548))</f>
        <v>8.9999999999999993E-3</v>
      </c>
      <c r="T1548" s="9">
        <f>IF($I1548="","",$I1548*(1-$U1548))</f>
        <v>1E-3</v>
      </c>
      <c r="U1548" s="16">
        <f>IFERROR(INDEX(BASE_CCLASSTRIB!$E:$E, MATCH(TEXT($D1548,"000000"), BASE_CCLASSTRIB!$A:$A, 0))/100, 0)</f>
        <v>0</v>
      </c>
      <c r="V1548" s="16">
        <f>IFERROR(INDEX(BASE_CCLASSTRIB!$F:$F, MATCH(TEXT($D1548,"000000"), BASE_CCLASSTRIB!$A:$A, 0))/100, 0)</f>
        <v>0</v>
      </c>
    </row>
    <row r="1549" spans="4:22" ht="32.25" customHeight="1">
      <c r="D1549" s="39"/>
      <c r="E1549" s="27" t="str">
        <f>IF(D1549="","",LEFT(D1549,3))</f>
        <v/>
      </c>
      <c r="F1549" s="28" t="str">
        <f>IF(E1549="","",IFERROR(VLOOKUP(E1549,REGRAS_CST!$A$2:$B$200,2,FALSE),""))</f>
        <v/>
      </c>
      <c r="H1549" s="29">
        <v>8.9999999999999993E-3</v>
      </c>
      <c r="I1549" s="29">
        <v>1E-3</v>
      </c>
      <c r="K1549" s="21" t="str">
        <f>IF(E1549="","",IFERROR(VLOOKUP(E1549,REGRAS_CST!$A$2:$C$200,3,FALSE),""))</f>
        <v/>
      </c>
      <c r="L1549" s="23" t="str">
        <f>IF($G1549="", "", $G1549*(1-$V1549))</f>
        <v/>
      </c>
      <c r="M1549" s="24" t="str">
        <f>IF(OR($L1549="",$S1549=""),"",$L1549*$S1549)</f>
        <v/>
      </c>
      <c r="N1549" s="24" t="str">
        <f>IF(OR($L1549="",$T1549=""),"",$L1549*$T1549)</f>
        <v/>
      </c>
      <c r="O1549" s="15" t="str">
        <f>IF(D1549="","",
IF(AND(K1549&lt;&gt;"SIM",V1549&gt;0),"ERRO: % BC &gt; 0, mas NÃO permitida ❌",
IF(AND(K1549="SIM",V1549=0),"ATENÇÃO: BC permitida, mas % = 0 🔎",
"Base de cálculo aplicada corretamente ✅")))</f>
        <v/>
      </c>
      <c r="P1549" s="31" t="str">
        <f>IF(D1549="","",
IF(AND(Q1549&lt;&gt;"SIM",U1549&gt;0),"ERRO: % alíquota &gt; 0, mas NÃO permitida ❌",
IF(AND(Q1549="SIM",U1549=0),"ATENÇÃO: alíquota permitida, mas % = 0 🔎",
"Alíquota aplicada corretamente ✅")))</f>
        <v/>
      </c>
      <c r="Q1549" s="8" t="str">
        <f>IF(E1549="","",IFERROR(VLOOKUP(E1549,REGRAS_CST!$A$2:$D$200,4,FALSE),""))</f>
        <v/>
      </c>
      <c r="S1549" s="9">
        <f>IF($H1549="","",$H1549*(1-$U1549))</f>
        <v>8.9999999999999993E-3</v>
      </c>
      <c r="T1549" s="9">
        <f>IF($I1549="","",$I1549*(1-$U1549))</f>
        <v>1E-3</v>
      </c>
      <c r="U1549" s="16">
        <f>IFERROR(INDEX(BASE_CCLASSTRIB!$E:$E, MATCH(TEXT($D1549,"000000"), BASE_CCLASSTRIB!$A:$A, 0))/100, 0)</f>
        <v>0</v>
      </c>
      <c r="V1549" s="16">
        <f>IFERROR(INDEX(BASE_CCLASSTRIB!$F:$F, MATCH(TEXT($D1549,"000000"), BASE_CCLASSTRIB!$A:$A, 0))/100, 0)</f>
        <v>0</v>
      </c>
    </row>
    <row r="1550" spans="4:22" ht="32.25" customHeight="1">
      <c r="D1550" s="39"/>
      <c r="E1550" s="27" t="str">
        <f>IF(D1550="","",LEFT(D1550,3))</f>
        <v/>
      </c>
      <c r="F1550" s="28" t="str">
        <f>IF(E1550="","",IFERROR(VLOOKUP(E1550,REGRAS_CST!$A$2:$B$200,2,FALSE),""))</f>
        <v/>
      </c>
      <c r="H1550" s="29">
        <v>8.9999999999999993E-3</v>
      </c>
      <c r="I1550" s="29">
        <v>1E-3</v>
      </c>
      <c r="K1550" s="21" t="str">
        <f>IF(E1550="","",IFERROR(VLOOKUP(E1550,REGRAS_CST!$A$2:$C$200,3,FALSE),""))</f>
        <v/>
      </c>
      <c r="L1550" s="23" t="str">
        <f>IF($G1550="", "", $G1550*(1-$V1550))</f>
        <v/>
      </c>
      <c r="M1550" s="24" t="str">
        <f>IF(OR($L1550="",$S1550=""),"",$L1550*$S1550)</f>
        <v/>
      </c>
      <c r="N1550" s="24" t="str">
        <f>IF(OR($L1550="",$T1550=""),"",$L1550*$T1550)</f>
        <v/>
      </c>
      <c r="O1550" s="15" t="str">
        <f>IF(D1550="","",
IF(AND(K1550&lt;&gt;"SIM",V1550&gt;0),"ERRO: % BC &gt; 0, mas NÃO permitida ❌",
IF(AND(K1550="SIM",V1550=0),"ATENÇÃO: BC permitida, mas % = 0 🔎",
"Base de cálculo aplicada corretamente ✅")))</f>
        <v/>
      </c>
      <c r="P1550" s="31" t="str">
        <f>IF(D1550="","",
IF(AND(Q1550&lt;&gt;"SIM",U1550&gt;0),"ERRO: % alíquota &gt; 0, mas NÃO permitida ❌",
IF(AND(Q1550="SIM",U1550=0),"ATENÇÃO: alíquota permitida, mas % = 0 🔎",
"Alíquota aplicada corretamente ✅")))</f>
        <v/>
      </c>
      <c r="Q1550" s="8" t="str">
        <f>IF(E1550="","",IFERROR(VLOOKUP(E1550,REGRAS_CST!$A$2:$D$200,4,FALSE),""))</f>
        <v/>
      </c>
      <c r="S1550" s="9">
        <f>IF($H1550="","",$H1550*(1-$U1550))</f>
        <v>8.9999999999999993E-3</v>
      </c>
      <c r="T1550" s="9">
        <f>IF($I1550="","",$I1550*(1-$U1550))</f>
        <v>1E-3</v>
      </c>
      <c r="U1550" s="16">
        <f>IFERROR(INDEX(BASE_CCLASSTRIB!$E:$E, MATCH(TEXT($D1550,"000000"), BASE_CCLASSTRIB!$A:$A, 0))/100, 0)</f>
        <v>0</v>
      </c>
      <c r="V1550" s="16">
        <f>IFERROR(INDEX(BASE_CCLASSTRIB!$F:$F, MATCH(TEXT($D1550,"000000"), BASE_CCLASSTRIB!$A:$A, 0))/100, 0)</f>
        <v>0</v>
      </c>
    </row>
    <row r="1551" spans="4:22" ht="32.25" customHeight="1">
      <c r="D1551" s="39"/>
      <c r="E1551" s="27" t="str">
        <f>IF(D1551="","",LEFT(D1551,3))</f>
        <v/>
      </c>
      <c r="F1551" s="28" t="str">
        <f>IF(E1551="","",IFERROR(VLOOKUP(E1551,REGRAS_CST!$A$2:$B$200,2,FALSE),""))</f>
        <v/>
      </c>
      <c r="H1551" s="29">
        <v>8.9999999999999993E-3</v>
      </c>
      <c r="I1551" s="29">
        <v>1E-3</v>
      </c>
      <c r="K1551" s="21" t="str">
        <f>IF(E1551="","",IFERROR(VLOOKUP(E1551,REGRAS_CST!$A$2:$C$200,3,FALSE),""))</f>
        <v/>
      </c>
      <c r="L1551" s="23" t="str">
        <f>IF($G1551="", "", $G1551*(1-$V1551))</f>
        <v/>
      </c>
      <c r="M1551" s="24" t="str">
        <f>IF(OR($L1551="",$S1551=""),"",$L1551*$S1551)</f>
        <v/>
      </c>
      <c r="N1551" s="24" t="str">
        <f>IF(OR($L1551="",$T1551=""),"",$L1551*$T1551)</f>
        <v/>
      </c>
      <c r="O1551" s="15" t="str">
        <f>IF(D1551="","",
IF(AND(K1551&lt;&gt;"SIM",V1551&gt;0),"ERRO: % BC &gt; 0, mas NÃO permitida ❌",
IF(AND(K1551="SIM",V1551=0),"ATENÇÃO: BC permitida, mas % = 0 🔎",
"Base de cálculo aplicada corretamente ✅")))</f>
        <v/>
      </c>
      <c r="P1551" s="31" t="str">
        <f>IF(D1551="","",
IF(AND(Q1551&lt;&gt;"SIM",U1551&gt;0),"ERRO: % alíquota &gt; 0, mas NÃO permitida ❌",
IF(AND(Q1551="SIM",U1551=0),"ATENÇÃO: alíquota permitida, mas % = 0 🔎",
"Alíquota aplicada corretamente ✅")))</f>
        <v/>
      </c>
      <c r="Q1551" s="8" t="str">
        <f>IF(E1551="","",IFERROR(VLOOKUP(E1551,REGRAS_CST!$A$2:$D$200,4,FALSE),""))</f>
        <v/>
      </c>
      <c r="S1551" s="9">
        <f>IF($H1551="","",$H1551*(1-$U1551))</f>
        <v>8.9999999999999993E-3</v>
      </c>
      <c r="T1551" s="9">
        <f>IF($I1551="","",$I1551*(1-$U1551))</f>
        <v>1E-3</v>
      </c>
      <c r="U1551" s="16">
        <f>IFERROR(INDEX(BASE_CCLASSTRIB!$E:$E, MATCH(TEXT($D1551,"000000"), BASE_CCLASSTRIB!$A:$A, 0))/100, 0)</f>
        <v>0</v>
      </c>
      <c r="V1551" s="16">
        <f>IFERROR(INDEX(BASE_CCLASSTRIB!$F:$F, MATCH(TEXT($D1551,"000000"), BASE_CCLASSTRIB!$A:$A, 0))/100, 0)</f>
        <v>0</v>
      </c>
    </row>
    <row r="1552" spans="4:22" ht="32.25" customHeight="1">
      <c r="D1552" s="39"/>
      <c r="E1552" s="27" t="str">
        <f>IF(D1552="","",LEFT(D1552,3))</f>
        <v/>
      </c>
      <c r="F1552" s="28" t="str">
        <f>IF(E1552="","",IFERROR(VLOOKUP(E1552,REGRAS_CST!$A$2:$B$200,2,FALSE),""))</f>
        <v/>
      </c>
      <c r="H1552" s="29">
        <v>8.9999999999999993E-3</v>
      </c>
      <c r="I1552" s="29">
        <v>1E-3</v>
      </c>
      <c r="K1552" s="21" t="str">
        <f>IF(E1552="","",IFERROR(VLOOKUP(E1552,REGRAS_CST!$A$2:$C$200,3,FALSE),""))</f>
        <v/>
      </c>
      <c r="L1552" s="23" t="str">
        <f>IF($G1552="", "", $G1552*(1-$V1552))</f>
        <v/>
      </c>
      <c r="M1552" s="24" t="str">
        <f>IF(OR($L1552="",$S1552=""),"",$L1552*$S1552)</f>
        <v/>
      </c>
      <c r="N1552" s="24" t="str">
        <f>IF(OR($L1552="",$T1552=""),"",$L1552*$T1552)</f>
        <v/>
      </c>
      <c r="O1552" s="15" t="str">
        <f>IF(D1552="","",
IF(AND(K1552&lt;&gt;"SIM",V1552&gt;0),"ERRO: % BC &gt; 0, mas NÃO permitida ❌",
IF(AND(K1552="SIM",V1552=0),"ATENÇÃO: BC permitida, mas % = 0 🔎",
"Base de cálculo aplicada corretamente ✅")))</f>
        <v/>
      </c>
      <c r="P1552" s="31" t="str">
        <f>IF(D1552="","",
IF(AND(Q1552&lt;&gt;"SIM",U1552&gt;0),"ERRO: % alíquota &gt; 0, mas NÃO permitida ❌",
IF(AND(Q1552="SIM",U1552=0),"ATENÇÃO: alíquota permitida, mas % = 0 🔎",
"Alíquota aplicada corretamente ✅")))</f>
        <v/>
      </c>
      <c r="Q1552" s="8" t="str">
        <f>IF(E1552="","",IFERROR(VLOOKUP(E1552,REGRAS_CST!$A$2:$D$200,4,FALSE),""))</f>
        <v/>
      </c>
      <c r="S1552" s="9">
        <f>IF($H1552="","",$H1552*(1-$U1552))</f>
        <v>8.9999999999999993E-3</v>
      </c>
      <c r="T1552" s="9">
        <f>IF($I1552="","",$I1552*(1-$U1552))</f>
        <v>1E-3</v>
      </c>
      <c r="U1552" s="16">
        <f>IFERROR(INDEX(BASE_CCLASSTRIB!$E:$E, MATCH(TEXT($D1552,"000000"), BASE_CCLASSTRIB!$A:$A, 0))/100, 0)</f>
        <v>0</v>
      </c>
      <c r="V1552" s="16">
        <f>IFERROR(INDEX(BASE_CCLASSTRIB!$F:$F, MATCH(TEXT($D1552,"000000"), BASE_CCLASSTRIB!$A:$A, 0))/100, 0)</f>
        <v>0</v>
      </c>
    </row>
    <row r="1553" spans="4:22" ht="32.25" customHeight="1">
      <c r="D1553" s="40"/>
      <c r="E1553" s="27" t="str">
        <f>IF(D1553="","",LEFT(D1553,3))</f>
        <v/>
      </c>
      <c r="F1553" s="28" t="str">
        <f>IF(E1553="","",IFERROR(VLOOKUP(E1553,REGRAS_CST!$A$2:$B$200,2,FALSE),""))</f>
        <v/>
      </c>
      <c r="H1553" s="29">
        <v>8.9999999999999993E-3</v>
      </c>
      <c r="I1553" s="29">
        <v>1E-3</v>
      </c>
      <c r="K1553" s="21" t="str">
        <f>IF(E1553="","",IFERROR(VLOOKUP(E1553,REGRAS_CST!$A$2:$C$200,3,FALSE),""))</f>
        <v/>
      </c>
      <c r="L1553" s="23" t="str">
        <f>IF($G1553="", "", $G1553*(1-$V1553))</f>
        <v/>
      </c>
      <c r="M1553" s="24" t="str">
        <f>IF(OR($L1553="",$S1553=""),"",$L1553*$S1553)</f>
        <v/>
      </c>
      <c r="N1553" s="24" t="str">
        <f>IF(OR($L1553="",$T1553=""),"",$L1553*$T1553)</f>
        <v/>
      </c>
      <c r="O1553" s="15" t="str">
        <f>IF(D1553="","",
IF(AND(K1553&lt;&gt;"SIM",V1553&gt;0),"ERRO: % BC &gt; 0, mas NÃO permitida ❌",
IF(AND(K1553="SIM",V1553=0),"ATENÇÃO: BC permitida, mas % = 0 🔎",
"Base de cálculo aplicada corretamente ✅")))</f>
        <v/>
      </c>
      <c r="P1553" s="31" t="str">
        <f>IF(D1553="","",
IF(AND(Q1553&lt;&gt;"SIM",U1553&gt;0),"ERRO: % alíquota &gt; 0, mas NÃO permitida ❌",
IF(AND(Q1553="SIM",U1553=0),"ATENÇÃO: alíquota permitida, mas % = 0 🔎",
"Alíquota aplicada corretamente ✅")))</f>
        <v/>
      </c>
      <c r="Q1553" s="8" t="str">
        <f>IF(E1553="","",IFERROR(VLOOKUP(E1553,REGRAS_CST!$A$2:$D$200,4,FALSE),""))</f>
        <v/>
      </c>
      <c r="S1553" s="9">
        <f>IF($H1553="","",$H1553*(1-$U1553))</f>
        <v>8.9999999999999993E-3</v>
      </c>
      <c r="T1553" s="9">
        <f>IF($I1553="","",$I1553*(1-$U1553))</f>
        <v>1E-3</v>
      </c>
      <c r="U1553" s="16">
        <f>IFERROR(INDEX(BASE_CCLASSTRIB!$E:$E, MATCH(TEXT($D1553,"000000"), BASE_CCLASSTRIB!$A:$A, 0))/100, 0)</f>
        <v>0</v>
      </c>
      <c r="V1553" s="16">
        <f>IFERROR(INDEX(BASE_CCLASSTRIB!$F:$F, MATCH(TEXT($D1553,"000000"), BASE_CCLASSTRIB!$A:$A, 0))/100, 0)</f>
        <v>0</v>
      </c>
    </row>
    <row r="1554" spans="4:22" ht="32.25" customHeight="1">
      <c r="D1554" s="39"/>
      <c r="E1554" s="27" t="str">
        <f>IF(D1554="","",LEFT(D1554,3))</f>
        <v/>
      </c>
      <c r="F1554" s="28" t="str">
        <f>IF(E1554="","",IFERROR(VLOOKUP(E1554,REGRAS_CST!$A$2:$B$200,2,FALSE),""))</f>
        <v/>
      </c>
      <c r="H1554" s="29">
        <v>8.9999999999999993E-3</v>
      </c>
      <c r="I1554" s="29">
        <v>1E-3</v>
      </c>
      <c r="K1554" s="21" t="str">
        <f>IF(E1554="","",IFERROR(VLOOKUP(E1554,REGRAS_CST!$A$2:$C$200,3,FALSE),""))</f>
        <v/>
      </c>
      <c r="L1554" s="23" t="str">
        <f>IF($G1554="", "", $G1554*(1-$V1554))</f>
        <v/>
      </c>
      <c r="M1554" s="24" t="str">
        <f>IF(OR($L1554="",$S1554=""),"",$L1554*$S1554)</f>
        <v/>
      </c>
      <c r="N1554" s="24" t="str">
        <f>IF(OR($L1554="",$T1554=""),"",$L1554*$T1554)</f>
        <v/>
      </c>
      <c r="O1554" s="15" t="str">
        <f>IF(D1554="","",
IF(AND(K1554&lt;&gt;"SIM",V1554&gt;0),"ERRO: % BC &gt; 0, mas NÃO permitida ❌",
IF(AND(K1554="SIM",V1554=0),"ATENÇÃO: BC permitida, mas % = 0 🔎",
"Base de cálculo aplicada corretamente ✅")))</f>
        <v/>
      </c>
      <c r="P1554" s="31" t="str">
        <f>IF(D1554="","",
IF(AND(Q1554&lt;&gt;"SIM",U1554&gt;0),"ERRO: % alíquota &gt; 0, mas NÃO permitida ❌",
IF(AND(Q1554="SIM",U1554=0),"ATENÇÃO: alíquota permitida, mas % = 0 🔎",
"Alíquota aplicada corretamente ✅")))</f>
        <v/>
      </c>
      <c r="Q1554" s="8" t="str">
        <f>IF(E1554="","",IFERROR(VLOOKUP(E1554,REGRAS_CST!$A$2:$D$200,4,FALSE),""))</f>
        <v/>
      </c>
      <c r="S1554" s="9">
        <f>IF($H1554="","",$H1554*(1-$U1554))</f>
        <v>8.9999999999999993E-3</v>
      </c>
      <c r="T1554" s="9">
        <f>IF($I1554="","",$I1554*(1-$U1554))</f>
        <v>1E-3</v>
      </c>
      <c r="U1554" s="16">
        <f>IFERROR(INDEX(BASE_CCLASSTRIB!$E:$E, MATCH(TEXT($D1554,"000000"), BASE_CCLASSTRIB!$A:$A, 0))/100, 0)</f>
        <v>0</v>
      </c>
      <c r="V1554" s="16">
        <f>IFERROR(INDEX(BASE_CCLASSTRIB!$F:$F, MATCH(TEXT($D1554,"000000"), BASE_CCLASSTRIB!$A:$A, 0))/100, 0)</f>
        <v>0</v>
      </c>
    </row>
    <row r="1555" spans="4:22" ht="32.25" customHeight="1">
      <c r="D1555" s="39"/>
      <c r="E1555" s="27" t="str">
        <f>IF(D1555="","",LEFT(D1555,3))</f>
        <v/>
      </c>
      <c r="F1555" s="28" t="str">
        <f>IF(E1555="","",IFERROR(VLOOKUP(E1555,REGRAS_CST!$A$2:$B$200,2,FALSE),""))</f>
        <v/>
      </c>
      <c r="H1555" s="29">
        <v>8.9999999999999993E-3</v>
      </c>
      <c r="I1555" s="29">
        <v>1E-3</v>
      </c>
      <c r="K1555" s="21" t="str">
        <f>IF(E1555="","",IFERROR(VLOOKUP(E1555,REGRAS_CST!$A$2:$C$200,3,FALSE),""))</f>
        <v/>
      </c>
      <c r="L1555" s="23" t="str">
        <f>IF($G1555="", "", $G1555*(1-$V1555))</f>
        <v/>
      </c>
      <c r="M1555" s="24" t="str">
        <f>IF(OR($L1555="",$S1555=""),"",$L1555*$S1555)</f>
        <v/>
      </c>
      <c r="N1555" s="24" t="str">
        <f>IF(OR($L1555="",$T1555=""),"",$L1555*$T1555)</f>
        <v/>
      </c>
      <c r="O1555" s="15" t="str">
        <f>IF(D1555="","",
IF(AND(K1555&lt;&gt;"SIM",V1555&gt;0),"ERRO: % BC &gt; 0, mas NÃO permitida ❌",
IF(AND(K1555="SIM",V1555=0),"ATENÇÃO: BC permitida, mas % = 0 🔎",
"Base de cálculo aplicada corretamente ✅")))</f>
        <v/>
      </c>
      <c r="P1555" s="31" t="str">
        <f>IF(D1555="","",
IF(AND(Q1555&lt;&gt;"SIM",U1555&gt;0),"ERRO: % alíquota &gt; 0, mas NÃO permitida ❌",
IF(AND(Q1555="SIM",U1555=0),"ATENÇÃO: alíquota permitida, mas % = 0 🔎",
"Alíquota aplicada corretamente ✅")))</f>
        <v/>
      </c>
      <c r="Q1555" s="8" t="str">
        <f>IF(E1555="","",IFERROR(VLOOKUP(E1555,REGRAS_CST!$A$2:$D$200,4,FALSE),""))</f>
        <v/>
      </c>
      <c r="S1555" s="9">
        <f>IF($H1555="","",$H1555*(1-$U1555))</f>
        <v>8.9999999999999993E-3</v>
      </c>
      <c r="T1555" s="9">
        <f>IF($I1555="","",$I1555*(1-$U1555))</f>
        <v>1E-3</v>
      </c>
      <c r="U1555" s="16">
        <f>IFERROR(INDEX(BASE_CCLASSTRIB!$E:$E, MATCH(TEXT($D1555,"000000"), BASE_CCLASSTRIB!$A:$A, 0))/100, 0)</f>
        <v>0</v>
      </c>
      <c r="V1555" s="16">
        <f>IFERROR(INDEX(BASE_CCLASSTRIB!$F:$F, MATCH(TEXT($D1555,"000000"), BASE_CCLASSTRIB!$A:$A, 0))/100, 0)</f>
        <v>0</v>
      </c>
    </row>
    <row r="1556" spans="4:22" ht="32.25" customHeight="1">
      <c r="D1556" s="39"/>
      <c r="E1556" s="27" t="str">
        <f>IF(D1556="","",LEFT(D1556,3))</f>
        <v/>
      </c>
      <c r="F1556" s="28" t="str">
        <f>IF(E1556="","",IFERROR(VLOOKUP(E1556,REGRAS_CST!$A$2:$B$200,2,FALSE),""))</f>
        <v/>
      </c>
      <c r="H1556" s="29">
        <v>8.9999999999999993E-3</v>
      </c>
      <c r="I1556" s="29">
        <v>1E-3</v>
      </c>
      <c r="K1556" s="21" t="str">
        <f>IF(E1556="","",IFERROR(VLOOKUP(E1556,REGRAS_CST!$A$2:$C$200,3,FALSE),""))</f>
        <v/>
      </c>
      <c r="L1556" s="23" t="str">
        <f>IF($G1556="", "", $G1556*(1-$V1556))</f>
        <v/>
      </c>
      <c r="M1556" s="24" t="str">
        <f>IF(OR($L1556="",$S1556=""),"",$L1556*$S1556)</f>
        <v/>
      </c>
      <c r="N1556" s="24" t="str">
        <f>IF(OR($L1556="",$T1556=""),"",$L1556*$T1556)</f>
        <v/>
      </c>
      <c r="O1556" s="15" t="str">
        <f>IF(D1556="","",
IF(AND(K1556&lt;&gt;"SIM",V1556&gt;0),"ERRO: % BC &gt; 0, mas NÃO permitida ❌",
IF(AND(K1556="SIM",V1556=0),"ATENÇÃO: BC permitida, mas % = 0 🔎",
"Base de cálculo aplicada corretamente ✅")))</f>
        <v/>
      </c>
      <c r="P1556" s="31" t="str">
        <f>IF(D1556="","",
IF(AND(Q1556&lt;&gt;"SIM",U1556&gt;0),"ERRO: % alíquota &gt; 0, mas NÃO permitida ❌",
IF(AND(Q1556="SIM",U1556=0),"ATENÇÃO: alíquota permitida, mas % = 0 🔎",
"Alíquota aplicada corretamente ✅")))</f>
        <v/>
      </c>
      <c r="Q1556" s="8" t="str">
        <f>IF(E1556="","",IFERROR(VLOOKUP(E1556,REGRAS_CST!$A$2:$D$200,4,FALSE),""))</f>
        <v/>
      </c>
      <c r="S1556" s="9">
        <f>IF($H1556="","",$H1556*(1-$U1556))</f>
        <v>8.9999999999999993E-3</v>
      </c>
      <c r="T1556" s="9">
        <f>IF($I1556="","",$I1556*(1-$U1556))</f>
        <v>1E-3</v>
      </c>
      <c r="U1556" s="16">
        <f>IFERROR(INDEX(BASE_CCLASSTRIB!$E:$E, MATCH(TEXT($D1556,"000000"), BASE_CCLASSTRIB!$A:$A, 0))/100, 0)</f>
        <v>0</v>
      </c>
      <c r="V1556" s="16">
        <f>IFERROR(INDEX(BASE_CCLASSTRIB!$F:$F, MATCH(TEXT($D1556,"000000"), BASE_CCLASSTRIB!$A:$A, 0))/100, 0)</f>
        <v>0</v>
      </c>
    </row>
    <row r="1557" spans="4:22" ht="32.25" customHeight="1">
      <c r="D1557" s="40"/>
      <c r="E1557" s="27" t="str">
        <f>IF(D1557="","",LEFT(D1557,3))</f>
        <v/>
      </c>
      <c r="F1557" s="28" t="str">
        <f>IF(E1557="","",IFERROR(VLOOKUP(E1557,REGRAS_CST!$A$2:$B$200,2,FALSE),""))</f>
        <v/>
      </c>
      <c r="H1557" s="29">
        <v>8.9999999999999993E-3</v>
      </c>
      <c r="I1557" s="29">
        <v>1E-3</v>
      </c>
      <c r="K1557" s="21" t="str">
        <f>IF(E1557="","",IFERROR(VLOOKUP(E1557,REGRAS_CST!$A$2:$C$200,3,FALSE),""))</f>
        <v/>
      </c>
      <c r="L1557" s="23" t="str">
        <f>IF($G1557="", "", $G1557*(1-$V1557))</f>
        <v/>
      </c>
      <c r="M1557" s="24" t="str">
        <f>IF(OR($L1557="",$S1557=""),"",$L1557*$S1557)</f>
        <v/>
      </c>
      <c r="N1557" s="24" t="str">
        <f>IF(OR($L1557="",$T1557=""),"",$L1557*$T1557)</f>
        <v/>
      </c>
      <c r="O1557" s="15" t="str">
        <f>IF(D1557="","",
IF(AND(K1557&lt;&gt;"SIM",V1557&gt;0),"ERRO: % BC &gt; 0, mas NÃO permitida ❌",
IF(AND(K1557="SIM",V1557=0),"ATENÇÃO: BC permitida, mas % = 0 🔎",
"Base de cálculo aplicada corretamente ✅")))</f>
        <v/>
      </c>
      <c r="P1557" s="31" t="str">
        <f>IF(D1557="","",
IF(AND(Q1557&lt;&gt;"SIM",U1557&gt;0),"ERRO: % alíquota &gt; 0, mas NÃO permitida ❌",
IF(AND(Q1557="SIM",U1557=0),"ATENÇÃO: alíquota permitida, mas % = 0 🔎",
"Alíquota aplicada corretamente ✅")))</f>
        <v/>
      </c>
      <c r="Q1557" s="8" t="str">
        <f>IF(E1557="","",IFERROR(VLOOKUP(E1557,REGRAS_CST!$A$2:$D$200,4,FALSE),""))</f>
        <v/>
      </c>
      <c r="S1557" s="9">
        <f>IF($H1557="","",$H1557*(1-$U1557))</f>
        <v>8.9999999999999993E-3</v>
      </c>
      <c r="T1557" s="9">
        <f>IF($I1557="","",$I1557*(1-$U1557))</f>
        <v>1E-3</v>
      </c>
      <c r="U1557" s="16">
        <f>IFERROR(INDEX(BASE_CCLASSTRIB!$E:$E, MATCH(TEXT($D1557,"000000"), BASE_CCLASSTRIB!$A:$A, 0))/100, 0)</f>
        <v>0</v>
      </c>
      <c r="V1557" s="16">
        <f>IFERROR(INDEX(BASE_CCLASSTRIB!$F:$F, MATCH(TEXT($D1557,"000000"), BASE_CCLASSTRIB!$A:$A, 0))/100, 0)</f>
        <v>0</v>
      </c>
    </row>
    <row r="1558" spans="4:22" ht="32.25" customHeight="1">
      <c r="D1558" s="40"/>
      <c r="E1558" s="27" t="str">
        <f>IF(D1558="","",LEFT(D1558,3))</f>
        <v/>
      </c>
      <c r="F1558" s="28" t="str">
        <f>IF(E1558="","",IFERROR(VLOOKUP(E1558,REGRAS_CST!$A$2:$B$200,2,FALSE),""))</f>
        <v/>
      </c>
      <c r="H1558" s="29">
        <v>8.9999999999999993E-3</v>
      </c>
      <c r="I1558" s="29">
        <v>1E-3</v>
      </c>
      <c r="K1558" s="21" t="str">
        <f>IF(E1558="","",IFERROR(VLOOKUP(E1558,REGRAS_CST!$A$2:$C$200,3,FALSE),""))</f>
        <v/>
      </c>
      <c r="L1558" s="23" t="str">
        <f>IF($G1558="", "", $G1558*(1-$V1558))</f>
        <v/>
      </c>
      <c r="M1558" s="24" t="str">
        <f>IF(OR($L1558="",$S1558=""),"",$L1558*$S1558)</f>
        <v/>
      </c>
      <c r="N1558" s="24" t="str">
        <f>IF(OR($L1558="",$T1558=""),"",$L1558*$T1558)</f>
        <v/>
      </c>
      <c r="O1558" s="15" t="str">
        <f>IF(D1558="","",
IF(AND(K1558&lt;&gt;"SIM",V1558&gt;0),"ERRO: % BC &gt; 0, mas NÃO permitida ❌",
IF(AND(K1558="SIM",V1558=0),"ATENÇÃO: BC permitida, mas % = 0 🔎",
"Base de cálculo aplicada corretamente ✅")))</f>
        <v/>
      </c>
      <c r="P1558" s="31" t="str">
        <f>IF(D1558="","",
IF(AND(Q1558&lt;&gt;"SIM",U1558&gt;0),"ERRO: % alíquota &gt; 0, mas NÃO permitida ❌",
IF(AND(Q1558="SIM",U1558=0),"ATENÇÃO: alíquota permitida, mas % = 0 🔎",
"Alíquota aplicada corretamente ✅")))</f>
        <v/>
      </c>
      <c r="Q1558" s="8" t="str">
        <f>IF(E1558="","",IFERROR(VLOOKUP(E1558,REGRAS_CST!$A$2:$D$200,4,FALSE),""))</f>
        <v/>
      </c>
      <c r="S1558" s="9">
        <f>IF($H1558="","",$H1558*(1-$U1558))</f>
        <v>8.9999999999999993E-3</v>
      </c>
      <c r="T1558" s="9">
        <f>IF($I1558="","",$I1558*(1-$U1558))</f>
        <v>1E-3</v>
      </c>
      <c r="U1558" s="16">
        <f>IFERROR(INDEX(BASE_CCLASSTRIB!$E:$E, MATCH(TEXT($D1558,"000000"), BASE_CCLASSTRIB!$A:$A, 0))/100, 0)</f>
        <v>0</v>
      </c>
      <c r="V1558" s="16">
        <f>IFERROR(INDEX(BASE_CCLASSTRIB!$F:$F, MATCH(TEXT($D1558,"000000"), BASE_CCLASSTRIB!$A:$A, 0))/100, 0)</f>
        <v>0</v>
      </c>
    </row>
    <row r="1559" spans="4:22" ht="32.25" customHeight="1">
      <c r="D1559" s="40"/>
      <c r="E1559" s="27" t="str">
        <f>IF(D1559="","",LEFT(D1559,3))</f>
        <v/>
      </c>
      <c r="F1559" s="28" t="str">
        <f>IF(E1559="","",IFERROR(VLOOKUP(E1559,REGRAS_CST!$A$2:$B$200,2,FALSE),""))</f>
        <v/>
      </c>
      <c r="H1559" s="29">
        <v>8.9999999999999993E-3</v>
      </c>
      <c r="I1559" s="29">
        <v>1E-3</v>
      </c>
      <c r="K1559" s="21" t="str">
        <f>IF(E1559="","",IFERROR(VLOOKUP(E1559,REGRAS_CST!$A$2:$C$200,3,FALSE),""))</f>
        <v/>
      </c>
      <c r="L1559" s="23" t="str">
        <f>IF($G1559="", "", $G1559*(1-$V1559))</f>
        <v/>
      </c>
      <c r="M1559" s="24" t="str">
        <f>IF(OR($L1559="",$S1559=""),"",$L1559*$S1559)</f>
        <v/>
      </c>
      <c r="N1559" s="24" t="str">
        <f>IF(OR($L1559="",$T1559=""),"",$L1559*$T1559)</f>
        <v/>
      </c>
      <c r="O1559" s="15" t="str">
        <f>IF(D1559="","",
IF(AND(K1559&lt;&gt;"SIM",V1559&gt;0),"ERRO: % BC &gt; 0, mas NÃO permitida ❌",
IF(AND(K1559="SIM",V1559=0),"ATENÇÃO: BC permitida, mas % = 0 🔎",
"Base de cálculo aplicada corretamente ✅")))</f>
        <v/>
      </c>
      <c r="P1559" s="31" t="str">
        <f>IF(D1559="","",
IF(AND(Q1559&lt;&gt;"SIM",U1559&gt;0),"ERRO: % alíquota &gt; 0, mas NÃO permitida ❌",
IF(AND(Q1559="SIM",U1559=0),"ATENÇÃO: alíquota permitida, mas % = 0 🔎",
"Alíquota aplicada corretamente ✅")))</f>
        <v/>
      </c>
      <c r="Q1559" s="8" t="str">
        <f>IF(E1559="","",IFERROR(VLOOKUP(E1559,REGRAS_CST!$A$2:$D$200,4,FALSE),""))</f>
        <v/>
      </c>
      <c r="S1559" s="9">
        <f>IF($H1559="","",$H1559*(1-$U1559))</f>
        <v>8.9999999999999993E-3</v>
      </c>
      <c r="T1559" s="9">
        <f>IF($I1559="","",$I1559*(1-$U1559))</f>
        <v>1E-3</v>
      </c>
      <c r="U1559" s="16">
        <f>IFERROR(INDEX(BASE_CCLASSTRIB!$E:$E, MATCH(TEXT($D1559,"000000"), BASE_CCLASSTRIB!$A:$A, 0))/100, 0)</f>
        <v>0</v>
      </c>
      <c r="V1559" s="16">
        <f>IFERROR(INDEX(BASE_CCLASSTRIB!$F:$F, MATCH(TEXT($D1559,"000000"), BASE_CCLASSTRIB!$A:$A, 0))/100, 0)</f>
        <v>0</v>
      </c>
    </row>
    <row r="1560" spans="4:22" ht="32.25" customHeight="1">
      <c r="D1560" s="39"/>
      <c r="E1560" s="27" t="str">
        <f>IF(D1560="","",LEFT(D1560,3))</f>
        <v/>
      </c>
      <c r="F1560" s="28" t="str">
        <f>IF(E1560="","",IFERROR(VLOOKUP(E1560,REGRAS_CST!$A$2:$B$200,2,FALSE),""))</f>
        <v/>
      </c>
      <c r="H1560" s="29">
        <v>8.9999999999999993E-3</v>
      </c>
      <c r="I1560" s="29">
        <v>1E-3</v>
      </c>
      <c r="K1560" s="21" t="str">
        <f>IF(E1560="","",IFERROR(VLOOKUP(E1560,REGRAS_CST!$A$2:$C$200,3,FALSE),""))</f>
        <v/>
      </c>
      <c r="L1560" s="23" t="str">
        <f>IF($G1560="", "", $G1560*(1-$V1560))</f>
        <v/>
      </c>
      <c r="M1560" s="24" t="str">
        <f>IF(OR($L1560="",$S1560=""),"",$L1560*$S1560)</f>
        <v/>
      </c>
      <c r="N1560" s="24" t="str">
        <f>IF(OR($L1560="",$T1560=""),"",$L1560*$T1560)</f>
        <v/>
      </c>
      <c r="O1560" s="15" t="str">
        <f>IF(D1560="","",
IF(AND(K1560&lt;&gt;"SIM",V1560&gt;0),"ERRO: % BC &gt; 0, mas NÃO permitida ❌",
IF(AND(K1560="SIM",V1560=0),"ATENÇÃO: BC permitida, mas % = 0 🔎",
"Base de cálculo aplicada corretamente ✅")))</f>
        <v/>
      </c>
      <c r="P1560" s="31" t="str">
        <f>IF(D1560="","",
IF(AND(Q1560&lt;&gt;"SIM",U1560&gt;0),"ERRO: % alíquota &gt; 0, mas NÃO permitida ❌",
IF(AND(Q1560="SIM",U1560=0),"ATENÇÃO: alíquota permitida, mas % = 0 🔎",
"Alíquota aplicada corretamente ✅")))</f>
        <v/>
      </c>
      <c r="Q1560" s="8" t="str">
        <f>IF(E1560="","",IFERROR(VLOOKUP(E1560,REGRAS_CST!$A$2:$D$200,4,FALSE),""))</f>
        <v/>
      </c>
      <c r="S1560" s="9">
        <f>IF($H1560="","",$H1560*(1-$U1560))</f>
        <v>8.9999999999999993E-3</v>
      </c>
      <c r="T1560" s="9">
        <f>IF($I1560="","",$I1560*(1-$U1560))</f>
        <v>1E-3</v>
      </c>
      <c r="U1560" s="16">
        <f>IFERROR(INDEX(BASE_CCLASSTRIB!$E:$E, MATCH(TEXT($D1560,"000000"), BASE_CCLASSTRIB!$A:$A, 0))/100, 0)</f>
        <v>0</v>
      </c>
      <c r="V1560" s="16">
        <f>IFERROR(INDEX(BASE_CCLASSTRIB!$F:$F, MATCH(TEXT($D1560,"000000"), BASE_CCLASSTRIB!$A:$A, 0))/100, 0)</f>
        <v>0</v>
      </c>
    </row>
    <row r="1561" spans="4:22" ht="32.25" customHeight="1">
      <c r="D1561" s="40"/>
      <c r="E1561" s="27" t="str">
        <f>IF(D1561="","",LEFT(D1561,3))</f>
        <v/>
      </c>
      <c r="F1561" s="28" t="str">
        <f>IF(E1561="","",IFERROR(VLOOKUP(E1561,REGRAS_CST!$A$2:$B$200,2,FALSE),""))</f>
        <v/>
      </c>
      <c r="H1561" s="29">
        <v>8.9999999999999993E-3</v>
      </c>
      <c r="I1561" s="29">
        <v>1E-3</v>
      </c>
      <c r="K1561" s="21" t="str">
        <f>IF(E1561="","",IFERROR(VLOOKUP(E1561,REGRAS_CST!$A$2:$C$200,3,FALSE),""))</f>
        <v/>
      </c>
      <c r="L1561" s="23" t="str">
        <f>IF($G1561="", "", $G1561*(1-$V1561))</f>
        <v/>
      </c>
      <c r="M1561" s="24" t="str">
        <f>IF(OR($L1561="",$S1561=""),"",$L1561*$S1561)</f>
        <v/>
      </c>
      <c r="N1561" s="24" t="str">
        <f>IF(OR($L1561="",$T1561=""),"",$L1561*$T1561)</f>
        <v/>
      </c>
      <c r="O1561" s="15" t="str">
        <f>IF(D1561="","",
IF(AND(K1561&lt;&gt;"SIM",V1561&gt;0),"ERRO: % BC &gt; 0, mas NÃO permitida ❌",
IF(AND(K1561="SIM",V1561=0),"ATENÇÃO: BC permitida, mas % = 0 🔎",
"Base de cálculo aplicada corretamente ✅")))</f>
        <v/>
      </c>
      <c r="P1561" s="31" t="str">
        <f>IF(D1561="","",
IF(AND(Q1561&lt;&gt;"SIM",U1561&gt;0),"ERRO: % alíquota &gt; 0, mas NÃO permitida ❌",
IF(AND(Q1561="SIM",U1561=0),"ATENÇÃO: alíquota permitida, mas % = 0 🔎",
"Alíquota aplicada corretamente ✅")))</f>
        <v/>
      </c>
      <c r="Q1561" s="8" t="str">
        <f>IF(E1561="","",IFERROR(VLOOKUP(E1561,REGRAS_CST!$A$2:$D$200,4,FALSE),""))</f>
        <v/>
      </c>
      <c r="S1561" s="9">
        <f>IF($H1561="","",$H1561*(1-$U1561))</f>
        <v>8.9999999999999993E-3</v>
      </c>
      <c r="T1561" s="9">
        <f>IF($I1561="","",$I1561*(1-$U1561))</f>
        <v>1E-3</v>
      </c>
      <c r="U1561" s="16">
        <f>IFERROR(INDEX(BASE_CCLASSTRIB!$E:$E, MATCH(TEXT($D1561,"000000"), BASE_CCLASSTRIB!$A:$A, 0))/100, 0)</f>
        <v>0</v>
      </c>
      <c r="V1561" s="16">
        <f>IFERROR(INDEX(BASE_CCLASSTRIB!$F:$F, MATCH(TEXT($D1561,"000000"), BASE_CCLASSTRIB!$A:$A, 0))/100, 0)</f>
        <v>0</v>
      </c>
    </row>
    <row r="1562" spans="4:22" ht="32.25" customHeight="1">
      <c r="D1562" s="40"/>
      <c r="E1562" s="27" t="str">
        <f>IF(D1562="","",LEFT(D1562,3))</f>
        <v/>
      </c>
      <c r="F1562" s="28" t="str">
        <f>IF(E1562="","",IFERROR(VLOOKUP(E1562,REGRAS_CST!$A$2:$B$200,2,FALSE),""))</f>
        <v/>
      </c>
      <c r="H1562" s="29">
        <v>8.9999999999999993E-3</v>
      </c>
      <c r="I1562" s="29">
        <v>1E-3</v>
      </c>
      <c r="K1562" s="21" t="str">
        <f>IF(E1562="","",IFERROR(VLOOKUP(E1562,REGRAS_CST!$A$2:$C$200,3,FALSE),""))</f>
        <v/>
      </c>
      <c r="L1562" s="23" t="str">
        <f>IF($G1562="", "", $G1562*(1-$V1562))</f>
        <v/>
      </c>
      <c r="M1562" s="24" t="str">
        <f>IF(OR($L1562="",$S1562=""),"",$L1562*$S1562)</f>
        <v/>
      </c>
      <c r="N1562" s="24" t="str">
        <f>IF(OR($L1562="",$T1562=""),"",$L1562*$T1562)</f>
        <v/>
      </c>
      <c r="O1562" s="15" t="str">
        <f>IF(D1562="","",
IF(AND(K1562&lt;&gt;"SIM",V1562&gt;0),"ERRO: % BC &gt; 0, mas NÃO permitida ❌",
IF(AND(K1562="SIM",V1562=0),"ATENÇÃO: BC permitida, mas % = 0 🔎",
"Base de cálculo aplicada corretamente ✅")))</f>
        <v/>
      </c>
      <c r="P1562" s="31" t="str">
        <f>IF(D1562="","",
IF(AND(Q1562&lt;&gt;"SIM",U1562&gt;0),"ERRO: % alíquota &gt; 0, mas NÃO permitida ❌",
IF(AND(Q1562="SIM",U1562=0),"ATENÇÃO: alíquota permitida, mas % = 0 🔎",
"Alíquota aplicada corretamente ✅")))</f>
        <v/>
      </c>
      <c r="Q1562" s="8" t="str">
        <f>IF(E1562="","",IFERROR(VLOOKUP(E1562,REGRAS_CST!$A$2:$D$200,4,FALSE),""))</f>
        <v/>
      </c>
      <c r="S1562" s="9">
        <f>IF($H1562="","",$H1562*(1-$U1562))</f>
        <v>8.9999999999999993E-3</v>
      </c>
      <c r="T1562" s="9">
        <f>IF($I1562="","",$I1562*(1-$U1562))</f>
        <v>1E-3</v>
      </c>
      <c r="U1562" s="16">
        <f>IFERROR(INDEX(BASE_CCLASSTRIB!$E:$E, MATCH(TEXT($D1562,"000000"), BASE_CCLASSTRIB!$A:$A, 0))/100, 0)</f>
        <v>0</v>
      </c>
      <c r="V1562" s="16">
        <f>IFERROR(INDEX(BASE_CCLASSTRIB!$F:$F, MATCH(TEXT($D1562,"000000"), BASE_CCLASSTRIB!$A:$A, 0))/100, 0)</f>
        <v>0</v>
      </c>
    </row>
    <row r="1563" spans="4:22" ht="32.25" customHeight="1">
      <c r="D1563" s="40"/>
      <c r="E1563" s="27" t="str">
        <f>IF(D1563="","",LEFT(D1563,3))</f>
        <v/>
      </c>
      <c r="F1563" s="28" t="str">
        <f>IF(E1563="","",IFERROR(VLOOKUP(E1563,REGRAS_CST!$A$2:$B$200,2,FALSE),""))</f>
        <v/>
      </c>
      <c r="H1563" s="29">
        <v>8.9999999999999993E-3</v>
      </c>
      <c r="I1563" s="29">
        <v>1E-3</v>
      </c>
      <c r="K1563" s="21" t="str">
        <f>IF(E1563="","",IFERROR(VLOOKUP(E1563,REGRAS_CST!$A$2:$C$200,3,FALSE),""))</f>
        <v/>
      </c>
      <c r="L1563" s="23" t="str">
        <f>IF($G1563="", "", $G1563*(1-$V1563))</f>
        <v/>
      </c>
      <c r="M1563" s="24" t="str">
        <f>IF(OR($L1563="",$S1563=""),"",$L1563*$S1563)</f>
        <v/>
      </c>
      <c r="N1563" s="24" t="str">
        <f>IF(OR($L1563="",$T1563=""),"",$L1563*$T1563)</f>
        <v/>
      </c>
      <c r="O1563" s="15" t="str">
        <f>IF(D1563="","",
IF(AND(K1563&lt;&gt;"SIM",V1563&gt;0),"ERRO: % BC &gt; 0, mas NÃO permitida ❌",
IF(AND(K1563="SIM",V1563=0),"ATENÇÃO: BC permitida, mas % = 0 🔎",
"Base de cálculo aplicada corretamente ✅")))</f>
        <v/>
      </c>
      <c r="P1563" s="31" t="str">
        <f>IF(D1563="","",
IF(AND(Q1563&lt;&gt;"SIM",U1563&gt;0),"ERRO: % alíquota &gt; 0, mas NÃO permitida ❌",
IF(AND(Q1563="SIM",U1563=0),"ATENÇÃO: alíquota permitida, mas % = 0 🔎",
"Alíquota aplicada corretamente ✅")))</f>
        <v/>
      </c>
      <c r="Q1563" s="8" t="str">
        <f>IF(E1563="","",IFERROR(VLOOKUP(E1563,REGRAS_CST!$A$2:$D$200,4,FALSE),""))</f>
        <v/>
      </c>
      <c r="S1563" s="9">
        <f>IF($H1563="","",$H1563*(1-$U1563))</f>
        <v>8.9999999999999993E-3</v>
      </c>
      <c r="T1563" s="9">
        <f>IF($I1563="","",$I1563*(1-$U1563))</f>
        <v>1E-3</v>
      </c>
      <c r="U1563" s="16">
        <f>IFERROR(INDEX(BASE_CCLASSTRIB!$E:$E, MATCH(TEXT($D1563,"000000"), BASE_CCLASSTRIB!$A:$A, 0))/100, 0)</f>
        <v>0</v>
      </c>
      <c r="V1563" s="16">
        <f>IFERROR(INDEX(BASE_CCLASSTRIB!$F:$F, MATCH(TEXT($D1563,"000000"), BASE_CCLASSTRIB!$A:$A, 0))/100, 0)</f>
        <v>0</v>
      </c>
    </row>
    <row r="1564" spans="4:22" ht="32.25" customHeight="1">
      <c r="D1564" s="39"/>
      <c r="E1564" s="27" t="str">
        <f>IF(D1564="","",LEFT(D1564,3))</f>
        <v/>
      </c>
      <c r="F1564" s="28" t="str">
        <f>IF(E1564="","",IFERROR(VLOOKUP(E1564,REGRAS_CST!$A$2:$B$200,2,FALSE),""))</f>
        <v/>
      </c>
      <c r="H1564" s="29">
        <v>8.9999999999999993E-3</v>
      </c>
      <c r="I1564" s="29">
        <v>1E-3</v>
      </c>
      <c r="K1564" s="21" t="str">
        <f>IF(E1564="","",IFERROR(VLOOKUP(E1564,REGRAS_CST!$A$2:$C$200,3,FALSE),""))</f>
        <v/>
      </c>
      <c r="L1564" s="23" t="str">
        <f>IF($G1564="", "", $G1564*(1-$V1564))</f>
        <v/>
      </c>
      <c r="M1564" s="24" t="str">
        <f>IF(OR($L1564="",$S1564=""),"",$L1564*$S1564)</f>
        <v/>
      </c>
      <c r="N1564" s="24" t="str">
        <f>IF(OR($L1564="",$T1564=""),"",$L1564*$T1564)</f>
        <v/>
      </c>
      <c r="O1564" s="15" t="str">
        <f>IF(D1564="","",
IF(AND(K1564&lt;&gt;"SIM",V1564&gt;0),"ERRO: % BC &gt; 0, mas NÃO permitida ❌",
IF(AND(K1564="SIM",V1564=0),"ATENÇÃO: BC permitida, mas % = 0 🔎",
"Base de cálculo aplicada corretamente ✅")))</f>
        <v/>
      </c>
      <c r="P1564" s="31" t="str">
        <f>IF(D1564="","",
IF(AND(Q1564&lt;&gt;"SIM",U1564&gt;0),"ERRO: % alíquota &gt; 0, mas NÃO permitida ❌",
IF(AND(Q1564="SIM",U1564=0),"ATENÇÃO: alíquota permitida, mas % = 0 🔎",
"Alíquota aplicada corretamente ✅")))</f>
        <v/>
      </c>
      <c r="Q1564" s="8" t="str">
        <f>IF(E1564="","",IFERROR(VLOOKUP(E1564,REGRAS_CST!$A$2:$D$200,4,FALSE),""))</f>
        <v/>
      </c>
      <c r="S1564" s="9">
        <f>IF($H1564="","",$H1564*(1-$U1564))</f>
        <v>8.9999999999999993E-3</v>
      </c>
      <c r="T1564" s="9">
        <f>IF($I1564="","",$I1564*(1-$U1564))</f>
        <v>1E-3</v>
      </c>
      <c r="U1564" s="16">
        <f>IFERROR(INDEX(BASE_CCLASSTRIB!$E:$E, MATCH(TEXT($D1564,"000000"), BASE_CCLASSTRIB!$A:$A, 0))/100, 0)</f>
        <v>0</v>
      </c>
      <c r="V1564" s="16">
        <f>IFERROR(INDEX(BASE_CCLASSTRIB!$F:$F, MATCH(TEXT($D1564,"000000"), BASE_CCLASSTRIB!$A:$A, 0))/100, 0)</f>
        <v>0</v>
      </c>
    </row>
    <row r="1565" spans="4:22" ht="32.25" customHeight="1">
      <c r="D1565" s="39"/>
      <c r="E1565" s="27" t="str">
        <f>IF(D1565="","",LEFT(D1565,3))</f>
        <v/>
      </c>
      <c r="F1565" s="28" t="str">
        <f>IF(E1565="","",IFERROR(VLOOKUP(E1565,REGRAS_CST!$A$2:$B$200,2,FALSE),""))</f>
        <v/>
      </c>
      <c r="H1565" s="29">
        <v>8.9999999999999993E-3</v>
      </c>
      <c r="I1565" s="29">
        <v>1E-3</v>
      </c>
      <c r="K1565" s="21" t="str">
        <f>IF(E1565="","",IFERROR(VLOOKUP(E1565,REGRAS_CST!$A$2:$C$200,3,FALSE),""))</f>
        <v/>
      </c>
      <c r="L1565" s="23" t="str">
        <f>IF($G1565="", "", $G1565*(1-$V1565))</f>
        <v/>
      </c>
      <c r="M1565" s="24" t="str">
        <f>IF(OR($L1565="",$S1565=""),"",$L1565*$S1565)</f>
        <v/>
      </c>
      <c r="N1565" s="24" t="str">
        <f>IF(OR($L1565="",$T1565=""),"",$L1565*$T1565)</f>
        <v/>
      </c>
      <c r="O1565" s="15" t="str">
        <f>IF(D1565="","",
IF(AND(K1565&lt;&gt;"SIM",V1565&gt;0),"ERRO: % BC &gt; 0, mas NÃO permitida ❌",
IF(AND(K1565="SIM",V1565=0),"ATENÇÃO: BC permitida, mas % = 0 🔎",
"Base de cálculo aplicada corretamente ✅")))</f>
        <v/>
      </c>
      <c r="P1565" s="31" t="str">
        <f>IF(D1565="","",
IF(AND(Q1565&lt;&gt;"SIM",U1565&gt;0),"ERRO: % alíquota &gt; 0, mas NÃO permitida ❌",
IF(AND(Q1565="SIM",U1565=0),"ATENÇÃO: alíquota permitida, mas % = 0 🔎",
"Alíquota aplicada corretamente ✅")))</f>
        <v/>
      </c>
      <c r="Q1565" s="8" t="str">
        <f>IF(E1565="","",IFERROR(VLOOKUP(E1565,REGRAS_CST!$A$2:$D$200,4,FALSE),""))</f>
        <v/>
      </c>
      <c r="S1565" s="9">
        <f>IF($H1565="","",$H1565*(1-$U1565))</f>
        <v>8.9999999999999993E-3</v>
      </c>
      <c r="T1565" s="9">
        <f>IF($I1565="","",$I1565*(1-$U1565))</f>
        <v>1E-3</v>
      </c>
      <c r="U1565" s="16">
        <f>IFERROR(INDEX(BASE_CCLASSTRIB!$E:$E, MATCH(TEXT($D1565,"000000"), BASE_CCLASSTRIB!$A:$A, 0))/100, 0)</f>
        <v>0</v>
      </c>
      <c r="V1565" s="16">
        <f>IFERROR(INDEX(BASE_CCLASSTRIB!$F:$F, MATCH(TEXT($D1565,"000000"), BASE_CCLASSTRIB!$A:$A, 0))/100, 0)</f>
        <v>0</v>
      </c>
    </row>
    <row r="1566" spans="4:22" ht="32.25" customHeight="1">
      <c r="D1566" s="39"/>
      <c r="E1566" s="27" t="str">
        <f>IF(D1566="","",LEFT(D1566,3))</f>
        <v/>
      </c>
      <c r="F1566" s="28" t="str">
        <f>IF(E1566="","",IFERROR(VLOOKUP(E1566,REGRAS_CST!$A$2:$B$200,2,FALSE),""))</f>
        <v/>
      </c>
      <c r="H1566" s="29">
        <v>8.9999999999999993E-3</v>
      </c>
      <c r="I1566" s="29">
        <v>1E-3</v>
      </c>
      <c r="K1566" s="21" t="str">
        <f>IF(E1566="","",IFERROR(VLOOKUP(E1566,REGRAS_CST!$A$2:$C$200,3,FALSE),""))</f>
        <v/>
      </c>
      <c r="L1566" s="23" t="str">
        <f>IF($G1566="", "", $G1566*(1-$V1566))</f>
        <v/>
      </c>
      <c r="M1566" s="24" t="str">
        <f>IF(OR($L1566="",$S1566=""),"",$L1566*$S1566)</f>
        <v/>
      </c>
      <c r="N1566" s="24" t="str">
        <f>IF(OR($L1566="",$T1566=""),"",$L1566*$T1566)</f>
        <v/>
      </c>
      <c r="O1566" s="15" t="str">
        <f>IF(D1566="","",
IF(AND(K1566&lt;&gt;"SIM",V1566&gt;0),"ERRO: % BC &gt; 0, mas NÃO permitida ❌",
IF(AND(K1566="SIM",V1566=0),"ATENÇÃO: BC permitida, mas % = 0 🔎",
"Base de cálculo aplicada corretamente ✅")))</f>
        <v/>
      </c>
      <c r="P1566" s="31" t="str">
        <f>IF(D1566="","",
IF(AND(Q1566&lt;&gt;"SIM",U1566&gt;0),"ERRO: % alíquota &gt; 0, mas NÃO permitida ❌",
IF(AND(Q1566="SIM",U1566=0),"ATENÇÃO: alíquota permitida, mas % = 0 🔎",
"Alíquota aplicada corretamente ✅")))</f>
        <v/>
      </c>
      <c r="Q1566" s="8" t="str">
        <f>IF(E1566="","",IFERROR(VLOOKUP(E1566,REGRAS_CST!$A$2:$D$200,4,FALSE),""))</f>
        <v/>
      </c>
      <c r="S1566" s="9">
        <f>IF($H1566="","",$H1566*(1-$U1566))</f>
        <v>8.9999999999999993E-3</v>
      </c>
      <c r="T1566" s="9">
        <f>IF($I1566="","",$I1566*(1-$U1566))</f>
        <v>1E-3</v>
      </c>
      <c r="U1566" s="16">
        <f>IFERROR(INDEX(BASE_CCLASSTRIB!$E:$E, MATCH(TEXT($D1566,"000000"), BASE_CCLASSTRIB!$A:$A, 0))/100, 0)</f>
        <v>0</v>
      </c>
      <c r="V1566" s="16">
        <f>IFERROR(INDEX(BASE_CCLASSTRIB!$F:$F, MATCH(TEXT($D1566,"000000"), BASE_CCLASSTRIB!$A:$A, 0))/100, 0)</f>
        <v>0</v>
      </c>
    </row>
    <row r="1567" spans="4:22" ht="32.25" customHeight="1">
      <c r="D1567" s="39"/>
      <c r="E1567" s="27" t="str">
        <f>IF(D1567="","",LEFT(D1567,3))</f>
        <v/>
      </c>
      <c r="F1567" s="28" t="str">
        <f>IF(E1567="","",IFERROR(VLOOKUP(E1567,REGRAS_CST!$A$2:$B$200,2,FALSE),""))</f>
        <v/>
      </c>
      <c r="H1567" s="29">
        <v>8.9999999999999993E-3</v>
      </c>
      <c r="I1567" s="29">
        <v>1E-3</v>
      </c>
      <c r="K1567" s="21" t="str">
        <f>IF(E1567="","",IFERROR(VLOOKUP(E1567,REGRAS_CST!$A$2:$C$200,3,FALSE),""))</f>
        <v/>
      </c>
      <c r="L1567" s="23" t="str">
        <f>IF($G1567="", "", $G1567*(1-$V1567))</f>
        <v/>
      </c>
      <c r="M1567" s="24" t="str">
        <f>IF(OR($L1567="",$S1567=""),"",$L1567*$S1567)</f>
        <v/>
      </c>
      <c r="N1567" s="24" t="str">
        <f>IF(OR($L1567="",$T1567=""),"",$L1567*$T1567)</f>
        <v/>
      </c>
      <c r="O1567" s="15" t="str">
        <f>IF(D1567="","",
IF(AND(K1567&lt;&gt;"SIM",V1567&gt;0),"ERRO: % BC &gt; 0, mas NÃO permitida ❌",
IF(AND(K1567="SIM",V1567=0),"ATENÇÃO: BC permitida, mas % = 0 🔎",
"Base de cálculo aplicada corretamente ✅")))</f>
        <v/>
      </c>
      <c r="P1567" s="31" t="str">
        <f>IF(D1567="","",
IF(AND(Q1567&lt;&gt;"SIM",U1567&gt;0),"ERRO: % alíquota &gt; 0, mas NÃO permitida ❌",
IF(AND(Q1567="SIM",U1567=0),"ATENÇÃO: alíquota permitida, mas % = 0 🔎",
"Alíquota aplicada corretamente ✅")))</f>
        <v/>
      </c>
      <c r="Q1567" s="8" t="str">
        <f>IF(E1567="","",IFERROR(VLOOKUP(E1567,REGRAS_CST!$A$2:$D$200,4,FALSE),""))</f>
        <v/>
      </c>
      <c r="S1567" s="9">
        <f>IF($H1567="","",$H1567*(1-$U1567))</f>
        <v>8.9999999999999993E-3</v>
      </c>
      <c r="T1567" s="9">
        <f>IF($I1567="","",$I1567*(1-$U1567))</f>
        <v>1E-3</v>
      </c>
      <c r="U1567" s="16">
        <f>IFERROR(INDEX(BASE_CCLASSTRIB!$E:$E, MATCH(TEXT($D1567,"000000"), BASE_CCLASSTRIB!$A:$A, 0))/100, 0)</f>
        <v>0</v>
      </c>
      <c r="V1567" s="16">
        <f>IFERROR(INDEX(BASE_CCLASSTRIB!$F:$F, MATCH(TEXT($D1567,"000000"), BASE_CCLASSTRIB!$A:$A, 0))/100, 0)</f>
        <v>0</v>
      </c>
    </row>
    <row r="1568" spans="4:22" ht="32.25" customHeight="1">
      <c r="D1568" s="40"/>
      <c r="E1568" s="27" t="str">
        <f>IF(D1568="","",LEFT(D1568,3))</f>
        <v/>
      </c>
      <c r="F1568" s="28" t="str">
        <f>IF(E1568="","",IFERROR(VLOOKUP(E1568,REGRAS_CST!$A$2:$B$200,2,FALSE),""))</f>
        <v/>
      </c>
      <c r="H1568" s="29">
        <v>8.9999999999999993E-3</v>
      </c>
      <c r="I1568" s="29">
        <v>1E-3</v>
      </c>
      <c r="K1568" s="21" t="str">
        <f>IF(E1568="","",IFERROR(VLOOKUP(E1568,REGRAS_CST!$A$2:$C$200,3,FALSE),""))</f>
        <v/>
      </c>
      <c r="L1568" s="23" t="str">
        <f>IF($G1568="", "", $G1568*(1-$V1568))</f>
        <v/>
      </c>
      <c r="M1568" s="24" t="str">
        <f>IF(OR($L1568="",$S1568=""),"",$L1568*$S1568)</f>
        <v/>
      </c>
      <c r="N1568" s="24" t="str">
        <f>IF(OR($L1568="",$T1568=""),"",$L1568*$T1568)</f>
        <v/>
      </c>
      <c r="O1568" s="15" t="str">
        <f>IF(D1568="","",
IF(AND(K1568&lt;&gt;"SIM",V1568&gt;0),"ERRO: % BC &gt; 0, mas NÃO permitida ❌",
IF(AND(K1568="SIM",V1568=0),"ATENÇÃO: BC permitida, mas % = 0 🔎",
"Base de cálculo aplicada corretamente ✅")))</f>
        <v/>
      </c>
      <c r="P1568" s="31" t="str">
        <f>IF(D1568="","",
IF(AND(Q1568&lt;&gt;"SIM",U1568&gt;0),"ERRO: % alíquota &gt; 0, mas NÃO permitida ❌",
IF(AND(Q1568="SIM",U1568=0),"ATENÇÃO: alíquota permitida, mas % = 0 🔎",
"Alíquota aplicada corretamente ✅")))</f>
        <v/>
      </c>
      <c r="Q1568" s="8" t="str">
        <f>IF(E1568="","",IFERROR(VLOOKUP(E1568,REGRAS_CST!$A$2:$D$200,4,FALSE),""))</f>
        <v/>
      </c>
      <c r="S1568" s="9">
        <f>IF($H1568="","",$H1568*(1-$U1568))</f>
        <v>8.9999999999999993E-3</v>
      </c>
      <c r="T1568" s="9">
        <f>IF($I1568="","",$I1568*(1-$U1568))</f>
        <v>1E-3</v>
      </c>
      <c r="U1568" s="16">
        <f>IFERROR(INDEX(BASE_CCLASSTRIB!$E:$E, MATCH(TEXT($D1568,"000000"), BASE_CCLASSTRIB!$A:$A, 0))/100, 0)</f>
        <v>0</v>
      </c>
      <c r="V1568" s="16">
        <f>IFERROR(INDEX(BASE_CCLASSTRIB!$F:$F, MATCH(TEXT($D1568,"000000"), BASE_CCLASSTRIB!$A:$A, 0))/100, 0)</f>
        <v>0</v>
      </c>
    </row>
    <row r="1569" spans="4:22" ht="32.25" customHeight="1">
      <c r="D1569" s="40"/>
      <c r="E1569" s="27" t="str">
        <f>IF(D1569="","",LEFT(D1569,3))</f>
        <v/>
      </c>
      <c r="F1569" s="28" t="str">
        <f>IF(E1569="","",IFERROR(VLOOKUP(E1569,REGRAS_CST!$A$2:$B$200,2,FALSE),""))</f>
        <v/>
      </c>
      <c r="H1569" s="29">
        <v>8.9999999999999993E-3</v>
      </c>
      <c r="I1569" s="29">
        <v>1E-3</v>
      </c>
      <c r="K1569" s="21" t="str">
        <f>IF(E1569="","",IFERROR(VLOOKUP(E1569,REGRAS_CST!$A$2:$C$200,3,FALSE),""))</f>
        <v/>
      </c>
      <c r="L1569" s="23" t="str">
        <f>IF($G1569="", "", $G1569*(1-$V1569))</f>
        <v/>
      </c>
      <c r="M1569" s="24" t="str">
        <f>IF(OR($L1569="",$S1569=""),"",$L1569*$S1569)</f>
        <v/>
      </c>
      <c r="N1569" s="24" t="str">
        <f>IF(OR($L1569="",$T1569=""),"",$L1569*$T1569)</f>
        <v/>
      </c>
      <c r="O1569" s="15" t="str">
        <f>IF(D1569="","",
IF(AND(K1569&lt;&gt;"SIM",V1569&gt;0),"ERRO: % BC &gt; 0, mas NÃO permitida ❌",
IF(AND(K1569="SIM",V1569=0),"ATENÇÃO: BC permitida, mas % = 0 🔎",
"Base de cálculo aplicada corretamente ✅")))</f>
        <v/>
      </c>
      <c r="P1569" s="31" t="str">
        <f>IF(D1569="","",
IF(AND(Q1569&lt;&gt;"SIM",U1569&gt;0),"ERRO: % alíquota &gt; 0, mas NÃO permitida ❌",
IF(AND(Q1569="SIM",U1569=0),"ATENÇÃO: alíquota permitida, mas % = 0 🔎",
"Alíquota aplicada corretamente ✅")))</f>
        <v/>
      </c>
      <c r="Q1569" s="8" t="str">
        <f>IF(E1569="","",IFERROR(VLOOKUP(E1569,REGRAS_CST!$A$2:$D$200,4,FALSE),""))</f>
        <v/>
      </c>
      <c r="S1569" s="9">
        <f>IF($H1569="","",$H1569*(1-$U1569))</f>
        <v>8.9999999999999993E-3</v>
      </c>
      <c r="T1569" s="9">
        <f>IF($I1569="","",$I1569*(1-$U1569))</f>
        <v>1E-3</v>
      </c>
      <c r="U1569" s="16">
        <f>IFERROR(INDEX(BASE_CCLASSTRIB!$E:$E, MATCH(TEXT($D1569,"000000"), BASE_CCLASSTRIB!$A:$A, 0))/100, 0)</f>
        <v>0</v>
      </c>
      <c r="V1569" s="16">
        <f>IFERROR(INDEX(BASE_CCLASSTRIB!$F:$F, MATCH(TEXT($D1569,"000000"), BASE_CCLASSTRIB!$A:$A, 0))/100, 0)</f>
        <v>0</v>
      </c>
    </row>
    <row r="1570" spans="4:22" ht="32.25" customHeight="1">
      <c r="D1570" s="39"/>
      <c r="E1570" s="27" t="str">
        <f>IF(D1570="","",LEFT(D1570,3))</f>
        <v/>
      </c>
      <c r="F1570" s="28" t="str">
        <f>IF(E1570="","",IFERROR(VLOOKUP(E1570,REGRAS_CST!$A$2:$B$200,2,FALSE),""))</f>
        <v/>
      </c>
      <c r="H1570" s="29">
        <v>8.9999999999999993E-3</v>
      </c>
      <c r="I1570" s="29">
        <v>1E-3</v>
      </c>
      <c r="K1570" s="21" t="str">
        <f>IF(E1570="","",IFERROR(VLOOKUP(E1570,REGRAS_CST!$A$2:$C$200,3,FALSE),""))</f>
        <v/>
      </c>
      <c r="L1570" s="23" t="str">
        <f>IF($G1570="", "", $G1570*(1-$V1570))</f>
        <v/>
      </c>
      <c r="M1570" s="24" t="str">
        <f>IF(OR($L1570="",$S1570=""),"",$L1570*$S1570)</f>
        <v/>
      </c>
      <c r="N1570" s="24" t="str">
        <f>IF(OR($L1570="",$T1570=""),"",$L1570*$T1570)</f>
        <v/>
      </c>
      <c r="O1570" s="15" t="str">
        <f>IF(D1570="","",
IF(AND(K1570&lt;&gt;"SIM",V1570&gt;0),"ERRO: % BC &gt; 0, mas NÃO permitida ❌",
IF(AND(K1570="SIM",V1570=0),"ATENÇÃO: BC permitida, mas % = 0 🔎",
"Base de cálculo aplicada corretamente ✅")))</f>
        <v/>
      </c>
      <c r="P1570" s="31" t="str">
        <f>IF(D1570="","",
IF(AND(Q1570&lt;&gt;"SIM",U1570&gt;0),"ERRO: % alíquota &gt; 0, mas NÃO permitida ❌",
IF(AND(Q1570="SIM",U1570=0),"ATENÇÃO: alíquota permitida, mas % = 0 🔎",
"Alíquota aplicada corretamente ✅")))</f>
        <v/>
      </c>
      <c r="Q1570" s="8" t="str">
        <f>IF(E1570="","",IFERROR(VLOOKUP(E1570,REGRAS_CST!$A$2:$D$200,4,FALSE),""))</f>
        <v/>
      </c>
      <c r="S1570" s="9">
        <f>IF($H1570="","",$H1570*(1-$U1570))</f>
        <v>8.9999999999999993E-3</v>
      </c>
      <c r="T1570" s="9">
        <f>IF($I1570="","",$I1570*(1-$U1570))</f>
        <v>1E-3</v>
      </c>
      <c r="U1570" s="16">
        <f>IFERROR(INDEX(BASE_CCLASSTRIB!$E:$E, MATCH(TEXT($D1570,"000000"), BASE_CCLASSTRIB!$A:$A, 0))/100, 0)</f>
        <v>0</v>
      </c>
      <c r="V1570" s="16">
        <f>IFERROR(INDEX(BASE_CCLASSTRIB!$F:$F, MATCH(TEXT($D1570,"000000"), BASE_CCLASSTRIB!$A:$A, 0))/100, 0)</f>
        <v>0</v>
      </c>
    </row>
    <row r="1571" spans="4:22" ht="32.25" customHeight="1">
      <c r="D1571" s="39"/>
      <c r="E1571" s="27" t="str">
        <f>IF(D1571="","",LEFT(D1571,3))</f>
        <v/>
      </c>
      <c r="F1571" s="28" t="str">
        <f>IF(E1571="","",IFERROR(VLOOKUP(E1571,REGRAS_CST!$A$2:$B$200,2,FALSE),""))</f>
        <v/>
      </c>
      <c r="H1571" s="29">
        <v>8.9999999999999993E-3</v>
      </c>
      <c r="I1571" s="29">
        <v>1E-3</v>
      </c>
      <c r="K1571" s="21" t="str">
        <f>IF(E1571="","",IFERROR(VLOOKUP(E1571,REGRAS_CST!$A$2:$C$200,3,FALSE),""))</f>
        <v/>
      </c>
      <c r="L1571" s="23" t="str">
        <f>IF($G1571="", "", $G1571*(1-$V1571))</f>
        <v/>
      </c>
      <c r="M1571" s="24" t="str">
        <f>IF(OR($L1571="",$S1571=""),"",$L1571*$S1571)</f>
        <v/>
      </c>
      <c r="N1571" s="24" t="str">
        <f>IF(OR($L1571="",$T1571=""),"",$L1571*$T1571)</f>
        <v/>
      </c>
      <c r="O1571" s="15" t="str">
        <f>IF(D1571="","",
IF(AND(K1571&lt;&gt;"SIM",V1571&gt;0),"ERRO: % BC &gt; 0, mas NÃO permitida ❌",
IF(AND(K1571="SIM",V1571=0),"ATENÇÃO: BC permitida, mas % = 0 🔎",
"Base de cálculo aplicada corretamente ✅")))</f>
        <v/>
      </c>
      <c r="P1571" s="31" t="str">
        <f>IF(D1571="","",
IF(AND(Q1571&lt;&gt;"SIM",U1571&gt;0),"ERRO: % alíquota &gt; 0, mas NÃO permitida ❌",
IF(AND(Q1571="SIM",U1571=0),"ATENÇÃO: alíquota permitida, mas % = 0 🔎",
"Alíquota aplicada corretamente ✅")))</f>
        <v/>
      </c>
      <c r="Q1571" s="8" t="str">
        <f>IF(E1571="","",IFERROR(VLOOKUP(E1571,REGRAS_CST!$A$2:$D$200,4,FALSE),""))</f>
        <v/>
      </c>
      <c r="S1571" s="9">
        <f>IF($H1571="","",$H1571*(1-$U1571))</f>
        <v>8.9999999999999993E-3</v>
      </c>
      <c r="T1571" s="9">
        <f>IF($I1571="","",$I1571*(1-$U1571))</f>
        <v>1E-3</v>
      </c>
      <c r="U1571" s="16">
        <f>IFERROR(INDEX(BASE_CCLASSTRIB!$E:$E, MATCH(TEXT($D1571,"000000"), BASE_CCLASSTRIB!$A:$A, 0))/100, 0)</f>
        <v>0</v>
      </c>
      <c r="V1571" s="16">
        <f>IFERROR(INDEX(BASE_CCLASSTRIB!$F:$F, MATCH(TEXT($D1571,"000000"), BASE_CCLASSTRIB!$A:$A, 0))/100, 0)</f>
        <v>0</v>
      </c>
    </row>
    <row r="1572" spans="4:22" ht="32.25" customHeight="1">
      <c r="D1572" s="40"/>
      <c r="E1572" s="27" t="str">
        <f>IF(D1572="","",LEFT(D1572,3))</f>
        <v/>
      </c>
      <c r="F1572" s="28" t="str">
        <f>IF(E1572="","",IFERROR(VLOOKUP(E1572,REGRAS_CST!$A$2:$B$200,2,FALSE),""))</f>
        <v/>
      </c>
      <c r="H1572" s="29">
        <v>8.9999999999999993E-3</v>
      </c>
      <c r="I1572" s="29">
        <v>1E-3</v>
      </c>
      <c r="K1572" s="21" t="str">
        <f>IF(E1572="","",IFERROR(VLOOKUP(E1572,REGRAS_CST!$A$2:$C$200,3,FALSE),""))</f>
        <v/>
      </c>
      <c r="L1572" s="23" t="str">
        <f>IF($G1572="", "", $G1572*(1-$V1572))</f>
        <v/>
      </c>
      <c r="M1572" s="24" t="str">
        <f>IF(OR($L1572="",$S1572=""),"",$L1572*$S1572)</f>
        <v/>
      </c>
      <c r="N1572" s="24" t="str">
        <f>IF(OR($L1572="",$T1572=""),"",$L1572*$T1572)</f>
        <v/>
      </c>
      <c r="O1572" s="15" t="str">
        <f>IF(D1572="","",
IF(AND(K1572&lt;&gt;"SIM",V1572&gt;0),"ERRO: % BC &gt; 0, mas NÃO permitida ❌",
IF(AND(K1572="SIM",V1572=0),"ATENÇÃO: BC permitida, mas % = 0 🔎",
"Base de cálculo aplicada corretamente ✅")))</f>
        <v/>
      </c>
      <c r="P1572" s="31" t="str">
        <f>IF(D1572="","",
IF(AND(Q1572&lt;&gt;"SIM",U1572&gt;0),"ERRO: % alíquota &gt; 0, mas NÃO permitida ❌",
IF(AND(Q1572="SIM",U1572=0),"ATENÇÃO: alíquota permitida, mas % = 0 🔎",
"Alíquota aplicada corretamente ✅")))</f>
        <v/>
      </c>
      <c r="Q1572" s="8" t="str">
        <f>IF(E1572="","",IFERROR(VLOOKUP(E1572,REGRAS_CST!$A$2:$D$200,4,FALSE),""))</f>
        <v/>
      </c>
      <c r="S1572" s="9">
        <f>IF($H1572="","",$H1572*(1-$U1572))</f>
        <v>8.9999999999999993E-3</v>
      </c>
      <c r="T1572" s="9">
        <f>IF($I1572="","",$I1572*(1-$U1572))</f>
        <v>1E-3</v>
      </c>
      <c r="U1572" s="16">
        <f>IFERROR(INDEX(BASE_CCLASSTRIB!$E:$E, MATCH(TEXT($D1572,"000000"), BASE_CCLASSTRIB!$A:$A, 0))/100, 0)</f>
        <v>0</v>
      </c>
      <c r="V1572" s="16">
        <f>IFERROR(INDEX(BASE_CCLASSTRIB!$F:$F, MATCH(TEXT($D1572,"000000"), BASE_CCLASSTRIB!$A:$A, 0))/100, 0)</f>
        <v>0</v>
      </c>
    </row>
    <row r="1573" spans="4:22" ht="32.25" customHeight="1">
      <c r="D1573" s="39"/>
      <c r="E1573" s="27" t="str">
        <f>IF(D1573="","",LEFT(D1573,3))</f>
        <v/>
      </c>
      <c r="F1573" s="28" t="str">
        <f>IF(E1573="","",IFERROR(VLOOKUP(E1573,REGRAS_CST!$A$2:$B$200,2,FALSE),""))</f>
        <v/>
      </c>
      <c r="H1573" s="29">
        <v>8.9999999999999993E-3</v>
      </c>
      <c r="I1573" s="29">
        <v>1E-3</v>
      </c>
      <c r="K1573" s="21" t="str">
        <f>IF(E1573="","",IFERROR(VLOOKUP(E1573,REGRAS_CST!$A$2:$C$200,3,FALSE),""))</f>
        <v/>
      </c>
      <c r="L1573" s="23" t="str">
        <f>IF($G1573="", "", $G1573*(1-$V1573))</f>
        <v/>
      </c>
      <c r="M1573" s="24" t="str">
        <f>IF(OR($L1573="",$S1573=""),"",$L1573*$S1573)</f>
        <v/>
      </c>
      <c r="N1573" s="24" t="str">
        <f>IF(OR($L1573="",$T1573=""),"",$L1573*$T1573)</f>
        <v/>
      </c>
      <c r="O1573" s="15" t="str">
        <f>IF(D1573="","",
IF(AND(K1573&lt;&gt;"SIM",V1573&gt;0),"ERRO: % BC &gt; 0, mas NÃO permitida ❌",
IF(AND(K1573="SIM",V1573=0),"ATENÇÃO: BC permitida, mas % = 0 🔎",
"Base de cálculo aplicada corretamente ✅")))</f>
        <v/>
      </c>
      <c r="P1573" s="31" t="str">
        <f>IF(D1573="","",
IF(AND(Q1573&lt;&gt;"SIM",U1573&gt;0),"ERRO: % alíquota &gt; 0, mas NÃO permitida ❌",
IF(AND(Q1573="SIM",U1573=0),"ATENÇÃO: alíquota permitida, mas % = 0 🔎",
"Alíquota aplicada corretamente ✅")))</f>
        <v/>
      </c>
      <c r="Q1573" s="8" t="str">
        <f>IF(E1573="","",IFERROR(VLOOKUP(E1573,REGRAS_CST!$A$2:$D$200,4,FALSE),""))</f>
        <v/>
      </c>
      <c r="S1573" s="9">
        <f>IF($H1573="","",$H1573*(1-$U1573))</f>
        <v>8.9999999999999993E-3</v>
      </c>
      <c r="T1573" s="9">
        <f>IF($I1573="","",$I1573*(1-$U1573))</f>
        <v>1E-3</v>
      </c>
      <c r="U1573" s="16">
        <f>IFERROR(INDEX(BASE_CCLASSTRIB!$E:$E, MATCH(TEXT($D1573,"000000"), BASE_CCLASSTRIB!$A:$A, 0))/100, 0)</f>
        <v>0</v>
      </c>
      <c r="V1573" s="16">
        <f>IFERROR(INDEX(BASE_CCLASSTRIB!$F:$F, MATCH(TEXT($D1573,"000000"), BASE_CCLASSTRIB!$A:$A, 0))/100, 0)</f>
        <v>0</v>
      </c>
    </row>
    <row r="1574" spans="4:22" ht="32.25" customHeight="1">
      <c r="D1574" s="40"/>
      <c r="E1574" s="27" t="str">
        <f>IF(D1574="","",LEFT(D1574,3))</f>
        <v/>
      </c>
      <c r="F1574" s="28" t="str">
        <f>IF(E1574="","",IFERROR(VLOOKUP(E1574,REGRAS_CST!$A$2:$B$200,2,FALSE),""))</f>
        <v/>
      </c>
      <c r="H1574" s="29">
        <v>8.9999999999999993E-3</v>
      </c>
      <c r="I1574" s="29">
        <v>1E-3</v>
      </c>
      <c r="K1574" s="21" t="str">
        <f>IF(E1574="","",IFERROR(VLOOKUP(E1574,REGRAS_CST!$A$2:$C$200,3,FALSE),""))</f>
        <v/>
      </c>
      <c r="L1574" s="23" t="str">
        <f>IF($G1574="", "", $G1574*(1-$V1574))</f>
        <v/>
      </c>
      <c r="M1574" s="24" t="str">
        <f>IF(OR($L1574="",$S1574=""),"",$L1574*$S1574)</f>
        <v/>
      </c>
      <c r="N1574" s="24" t="str">
        <f>IF(OR($L1574="",$T1574=""),"",$L1574*$T1574)</f>
        <v/>
      </c>
      <c r="O1574" s="15" t="str">
        <f>IF(D1574="","",
IF(AND(K1574&lt;&gt;"SIM",V1574&gt;0),"ERRO: % BC &gt; 0, mas NÃO permitida ❌",
IF(AND(K1574="SIM",V1574=0),"ATENÇÃO: BC permitida, mas % = 0 🔎",
"Base de cálculo aplicada corretamente ✅")))</f>
        <v/>
      </c>
      <c r="P1574" s="31" t="str">
        <f>IF(D1574="","",
IF(AND(Q1574&lt;&gt;"SIM",U1574&gt;0),"ERRO: % alíquota &gt; 0, mas NÃO permitida ❌",
IF(AND(Q1574="SIM",U1574=0),"ATENÇÃO: alíquota permitida, mas % = 0 🔎",
"Alíquota aplicada corretamente ✅")))</f>
        <v/>
      </c>
      <c r="Q1574" s="8" t="str">
        <f>IF(E1574="","",IFERROR(VLOOKUP(E1574,REGRAS_CST!$A$2:$D$200,4,FALSE),""))</f>
        <v/>
      </c>
      <c r="S1574" s="9">
        <f>IF($H1574="","",$H1574*(1-$U1574))</f>
        <v>8.9999999999999993E-3</v>
      </c>
      <c r="T1574" s="9">
        <f>IF($I1574="","",$I1574*(1-$U1574))</f>
        <v>1E-3</v>
      </c>
      <c r="U1574" s="16">
        <f>IFERROR(INDEX(BASE_CCLASSTRIB!$E:$E, MATCH(TEXT($D1574,"000000"), BASE_CCLASSTRIB!$A:$A, 0))/100, 0)</f>
        <v>0</v>
      </c>
      <c r="V1574" s="16">
        <f>IFERROR(INDEX(BASE_CCLASSTRIB!$F:$F, MATCH(TEXT($D1574,"000000"), BASE_CCLASSTRIB!$A:$A, 0))/100, 0)</f>
        <v>0</v>
      </c>
    </row>
    <row r="1575" spans="4:22" ht="32.25" customHeight="1">
      <c r="D1575" s="39"/>
      <c r="E1575" s="27" t="str">
        <f>IF(D1575="","",LEFT(D1575,3))</f>
        <v/>
      </c>
      <c r="F1575" s="28" t="str">
        <f>IF(E1575="","",IFERROR(VLOOKUP(E1575,REGRAS_CST!$A$2:$B$200,2,FALSE),""))</f>
        <v/>
      </c>
      <c r="H1575" s="29">
        <v>8.9999999999999993E-3</v>
      </c>
      <c r="I1575" s="29">
        <v>1E-3</v>
      </c>
      <c r="K1575" s="21" t="str">
        <f>IF(E1575="","",IFERROR(VLOOKUP(E1575,REGRAS_CST!$A$2:$C$200,3,FALSE),""))</f>
        <v/>
      </c>
      <c r="L1575" s="23" t="str">
        <f>IF($G1575="", "", $G1575*(1-$V1575))</f>
        <v/>
      </c>
      <c r="M1575" s="24" t="str">
        <f>IF(OR($L1575="",$S1575=""),"",$L1575*$S1575)</f>
        <v/>
      </c>
      <c r="N1575" s="24" t="str">
        <f>IF(OR($L1575="",$T1575=""),"",$L1575*$T1575)</f>
        <v/>
      </c>
      <c r="O1575" s="15" t="str">
        <f>IF(D1575="","",
IF(AND(K1575&lt;&gt;"SIM",V1575&gt;0),"ERRO: % BC &gt; 0, mas NÃO permitida ❌",
IF(AND(K1575="SIM",V1575=0),"ATENÇÃO: BC permitida, mas % = 0 🔎",
"Base de cálculo aplicada corretamente ✅")))</f>
        <v/>
      </c>
      <c r="P1575" s="31" t="str">
        <f>IF(D1575="","",
IF(AND(Q1575&lt;&gt;"SIM",U1575&gt;0),"ERRO: % alíquota &gt; 0, mas NÃO permitida ❌",
IF(AND(Q1575="SIM",U1575=0),"ATENÇÃO: alíquota permitida, mas % = 0 🔎",
"Alíquota aplicada corretamente ✅")))</f>
        <v/>
      </c>
      <c r="Q1575" s="8" t="str">
        <f>IF(E1575="","",IFERROR(VLOOKUP(E1575,REGRAS_CST!$A$2:$D$200,4,FALSE),""))</f>
        <v/>
      </c>
      <c r="S1575" s="9">
        <f>IF($H1575="","",$H1575*(1-$U1575))</f>
        <v>8.9999999999999993E-3</v>
      </c>
      <c r="T1575" s="9">
        <f>IF($I1575="","",$I1575*(1-$U1575))</f>
        <v>1E-3</v>
      </c>
      <c r="U1575" s="16">
        <f>IFERROR(INDEX(BASE_CCLASSTRIB!$E:$E, MATCH(TEXT($D1575,"000000"), BASE_CCLASSTRIB!$A:$A, 0))/100, 0)</f>
        <v>0</v>
      </c>
      <c r="V1575" s="16">
        <f>IFERROR(INDEX(BASE_CCLASSTRIB!$F:$F, MATCH(TEXT($D1575,"000000"), BASE_CCLASSTRIB!$A:$A, 0))/100, 0)</f>
        <v>0</v>
      </c>
    </row>
    <row r="1576" spans="4:22" ht="32.25" customHeight="1">
      <c r="D1576" s="39"/>
      <c r="E1576" s="27" t="str">
        <f>IF(D1576="","",LEFT(D1576,3))</f>
        <v/>
      </c>
      <c r="F1576" s="28" t="str">
        <f>IF(E1576="","",IFERROR(VLOOKUP(E1576,REGRAS_CST!$A$2:$B$200,2,FALSE),""))</f>
        <v/>
      </c>
      <c r="H1576" s="29">
        <v>8.9999999999999993E-3</v>
      </c>
      <c r="I1576" s="29">
        <v>1E-3</v>
      </c>
      <c r="K1576" s="21" t="str">
        <f>IF(E1576="","",IFERROR(VLOOKUP(E1576,REGRAS_CST!$A$2:$C$200,3,FALSE),""))</f>
        <v/>
      </c>
      <c r="L1576" s="23" t="str">
        <f>IF($G1576="", "", $G1576*(1-$V1576))</f>
        <v/>
      </c>
      <c r="M1576" s="24" t="str">
        <f>IF(OR($L1576="",$S1576=""),"",$L1576*$S1576)</f>
        <v/>
      </c>
      <c r="N1576" s="24" t="str">
        <f>IF(OR($L1576="",$T1576=""),"",$L1576*$T1576)</f>
        <v/>
      </c>
      <c r="O1576" s="15" t="str">
        <f>IF(D1576="","",
IF(AND(K1576&lt;&gt;"SIM",V1576&gt;0),"ERRO: % BC &gt; 0, mas NÃO permitida ❌",
IF(AND(K1576="SIM",V1576=0),"ATENÇÃO: BC permitida, mas % = 0 🔎",
"Base de cálculo aplicada corretamente ✅")))</f>
        <v/>
      </c>
      <c r="P1576" s="31" t="str">
        <f>IF(D1576="","",
IF(AND(Q1576&lt;&gt;"SIM",U1576&gt;0),"ERRO: % alíquota &gt; 0, mas NÃO permitida ❌",
IF(AND(Q1576="SIM",U1576=0),"ATENÇÃO: alíquota permitida, mas % = 0 🔎",
"Alíquota aplicada corretamente ✅")))</f>
        <v/>
      </c>
      <c r="Q1576" s="8" t="str">
        <f>IF(E1576="","",IFERROR(VLOOKUP(E1576,REGRAS_CST!$A$2:$D$200,4,FALSE),""))</f>
        <v/>
      </c>
      <c r="S1576" s="9">
        <f>IF($H1576="","",$H1576*(1-$U1576))</f>
        <v>8.9999999999999993E-3</v>
      </c>
      <c r="T1576" s="9">
        <f>IF($I1576="","",$I1576*(1-$U1576))</f>
        <v>1E-3</v>
      </c>
      <c r="U1576" s="16">
        <f>IFERROR(INDEX(BASE_CCLASSTRIB!$E:$E, MATCH(TEXT($D1576,"000000"), BASE_CCLASSTRIB!$A:$A, 0))/100, 0)</f>
        <v>0</v>
      </c>
      <c r="V1576" s="16">
        <f>IFERROR(INDEX(BASE_CCLASSTRIB!$F:$F, MATCH(TEXT($D1576,"000000"), BASE_CCLASSTRIB!$A:$A, 0))/100, 0)</f>
        <v>0</v>
      </c>
    </row>
    <row r="1577" spans="4:22" ht="32.25" customHeight="1">
      <c r="D1577" s="39"/>
      <c r="E1577" s="27" t="str">
        <f>IF(D1577="","",LEFT(D1577,3))</f>
        <v/>
      </c>
      <c r="F1577" s="28" t="str">
        <f>IF(E1577="","",IFERROR(VLOOKUP(E1577,REGRAS_CST!$A$2:$B$200,2,FALSE),""))</f>
        <v/>
      </c>
      <c r="H1577" s="29">
        <v>8.9999999999999993E-3</v>
      </c>
      <c r="I1577" s="29">
        <v>1E-3</v>
      </c>
      <c r="K1577" s="21" t="str">
        <f>IF(E1577="","",IFERROR(VLOOKUP(E1577,REGRAS_CST!$A$2:$C$200,3,FALSE),""))</f>
        <v/>
      </c>
      <c r="L1577" s="23" t="str">
        <f>IF($G1577="", "", $G1577*(1-$V1577))</f>
        <v/>
      </c>
      <c r="M1577" s="24" t="str">
        <f>IF(OR($L1577="",$S1577=""),"",$L1577*$S1577)</f>
        <v/>
      </c>
      <c r="N1577" s="24" t="str">
        <f>IF(OR($L1577="",$T1577=""),"",$L1577*$T1577)</f>
        <v/>
      </c>
      <c r="O1577" s="15" t="str">
        <f>IF(D1577="","",
IF(AND(K1577&lt;&gt;"SIM",V1577&gt;0),"ERRO: % BC &gt; 0, mas NÃO permitida ❌",
IF(AND(K1577="SIM",V1577=0),"ATENÇÃO: BC permitida, mas % = 0 🔎",
"Base de cálculo aplicada corretamente ✅")))</f>
        <v/>
      </c>
      <c r="P1577" s="31" t="str">
        <f>IF(D1577="","",
IF(AND(Q1577&lt;&gt;"SIM",U1577&gt;0),"ERRO: % alíquota &gt; 0, mas NÃO permitida ❌",
IF(AND(Q1577="SIM",U1577=0),"ATENÇÃO: alíquota permitida, mas % = 0 🔎",
"Alíquota aplicada corretamente ✅")))</f>
        <v/>
      </c>
      <c r="Q1577" s="8" t="str">
        <f>IF(E1577="","",IFERROR(VLOOKUP(E1577,REGRAS_CST!$A$2:$D$200,4,FALSE),""))</f>
        <v/>
      </c>
      <c r="S1577" s="9">
        <f>IF($H1577="","",$H1577*(1-$U1577))</f>
        <v>8.9999999999999993E-3</v>
      </c>
      <c r="T1577" s="9">
        <f>IF($I1577="","",$I1577*(1-$U1577))</f>
        <v>1E-3</v>
      </c>
      <c r="U1577" s="16">
        <f>IFERROR(INDEX(BASE_CCLASSTRIB!$E:$E, MATCH(TEXT($D1577,"000000"), BASE_CCLASSTRIB!$A:$A, 0))/100, 0)</f>
        <v>0</v>
      </c>
      <c r="V1577" s="16">
        <f>IFERROR(INDEX(BASE_CCLASSTRIB!$F:$F, MATCH(TEXT($D1577,"000000"), BASE_CCLASSTRIB!$A:$A, 0))/100, 0)</f>
        <v>0</v>
      </c>
    </row>
    <row r="1578" spans="4:22" ht="32.25" customHeight="1">
      <c r="D1578" s="39"/>
      <c r="E1578" s="27" t="str">
        <f>IF(D1578="","",LEFT(D1578,3))</f>
        <v/>
      </c>
      <c r="F1578" s="28" t="str">
        <f>IF(E1578="","",IFERROR(VLOOKUP(E1578,REGRAS_CST!$A$2:$B$200,2,FALSE),""))</f>
        <v/>
      </c>
      <c r="H1578" s="29">
        <v>8.9999999999999993E-3</v>
      </c>
      <c r="I1578" s="29">
        <v>1E-3</v>
      </c>
      <c r="K1578" s="21" t="str">
        <f>IF(E1578="","",IFERROR(VLOOKUP(E1578,REGRAS_CST!$A$2:$C$200,3,FALSE),""))</f>
        <v/>
      </c>
      <c r="L1578" s="23" t="str">
        <f>IF($G1578="", "", $G1578*(1-$V1578))</f>
        <v/>
      </c>
      <c r="M1578" s="24" t="str">
        <f>IF(OR($L1578="",$S1578=""),"",$L1578*$S1578)</f>
        <v/>
      </c>
      <c r="N1578" s="24" t="str">
        <f>IF(OR($L1578="",$T1578=""),"",$L1578*$T1578)</f>
        <v/>
      </c>
      <c r="O1578" s="15" t="str">
        <f>IF(D1578="","",
IF(AND(K1578&lt;&gt;"SIM",V1578&gt;0),"ERRO: % BC &gt; 0, mas NÃO permitida ❌",
IF(AND(K1578="SIM",V1578=0),"ATENÇÃO: BC permitida, mas % = 0 🔎",
"Base de cálculo aplicada corretamente ✅")))</f>
        <v/>
      </c>
      <c r="P1578" s="31" t="str">
        <f>IF(D1578="","",
IF(AND(Q1578&lt;&gt;"SIM",U1578&gt;0),"ERRO: % alíquota &gt; 0, mas NÃO permitida ❌",
IF(AND(Q1578="SIM",U1578=0),"ATENÇÃO: alíquota permitida, mas % = 0 🔎",
"Alíquota aplicada corretamente ✅")))</f>
        <v/>
      </c>
      <c r="Q1578" s="8" t="str">
        <f>IF(E1578="","",IFERROR(VLOOKUP(E1578,REGRAS_CST!$A$2:$D$200,4,FALSE),""))</f>
        <v/>
      </c>
      <c r="S1578" s="9">
        <f>IF($H1578="","",$H1578*(1-$U1578))</f>
        <v>8.9999999999999993E-3</v>
      </c>
      <c r="T1578" s="9">
        <f>IF($I1578="","",$I1578*(1-$U1578))</f>
        <v>1E-3</v>
      </c>
      <c r="U1578" s="16">
        <f>IFERROR(INDEX(BASE_CCLASSTRIB!$E:$E, MATCH(TEXT($D1578,"000000"), BASE_CCLASSTRIB!$A:$A, 0))/100, 0)</f>
        <v>0</v>
      </c>
      <c r="V1578" s="16">
        <f>IFERROR(INDEX(BASE_CCLASSTRIB!$F:$F, MATCH(TEXT($D1578,"000000"), BASE_CCLASSTRIB!$A:$A, 0))/100, 0)</f>
        <v>0</v>
      </c>
    </row>
    <row r="1579" spans="4:22" ht="32.25" customHeight="1">
      <c r="D1579" s="39"/>
      <c r="E1579" s="27" t="str">
        <f>IF(D1579="","",LEFT(D1579,3))</f>
        <v/>
      </c>
      <c r="F1579" s="28" t="str">
        <f>IF(E1579="","",IFERROR(VLOOKUP(E1579,REGRAS_CST!$A$2:$B$200,2,FALSE),""))</f>
        <v/>
      </c>
      <c r="H1579" s="29">
        <v>8.9999999999999993E-3</v>
      </c>
      <c r="I1579" s="29">
        <v>1E-3</v>
      </c>
      <c r="K1579" s="21" t="str">
        <f>IF(E1579="","",IFERROR(VLOOKUP(E1579,REGRAS_CST!$A$2:$C$200,3,FALSE),""))</f>
        <v/>
      </c>
      <c r="L1579" s="23" t="str">
        <f>IF($G1579="", "", $G1579*(1-$V1579))</f>
        <v/>
      </c>
      <c r="M1579" s="24" t="str">
        <f>IF(OR($L1579="",$S1579=""),"",$L1579*$S1579)</f>
        <v/>
      </c>
      <c r="N1579" s="24" t="str">
        <f>IF(OR($L1579="",$T1579=""),"",$L1579*$T1579)</f>
        <v/>
      </c>
      <c r="O1579" s="15" t="str">
        <f>IF(D1579="","",
IF(AND(K1579&lt;&gt;"SIM",V1579&gt;0),"ERRO: % BC &gt; 0, mas NÃO permitida ❌",
IF(AND(K1579="SIM",V1579=0),"ATENÇÃO: BC permitida, mas % = 0 🔎",
"Base de cálculo aplicada corretamente ✅")))</f>
        <v/>
      </c>
      <c r="P1579" s="31" t="str">
        <f>IF(D1579="","",
IF(AND(Q1579&lt;&gt;"SIM",U1579&gt;0),"ERRO: % alíquota &gt; 0, mas NÃO permitida ❌",
IF(AND(Q1579="SIM",U1579=0),"ATENÇÃO: alíquota permitida, mas % = 0 🔎",
"Alíquota aplicada corretamente ✅")))</f>
        <v/>
      </c>
      <c r="Q1579" s="8" t="str">
        <f>IF(E1579="","",IFERROR(VLOOKUP(E1579,REGRAS_CST!$A$2:$D$200,4,FALSE),""))</f>
        <v/>
      </c>
      <c r="S1579" s="9">
        <f>IF($H1579="","",$H1579*(1-$U1579))</f>
        <v>8.9999999999999993E-3</v>
      </c>
      <c r="T1579" s="9">
        <f>IF($I1579="","",$I1579*(1-$U1579))</f>
        <v>1E-3</v>
      </c>
      <c r="U1579" s="16">
        <f>IFERROR(INDEX(BASE_CCLASSTRIB!$E:$E, MATCH(TEXT($D1579,"000000"), BASE_CCLASSTRIB!$A:$A, 0))/100, 0)</f>
        <v>0</v>
      </c>
      <c r="V1579" s="16">
        <f>IFERROR(INDEX(BASE_CCLASSTRIB!$F:$F, MATCH(TEXT($D1579,"000000"), BASE_CCLASSTRIB!$A:$A, 0))/100, 0)</f>
        <v>0</v>
      </c>
    </row>
    <row r="1580" spans="4:22" ht="32.25" customHeight="1">
      <c r="D1580" s="39"/>
      <c r="E1580" s="27" t="str">
        <f>IF(D1580="","",LEFT(D1580,3))</f>
        <v/>
      </c>
      <c r="F1580" s="28" t="str">
        <f>IF(E1580="","",IFERROR(VLOOKUP(E1580,REGRAS_CST!$A$2:$B$200,2,FALSE),""))</f>
        <v/>
      </c>
      <c r="H1580" s="29">
        <v>8.9999999999999993E-3</v>
      </c>
      <c r="I1580" s="29">
        <v>1E-3</v>
      </c>
      <c r="K1580" s="21" t="str">
        <f>IF(E1580="","",IFERROR(VLOOKUP(E1580,REGRAS_CST!$A$2:$C$200,3,FALSE),""))</f>
        <v/>
      </c>
      <c r="L1580" s="23" t="str">
        <f>IF($G1580="", "", $G1580*(1-$V1580))</f>
        <v/>
      </c>
      <c r="M1580" s="24" t="str">
        <f>IF(OR($L1580="",$S1580=""),"",$L1580*$S1580)</f>
        <v/>
      </c>
      <c r="N1580" s="24" t="str">
        <f>IF(OR($L1580="",$T1580=""),"",$L1580*$T1580)</f>
        <v/>
      </c>
      <c r="O1580" s="15" t="str">
        <f>IF(D1580="","",
IF(AND(K1580&lt;&gt;"SIM",V1580&gt;0),"ERRO: % BC &gt; 0, mas NÃO permitida ❌",
IF(AND(K1580="SIM",V1580=0),"ATENÇÃO: BC permitida, mas % = 0 🔎",
"Base de cálculo aplicada corretamente ✅")))</f>
        <v/>
      </c>
      <c r="P1580" s="31" t="str">
        <f>IF(D1580="","",
IF(AND(Q1580&lt;&gt;"SIM",U1580&gt;0),"ERRO: % alíquota &gt; 0, mas NÃO permitida ❌",
IF(AND(Q1580="SIM",U1580=0),"ATENÇÃO: alíquota permitida, mas % = 0 🔎",
"Alíquota aplicada corretamente ✅")))</f>
        <v/>
      </c>
      <c r="Q1580" s="8" t="str">
        <f>IF(E1580="","",IFERROR(VLOOKUP(E1580,REGRAS_CST!$A$2:$D$200,4,FALSE),""))</f>
        <v/>
      </c>
      <c r="S1580" s="9">
        <f>IF($H1580="","",$H1580*(1-$U1580))</f>
        <v>8.9999999999999993E-3</v>
      </c>
      <c r="T1580" s="9">
        <f>IF($I1580="","",$I1580*(1-$U1580))</f>
        <v>1E-3</v>
      </c>
      <c r="U1580" s="16">
        <f>IFERROR(INDEX(BASE_CCLASSTRIB!$E:$E, MATCH(TEXT($D1580,"000000"), BASE_CCLASSTRIB!$A:$A, 0))/100, 0)</f>
        <v>0</v>
      </c>
      <c r="V1580" s="16">
        <f>IFERROR(INDEX(BASE_CCLASSTRIB!$F:$F, MATCH(TEXT($D1580,"000000"), BASE_CCLASSTRIB!$A:$A, 0))/100, 0)</f>
        <v>0</v>
      </c>
    </row>
    <row r="1581" spans="4:22" ht="32.25" customHeight="1">
      <c r="D1581" s="39"/>
      <c r="E1581" s="27" t="str">
        <f>IF(D1581="","",LEFT(D1581,3))</f>
        <v/>
      </c>
      <c r="F1581" s="28" t="str">
        <f>IF(E1581="","",IFERROR(VLOOKUP(E1581,REGRAS_CST!$A$2:$B$200,2,FALSE),""))</f>
        <v/>
      </c>
      <c r="H1581" s="29">
        <v>8.9999999999999993E-3</v>
      </c>
      <c r="I1581" s="29">
        <v>1E-3</v>
      </c>
      <c r="K1581" s="21" t="str">
        <f>IF(E1581="","",IFERROR(VLOOKUP(E1581,REGRAS_CST!$A$2:$C$200,3,FALSE),""))</f>
        <v/>
      </c>
      <c r="L1581" s="23" t="str">
        <f>IF($G1581="", "", $G1581*(1-$V1581))</f>
        <v/>
      </c>
      <c r="M1581" s="24" t="str">
        <f>IF(OR($L1581="",$S1581=""),"",$L1581*$S1581)</f>
        <v/>
      </c>
      <c r="N1581" s="24" t="str">
        <f>IF(OR($L1581="",$T1581=""),"",$L1581*$T1581)</f>
        <v/>
      </c>
      <c r="O1581" s="15" t="str">
        <f>IF(D1581="","",
IF(AND(K1581&lt;&gt;"SIM",V1581&gt;0),"ERRO: % BC &gt; 0, mas NÃO permitida ❌",
IF(AND(K1581="SIM",V1581=0),"ATENÇÃO: BC permitida, mas % = 0 🔎",
"Base de cálculo aplicada corretamente ✅")))</f>
        <v/>
      </c>
      <c r="P1581" s="31" t="str">
        <f>IF(D1581="","",
IF(AND(Q1581&lt;&gt;"SIM",U1581&gt;0),"ERRO: % alíquota &gt; 0, mas NÃO permitida ❌",
IF(AND(Q1581="SIM",U1581=0),"ATENÇÃO: alíquota permitida, mas % = 0 🔎",
"Alíquota aplicada corretamente ✅")))</f>
        <v/>
      </c>
      <c r="Q1581" s="8" t="str">
        <f>IF(E1581="","",IFERROR(VLOOKUP(E1581,REGRAS_CST!$A$2:$D$200,4,FALSE),""))</f>
        <v/>
      </c>
      <c r="S1581" s="9">
        <f>IF($H1581="","",$H1581*(1-$U1581))</f>
        <v>8.9999999999999993E-3</v>
      </c>
      <c r="T1581" s="9">
        <f>IF($I1581="","",$I1581*(1-$U1581))</f>
        <v>1E-3</v>
      </c>
      <c r="U1581" s="16">
        <f>IFERROR(INDEX(BASE_CCLASSTRIB!$E:$E, MATCH(TEXT($D1581,"000000"), BASE_CCLASSTRIB!$A:$A, 0))/100, 0)</f>
        <v>0</v>
      </c>
      <c r="V1581" s="16">
        <f>IFERROR(INDEX(BASE_CCLASSTRIB!$F:$F, MATCH(TEXT($D1581,"000000"), BASE_CCLASSTRIB!$A:$A, 0))/100, 0)</f>
        <v>0</v>
      </c>
    </row>
    <row r="1582" spans="4:22" ht="32.25" customHeight="1">
      <c r="D1582" s="39"/>
      <c r="E1582" s="27" t="str">
        <f>IF(D1582="","",LEFT(D1582,3))</f>
        <v/>
      </c>
      <c r="F1582" s="28" t="str">
        <f>IF(E1582="","",IFERROR(VLOOKUP(E1582,REGRAS_CST!$A$2:$B$200,2,FALSE),""))</f>
        <v/>
      </c>
      <c r="H1582" s="29">
        <v>8.9999999999999993E-3</v>
      </c>
      <c r="I1582" s="29">
        <v>1E-3</v>
      </c>
      <c r="K1582" s="21" t="str">
        <f>IF(E1582="","",IFERROR(VLOOKUP(E1582,REGRAS_CST!$A$2:$C$200,3,FALSE),""))</f>
        <v/>
      </c>
      <c r="L1582" s="23" t="str">
        <f>IF($G1582="", "", $G1582*(1-$V1582))</f>
        <v/>
      </c>
      <c r="M1582" s="24" t="str">
        <f>IF(OR($L1582="",$S1582=""),"",$L1582*$S1582)</f>
        <v/>
      </c>
      <c r="N1582" s="24" t="str">
        <f>IF(OR($L1582="",$T1582=""),"",$L1582*$T1582)</f>
        <v/>
      </c>
      <c r="O1582" s="15" t="str">
        <f>IF(D1582="","",
IF(AND(K1582&lt;&gt;"SIM",V1582&gt;0),"ERRO: % BC &gt; 0, mas NÃO permitida ❌",
IF(AND(K1582="SIM",V1582=0),"ATENÇÃO: BC permitida, mas % = 0 🔎",
"Base de cálculo aplicada corretamente ✅")))</f>
        <v/>
      </c>
      <c r="P1582" s="31" t="str">
        <f>IF(D1582="","",
IF(AND(Q1582&lt;&gt;"SIM",U1582&gt;0),"ERRO: % alíquota &gt; 0, mas NÃO permitida ❌",
IF(AND(Q1582="SIM",U1582=0),"ATENÇÃO: alíquota permitida, mas % = 0 🔎",
"Alíquota aplicada corretamente ✅")))</f>
        <v/>
      </c>
      <c r="Q1582" s="8" t="str">
        <f>IF(E1582="","",IFERROR(VLOOKUP(E1582,REGRAS_CST!$A$2:$D$200,4,FALSE),""))</f>
        <v/>
      </c>
      <c r="S1582" s="9">
        <f>IF($H1582="","",$H1582*(1-$U1582))</f>
        <v>8.9999999999999993E-3</v>
      </c>
      <c r="T1582" s="9">
        <f>IF($I1582="","",$I1582*(1-$U1582))</f>
        <v>1E-3</v>
      </c>
      <c r="U1582" s="16">
        <f>IFERROR(INDEX(BASE_CCLASSTRIB!$E:$E, MATCH(TEXT($D1582,"000000"), BASE_CCLASSTRIB!$A:$A, 0))/100, 0)</f>
        <v>0</v>
      </c>
      <c r="V1582" s="16">
        <f>IFERROR(INDEX(BASE_CCLASSTRIB!$F:$F, MATCH(TEXT($D1582,"000000"), BASE_CCLASSTRIB!$A:$A, 0))/100, 0)</f>
        <v>0</v>
      </c>
    </row>
    <row r="1583" spans="4:22" ht="32.25" customHeight="1">
      <c r="D1583" s="39"/>
      <c r="E1583" s="27" t="str">
        <f>IF(D1583="","",LEFT(D1583,3))</f>
        <v/>
      </c>
      <c r="F1583" s="28" t="str">
        <f>IF(E1583="","",IFERROR(VLOOKUP(E1583,REGRAS_CST!$A$2:$B$200,2,FALSE),""))</f>
        <v/>
      </c>
      <c r="H1583" s="29">
        <v>8.9999999999999993E-3</v>
      </c>
      <c r="I1583" s="29">
        <v>1E-3</v>
      </c>
      <c r="K1583" s="21" t="str">
        <f>IF(E1583="","",IFERROR(VLOOKUP(E1583,REGRAS_CST!$A$2:$C$200,3,FALSE),""))</f>
        <v/>
      </c>
      <c r="L1583" s="23" t="str">
        <f>IF($G1583="", "", $G1583*(1-$V1583))</f>
        <v/>
      </c>
      <c r="M1583" s="24" t="str">
        <f>IF(OR($L1583="",$S1583=""),"",$L1583*$S1583)</f>
        <v/>
      </c>
      <c r="N1583" s="24" t="str">
        <f>IF(OR($L1583="",$T1583=""),"",$L1583*$T1583)</f>
        <v/>
      </c>
      <c r="O1583" s="15" t="str">
        <f>IF(D1583="","",
IF(AND(K1583&lt;&gt;"SIM",V1583&gt;0),"ERRO: % BC &gt; 0, mas NÃO permitida ❌",
IF(AND(K1583="SIM",V1583=0),"ATENÇÃO: BC permitida, mas % = 0 🔎",
"Base de cálculo aplicada corretamente ✅")))</f>
        <v/>
      </c>
      <c r="P1583" s="31" t="str">
        <f>IF(D1583="","",
IF(AND(Q1583&lt;&gt;"SIM",U1583&gt;0),"ERRO: % alíquota &gt; 0, mas NÃO permitida ❌",
IF(AND(Q1583="SIM",U1583=0),"ATENÇÃO: alíquota permitida, mas % = 0 🔎",
"Alíquota aplicada corretamente ✅")))</f>
        <v/>
      </c>
      <c r="Q1583" s="8" t="str">
        <f>IF(E1583="","",IFERROR(VLOOKUP(E1583,REGRAS_CST!$A$2:$D$200,4,FALSE),""))</f>
        <v/>
      </c>
      <c r="S1583" s="9">
        <f>IF($H1583="","",$H1583*(1-$U1583))</f>
        <v>8.9999999999999993E-3</v>
      </c>
      <c r="T1583" s="9">
        <f>IF($I1583="","",$I1583*(1-$U1583))</f>
        <v>1E-3</v>
      </c>
      <c r="U1583" s="16">
        <f>IFERROR(INDEX(BASE_CCLASSTRIB!$E:$E, MATCH(TEXT($D1583,"000000"), BASE_CCLASSTRIB!$A:$A, 0))/100, 0)</f>
        <v>0</v>
      </c>
      <c r="V1583" s="16">
        <f>IFERROR(INDEX(BASE_CCLASSTRIB!$F:$F, MATCH(TEXT($D1583,"000000"), BASE_CCLASSTRIB!$A:$A, 0))/100, 0)</f>
        <v>0</v>
      </c>
    </row>
    <row r="1584" spans="4:22" ht="32.25" customHeight="1">
      <c r="D1584" s="39"/>
      <c r="E1584" s="27" t="str">
        <f>IF(D1584="","",LEFT(D1584,3))</f>
        <v/>
      </c>
      <c r="F1584" s="28" t="str">
        <f>IF(E1584="","",IFERROR(VLOOKUP(E1584,REGRAS_CST!$A$2:$B$200,2,FALSE),""))</f>
        <v/>
      </c>
      <c r="H1584" s="29">
        <v>8.9999999999999993E-3</v>
      </c>
      <c r="I1584" s="29">
        <v>1E-3</v>
      </c>
      <c r="K1584" s="21" t="str">
        <f>IF(E1584="","",IFERROR(VLOOKUP(E1584,REGRAS_CST!$A$2:$C$200,3,FALSE),""))</f>
        <v/>
      </c>
      <c r="L1584" s="23" t="str">
        <f>IF($G1584="", "", $G1584*(1-$V1584))</f>
        <v/>
      </c>
      <c r="M1584" s="24" t="str">
        <f>IF(OR($L1584="",$S1584=""),"",$L1584*$S1584)</f>
        <v/>
      </c>
      <c r="N1584" s="24" t="str">
        <f>IF(OR($L1584="",$T1584=""),"",$L1584*$T1584)</f>
        <v/>
      </c>
      <c r="O1584" s="15" t="str">
        <f>IF(D1584="","",
IF(AND(K1584&lt;&gt;"SIM",V1584&gt;0),"ERRO: % BC &gt; 0, mas NÃO permitida ❌",
IF(AND(K1584="SIM",V1584=0),"ATENÇÃO: BC permitida, mas % = 0 🔎",
"Base de cálculo aplicada corretamente ✅")))</f>
        <v/>
      </c>
      <c r="P1584" s="31" t="str">
        <f>IF(D1584="","",
IF(AND(Q1584&lt;&gt;"SIM",U1584&gt;0),"ERRO: % alíquota &gt; 0, mas NÃO permitida ❌",
IF(AND(Q1584="SIM",U1584=0),"ATENÇÃO: alíquota permitida, mas % = 0 🔎",
"Alíquota aplicada corretamente ✅")))</f>
        <v/>
      </c>
      <c r="Q1584" s="8" t="str">
        <f>IF(E1584="","",IFERROR(VLOOKUP(E1584,REGRAS_CST!$A$2:$D$200,4,FALSE),""))</f>
        <v/>
      </c>
      <c r="S1584" s="9">
        <f>IF($H1584="","",$H1584*(1-$U1584))</f>
        <v>8.9999999999999993E-3</v>
      </c>
      <c r="T1584" s="9">
        <f>IF($I1584="","",$I1584*(1-$U1584))</f>
        <v>1E-3</v>
      </c>
      <c r="U1584" s="16">
        <f>IFERROR(INDEX(BASE_CCLASSTRIB!$E:$E, MATCH(TEXT($D1584,"000000"), BASE_CCLASSTRIB!$A:$A, 0))/100, 0)</f>
        <v>0</v>
      </c>
      <c r="V1584" s="16">
        <f>IFERROR(INDEX(BASE_CCLASSTRIB!$F:$F, MATCH(TEXT($D1584,"000000"), BASE_CCLASSTRIB!$A:$A, 0))/100, 0)</f>
        <v>0</v>
      </c>
    </row>
    <row r="1585" spans="4:22" ht="32.25" customHeight="1">
      <c r="D1585" s="39"/>
      <c r="E1585" s="27" t="str">
        <f>IF(D1585="","",LEFT(D1585,3))</f>
        <v/>
      </c>
      <c r="F1585" s="28" t="str">
        <f>IF(E1585="","",IFERROR(VLOOKUP(E1585,REGRAS_CST!$A$2:$B$200,2,FALSE),""))</f>
        <v/>
      </c>
      <c r="H1585" s="29">
        <v>8.9999999999999993E-3</v>
      </c>
      <c r="I1585" s="29">
        <v>1E-3</v>
      </c>
      <c r="K1585" s="21" t="str">
        <f>IF(E1585="","",IFERROR(VLOOKUP(E1585,REGRAS_CST!$A$2:$C$200,3,FALSE),""))</f>
        <v/>
      </c>
      <c r="L1585" s="23" t="str">
        <f>IF($G1585="", "", $G1585*(1-$V1585))</f>
        <v/>
      </c>
      <c r="M1585" s="24" t="str">
        <f>IF(OR($L1585="",$S1585=""),"",$L1585*$S1585)</f>
        <v/>
      </c>
      <c r="N1585" s="24" t="str">
        <f>IF(OR($L1585="",$T1585=""),"",$L1585*$T1585)</f>
        <v/>
      </c>
      <c r="O1585" s="15" t="str">
        <f>IF(D1585="","",
IF(AND(K1585&lt;&gt;"SIM",V1585&gt;0),"ERRO: % BC &gt; 0, mas NÃO permitida ❌",
IF(AND(K1585="SIM",V1585=0),"ATENÇÃO: BC permitida, mas % = 0 🔎",
"Base de cálculo aplicada corretamente ✅")))</f>
        <v/>
      </c>
      <c r="P1585" s="31" t="str">
        <f>IF(D1585="","",
IF(AND(Q1585&lt;&gt;"SIM",U1585&gt;0),"ERRO: % alíquota &gt; 0, mas NÃO permitida ❌",
IF(AND(Q1585="SIM",U1585=0),"ATENÇÃO: alíquota permitida, mas % = 0 🔎",
"Alíquota aplicada corretamente ✅")))</f>
        <v/>
      </c>
      <c r="Q1585" s="8" t="str">
        <f>IF(E1585="","",IFERROR(VLOOKUP(E1585,REGRAS_CST!$A$2:$D$200,4,FALSE),""))</f>
        <v/>
      </c>
      <c r="S1585" s="9">
        <f>IF($H1585="","",$H1585*(1-$U1585))</f>
        <v>8.9999999999999993E-3</v>
      </c>
      <c r="T1585" s="9">
        <f>IF($I1585="","",$I1585*(1-$U1585))</f>
        <v>1E-3</v>
      </c>
      <c r="U1585" s="16">
        <f>IFERROR(INDEX(BASE_CCLASSTRIB!$E:$E, MATCH(TEXT($D1585,"000000"), BASE_CCLASSTRIB!$A:$A, 0))/100, 0)</f>
        <v>0</v>
      </c>
      <c r="V1585" s="16">
        <f>IFERROR(INDEX(BASE_CCLASSTRIB!$F:$F, MATCH(TEXT($D1585,"000000"), BASE_CCLASSTRIB!$A:$A, 0))/100, 0)</f>
        <v>0</v>
      </c>
    </row>
    <row r="1586" spans="4:22" ht="32.25" customHeight="1">
      <c r="D1586" s="40"/>
      <c r="E1586" s="27" t="str">
        <f>IF(D1586="","",LEFT(D1586,3))</f>
        <v/>
      </c>
      <c r="F1586" s="28" t="str">
        <f>IF(E1586="","",IFERROR(VLOOKUP(E1586,REGRAS_CST!$A$2:$B$200,2,FALSE),""))</f>
        <v/>
      </c>
      <c r="H1586" s="29">
        <v>8.9999999999999993E-3</v>
      </c>
      <c r="I1586" s="29">
        <v>1E-3</v>
      </c>
      <c r="K1586" s="21" t="str">
        <f>IF(E1586="","",IFERROR(VLOOKUP(E1586,REGRAS_CST!$A$2:$C$200,3,FALSE),""))</f>
        <v/>
      </c>
      <c r="L1586" s="23" t="str">
        <f>IF($G1586="", "", $G1586*(1-$V1586))</f>
        <v/>
      </c>
      <c r="M1586" s="24" t="str">
        <f>IF(OR($L1586="",$S1586=""),"",$L1586*$S1586)</f>
        <v/>
      </c>
      <c r="N1586" s="24" t="str">
        <f>IF(OR($L1586="",$T1586=""),"",$L1586*$T1586)</f>
        <v/>
      </c>
      <c r="O1586" s="15" t="str">
        <f>IF(D1586="","",
IF(AND(K1586&lt;&gt;"SIM",V1586&gt;0),"ERRO: % BC &gt; 0, mas NÃO permitida ❌",
IF(AND(K1586="SIM",V1586=0),"ATENÇÃO: BC permitida, mas % = 0 🔎",
"Base de cálculo aplicada corretamente ✅")))</f>
        <v/>
      </c>
      <c r="P1586" s="31" t="str">
        <f>IF(D1586="","",
IF(AND(Q1586&lt;&gt;"SIM",U1586&gt;0),"ERRO: % alíquota &gt; 0, mas NÃO permitida ❌",
IF(AND(Q1586="SIM",U1586=0),"ATENÇÃO: alíquota permitida, mas % = 0 🔎",
"Alíquota aplicada corretamente ✅")))</f>
        <v/>
      </c>
      <c r="Q1586" s="8" t="str">
        <f>IF(E1586="","",IFERROR(VLOOKUP(E1586,REGRAS_CST!$A$2:$D$200,4,FALSE),""))</f>
        <v/>
      </c>
      <c r="S1586" s="9">
        <f>IF($H1586="","",$H1586*(1-$U1586))</f>
        <v>8.9999999999999993E-3</v>
      </c>
      <c r="T1586" s="9">
        <f>IF($I1586="","",$I1586*(1-$U1586))</f>
        <v>1E-3</v>
      </c>
      <c r="U1586" s="16">
        <f>IFERROR(INDEX(BASE_CCLASSTRIB!$E:$E, MATCH(TEXT($D1586,"000000"), BASE_CCLASSTRIB!$A:$A, 0))/100, 0)</f>
        <v>0</v>
      </c>
      <c r="V1586" s="16">
        <f>IFERROR(INDEX(BASE_CCLASSTRIB!$F:$F, MATCH(TEXT($D1586,"000000"), BASE_CCLASSTRIB!$A:$A, 0))/100, 0)</f>
        <v>0</v>
      </c>
    </row>
    <row r="1587" spans="4:22" ht="32.25" customHeight="1">
      <c r="D1587" s="39"/>
      <c r="E1587" s="27" t="str">
        <f>IF(D1587="","",LEFT(D1587,3))</f>
        <v/>
      </c>
      <c r="F1587" s="28" t="str">
        <f>IF(E1587="","",IFERROR(VLOOKUP(E1587,REGRAS_CST!$A$2:$B$200,2,FALSE),""))</f>
        <v/>
      </c>
      <c r="H1587" s="29">
        <v>8.9999999999999993E-3</v>
      </c>
      <c r="I1587" s="29">
        <v>1E-3</v>
      </c>
      <c r="K1587" s="21" t="str">
        <f>IF(E1587="","",IFERROR(VLOOKUP(E1587,REGRAS_CST!$A$2:$C$200,3,FALSE),""))</f>
        <v/>
      </c>
      <c r="L1587" s="23" t="str">
        <f>IF($G1587="", "", $G1587*(1-$V1587))</f>
        <v/>
      </c>
      <c r="M1587" s="24" t="str">
        <f>IF(OR($L1587="",$S1587=""),"",$L1587*$S1587)</f>
        <v/>
      </c>
      <c r="N1587" s="24" t="str">
        <f>IF(OR($L1587="",$T1587=""),"",$L1587*$T1587)</f>
        <v/>
      </c>
      <c r="O1587" s="15" t="str">
        <f>IF(D1587="","",
IF(AND(K1587&lt;&gt;"SIM",V1587&gt;0),"ERRO: % BC &gt; 0, mas NÃO permitida ❌",
IF(AND(K1587="SIM",V1587=0),"ATENÇÃO: BC permitida, mas % = 0 🔎",
"Base de cálculo aplicada corretamente ✅")))</f>
        <v/>
      </c>
      <c r="P1587" s="31" t="str">
        <f>IF(D1587="","",
IF(AND(Q1587&lt;&gt;"SIM",U1587&gt;0),"ERRO: % alíquota &gt; 0, mas NÃO permitida ❌",
IF(AND(Q1587="SIM",U1587=0),"ATENÇÃO: alíquota permitida, mas % = 0 🔎",
"Alíquota aplicada corretamente ✅")))</f>
        <v/>
      </c>
      <c r="Q1587" s="8" t="str">
        <f>IF(E1587="","",IFERROR(VLOOKUP(E1587,REGRAS_CST!$A$2:$D$200,4,FALSE),""))</f>
        <v/>
      </c>
      <c r="S1587" s="9">
        <f>IF($H1587="","",$H1587*(1-$U1587))</f>
        <v>8.9999999999999993E-3</v>
      </c>
      <c r="T1587" s="9">
        <f>IF($I1587="","",$I1587*(1-$U1587))</f>
        <v>1E-3</v>
      </c>
      <c r="U1587" s="16">
        <f>IFERROR(INDEX(BASE_CCLASSTRIB!$E:$E, MATCH(TEXT($D1587,"000000"), BASE_CCLASSTRIB!$A:$A, 0))/100, 0)</f>
        <v>0</v>
      </c>
      <c r="V1587" s="16">
        <f>IFERROR(INDEX(BASE_CCLASSTRIB!$F:$F, MATCH(TEXT($D1587,"000000"), BASE_CCLASSTRIB!$A:$A, 0))/100, 0)</f>
        <v>0</v>
      </c>
    </row>
    <row r="1588" spans="4:22" ht="32.25" customHeight="1">
      <c r="D1588" s="40"/>
      <c r="E1588" s="27" t="str">
        <f>IF(D1588="","",LEFT(D1588,3))</f>
        <v/>
      </c>
      <c r="F1588" s="28" t="str">
        <f>IF(E1588="","",IFERROR(VLOOKUP(E1588,REGRAS_CST!$A$2:$B$200,2,FALSE),""))</f>
        <v/>
      </c>
      <c r="H1588" s="29">
        <v>8.9999999999999993E-3</v>
      </c>
      <c r="I1588" s="29">
        <v>1E-3</v>
      </c>
      <c r="K1588" s="21" t="str">
        <f>IF(E1588="","",IFERROR(VLOOKUP(E1588,REGRAS_CST!$A$2:$C$200,3,FALSE),""))</f>
        <v/>
      </c>
      <c r="L1588" s="23" t="str">
        <f>IF($G1588="", "", $G1588*(1-$V1588))</f>
        <v/>
      </c>
      <c r="M1588" s="24" t="str">
        <f>IF(OR($L1588="",$S1588=""),"",$L1588*$S1588)</f>
        <v/>
      </c>
      <c r="N1588" s="24" t="str">
        <f>IF(OR($L1588="",$T1588=""),"",$L1588*$T1588)</f>
        <v/>
      </c>
      <c r="O1588" s="15" t="str">
        <f>IF(D1588="","",
IF(AND(K1588&lt;&gt;"SIM",V1588&gt;0),"ERRO: % BC &gt; 0, mas NÃO permitida ❌",
IF(AND(K1588="SIM",V1588=0),"ATENÇÃO: BC permitida, mas % = 0 🔎",
"Base de cálculo aplicada corretamente ✅")))</f>
        <v/>
      </c>
      <c r="P1588" s="31" t="str">
        <f>IF(D1588="","",
IF(AND(Q1588&lt;&gt;"SIM",U1588&gt;0),"ERRO: % alíquota &gt; 0, mas NÃO permitida ❌",
IF(AND(Q1588="SIM",U1588=0),"ATENÇÃO: alíquota permitida, mas % = 0 🔎",
"Alíquota aplicada corretamente ✅")))</f>
        <v/>
      </c>
      <c r="Q1588" s="8" t="str">
        <f>IF(E1588="","",IFERROR(VLOOKUP(E1588,REGRAS_CST!$A$2:$D$200,4,FALSE),""))</f>
        <v/>
      </c>
      <c r="S1588" s="9">
        <f>IF($H1588="","",$H1588*(1-$U1588))</f>
        <v>8.9999999999999993E-3</v>
      </c>
      <c r="T1588" s="9">
        <f>IF($I1588="","",$I1588*(1-$U1588))</f>
        <v>1E-3</v>
      </c>
      <c r="U1588" s="16">
        <f>IFERROR(INDEX(BASE_CCLASSTRIB!$E:$E, MATCH(TEXT($D1588,"000000"), BASE_CCLASSTRIB!$A:$A, 0))/100, 0)</f>
        <v>0</v>
      </c>
      <c r="V1588" s="16">
        <f>IFERROR(INDEX(BASE_CCLASSTRIB!$F:$F, MATCH(TEXT($D1588,"000000"), BASE_CCLASSTRIB!$A:$A, 0))/100, 0)</f>
        <v>0</v>
      </c>
    </row>
    <row r="1589" spans="4:22" ht="32.25" customHeight="1">
      <c r="D1589" s="39"/>
      <c r="E1589" s="27" t="str">
        <f>IF(D1589="","",LEFT(D1589,3))</f>
        <v/>
      </c>
      <c r="F1589" s="28" t="str">
        <f>IF(E1589="","",IFERROR(VLOOKUP(E1589,REGRAS_CST!$A$2:$B$200,2,FALSE),""))</f>
        <v/>
      </c>
      <c r="H1589" s="29">
        <v>8.9999999999999993E-3</v>
      </c>
      <c r="I1589" s="29">
        <v>1E-3</v>
      </c>
      <c r="K1589" s="21" t="str">
        <f>IF(E1589="","",IFERROR(VLOOKUP(E1589,REGRAS_CST!$A$2:$C$200,3,FALSE),""))</f>
        <v/>
      </c>
      <c r="L1589" s="23" t="str">
        <f>IF($G1589="", "", $G1589*(1-$V1589))</f>
        <v/>
      </c>
      <c r="M1589" s="24" t="str">
        <f>IF(OR($L1589="",$S1589=""),"",$L1589*$S1589)</f>
        <v/>
      </c>
      <c r="N1589" s="24" t="str">
        <f>IF(OR($L1589="",$T1589=""),"",$L1589*$T1589)</f>
        <v/>
      </c>
      <c r="O1589" s="15" t="str">
        <f>IF(D1589="","",
IF(AND(K1589&lt;&gt;"SIM",V1589&gt;0),"ERRO: % BC &gt; 0, mas NÃO permitida ❌",
IF(AND(K1589="SIM",V1589=0),"ATENÇÃO: BC permitida, mas % = 0 🔎",
"Base de cálculo aplicada corretamente ✅")))</f>
        <v/>
      </c>
      <c r="P1589" s="31" t="str">
        <f>IF(D1589="","",
IF(AND(Q1589&lt;&gt;"SIM",U1589&gt;0),"ERRO: % alíquota &gt; 0, mas NÃO permitida ❌",
IF(AND(Q1589="SIM",U1589=0),"ATENÇÃO: alíquota permitida, mas % = 0 🔎",
"Alíquota aplicada corretamente ✅")))</f>
        <v/>
      </c>
      <c r="Q1589" s="8" t="str">
        <f>IF(E1589="","",IFERROR(VLOOKUP(E1589,REGRAS_CST!$A$2:$D$200,4,FALSE),""))</f>
        <v/>
      </c>
      <c r="S1589" s="9">
        <f>IF($H1589="","",$H1589*(1-$U1589))</f>
        <v>8.9999999999999993E-3</v>
      </c>
      <c r="T1589" s="9">
        <f>IF($I1589="","",$I1589*(1-$U1589))</f>
        <v>1E-3</v>
      </c>
      <c r="U1589" s="16">
        <f>IFERROR(INDEX(BASE_CCLASSTRIB!$E:$E, MATCH(TEXT($D1589,"000000"), BASE_CCLASSTRIB!$A:$A, 0))/100, 0)</f>
        <v>0</v>
      </c>
      <c r="V1589" s="16">
        <f>IFERROR(INDEX(BASE_CCLASSTRIB!$F:$F, MATCH(TEXT($D1589,"000000"), BASE_CCLASSTRIB!$A:$A, 0))/100, 0)</f>
        <v>0</v>
      </c>
    </row>
    <row r="1590" spans="4:22" ht="32.25" customHeight="1">
      <c r="D1590" s="39"/>
      <c r="E1590" s="27" t="str">
        <f>IF(D1590="","",LEFT(D1590,3))</f>
        <v/>
      </c>
      <c r="F1590" s="28" t="str">
        <f>IF(E1590="","",IFERROR(VLOOKUP(E1590,REGRAS_CST!$A$2:$B$200,2,FALSE),""))</f>
        <v/>
      </c>
      <c r="H1590" s="29">
        <v>8.9999999999999993E-3</v>
      </c>
      <c r="I1590" s="29">
        <v>1E-3</v>
      </c>
      <c r="K1590" s="21" t="str">
        <f>IF(E1590="","",IFERROR(VLOOKUP(E1590,REGRAS_CST!$A$2:$C$200,3,FALSE),""))</f>
        <v/>
      </c>
      <c r="L1590" s="23" t="str">
        <f>IF($G1590="", "", $G1590*(1-$V1590))</f>
        <v/>
      </c>
      <c r="M1590" s="24" t="str">
        <f>IF(OR($L1590="",$S1590=""),"",$L1590*$S1590)</f>
        <v/>
      </c>
      <c r="N1590" s="24" t="str">
        <f>IF(OR($L1590="",$T1590=""),"",$L1590*$T1590)</f>
        <v/>
      </c>
      <c r="O1590" s="15" t="str">
        <f>IF(D1590="","",
IF(AND(K1590&lt;&gt;"SIM",V1590&gt;0),"ERRO: % BC &gt; 0, mas NÃO permitida ❌",
IF(AND(K1590="SIM",V1590=0),"ATENÇÃO: BC permitida, mas % = 0 🔎",
"Base de cálculo aplicada corretamente ✅")))</f>
        <v/>
      </c>
      <c r="P1590" s="31" t="str">
        <f>IF(D1590="","",
IF(AND(Q1590&lt;&gt;"SIM",U1590&gt;0),"ERRO: % alíquota &gt; 0, mas NÃO permitida ❌",
IF(AND(Q1590="SIM",U1590=0),"ATENÇÃO: alíquota permitida, mas % = 0 🔎",
"Alíquota aplicada corretamente ✅")))</f>
        <v/>
      </c>
      <c r="Q1590" s="8" t="str">
        <f>IF(E1590="","",IFERROR(VLOOKUP(E1590,REGRAS_CST!$A$2:$D$200,4,FALSE),""))</f>
        <v/>
      </c>
      <c r="S1590" s="9">
        <f>IF($H1590="","",$H1590*(1-$U1590))</f>
        <v>8.9999999999999993E-3</v>
      </c>
      <c r="T1590" s="9">
        <f>IF($I1590="","",$I1590*(1-$U1590))</f>
        <v>1E-3</v>
      </c>
      <c r="U1590" s="16">
        <f>IFERROR(INDEX(BASE_CCLASSTRIB!$E:$E, MATCH(TEXT($D1590,"000000"), BASE_CCLASSTRIB!$A:$A, 0))/100, 0)</f>
        <v>0</v>
      </c>
      <c r="V1590" s="16">
        <f>IFERROR(INDEX(BASE_CCLASSTRIB!$F:$F, MATCH(TEXT($D1590,"000000"), BASE_CCLASSTRIB!$A:$A, 0))/100, 0)</f>
        <v>0</v>
      </c>
    </row>
    <row r="1591" spans="4:22" ht="32.25" customHeight="1">
      <c r="D1591" s="40"/>
      <c r="E1591" s="27" t="str">
        <f>IF(D1591="","",LEFT(D1591,3))</f>
        <v/>
      </c>
      <c r="F1591" s="28" t="str">
        <f>IF(E1591="","",IFERROR(VLOOKUP(E1591,REGRAS_CST!$A$2:$B$200,2,FALSE),""))</f>
        <v/>
      </c>
      <c r="H1591" s="29">
        <v>8.9999999999999993E-3</v>
      </c>
      <c r="I1591" s="29">
        <v>1E-3</v>
      </c>
      <c r="K1591" s="21" t="str">
        <f>IF(E1591="","",IFERROR(VLOOKUP(E1591,REGRAS_CST!$A$2:$C$200,3,FALSE),""))</f>
        <v/>
      </c>
      <c r="L1591" s="23" t="str">
        <f>IF($G1591="", "", $G1591*(1-$V1591))</f>
        <v/>
      </c>
      <c r="M1591" s="24" t="str">
        <f>IF(OR($L1591="",$S1591=""),"",$L1591*$S1591)</f>
        <v/>
      </c>
      <c r="N1591" s="24" t="str">
        <f>IF(OR($L1591="",$T1591=""),"",$L1591*$T1591)</f>
        <v/>
      </c>
      <c r="O1591" s="15" t="str">
        <f>IF(D1591="","",
IF(AND(K1591&lt;&gt;"SIM",V1591&gt;0),"ERRO: % BC &gt; 0, mas NÃO permitida ❌",
IF(AND(K1591="SIM",V1591=0),"ATENÇÃO: BC permitida, mas % = 0 🔎",
"Base de cálculo aplicada corretamente ✅")))</f>
        <v/>
      </c>
      <c r="P1591" s="31" t="str">
        <f>IF(D1591="","",
IF(AND(Q1591&lt;&gt;"SIM",U1591&gt;0),"ERRO: % alíquota &gt; 0, mas NÃO permitida ❌",
IF(AND(Q1591="SIM",U1591=0),"ATENÇÃO: alíquota permitida, mas % = 0 🔎",
"Alíquota aplicada corretamente ✅")))</f>
        <v/>
      </c>
      <c r="Q1591" s="8" t="str">
        <f>IF(E1591="","",IFERROR(VLOOKUP(E1591,REGRAS_CST!$A$2:$D$200,4,FALSE),""))</f>
        <v/>
      </c>
      <c r="S1591" s="9">
        <f>IF($H1591="","",$H1591*(1-$U1591))</f>
        <v>8.9999999999999993E-3</v>
      </c>
      <c r="T1591" s="9">
        <f>IF($I1591="","",$I1591*(1-$U1591))</f>
        <v>1E-3</v>
      </c>
      <c r="U1591" s="16">
        <f>IFERROR(INDEX(BASE_CCLASSTRIB!$E:$E, MATCH(TEXT($D1591,"000000"), BASE_CCLASSTRIB!$A:$A, 0))/100, 0)</f>
        <v>0</v>
      </c>
      <c r="V1591" s="16">
        <f>IFERROR(INDEX(BASE_CCLASSTRIB!$F:$F, MATCH(TEXT($D1591,"000000"), BASE_CCLASSTRIB!$A:$A, 0))/100, 0)</f>
        <v>0</v>
      </c>
    </row>
    <row r="1592" spans="4:22" ht="32.25" customHeight="1">
      <c r="D1592" s="40"/>
      <c r="E1592" s="27" t="str">
        <f>IF(D1592="","",LEFT(D1592,3))</f>
        <v/>
      </c>
      <c r="F1592" s="28" t="str">
        <f>IF(E1592="","",IFERROR(VLOOKUP(E1592,REGRAS_CST!$A$2:$B$200,2,FALSE),""))</f>
        <v/>
      </c>
      <c r="H1592" s="29">
        <v>8.9999999999999993E-3</v>
      </c>
      <c r="I1592" s="29">
        <v>1E-3</v>
      </c>
      <c r="K1592" s="21" t="str">
        <f>IF(E1592="","",IFERROR(VLOOKUP(E1592,REGRAS_CST!$A$2:$C$200,3,FALSE),""))</f>
        <v/>
      </c>
      <c r="L1592" s="23" t="str">
        <f>IF($G1592="", "", $G1592*(1-$V1592))</f>
        <v/>
      </c>
      <c r="M1592" s="24" t="str">
        <f>IF(OR($L1592="",$S1592=""),"",$L1592*$S1592)</f>
        <v/>
      </c>
      <c r="N1592" s="24" t="str">
        <f>IF(OR($L1592="",$T1592=""),"",$L1592*$T1592)</f>
        <v/>
      </c>
      <c r="O1592" s="15" t="str">
        <f>IF(D1592="","",
IF(AND(K1592&lt;&gt;"SIM",V1592&gt;0),"ERRO: % BC &gt; 0, mas NÃO permitida ❌",
IF(AND(K1592="SIM",V1592=0),"ATENÇÃO: BC permitida, mas % = 0 🔎",
"Base de cálculo aplicada corretamente ✅")))</f>
        <v/>
      </c>
      <c r="P1592" s="31" t="str">
        <f>IF(D1592="","",
IF(AND(Q1592&lt;&gt;"SIM",U1592&gt;0),"ERRO: % alíquota &gt; 0, mas NÃO permitida ❌",
IF(AND(Q1592="SIM",U1592=0),"ATENÇÃO: alíquota permitida, mas % = 0 🔎",
"Alíquota aplicada corretamente ✅")))</f>
        <v/>
      </c>
      <c r="Q1592" s="8" t="str">
        <f>IF(E1592="","",IFERROR(VLOOKUP(E1592,REGRAS_CST!$A$2:$D$200,4,FALSE),""))</f>
        <v/>
      </c>
      <c r="S1592" s="9">
        <f>IF($H1592="","",$H1592*(1-$U1592))</f>
        <v>8.9999999999999993E-3</v>
      </c>
      <c r="T1592" s="9">
        <f>IF($I1592="","",$I1592*(1-$U1592))</f>
        <v>1E-3</v>
      </c>
      <c r="U1592" s="16">
        <f>IFERROR(INDEX(BASE_CCLASSTRIB!$E:$E, MATCH(TEXT($D1592,"000000"), BASE_CCLASSTRIB!$A:$A, 0))/100, 0)</f>
        <v>0</v>
      </c>
      <c r="V1592" s="16">
        <f>IFERROR(INDEX(BASE_CCLASSTRIB!$F:$F, MATCH(TEXT($D1592,"000000"), BASE_CCLASSTRIB!$A:$A, 0))/100, 0)</f>
        <v>0</v>
      </c>
    </row>
    <row r="1593" spans="4:22" ht="32.25" customHeight="1">
      <c r="D1593" s="40"/>
      <c r="E1593" s="27" t="str">
        <f>IF(D1593="","",LEFT(D1593,3))</f>
        <v/>
      </c>
      <c r="F1593" s="28" t="str">
        <f>IF(E1593="","",IFERROR(VLOOKUP(E1593,REGRAS_CST!$A$2:$B$200,2,FALSE),""))</f>
        <v/>
      </c>
      <c r="H1593" s="29">
        <v>8.9999999999999993E-3</v>
      </c>
      <c r="I1593" s="29">
        <v>1E-3</v>
      </c>
      <c r="K1593" s="21" t="str">
        <f>IF(E1593="","",IFERROR(VLOOKUP(E1593,REGRAS_CST!$A$2:$C$200,3,FALSE),""))</f>
        <v/>
      </c>
      <c r="L1593" s="23" t="str">
        <f>IF($G1593="", "", $G1593*(1-$V1593))</f>
        <v/>
      </c>
      <c r="M1593" s="24" t="str">
        <f>IF(OR($L1593="",$S1593=""),"",$L1593*$S1593)</f>
        <v/>
      </c>
      <c r="N1593" s="24" t="str">
        <f>IF(OR($L1593="",$T1593=""),"",$L1593*$T1593)</f>
        <v/>
      </c>
      <c r="O1593" s="15" t="str">
        <f>IF(D1593="","",
IF(AND(K1593&lt;&gt;"SIM",V1593&gt;0),"ERRO: % BC &gt; 0, mas NÃO permitida ❌",
IF(AND(K1593="SIM",V1593=0),"ATENÇÃO: BC permitida, mas % = 0 🔎",
"Base de cálculo aplicada corretamente ✅")))</f>
        <v/>
      </c>
      <c r="P1593" s="31" t="str">
        <f>IF(D1593="","",
IF(AND(Q1593&lt;&gt;"SIM",U1593&gt;0),"ERRO: % alíquota &gt; 0, mas NÃO permitida ❌",
IF(AND(Q1593="SIM",U1593=0),"ATENÇÃO: alíquota permitida, mas % = 0 🔎",
"Alíquota aplicada corretamente ✅")))</f>
        <v/>
      </c>
      <c r="Q1593" s="8" t="str">
        <f>IF(E1593="","",IFERROR(VLOOKUP(E1593,REGRAS_CST!$A$2:$D$200,4,FALSE),""))</f>
        <v/>
      </c>
      <c r="S1593" s="9">
        <f>IF($H1593="","",$H1593*(1-$U1593))</f>
        <v>8.9999999999999993E-3</v>
      </c>
      <c r="T1593" s="9">
        <f>IF($I1593="","",$I1593*(1-$U1593))</f>
        <v>1E-3</v>
      </c>
      <c r="U1593" s="16">
        <f>IFERROR(INDEX(BASE_CCLASSTRIB!$E:$E, MATCH(TEXT($D1593,"000000"), BASE_CCLASSTRIB!$A:$A, 0))/100, 0)</f>
        <v>0</v>
      </c>
      <c r="V1593" s="16">
        <f>IFERROR(INDEX(BASE_CCLASSTRIB!$F:$F, MATCH(TEXT($D1593,"000000"), BASE_CCLASSTRIB!$A:$A, 0))/100, 0)</f>
        <v>0</v>
      </c>
    </row>
    <row r="1594" spans="4:22" ht="32.25" customHeight="1">
      <c r="D1594" s="39"/>
      <c r="E1594" s="27" t="str">
        <f>IF(D1594="","",LEFT(D1594,3))</f>
        <v/>
      </c>
      <c r="F1594" s="28" t="str">
        <f>IF(E1594="","",IFERROR(VLOOKUP(E1594,REGRAS_CST!$A$2:$B$200,2,FALSE),""))</f>
        <v/>
      </c>
      <c r="H1594" s="29">
        <v>8.9999999999999993E-3</v>
      </c>
      <c r="I1594" s="29">
        <v>1E-3</v>
      </c>
      <c r="K1594" s="21" t="str">
        <f>IF(E1594="","",IFERROR(VLOOKUP(E1594,REGRAS_CST!$A$2:$C$200,3,FALSE),""))</f>
        <v/>
      </c>
      <c r="L1594" s="23" t="str">
        <f>IF($G1594="", "", $G1594*(1-$V1594))</f>
        <v/>
      </c>
      <c r="M1594" s="24" t="str">
        <f>IF(OR($L1594="",$S1594=""),"",$L1594*$S1594)</f>
        <v/>
      </c>
      <c r="N1594" s="24" t="str">
        <f>IF(OR($L1594="",$T1594=""),"",$L1594*$T1594)</f>
        <v/>
      </c>
      <c r="O1594" s="15" t="str">
        <f>IF(D1594="","",
IF(AND(K1594&lt;&gt;"SIM",V1594&gt;0),"ERRO: % BC &gt; 0, mas NÃO permitida ❌",
IF(AND(K1594="SIM",V1594=0),"ATENÇÃO: BC permitida, mas % = 0 🔎",
"Base de cálculo aplicada corretamente ✅")))</f>
        <v/>
      </c>
      <c r="P1594" s="31" t="str">
        <f>IF(D1594="","",
IF(AND(Q1594&lt;&gt;"SIM",U1594&gt;0),"ERRO: % alíquota &gt; 0, mas NÃO permitida ❌",
IF(AND(Q1594="SIM",U1594=0),"ATENÇÃO: alíquota permitida, mas % = 0 🔎",
"Alíquota aplicada corretamente ✅")))</f>
        <v/>
      </c>
      <c r="Q1594" s="8" t="str">
        <f>IF(E1594="","",IFERROR(VLOOKUP(E1594,REGRAS_CST!$A$2:$D$200,4,FALSE),""))</f>
        <v/>
      </c>
      <c r="S1594" s="9">
        <f>IF($H1594="","",$H1594*(1-$U1594))</f>
        <v>8.9999999999999993E-3</v>
      </c>
      <c r="T1594" s="9">
        <f>IF($I1594="","",$I1594*(1-$U1594))</f>
        <v>1E-3</v>
      </c>
      <c r="U1594" s="16">
        <f>IFERROR(INDEX(BASE_CCLASSTRIB!$E:$E, MATCH(TEXT($D1594,"000000"), BASE_CCLASSTRIB!$A:$A, 0))/100, 0)</f>
        <v>0</v>
      </c>
      <c r="V1594" s="16">
        <f>IFERROR(INDEX(BASE_CCLASSTRIB!$F:$F, MATCH(TEXT($D1594,"000000"), BASE_CCLASSTRIB!$A:$A, 0))/100, 0)</f>
        <v>0</v>
      </c>
    </row>
    <row r="1595" spans="4:22" ht="32.25" customHeight="1">
      <c r="D1595" s="39"/>
      <c r="E1595" s="27" t="str">
        <f>IF(D1595="","",LEFT(D1595,3))</f>
        <v/>
      </c>
      <c r="F1595" s="28" t="str">
        <f>IF(E1595="","",IFERROR(VLOOKUP(E1595,REGRAS_CST!$A$2:$B$200,2,FALSE),""))</f>
        <v/>
      </c>
      <c r="H1595" s="29">
        <v>8.9999999999999993E-3</v>
      </c>
      <c r="I1595" s="29">
        <v>1E-3</v>
      </c>
      <c r="K1595" s="21" t="str">
        <f>IF(E1595="","",IFERROR(VLOOKUP(E1595,REGRAS_CST!$A$2:$C$200,3,FALSE),""))</f>
        <v/>
      </c>
      <c r="L1595" s="23" t="str">
        <f>IF($G1595="", "", $G1595*(1-$V1595))</f>
        <v/>
      </c>
      <c r="M1595" s="24" t="str">
        <f>IF(OR($L1595="",$S1595=""),"",$L1595*$S1595)</f>
        <v/>
      </c>
      <c r="N1595" s="24" t="str">
        <f>IF(OR($L1595="",$T1595=""),"",$L1595*$T1595)</f>
        <v/>
      </c>
      <c r="O1595" s="15" t="str">
        <f>IF(D1595="","",
IF(AND(K1595&lt;&gt;"SIM",V1595&gt;0),"ERRO: % BC &gt; 0, mas NÃO permitida ❌",
IF(AND(K1595="SIM",V1595=0),"ATENÇÃO: BC permitida, mas % = 0 🔎",
"Base de cálculo aplicada corretamente ✅")))</f>
        <v/>
      </c>
      <c r="P1595" s="31" t="str">
        <f>IF(D1595="","",
IF(AND(Q1595&lt;&gt;"SIM",U1595&gt;0),"ERRO: % alíquota &gt; 0, mas NÃO permitida ❌",
IF(AND(Q1595="SIM",U1595=0),"ATENÇÃO: alíquota permitida, mas % = 0 🔎",
"Alíquota aplicada corretamente ✅")))</f>
        <v/>
      </c>
      <c r="Q1595" s="8" t="str">
        <f>IF(E1595="","",IFERROR(VLOOKUP(E1595,REGRAS_CST!$A$2:$D$200,4,FALSE),""))</f>
        <v/>
      </c>
      <c r="S1595" s="9">
        <f>IF($H1595="","",$H1595*(1-$U1595))</f>
        <v>8.9999999999999993E-3</v>
      </c>
      <c r="T1595" s="9">
        <f>IF($I1595="","",$I1595*(1-$U1595))</f>
        <v>1E-3</v>
      </c>
      <c r="U1595" s="16">
        <f>IFERROR(INDEX(BASE_CCLASSTRIB!$E:$E, MATCH(TEXT($D1595,"000000"), BASE_CCLASSTRIB!$A:$A, 0))/100, 0)</f>
        <v>0</v>
      </c>
      <c r="V1595" s="16">
        <f>IFERROR(INDEX(BASE_CCLASSTRIB!$F:$F, MATCH(TEXT($D1595,"000000"), BASE_CCLASSTRIB!$A:$A, 0))/100, 0)</f>
        <v>0</v>
      </c>
    </row>
    <row r="1596" spans="4:22" ht="32.25" customHeight="1">
      <c r="D1596" s="39"/>
      <c r="E1596" s="27" t="str">
        <f>IF(D1596="","",LEFT(D1596,3))</f>
        <v/>
      </c>
      <c r="F1596" s="28" t="str">
        <f>IF(E1596="","",IFERROR(VLOOKUP(E1596,REGRAS_CST!$A$2:$B$200,2,FALSE),""))</f>
        <v/>
      </c>
      <c r="H1596" s="29">
        <v>8.9999999999999993E-3</v>
      </c>
      <c r="I1596" s="29">
        <v>1E-3</v>
      </c>
      <c r="K1596" s="21" t="str">
        <f>IF(E1596="","",IFERROR(VLOOKUP(E1596,REGRAS_CST!$A$2:$C$200,3,FALSE),""))</f>
        <v/>
      </c>
      <c r="L1596" s="23" t="str">
        <f>IF($G1596="", "", $G1596*(1-$V1596))</f>
        <v/>
      </c>
      <c r="M1596" s="24" t="str">
        <f>IF(OR($L1596="",$S1596=""),"",$L1596*$S1596)</f>
        <v/>
      </c>
      <c r="N1596" s="24" t="str">
        <f>IF(OR($L1596="",$T1596=""),"",$L1596*$T1596)</f>
        <v/>
      </c>
      <c r="O1596" s="15" t="str">
        <f>IF(D1596="","",
IF(AND(K1596&lt;&gt;"SIM",V1596&gt;0),"ERRO: % BC &gt; 0, mas NÃO permitida ❌",
IF(AND(K1596="SIM",V1596=0),"ATENÇÃO: BC permitida, mas % = 0 🔎",
"Base de cálculo aplicada corretamente ✅")))</f>
        <v/>
      </c>
      <c r="P1596" s="31" t="str">
        <f>IF(D1596="","",
IF(AND(Q1596&lt;&gt;"SIM",U1596&gt;0),"ERRO: % alíquota &gt; 0, mas NÃO permitida ❌",
IF(AND(Q1596="SIM",U1596=0),"ATENÇÃO: alíquota permitida, mas % = 0 🔎",
"Alíquota aplicada corretamente ✅")))</f>
        <v/>
      </c>
      <c r="Q1596" s="8" t="str">
        <f>IF(E1596="","",IFERROR(VLOOKUP(E1596,REGRAS_CST!$A$2:$D$200,4,FALSE),""))</f>
        <v/>
      </c>
      <c r="S1596" s="9">
        <f>IF($H1596="","",$H1596*(1-$U1596))</f>
        <v>8.9999999999999993E-3</v>
      </c>
      <c r="T1596" s="9">
        <f>IF($I1596="","",$I1596*(1-$U1596))</f>
        <v>1E-3</v>
      </c>
      <c r="U1596" s="16">
        <f>IFERROR(INDEX(BASE_CCLASSTRIB!$E:$E, MATCH(TEXT($D1596,"000000"), BASE_CCLASSTRIB!$A:$A, 0))/100, 0)</f>
        <v>0</v>
      </c>
      <c r="V1596" s="16">
        <f>IFERROR(INDEX(BASE_CCLASSTRIB!$F:$F, MATCH(TEXT($D1596,"000000"), BASE_CCLASSTRIB!$A:$A, 0))/100, 0)</f>
        <v>0</v>
      </c>
    </row>
    <row r="1597" spans="4:22" ht="32.25" customHeight="1">
      <c r="D1597" s="39"/>
      <c r="E1597" s="27" t="str">
        <f>IF(D1597="","",LEFT(D1597,3))</f>
        <v/>
      </c>
      <c r="F1597" s="28" t="str">
        <f>IF(E1597="","",IFERROR(VLOOKUP(E1597,REGRAS_CST!$A$2:$B$200,2,FALSE),""))</f>
        <v/>
      </c>
      <c r="H1597" s="29">
        <v>8.9999999999999993E-3</v>
      </c>
      <c r="I1597" s="29">
        <v>1E-3</v>
      </c>
      <c r="K1597" s="21" t="str">
        <f>IF(E1597="","",IFERROR(VLOOKUP(E1597,REGRAS_CST!$A$2:$C$200,3,FALSE),""))</f>
        <v/>
      </c>
      <c r="L1597" s="23" t="str">
        <f>IF($G1597="", "", $G1597*(1-$V1597))</f>
        <v/>
      </c>
      <c r="M1597" s="24" t="str">
        <f>IF(OR($L1597="",$S1597=""),"",$L1597*$S1597)</f>
        <v/>
      </c>
      <c r="N1597" s="24" t="str">
        <f>IF(OR($L1597="",$T1597=""),"",$L1597*$T1597)</f>
        <v/>
      </c>
      <c r="O1597" s="15" t="str">
        <f>IF(D1597="","",
IF(AND(K1597&lt;&gt;"SIM",V1597&gt;0),"ERRO: % BC &gt; 0, mas NÃO permitida ❌",
IF(AND(K1597="SIM",V1597=0),"ATENÇÃO: BC permitida, mas % = 0 🔎",
"Base de cálculo aplicada corretamente ✅")))</f>
        <v/>
      </c>
      <c r="P1597" s="31" t="str">
        <f>IF(D1597="","",
IF(AND(Q1597&lt;&gt;"SIM",U1597&gt;0),"ERRO: % alíquota &gt; 0, mas NÃO permitida ❌",
IF(AND(Q1597="SIM",U1597=0),"ATENÇÃO: alíquota permitida, mas % = 0 🔎",
"Alíquota aplicada corretamente ✅")))</f>
        <v/>
      </c>
      <c r="Q1597" s="8" t="str">
        <f>IF(E1597="","",IFERROR(VLOOKUP(E1597,REGRAS_CST!$A$2:$D$200,4,FALSE),""))</f>
        <v/>
      </c>
      <c r="S1597" s="9">
        <f>IF($H1597="","",$H1597*(1-$U1597))</f>
        <v>8.9999999999999993E-3</v>
      </c>
      <c r="T1597" s="9">
        <f>IF($I1597="","",$I1597*(1-$U1597))</f>
        <v>1E-3</v>
      </c>
      <c r="U1597" s="16">
        <f>IFERROR(INDEX(BASE_CCLASSTRIB!$E:$E, MATCH(TEXT($D1597,"000000"), BASE_CCLASSTRIB!$A:$A, 0))/100, 0)</f>
        <v>0</v>
      </c>
      <c r="V1597" s="16">
        <f>IFERROR(INDEX(BASE_CCLASSTRIB!$F:$F, MATCH(TEXT($D1597,"000000"), BASE_CCLASSTRIB!$A:$A, 0))/100, 0)</f>
        <v>0</v>
      </c>
    </row>
    <row r="1598" spans="4:22" ht="32.25" customHeight="1">
      <c r="D1598" s="39"/>
      <c r="E1598" s="27" t="str">
        <f>IF(D1598="","",LEFT(D1598,3))</f>
        <v/>
      </c>
      <c r="F1598" s="28" t="str">
        <f>IF(E1598="","",IFERROR(VLOOKUP(E1598,REGRAS_CST!$A$2:$B$200,2,FALSE),""))</f>
        <v/>
      </c>
      <c r="H1598" s="29">
        <v>8.9999999999999993E-3</v>
      </c>
      <c r="I1598" s="29">
        <v>1E-3</v>
      </c>
      <c r="K1598" s="21" t="str">
        <f>IF(E1598="","",IFERROR(VLOOKUP(E1598,REGRAS_CST!$A$2:$C$200,3,FALSE),""))</f>
        <v/>
      </c>
      <c r="L1598" s="23" t="str">
        <f>IF($G1598="", "", $G1598*(1-$V1598))</f>
        <v/>
      </c>
      <c r="M1598" s="24" t="str">
        <f>IF(OR($L1598="",$S1598=""),"",$L1598*$S1598)</f>
        <v/>
      </c>
      <c r="N1598" s="24" t="str">
        <f>IF(OR($L1598="",$T1598=""),"",$L1598*$T1598)</f>
        <v/>
      </c>
      <c r="O1598" s="15" t="str">
        <f>IF(D1598="","",
IF(AND(K1598&lt;&gt;"SIM",V1598&gt;0),"ERRO: % BC &gt; 0, mas NÃO permitida ❌",
IF(AND(K1598="SIM",V1598=0),"ATENÇÃO: BC permitida, mas % = 0 🔎",
"Base de cálculo aplicada corretamente ✅")))</f>
        <v/>
      </c>
      <c r="P1598" s="31" t="str">
        <f>IF(D1598="","",
IF(AND(Q1598&lt;&gt;"SIM",U1598&gt;0),"ERRO: % alíquota &gt; 0, mas NÃO permitida ❌",
IF(AND(Q1598="SIM",U1598=0),"ATENÇÃO: alíquota permitida, mas % = 0 🔎",
"Alíquota aplicada corretamente ✅")))</f>
        <v/>
      </c>
      <c r="Q1598" s="8" t="str">
        <f>IF(E1598="","",IFERROR(VLOOKUP(E1598,REGRAS_CST!$A$2:$D$200,4,FALSE),""))</f>
        <v/>
      </c>
      <c r="S1598" s="9">
        <f>IF($H1598="","",$H1598*(1-$U1598))</f>
        <v>8.9999999999999993E-3</v>
      </c>
      <c r="T1598" s="9">
        <f>IF($I1598="","",$I1598*(1-$U1598))</f>
        <v>1E-3</v>
      </c>
      <c r="U1598" s="16">
        <f>IFERROR(INDEX(BASE_CCLASSTRIB!$E:$E, MATCH(TEXT($D1598,"000000"), BASE_CCLASSTRIB!$A:$A, 0))/100, 0)</f>
        <v>0</v>
      </c>
      <c r="V1598" s="16">
        <f>IFERROR(INDEX(BASE_CCLASSTRIB!$F:$F, MATCH(TEXT($D1598,"000000"), BASE_CCLASSTRIB!$A:$A, 0))/100, 0)</f>
        <v>0</v>
      </c>
    </row>
    <row r="1599" spans="4:22" ht="32.25" customHeight="1">
      <c r="D1599" s="39"/>
      <c r="E1599" s="27" t="str">
        <f>IF(D1599="","",LEFT(D1599,3))</f>
        <v/>
      </c>
      <c r="F1599" s="28" t="str">
        <f>IF(E1599="","",IFERROR(VLOOKUP(E1599,REGRAS_CST!$A$2:$B$200,2,FALSE),""))</f>
        <v/>
      </c>
      <c r="H1599" s="29">
        <v>8.9999999999999993E-3</v>
      </c>
      <c r="I1599" s="29">
        <v>1E-3</v>
      </c>
      <c r="K1599" s="21" t="str">
        <f>IF(E1599="","",IFERROR(VLOOKUP(E1599,REGRAS_CST!$A$2:$C$200,3,FALSE),""))</f>
        <v/>
      </c>
      <c r="L1599" s="23" t="str">
        <f>IF($G1599="", "", $G1599*(1-$V1599))</f>
        <v/>
      </c>
      <c r="M1599" s="24" t="str">
        <f>IF(OR($L1599="",$S1599=""),"",$L1599*$S1599)</f>
        <v/>
      </c>
      <c r="N1599" s="24" t="str">
        <f>IF(OR($L1599="",$T1599=""),"",$L1599*$T1599)</f>
        <v/>
      </c>
      <c r="O1599" s="15" t="str">
        <f>IF(D1599="","",
IF(AND(K1599&lt;&gt;"SIM",V1599&gt;0),"ERRO: % BC &gt; 0, mas NÃO permitida ❌",
IF(AND(K1599="SIM",V1599=0),"ATENÇÃO: BC permitida, mas % = 0 🔎",
"Base de cálculo aplicada corretamente ✅")))</f>
        <v/>
      </c>
      <c r="P1599" s="31" t="str">
        <f>IF(D1599="","",
IF(AND(Q1599&lt;&gt;"SIM",U1599&gt;0),"ERRO: % alíquota &gt; 0, mas NÃO permitida ❌",
IF(AND(Q1599="SIM",U1599=0),"ATENÇÃO: alíquota permitida, mas % = 0 🔎",
"Alíquota aplicada corretamente ✅")))</f>
        <v/>
      </c>
      <c r="Q1599" s="8" t="str">
        <f>IF(E1599="","",IFERROR(VLOOKUP(E1599,REGRAS_CST!$A$2:$D$200,4,FALSE),""))</f>
        <v/>
      </c>
      <c r="S1599" s="9">
        <f>IF($H1599="","",$H1599*(1-$U1599))</f>
        <v>8.9999999999999993E-3</v>
      </c>
      <c r="T1599" s="9">
        <f>IF($I1599="","",$I1599*(1-$U1599))</f>
        <v>1E-3</v>
      </c>
      <c r="U1599" s="16">
        <f>IFERROR(INDEX(BASE_CCLASSTRIB!$E:$E, MATCH(TEXT($D1599,"000000"), BASE_CCLASSTRIB!$A:$A, 0))/100, 0)</f>
        <v>0</v>
      </c>
      <c r="V1599" s="16">
        <f>IFERROR(INDEX(BASE_CCLASSTRIB!$F:$F, MATCH(TEXT($D1599,"000000"), BASE_CCLASSTRIB!$A:$A, 0))/100, 0)</f>
        <v>0</v>
      </c>
    </row>
    <row r="1600" spans="4:22" ht="32.25" customHeight="1">
      <c r="D1600" s="40"/>
      <c r="E1600" s="27" t="str">
        <f>IF(D1600="","",LEFT(D1600,3))</f>
        <v/>
      </c>
      <c r="F1600" s="28" t="str">
        <f>IF(E1600="","",IFERROR(VLOOKUP(E1600,REGRAS_CST!$A$2:$B$200,2,FALSE),""))</f>
        <v/>
      </c>
      <c r="H1600" s="29">
        <v>8.9999999999999993E-3</v>
      </c>
      <c r="I1600" s="29">
        <v>1E-3</v>
      </c>
      <c r="K1600" s="21" t="str">
        <f>IF(E1600="","",IFERROR(VLOOKUP(E1600,REGRAS_CST!$A$2:$C$200,3,FALSE),""))</f>
        <v/>
      </c>
      <c r="L1600" s="23" t="str">
        <f>IF($G1600="", "", $G1600*(1-$V1600))</f>
        <v/>
      </c>
      <c r="M1600" s="24" t="str">
        <f>IF(OR($L1600="",$S1600=""),"",$L1600*$S1600)</f>
        <v/>
      </c>
      <c r="N1600" s="24" t="str">
        <f>IF(OR($L1600="",$T1600=""),"",$L1600*$T1600)</f>
        <v/>
      </c>
      <c r="O1600" s="15" t="str">
        <f>IF(D1600="","",
IF(AND(K1600&lt;&gt;"SIM",V1600&gt;0),"ERRO: % BC &gt; 0, mas NÃO permitida ❌",
IF(AND(K1600="SIM",V1600=0),"ATENÇÃO: BC permitida, mas % = 0 🔎",
"Base de cálculo aplicada corretamente ✅")))</f>
        <v/>
      </c>
      <c r="P1600" s="31" t="str">
        <f>IF(D1600="","",
IF(AND(Q1600&lt;&gt;"SIM",U1600&gt;0),"ERRO: % alíquota &gt; 0, mas NÃO permitida ❌",
IF(AND(Q1600="SIM",U1600=0),"ATENÇÃO: alíquota permitida, mas % = 0 🔎",
"Alíquota aplicada corretamente ✅")))</f>
        <v/>
      </c>
      <c r="Q1600" s="8" t="str">
        <f>IF(E1600="","",IFERROR(VLOOKUP(E1600,REGRAS_CST!$A$2:$D$200,4,FALSE),""))</f>
        <v/>
      </c>
      <c r="S1600" s="9">
        <f>IF($H1600="","",$H1600*(1-$U1600))</f>
        <v>8.9999999999999993E-3</v>
      </c>
      <c r="T1600" s="9">
        <f>IF($I1600="","",$I1600*(1-$U1600))</f>
        <v>1E-3</v>
      </c>
      <c r="U1600" s="16">
        <f>IFERROR(INDEX(BASE_CCLASSTRIB!$E:$E, MATCH(TEXT($D1600,"000000"), BASE_CCLASSTRIB!$A:$A, 0))/100, 0)</f>
        <v>0</v>
      </c>
      <c r="V1600" s="16">
        <f>IFERROR(INDEX(BASE_CCLASSTRIB!$F:$F, MATCH(TEXT($D1600,"000000"), BASE_CCLASSTRIB!$A:$A, 0))/100, 0)</f>
        <v>0</v>
      </c>
    </row>
    <row r="1601" spans="4:22" ht="32.25" customHeight="1">
      <c r="D1601" s="39"/>
      <c r="E1601" s="27" t="str">
        <f>IF(D1601="","",LEFT(D1601,3))</f>
        <v/>
      </c>
      <c r="F1601" s="28" t="str">
        <f>IF(E1601="","",IFERROR(VLOOKUP(E1601,REGRAS_CST!$A$2:$B$200,2,FALSE),""))</f>
        <v/>
      </c>
      <c r="H1601" s="29">
        <v>8.9999999999999993E-3</v>
      </c>
      <c r="I1601" s="29">
        <v>1E-3</v>
      </c>
      <c r="K1601" s="21" t="str">
        <f>IF(E1601="","",IFERROR(VLOOKUP(E1601,REGRAS_CST!$A$2:$C$200,3,FALSE),""))</f>
        <v/>
      </c>
      <c r="L1601" s="23" t="str">
        <f>IF($G1601="", "", $G1601*(1-$V1601))</f>
        <v/>
      </c>
      <c r="M1601" s="24" t="str">
        <f>IF(OR($L1601="",$S1601=""),"",$L1601*$S1601)</f>
        <v/>
      </c>
      <c r="N1601" s="24" t="str">
        <f>IF(OR($L1601="",$T1601=""),"",$L1601*$T1601)</f>
        <v/>
      </c>
      <c r="O1601" s="15" t="str">
        <f>IF(D1601="","",
IF(AND(K1601&lt;&gt;"SIM",V1601&gt;0),"ERRO: % BC &gt; 0, mas NÃO permitida ❌",
IF(AND(K1601="SIM",V1601=0),"ATENÇÃO: BC permitida, mas % = 0 🔎",
"Base de cálculo aplicada corretamente ✅")))</f>
        <v/>
      </c>
      <c r="P1601" s="31" t="str">
        <f>IF(D1601="","",
IF(AND(Q1601&lt;&gt;"SIM",U1601&gt;0),"ERRO: % alíquota &gt; 0, mas NÃO permitida ❌",
IF(AND(Q1601="SIM",U1601=0),"ATENÇÃO: alíquota permitida, mas % = 0 🔎",
"Alíquota aplicada corretamente ✅")))</f>
        <v/>
      </c>
      <c r="Q1601" s="8" t="str">
        <f>IF(E1601="","",IFERROR(VLOOKUP(E1601,REGRAS_CST!$A$2:$D$200,4,FALSE),""))</f>
        <v/>
      </c>
      <c r="S1601" s="9">
        <f>IF($H1601="","",$H1601*(1-$U1601))</f>
        <v>8.9999999999999993E-3</v>
      </c>
      <c r="T1601" s="9">
        <f>IF($I1601="","",$I1601*(1-$U1601))</f>
        <v>1E-3</v>
      </c>
      <c r="U1601" s="16">
        <f>IFERROR(INDEX(BASE_CCLASSTRIB!$E:$E, MATCH(TEXT($D1601,"000000"), BASE_CCLASSTRIB!$A:$A, 0))/100, 0)</f>
        <v>0</v>
      </c>
      <c r="V1601" s="16">
        <f>IFERROR(INDEX(BASE_CCLASSTRIB!$F:$F, MATCH(TEXT($D1601,"000000"), BASE_CCLASSTRIB!$A:$A, 0))/100, 0)</f>
        <v>0</v>
      </c>
    </row>
    <row r="1602" spans="4:22" ht="32.25" customHeight="1">
      <c r="D1602" s="39"/>
      <c r="E1602" s="27" t="str">
        <f>IF(D1602="","",LEFT(D1602,3))</f>
        <v/>
      </c>
      <c r="F1602" s="28" t="str">
        <f>IF(E1602="","",IFERROR(VLOOKUP(E1602,REGRAS_CST!$A$2:$B$200,2,FALSE),""))</f>
        <v/>
      </c>
      <c r="H1602" s="29">
        <v>8.9999999999999993E-3</v>
      </c>
      <c r="I1602" s="29">
        <v>1E-3</v>
      </c>
      <c r="K1602" s="21" t="str">
        <f>IF(E1602="","",IFERROR(VLOOKUP(E1602,REGRAS_CST!$A$2:$C$200,3,FALSE),""))</f>
        <v/>
      </c>
      <c r="L1602" s="23" t="str">
        <f>IF($G1602="", "", $G1602*(1-$V1602))</f>
        <v/>
      </c>
      <c r="M1602" s="24" t="str">
        <f>IF(OR($L1602="",$S1602=""),"",$L1602*$S1602)</f>
        <v/>
      </c>
      <c r="N1602" s="24" t="str">
        <f>IF(OR($L1602="",$T1602=""),"",$L1602*$T1602)</f>
        <v/>
      </c>
      <c r="O1602" s="15" t="str">
        <f>IF(D1602="","",
IF(AND(K1602&lt;&gt;"SIM",V1602&gt;0),"ERRO: % BC &gt; 0, mas NÃO permitida ❌",
IF(AND(K1602="SIM",V1602=0),"ATENÇÃO: BC permitida, mas % = 0 🔎",
"Base de cálculo aplicada corretamente ✅")))</f>
        <v/>
      </c>
      <c r="P1602" s="31" t="str">
        <f>IF(D1602="","",
IF(AND(Q1602&lt;&gt;"SIM",U1602&gt;0),"ERRO: % alíquota &gt; 0, mas NÃO permitida ❌",
IF(AND(Q1602="SIM",U1602=0),"ATENÇÃO: alíquota permitida, mas % = 0 🔎",
"Alíquota aplicada corretamente ✅")))</f>
        <v/>
      </c>
      <c r="Q1602" s="8" t="str">
        <f>IF(E1602="","",IFERROR(VLOOKUP(E1602,REGRAS_CST!$A$2:$D$200,4,FALSE),""))</f>
        <v/>
      </c>
      <c r="S1602" s="9">
        <f>IF($H1602="","",$H1602*(1-$U1602))</f>
        <v>8.9999999999999993E-3</v>
      </c>
      <c r="T1602" s="9">
        <f>IF($I1602="","",$I1602*(1-$U1602))</f>
        <v>1E-3</v>
      </c>
      <c r="U1602" s="16">
        <f>IFERROR(INDEX(BASE_CCLASSTRIB!$E:$E, MATCH(TEXT($D1602,"000000"), BASE_CCLASSTRIB!$A:$A, 0))/100, 0)</f>
        <v>0</v>
      </c>
      <c r="V1602" s="16">
        <f>IFERROR(INDEX(BASE_CCLASSTRIB!$F:$F, MATCH(TEXT($D1602,"000000"), BASE_CCLASSTRIB!$A:$A, 0))/100, 0)</f>
        <v>0</v>
      </c>
    </row>
    <row r="1603" spans="4:22" ht="32.25" customHeight="1">
      <c r="D1603" s="39"/>
      <c r="E1603" s="27" t="str">
        <f>IF(D1603="","",LEFT(D1603,3))</f>
        <v/>
      </c>
      <c r="F1603" s="28" t="str">
        <f>IF(E1603="","",IFERROR(VLOOKUP(E1603,REGRAS_CST!$A$2:$B$200,2,FALSE),""))</f>
        <v/>
      </c>
      <c r="H1603" s="29">
        <v>8.9999999999999993E-3</v>
      </c>
      <c r="I1603" s="29">
        <v>1E-3</v>
      </c>
      <c r="K1603" s="21" t="str">
        <f>IF(E1603="","",IFERROR(VLOOKUP(E1603,REGRAS_CST!$A$2:$C$200,3,FALSE),""))</f>
        <v/>
      </c>
      <c r="L1603" s="23" t="str">
        <f>IF($G1603="", "", $G1603*(1-$V1603))</f>
        <v/>
      </c>
      <c r="M1603" s="24" t="str">
        <f>IF(OR($L1603="",$S1603=""),"",$L1603*$S1603)</f>
        <v/>
      </c>
      <c r="N1603" s="24" t="str">
        <f>IF(OR($L1603="",$T1603=""),"",$L1603*$T1603)</f>
        <v/>
      </c>
      <c r="O1603" s="15" t="str">
        <f>IF(D1603="","",
IF(AND(K1603&lt;&gt;"SIM",V1603&gt;0),"ERRO: % BC &gt; 0, mas NÃO permitida ❌",
IF(AND(K1603="SIM",V1603=0),"ATENÇÃO: BC permitida, mas % = 0 🔎",
"Base de cálculo aplicada corretamente ✅")))</f>
        <v/>
      </c>
      <c r="P1603" s="31" t="str">
        <f>IF(D1603="","",
IF(AND(Q1603&lt;&gt;"SIM",U1603&gt;0),"ERRO: % alíquota &gt; 0, mas NÃO permitida ❌",
IF(AND(Q1603="SIM",U1603=0),"ATENÇÃO: alíquota permitida, mas % = 0 🔎",
"Alíquota aplicada corretamente ✅")))</f>
        <v/>
      </c>
      <c r="Q1603" s="8" t="str">
        <f>IF(E1603="","",IFERROR(VLOOKUP(E1603,REGRAS_CST!$A$2:$D$200,4,FALSE),""))</f>
        <v/>
      </c>
      <c r="S1603" s="9">
        <f>IF($H1603="","",$H1603*(1-$U1603))</f>
        <v>8.9999999999999993E-3</v>
      </c>
      <c r="T1603" s="9">
        <f>IF($I1603="","",$I1603*(1-$U1603))</f>
        <v>1E-3</v>
      </c>
      <c r="U1603" s="16">
        <f>IFERROR(INDEX(BASE_CCLASSTRIB!$E:$E, MATCH(TEXT($D1603,"000000"), BASE_CCLASSTRIB!$A:$A, 0))/100, 0)</f>
        <v>0</v>
      </c>
      <c r="V1603" s="16">
        <f>IFERROR(INDEX(BASE_CCLASSTRIB!$F:$F, MATCH(TEXT($D1603,"000000"), BASE_CCLASSTRIB!$A:$A, 0))/100, 0)</f>
        <v>0</v>
      </c>
    </row>
    <row r="1604" spans="4:22" ht="32.25" customHeight="1">
      <c r="D1604" s="40"/>
      <c r="E1604" s="27" t="str">
        <f>IF(D1604="","",LEFT(D1604,3))</f>
        <v/>
      </c>
      <c r="F1604" s="28" t="str">
        <f>IF(E1604="","",IFERROR(VLOOKUP(E1604,REGRAS_CST!$A$2:$B$200,2,FALSE),""))</f>
        <v/>
      </c>
      <c r="H1604" s="29">
        <v>8.9999999999999993E-3</v>
      </c>
      <c r="I1604" s="29">
        <v>1E-3</v>
      </c>
      <c r="K1604" s="21" t="str">
        <f>IF(E1604="","",IFERROR(VLOOKUP(E1604,REGRAS_CST!$A$2:$C$200,3,FALSE),""))</f>
        <v/>
      </c>
      <c r="L1604" s="23" t="str">
        <f>IF($G1604="", "", $G1604*(1-$V1604))</f>
        <v/>
      </c>
      <c r="M1604" s="24" t="str">
        <f>IF(OR($L1604="",$S1604=""),"",$L1604*$S1604)</f>
        <v/>
      </c>
      <c r="N1604" s="24" t="str">
        <f>IF(OR($L1604="",$T1604=""),"",$L1604*$T1604)</f>
        <v/>
      </c>
      <c r="O1604" s="15" t="str">
        <f>IF(D1604="","",
IF(AND(K1604&lt;&gt;"SIM",V1604&gt;0),"ERRO: % BC &gt; 0, mas NÃO permitida ❌",
IF(AND(K1604="SIM",V1604=0),"ATENÇÃO: BC permitida, mas % = 0 🔎",
"Base de cálculo aplicada corretamente ✅")))</f>
        <v/>
      </c>
      <c r="P1604" s="31" t="str">
        <f>IF(D1604="","",
IF(AND(Q1604&lt;&gt;"SIM",U1604&gt;0),"ERRO: % alíquota &gt; 0, mas NÃO permitida ❌",
IF(AND(Q1604="SIM",U1604=0),"ATENÇÃO: alíquota permitida, mas % = 0 🔎",
"Alíquota aplicada corretamente ✅")))</f>
        <v/>
      </c>
      <c r="Q1604" s="8" t="str">
        <f>IF(E1604="","",IFERROR(VLOOKUP(E1604,REGRAS_CST!$A$2:$D$200,4,FALSE),""))</f>
        <v/>
      </c>
      <c r="S1604" s="9">
        <f>IF($H1604="","",$H1604*(1-$U1604))</f>
        <v>8.9999999999999993E-3</v>
      </c>
      <c r="T1604" s="9">
        <f>IF($I1604="","",$I1604*(1-$U1604))</f>
        <v>1E-3</v>
      </c>
      <c r="U1604" s="16">
        <f>IFERROR(INDEX(BASE_CCLASSTRIB!$E:$E, MATCH(TEXT($D1604,"000000"), BASE_CCLASSTRIB!$A:$A, 0))/100, 0)</f>
        <v>0</v>
      </c>
      <c r="V1604" s="16">
        <f>IFERROR(INDEX(BASE_CCLASSTRIB!$F:$F, MATCH(TEXT($D1604,"000000"), BASE_CCLASSTRIB!$A:$A, 0))/100, 0)</f>
        <v>0</v>
      </c>
    </row>
    <row r="1605" spans="4:22" ht="32.25" customHeight="1">
      <c r="D1605" s="39"/>
      <c r="E1605" s="27" t="str">
        <f>IF(D1605="","",LEFT(D1605,3))</f>
        <v/>
      </c>
      <c r="F1605" s="28" t="str">
        <f>IF(E1605="","",IFERROR(VLOOKUP(E1605,REGRAS_CST!$A$2:$B$200,2,FALSE),""))</f>
        <v/>
      </c>
      <c r="H1605" s="29">
        <v>8.9999999999999993E-3</v>
      </c>
      <c r="I1605" s="29">
        <v>1E-3</v>
      </c>
      <c r="K1605" s="21" t="str">
        <f>IF(E1605="","",IFERROR(VLOOKUP(E1605,REGRAS_CST!$A$2:$C$200,3,FALSE),""))</f>
        <v/>
      </c>
      <c r="L1605" s="23" t="str">
        <f>IF($G1605="", "", $G1605*(1-$V1605))</f>
        <v/>
      </c>
      <c r="M1605" s="24" t="str">
        <f>IF(OR($L1605="",$S1605=""),"",$L1605*$S1605)</f>
        <v/>
      </c>
      <c r="N1605" s="24" t="str">
        <f>IF(OR($L1605="",$T1605=""),"",$L1605*$T1605)</f>
        <v/>
      </c>
      <c r="O1605" s="15" t="str">
        <f>IF(D1605="","",
IF(AND(K1605&lt;&gt;"SIM",V1605&gt;0),"ERRO: % BC &gt; 0, mas NÃO permitida ❌",
IF(AND(K1605="SIM",V1605=0),"ATENÇÃO: BC permitida, mas % = 0 🔎",
"Base de cálculo aplicada corretamente ✅")))</f>
        <v/>
      </c>
      <c r="P1605" s="31" t="str">
        <f>IF(D1605="","",
IF(AND(Q1605&lt;&gt;"SIM",U1605&gt;0),"ERRO: % alíquota &gt; 0, mas NÃO permitida ❌",
IF(AND(Q1605="SIM",U1605=0),"ATENÇÃO: alíquota permitida, mas % = 0 🔎",
"Alíquota aplicada corretamente ✅")))</f>
        <v/>
      </c>
      <c r="Q1605" s="8" t="str">
        <f>IF(E1605="","",IFERROR(VLOOKUP(E1605,REGRAS_CST!$A$2:$D$200,4,FALSE),""))</f>
        <v/>
      </c>
      <c r="S1605" s="9">
        <f>IF($H1605="","",$H1605*(1-$U1605))</f>
        <v>8.9999999999999993E-3</v>
      </c>
      <c r="T1605" s="9">
        <f>IF($I1605="","",$I1605*(1-$U1605))</f>
        <v>1E-3</v>
      </c>
      <c r="U1605" s="16">
        <f>IFERROR(INDEX(BASE_CCLASSTRIB!$E:$E, MATCH(TEXT($D1605,"000000"), BASE_CCLASSTRIB!$A:$A, 0))/100, 0)</f>
        <v>0</v>
      </c>
      <c r="V1605" s="16">
        <f>IFERROR(INDEX(BASE_CCLASSTRIB!$F:$F, MATCH(TEXT($D1605,"000000"), BASE_CCLASSTRIB!$A:$A, 0))/100, 0)</f>
        <v>0</v>
      </c>
    </row>
    <row r="1606" spans="4:22" ht="32.25" customHeight="1">
      <c r="D1606" s="39"/>
      <c r="E1606" s="27" t="str">
        <f>IF(D1606="","",LEFT(D1606,3))</f>
        <v/>
      </c>
      <c r="F1606" s="28" t="str">
        <f>IF(E1606="","",IFERROR(VLOOKUP(E1606,REGRAS_CST!$A$2:$B$200,2,FALSE),""))</f>
        <v/>
      </c>
      <c r="H1606" s="29">
        <v>8.9999999999999993E-3</v>
      </c>
      <c r="I1606" s="29">
        <v>1E-3</v>
      </c>
      <c r="K1606" s="21" t="str">
        <f>IF(E1606="","",IFERROR(VLOOKUP(E1606,REGRAS_CST!$A$2:$C$200,3,FALSE),""))</f>
        <v/>
      </c>
      <c r="L1606" s="23" t="str">
        <f>IF($G1606="", "", $G1606*(1-$V1606))</f>
        <v/>
      </c>
      <c r="M1606" s="24" t="str">
        <f>IF(OR($L1606="",$S1606=""),"",$L1606*$S1606)</f>
        <v/>
      </c>
      <c r="N1606" s="24" t="str">
        <f>IF(OR($L1606="",$T1606=""),"",$L1606*$T1606)</f>
        <v/>
      </c>
      <c r="O1606" s="15" t="str">
        <f>IF(D1606="","",
IF(AND(K1606&lt;&gt;"SIM",V1606&gt;0),"ERRO: % BC &gt; 0, mas NÃO permitida ❌",
IF(AND(K1606="SIM",V1606=0),"ATENÇÃO: BC permitida, mas % = 0 🔎",
"Base de cálculo aplicada corretamente ✅")))</f>
        <v/>
      </c>
      <c r="P1606" s="31" t="str">
        <f>IF(D1606="","",
IF(AND(Q1606&lt;&gt;"SIM",U1606&gt;0),"ERRO: % alíquota &gt; 0, mas NÃO permitida ❌",
IF(AND(Q1606="SIM",U1606=0),"ATENÇÃO: alíquota permitida, mas % = 0 🔎",
"Alíquota aplicada corretamente ✅")))</f>
        <v/>
      </c>
      <c r="Q1606" s="8" t="str">
        <f>IF(E1606="","",IFERROR(VLOOKUP(E1606,REGRAS_CST!$A$2:$D$200,4,FALSE),""))</f>
        <v/>
      </c>
      <c r="S1606" s="9">
        <f>IF($H1606="","",$H1606*(1-$U1606))</f>
        <v>8.9999999999999993E-3</v>
      </c>
      <c r="T1606" s="9">
        <f>IF($I1606="","",$I1606*(1-$U1606))</f>
        <v>1E-3</v>
      </c>
      <c r="U1606" s="16">
        <f>IFERROR(INDEX(BASE_CCLASSTRIB!$E:$E, MATCH(TEXT($D1606,"000000"), BASE_CCLASSTRIB!$A:$A, 0))/100, 0)</f>
        <v>0</v>
      </c>
      <c r="V1606" s="16">
        <f>IFERROR(INDEX(BASE_CCLASSTRIB!$F:$F, MATCH(TEXT($D1606,"000000"), BASE_CCLASSTRIB!$A:$A, 0))/100, 0)</f>
        <v>0</v>
      </c>
    </row>
    <row r="1607" spans="4:22" ht="32.25" customHeight="1">
      <c r="D1607" s="39"/>
      <c r="E1607" s="27" t="str">
        <f>IF(D1607="","",LEFT(D1607,3))</f>
        <v/>
      </c>
      <c r="F1607" s="28" t="str">
        <f>IF(E1607="","",IFERROR(VLOOKUP(E1607,REGRAS_CST!$A$2:$B$200,2,FALSE),""))</f>
        <v/>
      </c>
      <c r="H1607" s="29">
        <v>8.9999999999999993E-3</v>
      </c>
      <c r="I1607" s="29">
        <v>1E-3</v>
      </c>
      <c r="K1607" s="21" t="str">
        <f>IF(E1607="","",IFERROR(VLOOKUP(E1607,REGRAS_CST!$A$2:$C$200,3,FALSE),""))</f>
        <v/>
      </c>
      <c r="L1607" s="23" t="str">
        <f>IF($G1607="", "", $G1607*(1-$V1607))</f>
        <v/>
      </c>
      <c r="M1607" s="24" t="str">
        <f>IF(OR($L1607="",$S1607=""),"",$L1607*$S1607)</f>
        <v/>
      </c>
      <c r="N1607" s="24" t="str">
        <f>IF(OR($L1607="",$T1607=""),"",$L1607*$T1607)</f>
        <v/>
      </c>
      <c r="O1607" s="15" t="str">
        <f>IF(D1607="","",
IF(AND(K1607&lt;&gt;"SIM",V1607&gt;0),"ERRO: % BC &gt; 0, mas NÃO permitida ❌",
IF(AND(K1607="SIM",V1607=0),"ATENÇÃO: BC permitida, mas % = 0 🔎",
"Base de cálculo aplicada corretamente ✅")))</f>
        <v/>
      </c>
      <c r="P1607" s="31" t="str">
        <f>IF(D1607="","",
IF(AND(Q1607&lt;&gt;"SIM",U1607&gt;0),"ERRO: % alíquota &gt; 0, mas NÃO permitida ❌",
IF(AND(Q1607="SIM",U1607=0),"ATENÇÃO: alíquota permitida, mas % = 0 🔎",
"Alíquota aplicada corretamente ✅")))</f>
        <v/>
      </c>
      <c r="Q1607" s="8" t="str">
        <f>IF(E1607="","",IFERROR(VLOOKUP(E1607,REGRAS_CST!$A$2:$D$200,4,FALSE),""))</f>
        <v/>
      </c>
      <c r="S1607" s="9">
        <f>IF($H1607="","",$H1607*(1-$U1607))</f>
        <v>8.9999999999999993E-3</v>
      </c>
      <c r="T1607" s="9">
        <f>IF($I1607="","",$I1607*(1-$U1607))</f>
        <v>1E-3</v>
      </c>
      <c r="U1607" s="16">
        <f>IFERROR(INDEX(BASE_CCLASSTRIB!$E:$E, MATCH(TEXT($D1607,"000000"), BASE_CCLASSTRIB!$A:$A, 0))/100, 0)</f>
        <v>0</v>
      </c>
      <c r="V1607" s="16">
        <f>IFERROR(INDEX(BASE_CCLASSTRIB!$F:$F, MATCH(TEXT($D1607,"000000"), BASE_CCLASSTRIB!$A:$A, 0))/100, 0)</f>
        <v>0</v>
      </c>
    </row>
    <row r="1608" spans="4:22" ht="32.25" customHeight="1">
      <c r="D1608" s="39"/>
      <c r="E1608" s="27" t="str">
        <f>IF(D1608="","",LEFT(D1608,3))</f>
        <v/>
      </c>
      <c r="F1608" s="28" t="str">
        <f>IF(E1608="","",IFERROR(VLOOKUP(E1608,REGRAS_CST!$A$2:$B$200,2,FALSE),""))</f>
        <v/>
      </c>
      <c r="H1608" s="29">
        <v>8.9999999999999993E-3</v>
      </c>
      <c r="I1608" s="29">
        <v>1E-3</v>
      </c>
      <c r="K1608" s="21" t="str">
        <f>IF(E1608="","",IFERROR(VLOOKUP(E1608,REGRAS_CST!$A$2:$C$200,3,FALSE),""))</f>
        <v/>
      </c>
      <c r="L1608" s="23" t="str">
        <f>IF($G1608="", "", $G1608*(1-$V1608))</f>
        <v/>
      </c>
      <c r="M1608" s="24" t="str">
        <f>IF(OR($L1608="",$S1608=""),"",$L1608*$S1608)</f>
        <v/>
      </c>
      <c r="N1608" s="24" t="str">
        <f>IF(OR($L1608="",$T1608=""),"",$L1608*$T1608)</f>
        <v/>
      </c>
      <c r="O1608" s="15" t="str">
        <f>IF(D1608="","",
IF(AND(K1608&lt;&gt;"SIM",V1608&gt;0),"ERRO: % BC &gt; 0, mas NÃO permitida ❌",
IF(AND(K1608="SIM",V1608=0),"ATENÇÃO: BC permitida, mas % = 0 🔎",
"Base de cálculo aplicada corretamente ✅")))</f>
        <v/>
      </c>
      <c r="P1608" s="31" t="str">
        <f>IF(D1608="","",
IF(AND(Q1608&lt;&gt;"SIM",U1608&gt;0),"ERRO: % alíquota &gt; 0, mas NÃO permitida ❌",
IF(AND(Q1608="SIM",U1608=0),"ATENÇÃO: alíquota permitida, mas % = 0 🔎",
"Alíquota aplicada corretamente ✅")))</f>
        <v/>
      </c>
      <c r="Q1608" s="8" t="str">
        <f>IF(E1608="","",IFERROR(VLOOKUP(E1608,REGRAS_CST!$A$2:$D$200,4,FALSE),""))</f>
        <v/>
      </c>
      <c r="S1608" s="9">
        <f>IF($H1608="","",$H1608*(1-$U1608))</f>
        <v>8.9999999999999993E-3</v>
      </c>
      <c r="T1608" s="9">
        <f>IF($I1608="","",$I1608*(1-$U1608))</f>
        <v>1E-3</v>
      </c>
      <c r="U1608" s="16">
        <f>IFERROR(INDEX(BASE_CCLASSTRIB!$E:$E, MATCH(TEXT($D1608,"000000"), BASE_CCLASSTRIB!$A:$A, 0))/100, 0)</f>
        <v>0</v>
      </c>
      <c r="V1608" s="16">
        <f>IFERROR(INDEX(BASE_CCLASSTRIB!$F:$F, MATCH(TEXT($D1608,"000000"), BASE_CCLASSTRIB!$A:$A, 0))/100, 0)</f>
        <v>0</v>
      </c>
    </row>
    <row r="1609" spans="4:22" ht="32.25" customHeight="1">
      <c r="D1609" s="39"/>
      <c r="E1609" s="27" t="str">
        <f>IF(D1609="","",LEFT(D1609,3))</f>
        <v/>
      </c>
      <c r="F1609" s="28" t="str">
        <f>IF(E1609="","",IFERROR(VLOOKUP(E1609,REGRAS_CST!$A$2:$B$200,2,FALSE),""))</f>
        <v/>
      </c>
      <c r="H1609" s="29">
        <v>8.9999999999999993E-3</v>
      </c>
      <c r="I1609" s="29">
        <v>1E-3</v>
      </c>
      <c r="K1609" s="21" t="str">
        <f>IF(E1609="","",IFERROR(VLOOKUP(E1609,REGRAS_CST!$A$2:$C$200,3,FALSE),""))</f>
        <v/>
      </c>
      <c r="L1609" s="23" t="str">
        <f>IF($G1609="", "", $G1609*(1-$V1609))</f>
        <v/>
      </c>
      <c r="M1609" s="24" t="str">
        <f>IF(OR($L1609="",$S1609=""),"",$L1609*$S1609)</f>
        <v/>
      </c>
      <c r="N1609" s="24" t="str">
        <f>IF(OR($L1609="",$T1609=""),"",$L1609*$T1609)</f>
        <v/>
      </c>
      <c r="O1609" s="15" t="str">
        <f>IF(D1609="","",
IF(AND(K1609&lt;&gt;"SIM",V1609&gt;0),"ERRO: % BC &gt; 0, mas NÃO permitida ❌",
IF(AND(K1609="SIM",V1609=0),"ATENÇÃO: BC permitida, mas % = 0 🔎",
"Base de cálculo aplicada corretamente ✅")))</f>
        <v/>
      </c>
      <c r="P1609" s="31" t="str">
        <f>IF(D1609="","",
IF(AND(Q1609&lt;&gt;"SIM",U1609&gt;0),"ERRO: % alíquota &gt; 0, mas NÃO permitida ❌",
IF(AND(Q1609="SIM",U1609=0),"ATENÇÃO: alíquota permitida, mas % = 0 🔎",
"Alíquota aplicada corretamente ✅")))</f>
        <v/>
      </c>
      <c r="Q1609" s="8" t="str">
        <f>IF(E1609="","",IFERROR(VLOOKUP(E1609,REGRAS_CST!$A$2:$D$200,4,FALSE),""))</f>
        <v/>
      </c>
      <c r="S1609" s="9">
        <f>IF($H1609="","",$H1609*(1-$U1609))</f>
        <v>8.9999999999999993E-3</v>
      </c>
      <c r="T1609" s="9">
        <f>IF($I1609="","",$I1609*(1-$U1609))</f>
        <v>1E-3</v>
      </c>
      <c r="U1609" s="16">
        <f>IFERROR(INDEX(BASE_CCLASSTRIB!$E:$E, MATCH(TEXT($D1609,"000000"), BASE_CCLASSTRIB!$A:$A, 0))/100, 0)</f>
        <v>0</v>
      </c>
      <c r="V1609" s="16">
        <f>IFERROR(INDEX(BASE_CCLASSTRIB!$F:$F, MATCH(TEXT($D1609,"000000"), BASE_CCLASSTRIB!$A:$A, 0))/100, 0)</f>
        <v>0</v>
      </c>
    </row>
    <row r="1610" spans="4:22" ht="32.25" customHeight="1">
      <c r="D1610" s="39"/>
      <c r="E1610" s="27" t="str">
        <f>IF(D1610="","",LEFT(D1610,3))</f>
        <v/>
      </c>
      <c r="F1610" s="28" t="str">
        <f>IF(E1610="","",IFERROR(VLOOKUP(E1610,REGRAS_CST!$A$2:$B$200,2,FALSE),""))</f>
        <v/>
      </c>
      <c r="H1610" s="29">
        <v>8.9999999999999993E-3</v>
      </c>
      <c r="I1610" s="29">
        <v>1E-3</v>
      </c>
      <c r="K1610" s="21" t="str">
        <f>IF(E1610="","",IFERROR(VLOOKUP(E1610,REGRAS_CST!$A$2:$C$200,3,FALSE),""))</f>
        <v/>
      </c>
      <c r="L1610" s="23" t="str">
        <f>IF($G1610="", "", $G1610*(1-$V1610))</f>
        <v/>
      </c>
      <c r="M1610" s="24" t="str">
        <f>IF(OR($L1610="",$S1610=""),"",$L1610*$S1610)</f>
        <v/>
      </c>
      <c r="N1610" s="24" t="str">
        <f>IF(OR($L1610="",$T1610=""),"",$L1610*$T1610)</f>
        <v/>
      </c>
      <c r="O1610" s="15" t="str">
        <f>IF(D1610="","",
IF(AND(K1610&lt;&gt;"SIM",V1610&gt;0),"ERRO: % BC &gt; 0, mas NÃO permitida ❌",
IF(AND(K1610="SIM",V1610=0),"ATENÇÃO: BC permitida, mas % = 0 🔎",
"Base de cálculo aplicada corretamente ✅")))</f>
        <v/>
      </c>
      <c r="P1610" s="31" t="str">
        <f>IF(D1610="","",
IF(AND(Q1610&lt;&gt;"SIM",U1610&gt;0),"ERRO: % alíquota &gt; 0, mas NÃO permitida ❌",
IF(AND(Q1610="SIM",U1610=0),"ATENÇÃO: alíquota permitida, mas % = 0 🔎",
"Alíquota aplicada corretamente ✅")))</f>
        <v/>
      </c>
      <c r="Q1610" s="8" t="str">
        <f>IF(E1610="","",IFERROR(VLOOKUP(E1610,REGRAS_CST!$A$2:$D$200,4,FALSE),""))</f>
        <v/>
      </c>
      <c r="S1610" s="9">
        <f>IF($H1610="","",$H1610*(1-$U1610))</f>
        <v>8.9999999999999993E-3</v>
      </c>
      <c r="T1610" s="9">
        <f>IF($I1610="","",$I1610*(1-$U1610))</f>
        <v>1E-3</v>
      </c>
      <c r="U1610" s="16">
        <f>IFERROR(INDEX(BASE_CCLASSTRIB!$E:$E, MATCH(TEXT($D1610,"000000"), BASE_CCLASSTRIB!$A:$A, 0))/100, 0)</f>
        <v>0</v>
      </c>
      <c r="V1610" s="16">
        <f>IFERROR(INDEX(BASE_CCLASSTRIB!$F:$F, MATCH(TEXT($D1610,"000000"), BASE_CCLASSTRIB!$A:$A, 0))/100, 0)</f>
        <v>0</v>
      </c>
    </row>
    <row r="1611" spans="4:22" ht="32.25" customHeight="1">
      <c r="D1611" s="39"/>
      <c r="E1611" s="27" t="str">
        <f>IF(D1611="","",LEFT(D1611,3))</f>
        <v/>
      </c>
      <c r="F1611" s="28" t="str">
        <f>IF(E1611="","",IFERROR(VLOOKUP(E1611,REGRAS_CST!$A$2:$B$200,2,FALSE),""))</f>
        <v/>
      </c>
      <c r="H1611" s="29">
        <v>8.9999999999999993E-3</v>
      </c>
      <c r="I1611" s="29">
        <v>1E-3</v>
      </c>
      <c r="K1611" s="21" t="str">
        <f>IF(E1611="","",IFERROR(VLOOKUP(E1611,REGRAS_CST!$A$2:$C$200,3,FALSE),""))</f>
        <v/>
      </c>
      <c r="L1611" s="23" t="str">
        <f>IF($G1611="", "", $G1611*(1-$V1611))</f>
        <v/>
      </c>
      <c r="M1611" s="24" t="str">
        <f>IF(OR($L1611="",$S1611=""),"",$L1611*$S1611)</f>
        <v/>
      </c>
      <c r="N1611" s="24" t="str">
        <f>IF(OR($L1611="",$T1611=""),"",$L1611*$T1611)</f>
        <v/>
      </c>
      <c r="O1611" s="15" t="str">
        <f>IF(D1611="","",
IF(AND(K1611&lt;&gt;"SIM",V1611&gt;0),"ERRO: % BC &gt; 0, mas NÃO permitida ❌",
IF(AND(K1611="SIM",V1611=0),"ATENÇÃO: BC permitida, mas % = 0 🔎",
"Base de cálculo aplicada corretamente ✅")))</f>
        <v/>
      </c>
      <c r="P1611" s="31" t="str">
        <f>IF(D1611="","",
IF(AND(Q1611&lt;&gt;"SIM",U1611&gt;0),"ERRO: % alíquota &gt; 0, mas NÃO permitida ❌",
IF(AND(Q1611="SIM",U1611=0),"ATENÇÃO: alíquota permitida, mas % = 0 🔎",
"Alíquota aplicada corretamente ✅")))</f>
        <v/>
      </c>
      <c r="Q1611" s="8" t="str">
        <f>IF(E1611="","",IFERROR(VLOOKUP(E1611,REGRAS_CST!$A$2:$D$200,4,FALSE),""))</f>
        <v/>
      </c>
      <c r="S1611" s="9">
        <f>IF($H1611="","",$H1611*(1-$U1611))</f>
        <v>8.9999999999999993E-3</v>
      </c>
      <c r="T1611" s="9">
        <f>IF($I1611="","",$I1611*(1-$U1611))</f>
        <v>1E-3</v>
      </c>
      <c r="U1611" s="16">
        <f>IFERROR(INDEX(BASE_CCLASSTRIB!$E:$E, MATCH(TEXT($D1611,"000000"), BASE_CCLASSTRIB!$A:$A, 0))/100, 0)</f>
        <v>0</v>
      </c>
      <c r="V1611" s="16">
        <f>IFERROR(INDEX(BASE_CCLASSTRIB!$F:$F, MATCH(TEXT($D1611,"000000"), BASE_CCLASSTRIB!$A:$A, 0))/100, 0)</f>
        <v>0</v>
      </c>
    </row>
    <row r="1612" spans="4:22" ht="32.25" customHeight="1">
      <c r="D1612" s="39"/>
      <c r="E1612" s="27" t="str">
        <f>IF(D1612="","",LEFT(D1612,3))</f>
        <v/>
      </c>
      <c r="F1612" s="28" t="str">
        <f>IF(E1612="","",IFERROR(VLOOKUP(E1612,REGRAS_CST!$A$2:$B$200,2,FALSE),""))</f>
        <v/>
      </c>
      <c r="H1612" s="29">
        <v>8.9999999999999993E-3</v>
      </c>
      <c r="I1612" s="29">
        <v>1E-3</v>
      </c>
      <c r="K1612" s="21" t="str">
        <f>IF(E1612="","",IFERROR(VLOOKUP(E1612,REGRAS_CST!$A$2:$C$200,3,FALSE),""))</f>
        <v/>
      </c>
      <c r="L1612" s="23" t="str">
        <f>IF($G1612="", "", $G1612*(1-$V1612))</f>
        <v/>
      </c>
      <c r="M1612" s="24" t="str">
        <f>IF(OR($L1612="",$S1612=""),"",$L1612*$S1612)</f>
        <v/>
      </c>
      <c r="N1612" s="24" t="str">
        <f>IF(OR($L1612="",$T1612=""),"",$L1612*$T1612)</f>
        <v/>
      </c>
      <c r="O1612" s="15" t="str">
        <f>IF(D1612="","",
IF(AND(K1612&lt;&gt;"SIM",V1612&gt;0),"ERRO: % BC &gt; 0, mas NÃO permitida ❌",
IF(AND(K1612="SIM",V1612=0),"ATENÇÃO: BC permitida, mas % = 0 🔎",
"Base de cálculo aplicada corretamente ✅")))</f>
        <v/>
      </c>
      <c r="P1612" s="31" t="str">
        <f>IF(D1612="","",
IF(AND(Q1612&lt;&gt;"SIM",U1612&gt;0),"ERRO: % alíquota &gt; 0, mas NÃO permitida ❌",
IF(AND(Q1612="SIM",U1612=0),"ATENÇÃO: alíquota permitida, mas % = 0 🔎",
"Alíquota aplicada corretamente ✅")))</f>
        <v/>
      </c>
      <c r="Q1612" s="8" t="str">
        <f>IF(E1612="","",IFERROR(VLOOKUP(E1612,REGRAS_CST!$A$2:$D$200,4,FALSE),""))</f>
        <v/>
      </c>
      <c r="S1612" s="9">
        <f>IF($H1612="","",$H1612*(1-$U1612))</f>
        <v>8.9999999999999993E-3</v>
      </c>
      <c r="T1612" s="9">
        <f>IF($I1612="","",$I1612*(1-$U1612))</f>
        <v>1E-3</v>
      </c>
      <c r="U1612" s="16">
        <f>IFERROR(INDEX(BASE_CCLASSTRIB!$E:$E, MATCH(TEXT($D1612,"000000"), BASE_CCLASSTRIB!$A:$A, 0))/100, 0)</f>
        <v>0</v>
      </c>
      <c r="V1612" s="16">
        <f>IFERROR(INDEX(BASE_CCLASSTRIB!$F:$F, MATCH(TEXT($D1612,"000000"), BASE_CCLASSTRIB!$A:$A, 0))/100, 0)</f>
        <v>0</v>
      </c>
    </row>
    <row r="1613" spans="4:22" ht="32.25" customHeight="1">
      <c r="D1613" s="39"/>
      <c r="E1613" s="27" t="str">
        <f>IF(D1613="","",LEFT(D1613,3))</f>
        <v/>
      </c>
      <c r="F1613" s="28" t="str">
        <f>IF(E1613="","",IFERROR(VLOOKUP(E1613,REGRAS_CST!$A$2:$B$200,2,FALSE),""))</f>
        <v/>
      </c>
      <c r="H1613" s="29">
        <v>8.9999999999999993E-3</v>
      </c>
      <c r="I1613" s="29">
        <v>1E-3</v>
      </c>
      <c r="K1613" s="21" t="str">
        <f>IF(E1613="","",IFERROR(VLOOKUP(E1613,REGRAS_CST!$A$2:$C$200,3,FALSE),""))</f>
        <v/>
      </c>
      <c r="L1613" s="23" t="str">
        <f>IF($G1613="", "", $G1613*(1-$V1613))</f>
        <v/>
      </c>
      <c r="M1613" s="24" t="str">
        <f>IF(OR($L1613="",$S1613=""),"",$L1613*$S1613)</f>
        <v/>
      </c>
      <c r="N1613" s="24" t="str">
        <f>IF(OR($L1613="",$T1613=""),"",$L1613*$T1613)</f>
        <v/>
      </c>
      <c r="O1613" s="15" t="str">
        <f>IF(D1613="","",
IF(AND(K1613&lt;&gt;"SIM",V1613&gt;0),"ERRO: % BC &gt; 0, mas NÃO permitida ❌",
IF(AND(K1613="SIM",V1613=0),"ATENÇÃO: BC permitida, mas % = 0 🔎",
"Base de cálculo aplicada corretamente ✅")))</f>
        <v/>
      </c>
      <c r="P1613" s="31" t="str">
        <f>IF(D1613="","",
IF(AND(Q1613&lt;&gt;"SIM",U1613&gt;0),"ERRO: % alíquota &gt; 0, mas NÃO permitida ❌",
IF(AND(Q1613="SIM",U1613=0),"ATENÇÃO: alíquota permitida, mas % = 0 🔎",
"Alíquota aplicada corretamente ✅")))</f>
        <v/>
      </c>
      <c r="Q1613" s="8" t="str">
        <f>IF(E1613="","",IFERROR(VLOOKUP(E1613,REGRAS_CST!$A$2:$D$200,4,FALSE),""))</f>
        <v/>
      </c>
      <c r="S1613" s="9">
        <f>IF($H1613="","",$H1613*(1-$U1613))</f>
        <v>8.9999999999999993E-3</v>
      </c>
      <c r="T1613" s="9">
        <f>IF($I1613="","",$I1613*(1-$U1613))</f>
        <v>1E-3</v>
      </c>
      <c r="U1613" s="16">
        <f>IFERROR(INDEX(BASE_CCLASSTRIB!$E:$E, MATCH(TEXT($D1613,"000000"), BASE_CCLASSTRIB!$A:$A, 0))/100, 0)</f>
        <v>0</v>
      </c>
      <c r="V1613" s="16">
        <f>IFERROR(INDEX(BASE_CCLASSTRIB!$F:$F, MATCH(TEXT($D1613,"000000"), BASE_CCLASSTRIB!$A:$A, 0))/100, 0)</f>
        <v>0</v>
      </c>
    </row>
    <row r="1614" spans="4:22" ht="32.25" customHeight="1">
      <c r="D1614" s="39"/>
      <c r="E1614" s="27" t="str">
        <f>IF(D1614="","",LEFT(D1614,3))</f>
        <v/>
      </c>
      <c r="F1614" s="28" t="str">
        <f>IF(E1614="","",IFERROR(VLOOKUP(E1614,REGRAS_CST!$A$2:$B$200,2,FALSE),""))</f>
        <v/>
      </c>
      <c r="H1614" s="29">
        <v>8.9999999999999993E-3</v>
      </c>
      <c r="I1614" s="29">
        <v>1E-3</v>
      </c>
      <c r="K1614" s="21" t="str">
        <f>IF(E1614="","",IFERROR(VLOOKUP(E1614,REGRAS_CST!$A$2:$C$200,3,FALSE),""))</f>
        <v/>
      </c>
      <c r="L1614" s="23" t="str">
        <f>IF($G1614="", "", $G1614*(1-$V1614))</f>
        <v/>
      </c>
      <c r="M1614" s="24" t="str">
        <f>IF(OR($L1614="",$S1614=""),"",$L1614*$S1614)</f>
        <v/>
      </c>
      <c r="N1614" s="24" t="str">
        <f>IF(OR($L1614="",$T1614=""),"",$L1614*$T1614)</f>
        <v/>
      </c>
      <c r="O1614" s="15" t="str">
        <f>IF(D1614="","",
IF(AND(K1614&lt;&gt;"SIM",V1614&gt;0),"ERRO: % BC &gt; 0, mas NÃO permitida ❌",
IF(AND(K1614="SIM",V1614=0),"ATENÇÃO: BC permitida, mas % = 0 🔎",
"Base de cálculo aplicada corretamente ✅")))</f>
        <v/>
      </c>
      <c r="P1614" s="31" t="str">
        <f>IF(D1614="","",
IF(AND(Q1614&lt;&gt;"SIM",U1614&gt;0),"ERRO: % alíquota &gt; 0, mas NÃO permitida ❌",
IF(AND(Q1614="SIM",U1614=0),"ATENÇÃO: alíquota permitida, mas % = 0 🔎",
"Alíquota aplicada corretamente ✅")))</f>
        <v/>
      </c>
      <c r="Q1614" s="8" t="str">
        <f>IF(E1614="","",IFERROR(VLOOKUP(E1614,REGRAS_CST!$A$2:$D$200,4,FALSE),""))</f>
        <v/>
      </c>
      <c r="S1614" s="9">
        <f>IF($H1614="","",$H1614*(1-$U1614))</f>
        <v>8.9999999999999993E-3</v>
      </c>
      <c r="T1614" s="9">
        <f>IF($I1614="","",$I1614*(1-$U1614))</f>
        <v>1E-3</v>
      </c>
      <c r="U1614" s="16">
        <f>IFERROR(INDEX(BASE_CCLASSTRIB!$E:$E, MATCH(TEXT($D1614,"000000"), BASE_CCLASSTRIB!$A:$A, 0))/100, 0)</f>
        <v>0</v>
      </c>
      <c r="V1614" s="16">
        <f>IFERROR(INDEX(BASE_CCLASSTRIB!$F:$F, MATCH(TEXT($D1614,"000000"), BASE_CCLASSTRIB!$A:$A, 0))/100, 0)</f>
        <v>0</v>
      </c>
    </row>
    <row r="1615" spans="4:22" ht="32.25" customHeight="1">
      <c r="D1615" s="39"/>
      <c r="E1615" s="27" t="str">
        <f>IF(D1615="","",LEFT(D1615,3))</f>
        <v/>
      </c>
      <c r="F1615" s="28" t="str">
        <f>IF(E1615="","",IFERROR(VLOOKUP(E1615,REGRAS_CST!$A$2:$B$200,2,FALSE),""))</f>
        <v/>
      </c>
      <c r="H1615" s="29">
        <v>8.9999999999999993E-3</v>
      </c>
      <c r="I1615" s="29">
        <v>1E-3</v>
      </c>
      <c r="K1615" s="21" t="str">
        <f>IF(E1615="","",IFERROR(VLOOKUP(E1615,REGRAS_CST!$A$2:$C$200,3,FALSE),""))</f>
        <v/>
      </c>
      <c r="L1615" s="23" t="str">
        <f>IF($G1615="", "", $G1615*(1-$V1615))</f>
        <v/>
      </c>
      <c r="M1615" s="24" t="str">
        <f>IF(OR($L1615="",$S1615=""),"",$L1615*$S1615)</f>
        <v/>
      </c>
      <c r="N1615" s="24" t="str">
        <f>IF(OR($L1615="",$T1615=""),"",$L1615*$T1615)</f>
        <v/>
      </c>
      <c r="O1615" s="15" t="str">
        <f>IF(D1615="","",
IF(AND(K1615&lt;&gt;"SIM",V1615&gt;0),"ERRO: % BC &gt; 0, mas NÃO permitida ❌",
IF(AND(K1615="SIM",V1615=0),"ATENÇÃO: BC permitida, mas % = 0 🔎",
"Base de cálculo aplicada corretamente ✅")))</f>
        <v/>
      </c>
      <c r="P1615" s="31" t="str">
        <f>IF(D1615="","",
IF(AND(Q1615&lt;&gt;"SIM",U1615&gt;0),"ERRO: % alíquota &gt; 0, mas NÃO permitida ❌",
IF(AND(Q1615="SIM",U1615=0),"ATENÇÃO: alíquota permitida, mas % = 0 🔎",
"Alíquota aplicada corretamente ✅")))</f>
        <v/>
      </c>
      <c r="Q1615" s="8" t="str">
        <f>IF(E1615="","",IFERROR(VLOOKUP(E1615,REGRAS_CST!$A$2:$D$200,4,FALSE),""))</f>
        <v/>
      </c>
      <c r="S1615" s="9">
        <f>IF($H1615="","",$H1615*(1-$U1615))</f>
        <v>8.9999999999999993E-3</v>
      </c>
      <c r="T1615" s="9">
        <f>IF($I1615="","",$I1615*(1-$U1615))</f>
        <v>1E-3</v>
      </c>
      <c r="U1615" s="16">
        <f>IFERROR(INDEX(BASE_CCLASSTRIB!$E:$E, MATCH(TEXT($D1615,"000000"), BASE_CCLASSTRIB!$A:$A, 0))/100, 0)</f>
        <v>0</v>
      </c>
      <c r="V1615" s="16">
        <f>IFERROR(INDEX(BASE_CCLASSTRIB!$F:$F, MATCH(TEXT($D1615,"000000"), BASE_CCLASSTRIB!$A:$A, 0))/100, 0)</f>
        <v>0</v>
      </c>
    </row>
    <row r="1616" spans="4:22" ht="32.25" customHeight="1">
      <c r="D1616" s="39"/>
      <c r="E1616" s="27" t="str">
        <f>IF(D1616="","",LEFT(D1616,3))</f>
        <v/>
      </c>
      <c r="F1616" s="28" t="str">
        <f>IF(E1616="","",IFERROR(VLOOKUP(E1616,REGRAS_CST!$A$2:$B$200,2,FALSE),""))</f>
        <v/>
      </c>
      <c r="H1616" s="29">
        <v>8.9999999999999993E-3</v>
      </c>
      <c r="I1616" s="29">
        <v>1E-3</v>
      </c>
      <c r="K1616" s="21" t="str">
        <f>IF(E1616="","",IFERROR(VLOOKUP(E1616,REGRAS_CST!$A$2:$C$200,3,FALSE),""))</f>
        <v/>
      </c>
      <c r="L1616" s="23" t="str">
        <f>IF($G1616="", "", $G1616*(1-$V1616))</f>
        <v/>
      </c>
      <c r="M1616" s="24" t="str">
        <f>IF(OR($L1616="",$S1616=""),"",$L1616*$S1616)</f>
        <v/>
      </c>
      <c r="N1616" s="24" t="str">
        <f>IF(OR($L1616="",$T1616=""),"",$L1616*$T1616)</f>
        <v/>
      </c>
      <c r="O1616" s="15" t="str">
        <f>IF(D1616="","",
IF(AND(K1616&lt;&gt;"SIM",V1616&gt;0),"ERRO: % BC &gt; 0, mas NÃO permitida ❌",
IF(AND(K1616="SIM",V1616=0),"ATENÇÃO: BC permitida, mas % = 0 🔎",
"Base de cálculo aplicada corretamente ✅")))</f>
        <v/>
      </c>
      <c r="P1616" s="31" t="str">
        <f>IF(D1616="","",
IF(AND(Q1616&lt;&gt;"SIM",U1616&gt;0),"ERRO: % alíquota &gt; 0, mas NÃO permitida ❌",
IF(AND(Q1616="SIM",U1616=0),"ATENÇÃO: alíquota permitida, mas % = 0 🔎",
"Alíquota aplicada corretamente ✅")))</f>
        <v/>
      </c>
      <c r="Q1616" s="8" t="str">
        <f>IF(E1616="","",IFERROR(VLOOKUP(E1616,REGRAS_CST!$A$2:$D$200,4,FALSE),""))</f>
        <v/>
      </c>
      <c r="S1616" s="9">
        <f>IF($H1616="","",$H1616*(1-$U1616))</f>
        <v>8.9999999999999993E-3</v>
      </c>
      <c r="T1616" s="9">
        <f>IF($I1616="","",$I1616*(1-$U1616))</f>
        <v>1E-3</v>
      </c>
      <c r="U1616" s="16">
        <f>IFERROR(INDEX(BASE_CCLASSTRIB!$E:$E, MATCH(TEXT($D1616,"000000"), BASE_CCLASSTRIB!$A:$A, 0))/100, 0)</f>
        <v>0</v>
      </c>
      <c r="V1616" s="16">
        <f>IFERROR(INDEX(BASE_CCLASSTRIB!$F:$F, MATCH(TEXT($D1616,"000000"), BASE_CCLASSTRIB!$A:$A, 0))/100, 0)</f>
        <v>0</v>
      </c>
    </row>
    <row r="1617" spans="4:22" ht="32.25" customHeight="1">
      <c r="D1617" s="39"/>
      <c r="E1617" s="27" t="str">
        <f>IF(D1617="","",LEFT(D1617,3))</f>
        <v/>
      </c>
      <c r="F1617" s="28" t="str">
        <f>IF(E1617="","",IFERROR(VLOOKUP(E1617,REGRAS_CST!$A$2:$B$200,2,FALSE),""))</f>
        <v/>
      </c>
      <c r="H1617" s="29">
        <v>8.9999999999999993E-3</v>
      </c>
      <c r="I1617" s="29">
        <v>1E-3</v>
      </c>
      <c r="K1617" s="21" t="str">
        <f>IF(E1617="","",IFERROR(VLOOKUP(E1617,REGRAS_CST!$A$2:$C$200,3,FALSE),""))</f>
        <v/>
      </c>
      <c r="L1617" s="23" t="str">
        <f>IF($G1617="", "", $G1617*(1-$V1617))</f>
        <v/>
      </c>
      <c r="M1617" s="24" t="str">
        <f>IF(OR($L1617="",$S1617=""),"",$L1617*$S1617)</f>
        <v/>
      </c>
      <c r="N1617" s="24" t="str">
        <f>IF(OR($L1617="",$T1617=""),"",$L1617*$T1617)</f>
        <v/>
      </c>
      <c r="O1617" s="15" t="str">
        <f>IF(D1617="","",
IF(AND(K1617&lt;&gt;"SIM",V1617&gt;0),"ERRO: % BC &gt; 0, mas NÃO permitida ❌",
IF(AND(K1617="SIM",V1617=0),"ATENÇÃO: BC permitida, mas % = 0 🔎",
"Base de cálculo aplicada corretamente ✅")))</f>
        <v/>
      </c>
      <c r="P1617" s="31" t="str">
        <f>IF(D1617="","",
IF(AND(Q1617&lt;&gt;"SIM",U1617&gt;0),"ERRO: % alíquota &gt; 0, mas NÃO permitida ❌",
IF(AND(Q1617="SIM",U1617=0),"ATENÇÃO: alíquota permitida, mas % = 0 🔎",
"Alíquota aplicada corretamente ✅")))</f>
        <v/>
      </c>
      <c r="Q1617" s="8" t="str">
        <f>IF(E1617="","",IFERROR(VLOOKUP(E1617,REGRAS_CST!$A$2:$D$200,4,FALSE),""))</f>
        <v/>
      </c>
      <c r="S1617" s="9">
        <f>IF($H1617="","",$H1617*(1-$U1617))</f>
        <v>8.9999999999999993E-3</v>
      </c>
      <c r="T1617" s="9">
        <f>IF($I1617="","",$I1617*(1-$U1617))</f>
        <v>1E-3</v>
      </c>
      <c r="U1617" s="16">
        <f>IFERROR(INDEX(BASE_CCLASSTRIB!$E:$E, MATCH(TEXT($D1617,"000000"), BASE_CCLASSTRIB!$A:$A, 0))/100, 0)</f>
        <v>0</v>
      </c>
      <c r="V1617" s="16">
        <f>IFERROR(INDEX(BASE_CCLASSTRIB!$F:$F, MATCH(TEXT($D1617,"000000"), BASE_CCLASSTRIB!$A:$A, 0))/100, 0)</f>
        <v>0</v>
      </c>
    </row>
    <row r="1618" spans="4:22" ht="32.25" customHeight="1">
      <c r="D1618" s="39"/>
      <c r="E1618" s="27" t="str">
        <f>IF(D1618="","",LEFT(D1618,3))</f>
        <v/>
      </c>
      <c r="F1618" s="28" t="str">
        <f>IF(E1618="","",IFERROR(VLOOKUP(E1618,REGRAS_CST!$A$2:$B$200,2,FALSE),""))</f>
        <v/>
      </c>
      <c r="H1618" s="29">
        <v>8.9999999999999993E-3</v>
      </c>
      <c r="I1618" s="29">
        <v>1E-3</v>
      </c>
      <c r="K1618" s="21" t="str">
        <f>IF(E1618="","",IFERROR(VLOOKUP(E1618,REGRAS_CST!$A$2:$C$200,3,FALSE),""))</f>
        <v/>
      </c>
      <c r="L1618" s="23" t="str">
        <f>IF($G1618="", "", $G1618*(1-$V1618))</f>
        <v/>
      </c>
      <c r="M1618" s="24" t="str">
        <f>IF(OR($L1618="",$S1618=""),"",$L1618*$S1618)</f>
        <v/>
      </c>
      <c r="N1618" s="24" t="str">
        <f>IF(OR($L1618="",$T1618=""),"",$L1618*$T1618)</f>
        <v/>
      </c>
      <c r="O1618" s="15" t="str">
        <f>IF(D1618="","",
IF(AND(K1618&lt;&gt;"SIM",V1618&gt;0),"ERRO: % BC &gt; 0, mas NÃO permitida ❌",
IF(AND(K1618="SIM",V1618=0),"ATENÇÃO: BC permitida, mas % = 0 🔎",
"Base de cálculo aplicada corretamente ✅")))</f>
        <v/>
      </c>
      <c r="P1618" s="31" t="str">
        <f>IF(D1618="","",
IF(AND(Q1618&lt;&gt;"SIM",U1618&gt;0),"ERRO: % alíquota &gt; 0, mas NÃO permitida ❌",
IF(AND(Q1618="SIM",U1618=0),"ATENÇÃO: alíquota permitida, mas % = 0 🔎",
"Alíquota aplicada corretamente ✅")))</f>
        <v/>
      </c>
      <c r="Q1618" s="8" t="str">
        <f>IF(E1618="","",IFERROR(VLOOKUP(E1618,REGRAS_CST!$A$2:$D$200,4,FALSE),""))</f>
        <v/>
      </c>
      <c r="S1618" s="9">
        <f>IF($H1618="","",$H1618*(1-$U1618))</f>
        <v>8.9999999999999993E-3</v>
      </c>
      <c r="T1618" s="9">
        <f>IF($I1618="","",$I1618*(1-$U1618))</f>
        <v>1E-3</v>
      </c>
      <c r="U1618" s="16">
        <f>IFERROR(INDEX(BASE_CCLASSTRIB!$E:$E, MATCH(TEXT($D1618,"000000"), BASE_CCLASSTRIB!$A:$A, 0))/100, 0)</f>
        <v>0</v>
      </c>
      <c r="V1618" s="16">
        <f>IFERROR(INDEX(BASE_CCLASSTRIB!$F:$F, MATCH(TEXT($D1618,"000000"), BASE_CCLASSTRIB!$A:$A, 0))/100, 0)</f>
        <v>0</v>
      </c>
    </row>
    <row r="1619" spans="4:22" ht="32.25" customHeight="1">
      <c r="D1619" s="40"/>
      <c r="E1619" s="27" t="str">
        <f>IF(D1619="","",LEFT(D1619,3))</f>
        <v/>
      </c>
      <c r="F1619" s="28" t="str">
        <f>IF(E1619="","",IFERROR(VLOOKUP(E1619,REGRAS_CST!$A$2:$B$200,2,FALSE),""))</f>
        <v/>
      </c>
      <c r="H1619" s="29">
        <v>8.9999999999999993E-3</v>
      </c>
      <c r="I1619" s="29">
        <v>1E-3</v>
      </c>
      <c r="K1619" s="21" t="str">
        <f>IF(E1619="","",IFERROR(VLOOKUP(E1619,REGRAS_CST!$A$2:$C$200,3,FALSE),""))</f>
        <v/>
      </c>
      <c r="L1619" s="23" t="str">
        <f>IF($G1619="", "", $G1619*(1-$V1619))</f>
        <v/>
      </c>
      <c r="M1619" s="24" t="str">
        <f>IF(OR($L1619="",$S1619=""),"",$L1619*$S1619)</f>
        <v/>
      </c>
      <c r="N1619" s="24" t="str">
        <f>IF(OR($L1619="",$T1619=""),"",$L1619*$T1619)</f>
        <v/>
      </c>
      <c r="O1619" s="15" t="str">
        <f>IF(D1619="","",
IF(AND(K1619&lt;&gt;"SIM",V1619&gt;0),"ERRO: % BC &gt; 0, mas NÃO permitida ❌",
IF(AND(K1619="SIM",V1619=0),"ATENÇÃO: BC permitida, mas % = 0 🔎",
"Base de cálculo aplicada corretamente ✅")))</f>
        <v/>
      </c>
      <c r="P1619" s="31" t="str">
        <f>IF(D1619="","",
IF(AND(Q1619&lt;&gt;"SIM",U1619&gt;0),"ERRO: % alíquota &gt; 0, mas NÃO permitida ❌",
IF(AND(Q1619="SIM",U1619=0),"ATENÇÃO: alíquota permitida, mas % = 0 🔎",
"Alíquota aplicada corretamente ✅")))</f>
        <v/>
      </c>
      <c r="Q1619" s="8" t="str">
        <f>IF(E1619="","",IFERROR(VLOOKUP(E1619,REGRAS_CST!$A$2:$D$200,4,FALSE),""))</f>
        <v/>
      </c>
      <c r="S1619" s="9">
        <f>IF($H1619="","",$H1619*(1-$U1619))</f>
        <v>8.9999999999999993E-3</v>
      </c>
      <c r="T1619" s="9">
        <f>IF($I1619="","",$I1619*(1-$U1619))</f>
        <v>1E-3</v>
      </c>
      <c r="U1619" s="16">
        <f>IFERROR(INDEX(BASE_CCLASSTRIB!$E:$E, MATCH(TEXT($D1619,"000000"), BASE_CCLASSTRIB!$A:$A, 0))/100, 0)</f>
        <v>0</v>
      </c>
      <c r="V1619" s="16">
        <f>IFERROR(INDEX(BASE_CCLASSTRIB!$F:$F, MATCH(TEXT($D1619,"000000"), BASE_CCLASSTRIB!$A:$A, 0))/100, 0)</f>
        <v>0</v>
      </c>
    </row>
    <row r="1620" spans="4:22" ht="32.25" customHeight="1">
      <c r="D1620" s="40"/>
      <c r="E1620" s="27" t="str">
        <f>IF(D1620="","",LEFT(D1620,3))</f>
        <v/>
      </c>
      <c r="F1620" s="28" t="str">
        <f>IF(E1620="","",IFERROR(VLOOKUP(E1620,REGRAS_CST!$A$2:$B$200,2,FALSE),""))</f>
        <v/>
      </c>
      <c r="H1620" s="29">
        <v>8.9999999999999993E-3</v>
      </c>
      <c r="I1620" s="29">
        <v>1E-3</v>
      </c>
      <c r="K1620" s="21" t="str">
        <f>IF(E1620="","",IFERROR(VLOOKUP(E1620,REGRAS_CST!$A$2:$C$200,3,FALSE),""))</f>
        <v/>
      </c>
      <c r="L1620" s="23" t="str">
        <f>IF($G1620="", "", $G1620*(1-$V1620))</f>
        <v/>
      </c>
      <c r="M1620" s="24" t="str">
        <f>IF(OR($L1620="",$S1620=""),"",$L1620*$S1620)</f>
        <v/>
      </c>
      <c r="N1620" s="24" t="str">
        <f>IF(OR($L1620="",$T1620=""),"",$L1620*$T1620)</f>
        <v/>
      </c>
      <c r="O1620" s="15" t="str">
        <f>IF(D1620="","",
IF(AND(K1620&lt;&gt;"SIM",V1620&gt;0),"ERRO: % BC &gt; 0, mas NÃO permitida ❌",
IF(AND(K1620="SIM",V1620=0),"ATENÇÃO: BC permitida, mas % = 0 🔎",
"Base de cálculo aplicada corretamente ✅")))</f>
        <v/>
      </c>
      <c r="P1620" s="31" t="str">
        <f>IF(D1620="","",
IF(AND(Q1620&lt;&gt;"SIM",U1620&gt;0),"ERRO: % alíquota &gt; 0, mas NÃO permitida ❌",
IF(AND(Q1620="SIM",U1620=0),"ATENÇÃO: alíquota permitida, mas % = 0 🔎",
"Alíquota aplicada corretamente ✅")))</f>
        <v/>
      </c>
      <c r="Q1620" s="8" t="str">
        <f>IF(E1620="","",IFERROR(VLOOKUP(E1620,REGRAS_CST!$A$2:$D$200,4,FALSE),""))</f>
        <v/>
      </c>
      <c r="S1620" s="9">
        <f>IF($H1620="","",$H1620*(1-$U1620))</f>
        <v>8.9999999999999993E-3</v>
      </c>
      <c r="T1620" s="9">
        <f>IF($I1620="","",$I1620*(1-$U1620))</f>
        <v>1E-3</v>
      </c>
      <c r="U1620" s="16">
        <f>IFERROR(INDEX(BASE_CCLASSTRIB!$E:$E, MATCH(TEXT($D1620,"000000"), BASE_CCLASSTRIB!$A:$A, 0))/100, 0)</f>
        <v>0</v>
      </c>
      <c r="V1620" s="16">
        <f>IFERROR(INDEX(BASE_CCLASSTRIB!$F:$F, MATCH(TEXT($D1620,"000000"), BASE_CCLASSTRIB!$A:$A, 0))/100, 0)</f>
        <v>0</v>
      </c>
    </row>
    <row r="1621" spans="4:22" ht="32.25" customHeight="1">
      <c r="D1621" s="39"/>
      <c r="E1621" s="27" t="str">
        <f>IF(D1621="","",LEFT(D1621,3))</f>
        <v/>
      </c>
      <c r="F1621" s="28" t="str">
        <f>IF(E1621="","",IFERROR(VLOOKUP(E1621,REGRAS_CST!$A$2:$B$200,2,FALSE),""))</f>
        <v/>
      </c>
      <c r="H1621" s="29">
        <v>8.9999999999999993E-3</v>
      </c>
      <c r="I1621" s="29">
        <v>1E-3</v>
      </c>
      <c r="K1621" s="21" t="str">
        <f>IF(E1621="","",IFERROR(VLOOKUP(E1621,REGRAS_CST!$A$2:$C$200,3,FALSE),""))</f>
        <v/>
      </c>
      <c r="L1621" s="23" t="str">
        <f>IF($G1621="", "", $G1621*(1-$V1621))</f>
        <v/>
      </c>
      <c r="M1621" s="24" t="str">
        <f>IF(OR($L1621="",$S1621=""),"",$L1621*$S1621)</f>
        <v/>
      </c>
      <c r="N1621" s="24" t="str">
        <f>IF(OR($L1621="",$T1621=""),"",$L1621*$T1621)</f>
        <v/>
      </c>
      <c r="O1621" s="15" t="str">
        <f>IF(D1621="","",
IF(AND(K1621&lt;&gt;"SIM",V1621&gt;0),"ERRO: % BC &gt; 0, mas NÃO permitida ❌",
IF(AND(K1621="SIM",V1621=0),"ATENÇÃO: BC permitida, mas % = 0 🔎",
"Base de cálculo aplicada corretamente ✅")))</f>
        <v/>
      </c>
      <c r="P1621" s="31" t="str">
        <f>IF(D1621="","",
IF(AND(Q1621&lt;&gt;"SIM",U1621&gt;0),"ERRO: % alíquota &gt; 0, mas NÃO permitida ❌",
IF(AND(Q1621="SIM",U1621=0),"ATENÇÃO: alíquota permitida, mas % = 0 🔎",
"Alíquota aplicada corretamente ✅")))</f>
        <v/>
      </c>
      <c r="Q1621" s="8" t="str">
        <f>IF(E1621="","",IFERROR(VLOOKUP(E1621,REGRAS_CST!$A$2:$D$200,4,FALSE),""))</f>
        <v/>
      </c>
      <c r="S1621" s="9">
        <f>IF($H1621="","",$H1621*(1-$U1621))</f>
        <v>8.9999999999999993E-3</v>
      </c>
      <c r="T1621" s="9">
        <f>IF($I1621="","",$I1621*(1-$U1621))</f>
        <v>1E-3</v>
      </c>
      <c r="U1621" s="16">
        <f>IFERROR(INDEX(BASE_CCLASSTRIB!$E:$E, MATCH(TEXT($D1621,"000000"), BASE_CCLASSTRIB!$A:$A, 0))/100, 0)</f>
        <v>0</v>
      </c>
      <c r="V1621" s="16">
        <f>IFERROR(INDEX(BASE_CCLASSTRIB!$F:$F, MATCH(TEXT($D1621,"000000"), BASE_CCLASSTRIB!$A:$A, 0))/100, 0)</f>
        <v>0</v>
      </c>
    </row>
    <row r="1622" spans="4:22" ht="32.25" customHeight="1">
      <c r="D1622" s="39"/>
      <c r="E1622" s="27" t="str">
        <f>IF(D1622="","",LEFT(D1622,3))</f>
        <v/>
      </c>
      <c r="F1622" s="28" t="str">
        <f>IF(E1622="","",IFERROR(VLOOKUP(E1622,REGRAS_CST!$A$2:$B$200,2,FALSE),""))</f>
        <v/>
      </c>
      <c r="H1622" s="29">
        <v>8.9999999999999993E-3</v>
      </c>
      <c r="I1622" s="29">
        <v>1E-3</v>
      </c>
      <c r="K1622" s="21" t="str">
        <f>IF(E1622="","",IFERROR(VLOOKUP(E1622,REGRAS_CST!$A$2:$C$200,3,FALSE),""))</f>
        <v/>
      </c>
      <c r="L1622" s="23" t="str">
        <f>IF($G1622="", "", $G1622*(1-$V1622))</f>
        <v/>
      </c>
      <c r="M1622" s="24" t="str">
        <f>IF(OR($L1622="",$S1622=""),"",$L1622*$S1622)</f>
        <v/>
      </c>
      <c r="N1622" s="24" t="str">
        <f>IF(OR($L1622="",$T1622=""),"",$L1622*$T1622)</f>
        <v/>
      </c>
      <c r="O1622" s="15" t="str">
        <f>IF(D1622="","",
IF(AND(K1622&lt;&gt;"SIM",V1622&gt;0),"ERRO: % BC &gt; 0, mas NÃO permitida ❌",
IF(AND(K1622="SIM",V1622=0),"ATENÇÃO: BC permitida, mas % = 0 🔎",
"Base de cálculo aplicada corretamente ✅")))</f>
        <v/>
      </c>
      <c r="P1622" s="31" t="str">
        <f>IF(D1622="","",
IF(AND(Q1622&lt;&gt;"SIM",U1622&gt;0),"ERRO: % alíquota &gt; 0, mas NÃO permitida ❌",
IF(AND(Q1622="SIM",U1622=0),"ATENÇÃO: alíquota permitida, mas % = 0 🔎",
"Alíquota aplicada corretamente ✅")))</f>
        <v/>
      </c>
      <c r="Q1622" s="8" t="str">
        <f>IF(E1622="","",IFERROR(VLOOKUP(E1622,REGRAS_CST!$A$2:$D$200,4,FALSE),""))</f>
        <v/>
      </c>
      <c r="S1622" s="9">
        <f>IF($H1622="","",$H1622*(1-$U1622))</f>
        <v>8.9999999999999993E-3</v>
      </c>
      <c r="T1622" s="9">
        <f>IF($I1622="","",$I1622*(1-$U1622))</f>
        <v>1E-3</v>
      </c>
      <c r="U1622" s="16">
        <f>IFERROR(INDEX(BASE_CCLASSTRIB!$E:$E, MATCH(TEXT($D1622,"000000"), BASE_CCLASSTRIB!$A:$A, 0))/100, 0)</f>
        <v>0</v>
      </c>
      <c r="V1622" s="16">
        <f>IFERROR(INDEX(BASE_CCLASSTRIB!$F:$F, MATCH(TEXT($D1622,"000000"), BASE_CCLASSTRIB!$A:$A, 0))/100, 0)</f>
        <v>0</v>
      </c>
    </row>
    <row r="1623" spans="4:22" ht="32.25" customHeight="1">
      <c r="D1623" s="39"/>
      <c r="E1623" s="27" t="str">
        <f>IF(D1623="","",LEFT(D1623,3))</f>
        <v/>
      </c>
      <c r="F1623" s="28" t="str">
        <f>IF(E1623="","",IFERROR(VLOOKUP(E1623,REGRAS_CST!$A$2:$B$200,2,FALSE),""))</f>
        <v/>
      </c>
      <c r="H1623" s="29">
        <v>8.9999999999999993E-3</v>
      </c>
      <c r="I1623" s="29">
        <v>1E-3</v>
      </c>
      <c r="K1623" s="21" t="str">
        <f>IF(E1623="","",IFERROR(VLOOKUP(E1623,REGRAS_CST!$A$2:$C$200,3,FALSE),""))</f>
        <v/>
      </c>
      <c r="L1623" s="23" t="str">
        <f>IF($G1623="", "", $G1623*(1-$V1623))</f>
        <v/>
      </c>
      <c r="M1623" s="24" t="str">
        <f>IF(OR($L1623="",$S1623=""),"",$L1623*$S1623)</f>
        <v/>
      </c>
      <c r="N1623" s="24" t="str">
        <f>IF(OR($L1623="",$T1623=""),"",$L1623*$T1623)</f>
        <v/>
      </c>
      <c r="O1623" s="15" t="str">
        <f>IF(D1623="","",
IF(AND(K1623&lt;&gt;"SIM",V1623&gt;0),"ERRO: % BC &gt; 0, mas NÃO permitida ❌",
IF(AND(K1623="SIM",V1623=0),"ATENÇÃO: BC permitida, mas % = 0 🔎",
"Base de cálculo aplicada corretamente ✅")))</f>
        <v/>
      </c>
      <c r="P1623" s="31" t="str">
        <f>IF(D1623="","",
IF(AND(Q1623&lt;&gt;"SIM",U1623&gt;0),"ERRO: % alíquota &gt; 0, mas NÃO permitida ❌",
IF(AND(Q1623="SIM",U1623=0),"ATENÇÃO: alíquota permitida, mas % = 0 🔎",
"Alíquota aplicada corretamente ✅")))</f>
        <v/>
      </c>
      <c r="Q1623" s="8" t="str">
        <f>IF(E1623="","",IFERROR(VLOOKUP(E1623,REGRAS_CST!$A$2:$D$200,4,FALSE),""))</f>
        <v/>
      </c>
      <c r="S1623" s="9">
        <f>IF($H1623="","",$H1623*(1-$U1623))</f>
        <v>8.9999999999999993E-3</v>
      </c>
      <c r="T1623" s="9">
        <f>IF($I1623="","",$I1623*(1-$U1623))</f>
        <v>1E-3</v>
      </c>
      <c r="U1623" s="16">
        <f>IFERROR(INDEX(BASE_CCLASSTRIB!$E:$E, MATCH(TEXT($D1623,"000000"), BASE_CCLASSTRIB!$A:$A, 0))/100, 0)</f>
        <v>0</v>
      </c>
      <c r="V1623" s="16">
        <f>IFERROR(INDEX(BASE_CCLASSTRIB!$F:$F, MATCH(TEXT($D1623,"000000"), BASE_CCLASSTRIB!$A:$A, 0))/100, 0)</f>
        <v>0</v>
      </c>
    </row>
    <row r="1624" spans="4:22" ht="32.25" customHeight="1">
      <c r="D1624" s="39"/>
      <c r="E1624" s="27" t="str">
        <f>IF(D1624="","",LEFT(D1624,3))</f>
        <v/>
      </c>
      <c r="F1624" s="28" t="str">
        <f>IF(E1624="","",IFERROR(VLOOKUP(E1624,REGRAS_CST!$A$2:$B$200,2,FALSE),""))</f>
        <v/>
      </c>
      <c r="H1624" s="29">
        <v>8.9999999999999993E-3</v>
      </c>
      <c r="I1624" s="29">
        <v>1E-3</v>
      </c>
      <c r="K1624" s="21" t="str">
        <f>IF(E1624="","",IFERROR(VLOOKUP(E1624,REGRAS_CST!$A$2:$C$200,3,FALSE),""))</f>
        <v/>
      </c>
      <c r="L1624" s="23" t="str">
        <f>IF($G1624="", "", $G1624*(1-$V1624))</f>
        <v/>
      </c>
      <c r="M1624" s="24" t="str">
        <f>IF(OR($L1624="",$S1624=""),"",$L1624*$S1624)</f>
        <v/>
      </c>
      <c r="N1624" s="24" t="str">
        <f>IF(OR($L1624="",$T1624=""),"",$L1624*$T1624)</f>
        <v/>
      </c>
      <c r="O1624" s="15" t="str">
        <f>IF(D1624="","",
IF(AND(K1624&lt;&gt;"SIM",V1624&gt;0),"ERRO: % BC &gt; 0, mas NÃO permitida ❌",
IF(AND(K1624="SIM",V1624=0),"ATENÇÃO: BC permitida, mas % = 0 🔎",
"Base de cálculo aplicada corretamente ✅")))</f>
        <v/>
      </c>
      <c r="P1624" s="31" t="str">
        <f>IF(D1624="","",
IF(AND(Q1624&lt;&gt;"SIM",U1624&gt;0),"ERRO: % alíquota &gt; 0, mas NÃO permitida ❌",
IF(AND(Q1624="SIM",U1624=0),"ATENÇÃO: alíquota permitida, mas % = 0 🔎",
"Alíquota aplicada corretamente ✅")))</f>
        <v/>
      </c>
      <c r="Q1624" s="8" t="str">
        <f>IF(E1624="","",IFERROR(VLOOKUP(E1624,REGRAS_CST!$A$2:$D$200,4,FALSE),""))</f>
        <v/>
      </c>
      <c r="S1624" s="9">
        <f>IF($H1624="","",$H1624*(1-$U1624))</f>
        <v>8.9999999999999993E-3</v>
      </c>
      <c r="T1624" s="9">
        <f>IF($I1624="","",$I1624*(1-$U1624))</f>
        <v>1E-3</v>
      </c>
      <c r="U1624" s="16">
        <f>IFERROR(INDEX(BASE_CCLASSTRIB!$E:$E, MATCH(TEXT($D1624,"000000"), BASE_CCLASSTRIB!$A:$A, 0))/100, 0)</f>
        <v>0</v>
      </c>
      <c r="V1624" s="16">
        <f>IFERROR(INDEX(BASE_CCLASSTRIB!$F:$F, MATCH(TEXT($D1624,"000000"), BASE_CCLASSTRIB!$A:$A, 0))/100, 0)</f>
        <v>0</v>
      </c>
    </row>
    <row r="1625" spans="4:22" ht="32.25" customHeight="1">
      <c r="D1625" s="39"/>
      <c r="E1625" s="27" t="str">
        <f>IF(D1625="","",LEFT(D1625,3))</f>
        <v/>
      </c>
      <c r="F1625" s="28" t="str">
        <f>IF(E1625="","",IFERROR(VLOOKUP(E1625,REGRAS_CST!$A$2:$B$200,2,FALSE),""))</f>
        <v/>
      </c>
      <c r="H1625" s="29">
        <v>8.9999999999999993E-3</v>
      </c>
      <c r="I1625" s="29">
        <v>1E-3</v>
      </c>
      <c r="K1625" s="21" t="str">
        <f>IF(E1625="","",IFERROR(VLOOKUP(E1625,REGRAS_CST!$A$2:$C$200,3,FALSE),""))</f>
        <v/>
      </c>
      <c r="L1625" s="23" t="str">
        <f>IF($G1625="", "", $G1625*(1-$V1625))</f>
        <v/>
      </c>
      <c r="M1625" s="24" t="str">
        <f>IF(OR($L1625="",$S1625=""),"",$L1625*$S1625)</f>
        <v/>
      </c>
      <c r="N1625" s="24" t="str">
        <f>IF(OR($L1625="",$T1625=""),"",$L1625*$T1625)</f>
        <v/>
      </c>
      <c r="O1625" s="15" t="str">
        <f>IF(D1625="","",
IF(AND(K1625&lt;&gt;"SIM",V1625&gt;0),"ERRO: % BC &gt; 0, mas NÃO permitida ❌",
IF(AND(K1625="SIM",V1625=0),"ATENÇÃO: BC permitida, mas % = 0 🔎",
"Base de cálculo aplicada corretamente ✅")))</f>
        <v/>
      </c>
      <c r="P1625" s="31" t="str">
        <f>IF(D1625="","",
IF(AND(Q1625&lt;&gt;"SIM",U1625&gt;0),"ERRO: % alíquota &gt; 0, mas NÃO permitida ❌",
IF(AND(Q1625="SIM",U1625=0),"ATENÇÃO: alíquota permitida, mas % = 0 🔎",
"Alíquota aplicada corretamente ✅")))</f>
        <v/>
      </c>
      <c r="Q1625" s="8" t="str">
        <f>IF(E1625="","",IFERROR(VLOOKUP(E1625,REGRAS_CST!$A$2:$D$200,4,FALSE),""))</f>
        <v/>
      </c>
      <c r="S1625" s="9">
        <f>IF($H1625="","",$H1625*(1-$U1625))</f>
        <v>8.9999999999999993E-3</v>
      </c>
      <c r="T1625" s="9">
        <f>IF($I1625="","",$I1625*(1-$U1625))</f>
        <v>1E-3</v>
      </c>
      <c r="U1625" s="16">
        <f>IFERROR(INDEX(BASE_CCLASSTRIB!$E:$E, MATCH(TEXT($D1625,"000000"), BASE_CCLASSTRIB!$A:$A, 0))/100, 0)</f>
        <v>0</v>
      </c>
      <c r="V1625" s="16">
        <f>IFERROR(INDEX(BASE_CCLASSTRIB!$F:$F, MATCH(TEXT($D1625,"000000"), BASE_CCLASSTRIB!$A:$A, 0))/100, 0)</f>
        <v>0</v>
      </c>
    </row>
    <row r="1626" spans="4:22" ht="32.25" customHeight="1">
      <c r="D1626" s="39"/>
      <c r="E1626" s="27" t="str">
        <f>IF(D1626="","",LEFT(D1626,3))</f>
        <v/>
      </c>
      <c r="F1626" s="28" t="str">
        <f>IF(E1626="","",IFERROR(VLOOKUP(E1626,REGRAS_CST!$A$2:$B$200,2,FALSE),""))</f>
        <v/>
      </c>
      <c r="H1626" s="29">
        <v>8.9999999999999993E-3</v>
      </c>
      <c r="I1626" s="29">
        <v>1E-3</v>
      </c>
      <c r="K1626" s="21" t="str">
        <f>IF(E1626="","",IFERROR(VLOOKUP(E1626,REGRAS_CST!$A$2:$C$200,3,FALSE),""))</f>
        <v/>
      </c>
      <c r="L1626" s="23" t="str">
        <f>IF($G1626="", "", $G1626*(1-$V1626))</f>
        <v/>
      </c>
      <c r="M1626" s="24" t="str">
        <f>IF(OR($L1626="",$S1626=""),"",$L1626*$S1626)</f>
        <v/>
      </c>
      <c r="N1626" s="24" t="str">
        <f>IF(OR($L1626="",$T1626=""),"",$L1626*$T1626)</f>
        <v/>
      </c>
      <c r="O1626" s="15" t="str">
        <f>IF(D1626="","",
IF(AND(K1626&lt;&gt;"SIM",V1626&gt;0),"ERRO: % BC &gt; 0, mas NÃO permitida ❌",
IF(AND(K1626="SIM",V1626=0),"ATENÇÃO: BC permitida, mas % = 0 🔎",
"Base de cálculo aplicada corretamente ✅")))</f>
        <v/>
      </c>
      <c r="P1626" s="31" t="str">
        <f>IF(D1626="","",
IF(AND(Q1626&lt;&gt;"SIM",U1626&gt;0),"ERRO: % alíquota &gt; 0, mas NÃO permitida ❌",
IF(AND(Q1626="SIM",U1626=0),"ATENÇÃO: alíquota permitida, mas % = 0 🔎",
"Alíquota aplicada corretamente ✅")))</f>
        <v/>
      </c>
      <c r="Q1626" s="8" t="str">
        <f>IF(E1626="","",IFERROR(VLOOKUP(E1626,REGRAS_CST!$A$2:$D$200,4,FALSE),""))</f>
        <v/>
      </c>
      <c r="S1626" s="9">
        <f>IF($H1626="","",$H1626*(1-$U1626))</f>
        <v>8.9999999999999993E-3</v>
      </c>
      <c r="T1626" s="9">
        <f>IF($I1626="","",$I1626*(1-$U1626))</f>
        <v>1E-3</v>
      </c>
      <c r="U1626" s="16">
        <f>IFERROR(INDEX(BASE_CCLASSTRIB!$E:$E, MATCH(TEXT($D1626,"000000"), BASE_CCLASSTRIB!$A:$A, 0))/100, 0)</f>
        <v>0</v>
      </c>
      <c r="V1626" s="16">
        <f>IFERROR(INDEX(BASE_CCLASSTRIB!$F:$F, MATCH(TEXT($D1626,"000000"), BASE_CCLASSTRIB!$A:$A, 0))/100, 0)</f>
        <v>0</v>
      </c>
    </row>
    <row r="1627" spans="4:22" ht="32.25" customHeight="1">
      <c r="D1627" s="40"/>
      <c r="E1627" s="27" t="str">
        <f>IF(D1627="","",LEFT(D1627,3))</f>
        <v/>
      </c>
      <c r="F1627" s="28" t="str">
        <f>IF(E1627="","",IFERROR(VLOOKUP(E1627,REGRAS_CST!$A$2:$B$200,2,FALSE),""))</f>
        <v/>
      </c>
      <c r="H1627" s="29">
        <v>8.9999999999999993E-3</v>
      </c>
      <c r="I1627" s="29">
        <v>1E-3</v>
      </c>
      <c r="K1627" s="21" t="str">
        <f>IF(E1627="","",IFERROR(VLOOKUP(E1627,REGRAS_CST!$A$2:$C$200,3,FALSE),""))</f>
        <v/>
      </c>
      <c r="L1627" s="23" t="str">
        <f>IF($G1627="", "", $G1627*(1-$V1627))</f>
        <v/>
      </c>
      <c r="M1627" s="24" t="str">
        <f>IF(OR($L1627="",$S1627=""),"",$L1627*$S1627)</f>
        <v/>
      </c>
      <c r="N1627" s="24" t="str">
        <f>IF(OR($L1627="",$T1627=""),"",$L1627*$T1627)</f>
        <v/>
      </c>
      <c r="O1627" s="15" t="str">
        <f>IF(D1627="","",
IF(AND(K1627&lt;&gt;"SIM",V1627&gt;0),"ERRO: % BC &gt; 0, mas NÃO permitida ❌",
IF(AND(K1627="SIM",V1627=0),"ATENÇÃO: BC permitida, mas % = 0 🔎",
"Base de cálculo aplicada corretamente ✅")))</f>
        <v/>
      </c>
      <c r="P1627" s="31" t="str">
        <f>IF(D1627="","",
IF(AND(Q1627&lt;&gt;"SIM",U1627&gt;0),"ERRO: % alíquota &gt; 0, mas NÃO permitida ❌",
IF(AND(Q1627="SIM",U1627=0),"ATENÇÃO: alíquota permitida, mas % = 0 🔎",
"Alíquota aplicada corretamente ✅")))</f>
        <v/>
      </c>
      <c r="Q1627" s="8" t="str">
        <f>IF(E1627="","",IFERROR(VLOOKUP(E1627,REGRAS_CST!$A$2:$D$200,4,FALSE),""))</f>
        <v/>
      </c>
      <c r="S1627" s="9">
        <f>IF($H1627="","",$H1627*(1-$U1627))</f>
        <v>8.9999999999999993E-3</v>
      </c>
      <c r="T1627" s="9">
        <f>IF($I1627="","",$I1627*(1-$U1627))</f>
        <v>1E-3</v>
      </c>
      <c r="U1627" s="16">
        <f>IFERROR(INDEX(BASE_CCLASSTRIB!$E:$E, MATCH(TEXT($D1627,"000000"), BASE_CCLASSTRIB!$A:$A, 0))/100, 0)</f>
        <v>0</v>
      </c>
      <c r="V1627" s="16">
        <f>IFERROR(INDEX(BASE_CCLASSTRIB!$F:$F, MATCH(TEXT($D1627,"000000"), BASE_CCLASSTRIB!$A:$A, 0))/100, 0)</f>
        <v>0</v>
      </c>
    </row>
    <row r="1628" spans="4:22" ht="32.25" customHeight="1">
      <c r="D1628" s="39"/>
      <c r="E1628" s="27" t="str">
        <f>IF(D1628="","",LEFT(D1628,3))</f>
        <v/>
      </c>
      <c r="F1628" s="28" t="str">
        <f>IF(E1628="","",IFERROR(VLOOKUP(E1628,REGRAS_CST!$A$2:$B$200,2,FALSE),""))</f>
        <v/>
      </c>
      <c r="H1628" s="29">
        <v>8.9999999999999993E-3</v>
      </c>
      <c r="I1628" s="29">
        <v>1E-3</v>
      </c>
      <c r="K1628" s="21" t="str">
        <f>IF(E1628="","",IFERROR(VLOOKUP(E1628,REGRAS_CST!$A$2:$C$200,3,FALSE),""))</f>
        <v/>
      </c>
      <c r="L1628" s="23" t="str">
        <f>IF($G1628="", "", $G1628*(1-$V1628))</f>
        <v/>
      </c>
      <c r="M1628" s="24" t="str">
        <f>IF(OR($L1628="",$S1628=""),"",$L1628*$S1628)</f>
        <v/>
      </c>
      <c r="N1628" s="24" t="str">
        <f>IF(OR($L1628="",$T1628=""),"",$L1628*$T1628)</f>
        <v/>
      </c>
      <c r="O1628" s="15" t="str">
        <f>IF(D1628="","",
IF(AND(K1628&lt;&gt;"SIM",V1628&gt;0),"ERRO: % BC &gt; 0, mas NÃO permitida ❌",
IF(AND(K1628="SIM",V1628=0),"ATENÇÃO: BC permitida, mas % = 0 🔎",
"Base de cálculo aplicada corretamente ✅")))</f>
        <v/>
      </c>
      <c r="P1628" s="31" t="str">
        <f>IF(D1628="","",
IF(AND(Q1628&lt;&gt;"SIM",U1628&gt;0),"ERRO: % alíquota &gt; 0, mas NÃO permitida ❌",
IF(AND(Q1628="SIM",U1628=0),"ATENÇÃO: alíquota permitida, mas % = 0 🔎",
"Alíquota aplicada corretamente ✅")))</f>
        <v/>
      </c>
      <c r="Q1628" s="8" t="str">
        <f>IF(E1628="","",IFERROR(VLOOKUP(E1628,REGRAS_CST!$A$2:$D$200,4,FALSE),""))</f>
        <v/>
      </c>
      <c r="S1628" s="9">
        <f>IF($H1628="","",$H1628*(1-$U1628))</f>
        <v>8.9999999999999993E-3</v>
      </c>
      <c r="T1628" s="9">
        <f>IF($I1628="","",$I1628*(1-$U1628))</f>
        <v>1E-3</v>
      </c>
      <c r="U1628" s="16">
        <f>IFERROR(INDEX(BASE_CCLASSTRIB!$E:$E, MATCH(TEXT($D1628,"000000"), BASE_CCLASSTRIB!$A:$A, 0))/100, 0)</f>
        <v>0</v>
      </c>
      <c r="V1628" s="16">
        <f>IFERROR(INDEX(BASE_CCLASSTRIB!$F:$F, MATCH(TEXT($D1628,"000000"), BASE_CCLASSTRIB!$A:$A, 0))/100, 0)</f>
        <v>0</v>
      </c>
    </row>
    <row r="1629" spans="4:22" ht="32.25" customHeight="1">
      <c r="D1629" s="40"/>
      <c r="E1629" s="27" t="str">
        <f>IF(D1629="","",LEFT(D1629,3))</f>
        <v/>
      </c>
      <c r="F1629" s="28" t="str">
        <f>IF(E1629="","",IFERROR(VLOOKUP(E1629,REGRAS_CST!$A$2:$B$200,2,FALSE),""))</f>
        <v/>
      </c>
      <c r="H1629" s="29">
        <v>8.9999999999999993E-3</v>
      </c>
      <c r="I1629" s="29">
        <v>1E-3</v>
      </c>
      <c r="K1629" s="21" t="str">
        <f>IF(E1629="","",IFERROR(VLOOKUP(E1629,REGRAS_CST!$A$2:$C$200,3,FALSE),""))</f>
        <v/>
      </c>
      <c r="L1629" s="23" t="str">
        <f>IF($G1629="", "", $G1629*(1-$V1629))</f>
        <v/>
      </c>
      <c r="M1629" s="24" t="str">
        <f>IF(OR($L1629="",$S1629=""),"",$L1629*$S1629)</f>
        <v/>
      </c>
      <c r="N1629" s="24" t="str">
        <f>IF(OR($L1629="",$T1629=""),"",$L1629*$T1629)</f>
        <v/>
      </c>
      <c r="O1629" s="15" t="str">
        <f>IF(D1629="","",
IF(AND(K1629&lt;&gt;"SIM",V1629&gt;0),"ERRO: % BC &gt; 0, mas NÃO permitida ❌",
IF(AND(K1629="SIM",V1629=0),"ATENÇÃO: BC permitida, mas % = 0 🔎",
"Base de cálculo aplicada corretamente ✅")))</f>
        <v/>
      </c>
      <c r="P1629" s="31" t="str">
        <f>IF(D1629="","",
IF(AND(Q1629&lt;&gt;"SIM",U1629&gt;0),"ERRO: % alíquota &gt; 0, mas NÃO permitida ❌",
IF(AND(Q1629="SIM",U1629=0),"ATENÇÃO: alíquota permitida, mas % = 0 🔎",
"Alíquota aplicada corretamente ✅")))</f>
        <v/>
      </c>
      <c r="Q1629" s="8" t="str">
        <f>IF(E1629="","",IFERROR(VLOOKUP(E1629,REGRAS_CST!$A$2:$D$200,4,FALSE),""))</f>
        <v/>
      </c>
      <c r="S1629" s="9">
        <f>IF($H1629="","",$H1629*(1-$U1629))</f>
        <v>8.9999999999999993E-3</v>
      </c>
      <c r="T1629" s="9">
        <f>IF($I1629="","",$I1629*(1-$U1629))</f>
        <v>1E-3</v>
      </c>
      <c r="U1629" s="16">
        <f>IFERROR(INDEX(BASE_CCLASSTRIB!$E:$E, MATCH(TEXT($D1629,"000000"), BASE_CCLASSTRIB!$A:$A, 0))/100, 0)</f>
        <v>0</v>
      </c>
      <c r="V1629" s="16">
        <f>IFERROR(INDEX(BASE_CCLASSTRIB!$F:$F, MATCH(TEXT($D1629,"000000"), BASE_CCLASSTRIB!$A:$A, 0))/100, 0)</f>
        <v>0</v>
      </c>
    </row>
    <row r="1630" spans="4:22" ht="32.25" customHeight="1">
      <c r="D1630" s="40"/>
      <c r="E1630" s="27" t="str">
        <f>IF(D1630="","",LEFT(D1630,3))</f>
        <v/>
      </c>
      <c r="F1630" s="28" t="str">
        <f>IF(E1630="","",IFERROR(VLOOKUP(E1630,REGRAS_CST!$A$2:$B$200,2,FALSE),""))</f>
        <v/>
      </c>
      <c r="H1630" s="29">
        <v>8.9999999999999993E-3</v>
      </c>
      <c r="I1630" s="29">
        <v>1E-3</v>
      </c>
      <c r="K1630" s="21" t="str">
        <f>IF(E1630="","",IFERROR(VLOOKUP(E1630,REGRAS_CST!$A$2:$C$200,3,FALSE),""))</f>
        <v/>
      </c>
      <c r="L1630" s="23" t="str">
        <f>IF($G1630="", "", $G1630*(1-$V1630))</f>
        <v/>
      </c>
      <c r="M1630" s="24" t="str">
        <f>IF(OR($L1630="",$S1630=""),"",$L1630*$S1630)</f>
        <v/>
      </c>
      <c r="N1630" s="24" t="str">
        <f>IF(OR($L1630="",$T1630=""),"",$L1630*$T1630)</f>
        <v/>
      </c>
      <c r="O1630" s="15" t="str">
        <f>IF(D1630="","",
IF(AND(K1630&lt;&gt;"SIM",V1630&gt;0),"ERRO: % BC &gt; 0, mas NÃO permitida ❌",
IF(AND(K1630="SIM",V1630=0),"ATENÇÃO: BC permitida, mas % = 0 🔎",
"Base de cálculo aplicada corretamente ✅")))</f>
        <v/>
      </c>
      <c r="P1630" s="31" t="str">
        <f>IF(D1630="","",
IF(AND(Q1630&lt;&gt;"SIM",U1630&gt;0),"ERRO: % alíquota &gt; 0, mas NÃO permitida ❌",
IF(AND(Q1630="SIM",U1630=0),"ATENÇÃO: alíquota permitida, mas % = 0 🔎",
"Alíquota aplicada corretamente ✅")))</f>
        <v/>
      </c>
      <c r="Q1630" s="8" t="str">
        <f>IF(E1630="","",IFERROR(VLOOKUP(E1630,REGRAS_CST!$A$2:$D$200,4,FALSE),""))</f>
        <v/>
      </c>
      <c r="S1630" s="9">
        <f>IF($H1630="","",$H1630*(1-$U1630))</f>
        <v>8.9999999999999993E-3</v>
      </c>
      <c r="T1630" s="9">
        <f>IF($I1630="","",$I1630*(1-$U1630))</f>
        <v>1E-3</v>
      </c>
      <c r="U1630" s="16">
        <f>IFERROR(INDEX(BASE_CCLASSTRIB!$E:$E, MATCH(TEXT($D1630,"000000"), BASE_CCLASSTRIB!$A:$A, 0))/100, 0)</f>
        <v>0</v>
      </c>
      <c r="V1630" s="16">
        <f>IFERROR(INDEX(BASE_CCLASSTRIB!$F:$F, MATCH(TEXT($D1630,"000000"), BASE_CCLASSTRIB!$A:$A, 0))/100, 0)</f>
        <v>0</v>
      </c>
    </row>
    <row r="1631" spans="4:22" ht="32.25" customHeight="1">
      <c r="D1631" s="40"/>
      <c r="E1631" s="27" t="str">
        <f>IF(D1631="","",LEFT(D1631,3))</f>
        <v/>
      </c>
      <c r="F1631" s="28" t="str">
        <f>IF(E1631="","",IFERROR(VLOOKUP(E1631,REGRAS_CST!$A$2:$B$200,2,FALSE),""))</f>
        <v/>
      </c>
      <c r="H1631" s="29">
        <v>8.9999999999999993E-3</v>
      </c>
      <c r="I1631" s="29">
        <v>1E-3</v>
      </c>
      <c r="K1631" s="21" t="str">
        <f>IF(E1631="","",IFERROR(VLOOKUP(E1631,REGRAS_CST!$A$2:$C$200,3,FALSE),""))</f>
        <v/>
      </c>
      <c r="L1631" s="23" t="str">
        <f>IF($G1631="", "", $G1631*(1-$V1631))</f>
        <v/>
      </c>
      <c r="M1631" s="24" t="str">
        <f>IF(OR($L1631="",$S1631=""),"",$L1631*$S1631)</f>
        <v/>
      </c>
      <c r="N1631" s="24" t="str">
        <f>IF(OR($L1631="",$T1631=""),"",$L1631*$T1631)</f>
        <v/>
      </c>
      <c r="O1631" s="15" t="str">
        <f>IF(D1631="","",
IF(AND(K1631&lt;&gt;"SIM",V1631&gt;0),"ERRO: % BC &gt; 0, mas NÃO permitida ❌",
IF(AND(K1631="SIM",V1631=0),"ATENÇÃO: BC permitida, mas % = 0 🔎",
"Base de cálculo aplicada corretamente ✅")))</f>
        <v/>
      </c>
      <c r="P1631" s="31" t="str">
        <f>IF(D1631="","",
IF(AND(Q1631&lt;&gt;"SIM",U1631&gt;0),"ERRO: % alíquota &gt; 0, mas NÃO permitida ❌",
IF(AND(Q1631="SIM",U1631=0),"ATENÇÃO: alíquota permitida, mas % = 0 🔎",
"Alíquota aplicada corretamente ✅")))</f>
        <v/>
      </c>
      <c r="Q1631" s="8" t="str">
        <f>IF(E1631="","",IFERROR(VLOOKUP(E1631,REGRAS_CST!$A$2:$D$200,4,FALSE),""))</f>
        <v/>
      </c>
      <c r="S1631" s="9">
        <f>IF($H1631="","",$H1631*(1-$U1631))</f>
        <v>8.9999999999999993E-3</v>
      </c>
      <c r="T1631" s="9">
        <f>IF($I1631="","",$I1631*(1-$U1631))</f>
        <v>1E-3</v>
      </c>
      <c r="U1631" s="16">
        <f>IFERROR(INDEX(BASE_CCLASSTRIB!$E:$E, MATCH(TEXT($D1631,"000000"), BASE_CCLASSTRIB!$A:$A, 0))/100, 0)</f>
        <v>0</v>
      </c>
      <c r="V1631" s="16">
        <f>IFERROR(INDEX(BASE_CCLASSTRIB!$F:$F, MATCH(TEXT($D1631,"000000"), BASE_CCLASSTRIB!$A:$A, 0))/100, 0)</f>
        <v>0</v>
      </c>
    </row>
    <row r="1632" spans="4:22" ht="32.25" customHeight="1">
      <c r="D1632" s="39"/>
      <c r="E1632" s="27" t="str">
        <f>IF(D1632="","",LEFT(D1632,3))</f>
        <v/>
      </c>
      <c r="F1632" s="28" t="str">
        <f>IF(E1632="","",IFERROR(VLOOKUP(E1632,REGRAS_CST!$A$2:$B$200,2,FALSE),""))</f>
        <v/>
      </c>
      <c r="H1632" s="29">
        <v>8.9999999999999993E-3</v>
      </c>
      <c r="I1632" s="29">
        <v>1E-3</v>
      </c>
      <c r="K1632" s="21" t="str">
        <f>IF(E1632="","",IFERROR(VLOOKUP(E1632,REGRAS_CST!$A$2:$C$200,3,FALSE),""))</f>
        <v/>
      </c>
      <c r="L1632" s="23" t="str">
        <f>IF($G1632="", "", $G1632*(1-$V1632))</f>
        <v/>
      </c>
      <c r="M1632" s="24" t="str">
        <f>IF(OR($L1632="",$S1632=""),"",$L1632*$S1632)</f>
        <v/>
      </c>
      <c r="N1632" s="24" t="str">
        <f>IF(OR($L1632="",$T1632=""),"",$L1632*$T1632)</f>
        <v/>
      </c>
      <c r="O1632" s="15" t="str">
        <f>IF(D1632="","",
IF(AND(K1632&lt;&gt;"SIM",V1632&gt;0),"ERRO: % BC &gt; 0, mas NÃO permitida ❌",
IF(AND(K1632="SIM",V1632=0),"ATENÇÃO: BC permitida, mas % = 0 🔎",
"Base de cálculo aplicada corretamente ✅")))</f>
        <v/>
      </c>
      <c r="P1632" s="31" t="str">
        <f>IF(D1632="","",
IF(AND(Q1632&lt;&gt;"SIM",U1632&gt;0),"ERRO: % alíquota &gt; 0, mas NÃO permitida ❌",
IF(AND(Q1632="SIM",U1632=0),"ATENÇÃO: alíquota permitida, mas % = 0 🔎",
"Alíquota aplicada corretamente ✅")))</f>
        <v/>
      </c>
      <c r="Q1632" s="8" t="str">
        <f>IF(E1632="","",IFERROR(VLOOKUP(E1632,REGRAS_CST!$A$2:$D$200,4,FALSE),""))</f>
        <v/>
      </c>
      <c r="S1632" s="9">
        <f>IF($H1632="","",$H1632*(1-$U1632))</f>
        <v>8.9999999999999993E-3</v>
      </c>
      <c r="T1632" s="9">
        <f>IF($I1632="","",$I1632*(1-$U1632))</f>
        <v>1E-3</v>
      </c>
      <c r="U1632" s="16">
        <f>IFERROR(INDEX(BASE_CCLASSTRIB!$E:$E, MATCH(TEXT($D1632,"000000"), BASE_CCLASSTRIB!$A:$A, 0))/100, 0)</f>
        <v>0</v>
      </c>
      <c r="V1632" s="16">
        <f>IFERROR(INDEX(BASE_CCLASSTRIB!$F:$F, MATCH(TEXT($D1632,"000000"), BASE_CCLASSTRIB!$A:$A, 0))/100, 0)</f>
        <v>0</v>
      </c>
    </row>
    <row r="1633" spans="4:22" ht="32.25" customHeight="1">
      <c r="D1633" s="39"/>
      <c r="E1633" s="27" t="str">
        <f>IF(D1633="","",LEFT(D1633,3))</f>
        <v/>
      </c>
      <c r="F1633" s="28" t="str">
        <f>IF(E1633="","",IFERROR(VLOOKUP(E1633,REGRAS_CST!$A$2:$B$200,2,FALSE),""))</f>
        <v/>
      </c>
      <c r="H1633" s="29">
        <v>8.9999999999999993E-3</v>
      </c>
      <c r="I1633" s="29">
        <v>1E-3</v>
      </c>
      <c r="K1633" s="21" t="str">
        <f>IF(E1633="","",IFERROR(VLOOKUP(E1633,REGRAS_CST!$A$2:$C$200,3,FALSE),""))</f>
        <v/>
      </c>
      <c r="L1633" s="23" t="str">
        <f>IF($G1633="", "", $G1633*(1-$V1633))</f>
        <v/>
      </c>
      <c r="M1633" s="24" t="str">
        <f>IF(OR($L1633="",$S1633=""),"",$L1633*$S1633)</f>
        <v/>
      </c>
      <c r="N1633" s="24" t="str">
        <f>IF(OR($L1633="",$T1633=""),"",$L1633*$T1633)</f>
        <v/>
      </c>
      <c r="O1633" s="15" t="str">
        <f>IF(D1633="","",
IF(AND(K1633&lt;&gt;"SIM",V1633&gt;0),"ERRO: % BC &gt; 0, mas NÃO permitida ❌",
IF(AND(K1633="SIM",V1633=0),"ATENÇÃO: BC permitida, mas % = 0 🔎",
"Base de cálculo aplicada corretamente ✅")))</f>
        <v/>
      </c>
      <c r="P1633" s="31" t="str">
        <f>IF(D1633="","",
IF(AND(Q1633&lt;&gt;"SIM",U1633&gt;0),"ERRO: % alíquota &gt; 0, mas NÃO permitida ❌",
IF(AND(Q1633="SIM",U1633=0),"ATENÇÃO: alíquota permitida, mas % = 0 🔎",
"Alíquota aplicada corretamente ✅")))</f>
        <v/>
      </c>
      <c r="Q1633" s="8" t="str">
        <f>IF(E1633="","",IFERROR(VLOOKUP(E1633,REGRAS_CST!$A$2:$D$200,4,FALSE),""))</f>
        <v/>
      </c>
      <c r="S1633" s="9">
        <f>IF($H1633="","",$H1633*(1-$U1633))</f>
        <v>8.9999999999999993E-3</v>
      </c>
      <c r="T1633" s="9">
        <f>IF($I1633="","",$I1633*(1-$U1633))</f>
        <v>1E-3</v>
      </c>
      <c r="U1633" s="16">
        <f>IFERROR(INDEX(BASE_CCLASSTRIB!$E:$E, MATCH(TEXT($D1633,"000000"), BASE_CCLASSTRIB!$A:$A, 0))/100, 0)</f>
        <v>0</v>
      </c>
      <c r="V1633" s="16">
        <f>IFERROR(INDEX(BASE_CCLASSTRIB!$F:$F, MATCH(TEXT($D1633,"000000"), BASE_CCLASSTRIB!$A:$A, 0))/100, 0)</f>
        <v>0</v>
      </c>
    </row>
    <row r="1634" spans="4:22" ht="32.25" customHeight="1">
      <c r="D1634" s="39"/>
      <c r="E1634" s="27" t="str">
        <f>IF(D1634="","",LEFT(D1634,3))</f>
        <v/>
      </c>
      <c r="F1634" s="28" t="str">
        <f>IF(E1634="","",IFERROR(VLOOKUP(E1634,REGRAS_CST!$A$2:$B$200,2,FALSE),""))</f>
        <v/>
      </c>
      <c r="H1634" s="29">
        <v>8.9999999999999993E-3</v>
      </c>
      <c r="I1634" s="29">
        <v>1E-3</v>
      </c>
      <c r="K1634" s="21" t="str">
        <f>IF(E1634="","",IFERROR(VLOOKUP(E1634,REGRAS_CST!$A$2:$C$200,3,FALSE),""))</f>
        <v/>
      </c>
      <c r="L1634" s="23" t="str">
        <f>IF($G1634="", "", $G1634*(1-$V1634))</f>
        <v/>
      </c>
      <c r="M1634" s="24" t="str">
        <f>IF(OR($L1634="",$S1634=""),"",$L1634*$S1634)</f>
        <v/>
      </c>
      <c r="N1634" s="24" t="str">
        <f>IF(OR($L1634="",$T1634=""),"",$L1634*$T1634)</f>
        <v/>
      </c>
      <c r="O1634" s="15" t="str">
        <f>IF(D1634="","",
IF(AND(K1634&lt;&gt;"SIM",V1634&gt;0),"ERRO: % BC &gt; 0, mas NÃO permitida ❌",
IF(AND(K1634="SIM",V1634=0),"ATENÇÃO: BC permitida, mas % = 0 🔎",
"Base de cálculo aplicada corretamente ✅")))</f>
        <v/>
      </c>
      <c r="P1634" s="31" t="str">
        <f>IF(D1634="","",
IF(AND(Q1634&lt;&gt;"SIM",U1634&gt;0),"ERRO: % alíquota &gt; 0, mas NÃO permitida ❌",
IF(AND(Q1634="SIM",U1634=0),"ATENÇÃO: alíquota permitida, mas % = 0 🔎",
"Alíquota aplicada corretamente ✅")))</f>
        <v/>
      </c>
      <c r="Q1634" s="8" t="str">
        <f>IF(E1634="","",IFERROR(VLOOKUP(E1634,REGRAS_CST!$A$2:$D$200,4,FALSE),""))</f>
        <v/>
      </c>
      <c r="S1634" s="9">
        <f>IF($H1634="","",$H1634*(1-$U1634))</f>
        <v>8.9999999999999993E-3</v>
      </c>
      <c r="T1634" s="9">
        <f>IF($I1634="","",$I1634*(1-$U1634))</f>
        <v>1E-3</v>
      </c>
      <c r="U1634" s="16">
        <f>IFERROR(INDEX(BASE_CCLASSTRIB!$E:$E, MATCH(TEXT($D1634,"000000"), BASE_CCLASSTRIB!$A:$A, 0))/100, 0)</f>
        <v>0</v>
      </c>
      <c r="V1634" s="16">
        <f>IFERROR(INDEX(BASE_CCLASSTRIB!$F:$F, MATCH(TEXT($D1634,"000000"), BASE_CCLASSTRIB!$A:$A, 0))/100, 0)</f>
        <v>0</v>
      </c>
    </row>
    <row r="1635" spans="4:22" ht="32.25" customHeight="1">
      <c r="D1635" s="39"/>
      <c r="E1635" s="27" t="str">
        <f>IF(D1635="","",LEFT(D1635,3))</f>
        <v/>
      </c>
      <c r="F1635" s="28" t="str">
        <f>IF(E1635="","",IFERROR(VLOOKUP(E1635,REGRAS_CST!$A$2:$B$200,2,FALSE),""))</f>
        <v/>
      </c>
      <c r="H1635" s="29">
        <v>8.9999999999999993E-3</v>
      </c>
      <c r="I1635" s="29">
        <v>1E-3</v>
      </c>
      <c r="K1635" s="21" t="str">
        <f>IF(E1635="","",IFERROR(VLOOKUP(E1635,REGRAS_CST!$A$2:$C$200,3,FALSE),""))</f>
        <v/>
      </c>
      <c r="L1635" s="23" t="str">
        <f>IF($G1635="", "", $G1635*(1-$V1635))</f>
        <v/>
      </c>
      <c r="M1635" s="24" t="str">
        <f>IF(OR($L1635="",$S1635=""),"",$L1635*$S1635)</f>
        <v/>
      </c>
      <c r="N1635" s="24" t="str">
        <f>IF(OR($L1635="",$T1635=""),"",$L1635*$T1635)</f>
        <v/>
      </c>
      <c r="O1635" s="15" t="str">
        <f>IF(D1635="","",
IF(AND(K1635&lt;&gt;"SIM",V1635&gt;0),"ERRO: % BC &gt; 0, mas NÃO permitida ❌",
IF(AND(K1635="SIM",V1635=0),"ATENÇÃO: BC permitida, mas % = 0 🔎",
"Base de cálculo aplicada corretamente ✅")))</f>
        <v/>
      </c>
      <c r="P1635" s="31" t="str">
        <f>IF(D1635="","",
IF(AND(Q1635&lt;&gt;"SIM",U1635&gt;0),"ERRO: % alíquota &gt; 0, mas NÃO permitida ❌",
IF(AND(Q1635="SIM",U1635=0),"ATENÇÃO: alíquota permitida, mas % = 0 🔎",
"Alíquota aplicada corretamente ✅")))</f>
        <v/>
      </c>
      <c r="Q1635" s="8" t="str">
        <f>IF(E1635="","",IFERROR(VLOOKUP(E1635,REGRAS_CST!$A$2:$D$200,4,FALSE),""))</f>
        <v/>
      </c>
      <c r="S1635" s="9">
        <f>IF($H1635="","",$H1635*(1-$U1635))</f>
        <v>8.9999999999999993E-3</v>
      </c>
      <c r="T1635" s="9">
        <f>IF($I1635="","",$I1635*(1-$U1635))</f>
        <v>1E-3</v>
      </c>
      <c r="U1635" s="16">
        <f>IFERROR(INDEX(BASE_CCLASSTRIB!$E:$E, MATCH(TEXT($D1635,"000000"), BASE_CCLASSTRIB!$A:$A, 0))/100, 0)</f>
        <v>0</v>
      </c>
      <c r="V1635" s="16">
        <f>IFERROR(INDEX(BASE_CCLASSTRIB!$F:$F, MATCH(TEXT($D1635,"000000"), BASE_CCLASSTRIB!$A:$A, 0))/100, 0)</f>
        <v>0</v>
      </c>
    </row>
    <row r="1636" spans="4:22" ht="32.25" customHeight="1">
      <c r="D1636" s="39"/>
      <c r="E1636" s="27" t="str">
        <f>IF(D1636="","",LEFT(D1636,3))</f>
        <v/>
      </c>
      <c r="F1636" s="28" t="str">
        <f>IF(E1636="","",IFERROR(VLOOKUP(E1636,REGRAS_CST!$A$2:$B$200,2,FALSE),""))</f>
        <v/>
      </c>
      <c r="H1636" s="29">
        <v>8.9999999999999993E-3</v>
      </c>
      <c r="I1636" s="29">
        <v>1E-3</v>
      </c>
      <c r="K1636" s="21" t="str">
        <f>IF(E1636="","",IFERROR(VLOOKUP(E1636,REGRAS_CST!$A$2:$C$200,3,FALSE),""))</f>
        <v/>
      </c>
      <c r="L1636" s="23" t="str">
        <f>IF($G1636="", "", $G1636*(1-$V1636))</f>
        <v/>
      </c>
      <c r="M1636" s="24" t="str">
        <f>IF(OR($L1636="",$S1636=""),"",$L1636*$S1636)</f>
        <v/>
      </c>
      <c r="N1636" s="24" t="str">
        <f>IF(OR($L1636="",$T1636=""),"",$L1636*$T1636)</f>
        <v/>
      </c>
      <c r="O1636" s="15" t="str">
        <f>IF(D1636="","",
IF(AND(K1636&lt;&gt;"SIM",V1636&gt;0),"ERRO: % BC &gt; 0, mas NÃO permitida ❌",
IF(AND(K1636="SIM",V1636=0),"ATENÇÃO: BC permitida, mas % = 0 🔎",
"Base de cálculo aplicada corretamente ✅")))</f>
        <v/>
      </c>
      <c r="P1636" s="31" t="str">
        <f>IF(D1636="","",
IF(AND(Q1636&lt;&gt;"SIM",U1636&gt;0),"ERRO: % alíquota &gt; 0, mas NÃO permitida ❌",
IF(AND(Q1636="SIM",U1636=0),"ATENÇÃO: alíquota permitida, mas % = 0 🔎",
"Alíquota aplicada corretamente ✅")))</f>
        <v/>
      </c>
      <c r="Q1636" s="8" t="str">
        <f>IF(E1636="","",IFERROR(VLOOKUP(E1636,REGRAS_CST!$A$2:$D$200,4,FALSE),""))</f>
        <v/>
      </c>
      <c r="S1636" s="9">
        <f>IF($H1636="","",$H1636*(1-$U1636))</f>
        <v>8.9999999999999993E-3</v>
      </c>
      <c r="T1636" s="9">
        <f>IF($I1636="","",$I1636*(1-$U1636))</f>
        <v>1E-3</v>
      </c>
      <c r="U1636" s="16">
        <f>IFERROR(INDEX(BASE_CCLASSTRIB!$E:$E, MATCH(TEXT($D1636,"000000"), BASE_CCLASSTRIB!$A:$A, 0))/100, 0)</f>
        <v>0</v>
      </c>
      <c r="V1636" s="16">
        <f>IFERROR(INDEX(BASE_CCLASSTRIB!$F:$F, MATCH(TEXT($D1636,"000000"), BASE_CCLASSTRIB!$A:$A, 0))/100, 0)</f>
        <v>0</v>
      </c>
    </row>
    <row r="1637" spans="4:22" ht="32.25" customHeight="1">
      <c r="D1637" s="39"/>
      <c r="E1637" s="27" t="str">
        <f>IF(D1637="","",LEFT(D1637,3))</f>
        <v/>
      </c>
      <c r="F1637" s="28" t="str">
        <f>IF(E1637="","",IFERROR(VLOOKUP(E1637,REGRAS_CST!$A$2:$B$200,2,FALSE),""))</f>
        <v/>
      </c>
      <c r="H1637" s="29">
        <v>8.9999999999999993E-3</v>
      </c>
      <c r="I1637" s="29">
        <v>1E-3</v>
      </c>
      <c r="K1637" s="21" t="str">
        <f>IF(E1637="","",IFERROR(VLOOKUP(E1637,REGRAS_CST!$A$2:$C$200,3,FALSE),""))</f>
        <v/>
      </c>
      <c r="L1637" s="23" t="str">
        <f>IF($G1637="", "", $G1637*(1-$V1637))</f>
        <v/>
      </c>
      <c r="M1637" s="24" t="str">
        <f>IF(OR($L1637="",$S1637=""),"",$L1637*$S1637)</f>
        <v/>
      </c>
      <c r="N1637" s="24" t="str">
        <f>IF(OR($L1637="",$T1637=""),"",$L1637*$T1637)</f>
        <v/>
      </c>
      <c r="O1637" s="15" t="str">
        <f>IF(D1637="","",
IF(AND(K1637&lt;&gt;"SIM",V1637&gt;0),"ERRO: % BC &gt; 0, mas NÃO permitida ❌",
IF(AND(K1637="SIM",V1637=0),"ATENÇÃO: BC permitida, mas % = 0 🔎",
"Base de cálculo aplicada corretamente ✅")))</f>
        <v/>
      </c>
      <c r="P1637" s="31" t="str">
        <f>IF(D1637="","",
IF(AND(Q1637&lt;&gt;"SIM",U1637&gt;0),"ERRO: % alíquota &gt; 0, mas NÃO permitida ❌",
IF(AND(Q1637="SIM",U1637=0),"ATENÇÃO: alíquota permitida, mas % = 0 🔎",
"Alíquota aplicada corretamente ✅")))</f>
        <v/>
      </c>
      <c r="Q1637" s="8" t="str">
        <f>IF(E1637="","",IFERROR(VLOOKUP(E1637,REGRAS_CST!$A$2:$D$200,4,FALSE),""))</f>
        <v/>
      </c>
      <c r="S1637" s="9">
        <f>IF($H1637="","",$H1637*(1-$U1637))</f>
        <v>8.9999999999999993E-3</v>
      </c>
      <c r="T1637" s="9">
        <f>IF($I1637="","",$I1637*(1-$U1637))</f>
        <v>1E-3</v>
      </c>
      <c r="U1637" s="16">
        <f>IFERROR(INDEX(BASE_CCLASSTRIB!$E:$E, MATCH(TEXT($D1637,"000000"), BASE_CCLASSTRIB!$A:$A, 0))/100, 0)</f>
        <v>0</v>
      </c>
      <c r="V1637" s="16">
        <f>IFERROR(INDEX(BASE_CCLASSTRIB!$F:$F, MATCH(TEXT($D1637,"000000"), BASE_CCLASSTRIB!$A:$A, 0))/100, 0)</f>
        <v>0</v>
      </c>
    </row>
    <row r="1638" spans="4:22" ht="32.25" customHeight="1">
      <c r="D1638" s="39"/>
      <c r="E1638" s="27" t="str">
        <f>IF(D1638="","",LEFT(D1638,3))</f>
        <v/>
      </c>
      <c r="F1638" s="28" t="str">
        <f>IF(E1638="","",IFERROR(VLOOKUP(E1638,REGRAS_CST!$A$2:$B$200,2,FALSE),""))</f>
        <v/>
      </c>
      <c r="H1638" s="29">
        <v>8.9999999999999993E-3</v>
      </c>
      <c r="I1638" s="29">
        <v>1E-3</v>
      </c>
      <c r="K1638" s="21" t="str">
        <f>IF(E1638="","",IFERROR(VLOOKUP(E1638,REGRAS_CST!$A$2:$C$200,3,FALSE),""))</f>
        <v/>
      </c>
      <c r="L1638" s="23" t="str">
        <f>IF($G1638="", "", $G1638*(1-$V1638))</f>
        <v/>
      </c>
      <c r="M1638" s="24" t="str">
        <f>IF(OR($L1638="",$S1638=""),"",$L1638*$S1638)</f>
        <v/>
      </c>
      <c r="N1638" s="24" t="str">
        <f>IF(OR($L1638="",$T1638=""),"",$L1638*$T1638)</f>
        <v/>
      </c>
      <c r="O1638" s="15" t="str">
        <f>IF(D1638="","",
IF(AND(K1638&lt;&gt;"SIM",V1638&gt;0),"ERRO: % BC &gt; 0, mas NÃO permitida ❌",
IF(AND(K1638="SIM",V1638=0),"ATENÇÃO: BC permitida, mas % = 0 🔎",
"Base de cálculo aplicada corretamente ✅")))</f>
        <v/>
      </c>
      <c r="P1638" s="31" t="str">
        <f>IF(D1638="","",
IF(AND(Q1638&lt;&gt;"SIM",U1638&gt;0),"ERRO: % alíquota &gt; 0, mas NÃO permitida ❌",
IF(AND(Q1638="SIM",U1638=0),"ATENÇÃO: alíquota permitida, mas % = 0 🔎",
"Alíquota aplicada corretamente ✅")))</f>
        <v/>
      </c>
      <c r="Q1638" s="8" t="str">
        <f>IF(E1638="","",IFERROR(VLOOKUP(E1638,REGRAS_CST!$A$2:$D$200,4,FALSE),""))</f>
        <v/>
      </c>
      <c r="S1638" s="9">
        <f>IF($H1638="","",$H1638*(1-$U1638))</f>
        <v>8.9999999999999993E-3</v>
      </c>
      <c r="T1638" s="9">
        <f>IF($I1638="","",$I1638*(1-$U1638))</f>
        <v>1E-3</v>
      </c>
      <c r="U1638" s="16">
        <f>IFERROR(INDEX(BASE_CCLASSTRIB!$E:$E, MATCH(TEXT($D1638,"000000"), BASE_CCLASSTRIB!$A:$A, 0))/100, 0)</f>
        <v>0</v>
      </c>
      <c r="V1638" s="16">
        <f>IFERROR(INDEX(BASE_CCLASSTRIB!$F:$F, MATCH(TEXT($D1638,"000000"), BASE_CCLASSTRIB!$A:$A, 0))/100, 0)</f>
        <v>0</v>
      </c>
    </row>
    <row r="1639" spans="4:22" ht="32.25" customHeight="1">
      <c r="D1639" s="39"/>
      <c r="E1639" s="27" t="str">
        <f>IF(D1639="","",LEFT(D1639,3))</f>
        <v/>
      </c>
      <c r="F1639" s="28" t="str">
        <f>IF(E1639="","",IFERROR(VLOOKUP(E1639,REGRAS_CST!$A$2:$B$200,2,FALSE),""))</f>
        <v/>
      </c>
      <c r="H1639" s="29">
        <v>8.9999999999999993E-3</v>
      </c>
      <c r="I1639" s="29">
        <v>1E-3</v>
      </c>
      <c r="K1639" s="21" t="str">
        <f>IF(E1639="","",IFERROR(VLOOKUP(E1639,REGRAS_CST!$A$2:$C$200,3,FALSE),""))</f>
        <v/>
      </c>
      <c r="L1639" s="23" t="str">
        <f>IF($G1639="", "", $G1639*(1-$V1639))</f>
        <v/>
      </c>
      <c r="M1639" s="24" t="str">
        <f>IF(OR($L1639="",$S1639=""),"",$L1639*$S1639)</f>
        <v/>
      </c>
      <c r="N1639" s="24" t="str">
        <f>IF(OR($L1639="",$T1639=""),"",$L1639*$T1639)</f>
        <v/>
      </c>
      <c r="O1639" s="15" t="str">
        <f>IF(D1639="","",
IF(AND(K1639&lt;&gt;"SIM",V1639&gt;0),"ERRO: % BC &gt; 0, mas NÃO permitida ❌",
IF(AND(K1639="SIM",V1639=0),"ATENÇÃO: BC permitida, mas % = 0 🔎",
"Base de cálculo aplicada corretamente ✅")))</f>
        <v/>
      </c>
      <c r="P1639" s="31" t="str">
        <f>IF(D1639="","",
IF(AND(Q1639&lt;&gt;"SIM",U1639&gt;0),"ERRO: % alíquota &gt; 0, mas NÃO permitida ❌",
IF(AND(Q1639="SIM",U1639=0),"ATENÇÃO: alíquota permitida, mas % = 0 🔎",
"Alíquota aplicada corretamente ✅")))</f>
        <v/>
      </c>
      <c r="Q1639" s="8" t="str">
        <f>IF(E1639="","",IFERROR(VLOOKUP(E1639,REGRAS_CST!$A$2:$D$200,4,FALSE),""))</f>
        <v/>
      </c>
      <c r="S1639" s="9">
        <f>IF($H1639="","",$H1639*(1-$U1639))</f>
        <v>8.9999999999999993E-3</v>
      </c>
      <c r="T1639" s="9">
        <f>IF($I1639="","",$I1639*(1-$U1639))</f>
        <v>1E-3</v>
      </c>
      <c r="U1639" s="16">
        <f>IFERROR(INDEX(BASE_CCLASSTRIB!$E:$E, MATCH(TEXT($D1639,"000000"), BASE_CCLASSTRIB!$A:$A, 0))/100, 0)</f>
        <v>0</v>
      </c>
      <c r="V1639" s="16">
        <f>IFERROR(INDEX(BASE_CCLASSTRIB!$F:$F, MATCH(TEXT($D1639,"000000"), BASE_CCLASSTRIB!$A:$A, 0))/100, 0)</f>
        <v>0</v>
      </c>
    </row>
    <row r="1640" spans="4:22" ht="32.25" customHeight="1">
      <c r="D1640" s="39"/>
      <c r="E1640" s="27" t="str">
        <f>IF(D1640="","",LEFT(D1640,3))</f>
        <v/>
      </c>
      <c r="F1640" s="28" t="str">
        <f>IF(E1640="","",IFERROR(VLOOKUP(E1640,REGRAS_CST!$A$2:$B$200,2,FALSE),""))</f>
        <v/>
      </c>
      <c r="H1640" s="29">
        <v>8.9999999999999993E-3</v>
      </c>
      <c r="I1640" s="29">
        <v>1E-3</v>
      </c>
      <c r="K1640" s="21" t="str">
        <f>IF(E1640="","",IFERROR(VLOOKUP(E1640,REGRAS_CST!$A$2:$C$200,3,FALSE),""))</f>
        <v/>
      </c>
      <c r="L1640" s="23" t="str">
        <f>IF($G1640="", "", $G1640*(1-$V1640))</f>
        <v/>
      </c>
      <c r="M1640" s="24" t="str">
        <f>IF(OR($L1640="",$S1640=""),"",$L1640*$S1640)</f>
        <v/>
      </c>
      <c r="N1640" s="24" t="str">
        <f>IF(OR($L1640="",$T1640=""),"",$L1640*$T1640)</f>
        <v/>
      </c>
      <c r="O1640" s="15" t="str">
        <f>IF(D1640="","",
IF(AND(K1640&lt;&gt;"SIM",V1640&gt;0),"ERRO: % BC &gt; 0, mas NÃO permitida ❌",
IF(AND(K1640="SIM",V1640=0),"ATENÇÃO: BC permitida, mas % = 0 🔎",
"Base de cálculo aplicada corretamente ✅")))</f>
        <v/>
      </c>
      <c r="P1640" s="31" t="str">
        <f>IF(D1640="","",
IF(AND(Q1640&lt;&gt;"SIM",U1640&gt;0),"ERRO: % alíquota &gt; 0, mas NÃO permitida ❌",
IF(AND(Q1640="SIM",U1640=0),"ATENÇÃO: alíquota permitida, mas % = 0 🔎",
"Alíquota aplicada corretamente ✅")))</f>
        <v/>
      </c>
      <c r="Q1640" s="8" t="str">
        <f>IF(E1640="","",IFERROR(VLOOKUP(E1640,REGRAS_CST!$A$2:$D$200,4,FALSE),""))</f>
        <v/>
      </c>
      <c r="S1640" s="9">
        <f>IF($H1640="","",$H1640*(1-$U1640))</f>
        <v>8.9999999999999993E-3</v>
      </c>
      <c r="T1640" s="9">
        <f>IF($I1640="","",$I1640*(1-$U1640))</f>
        <v>1E-3</v>
      </c>
      <c r="U1640" s="16">
        <f>IFERROR(INDEX(BASE_CCLASSTRIB!$E:$E, MATCH(TEXT($D1640,"000000"), BASE_CCLASSTRIB!$A:$A, 0))/100, 0)</f>
        <v>0</v>
      </c>
      <c r="V1640" s="16">
        <f>IFERROR(INDEX(BASE_CCLASSTRIB!$F:$F, MATCH(TEXT($D1640,"000000"), BASE_CCLASSTRIB!$A:$A, 0))/100, 0)</f>
        <v>0</v>
      </c>
    </row>
    <row r="1641" spans="4:22" ht="32.25" customHeight="1">
      <c r="D1641" s="39"/>
      <c r="E1641" s="27" t="str">
        <f>IF(D1641="","",LEFT(D1641,3))</f>
        <v/>
      </c>
      <c r="F1641" s="28" t="str">
        <f>IF(E1641="","",IFERROR(VLOOKUP(E1641,REGRAS_CST!$A$2:$B$200,2,FALSE),""))</f>
        <v/>
      </c>
      <c r="H1641" s="29">
        <v>8.9999999999999993E-3</v>
      </c>
      <c r="I1641" s="29">
        <v>1E-3</v>
      </c>
      <c r="K1641" s="21" t="str">
        <f>IF(E1641="","",IFERROR(VLOOKUP(E1641,REGRAS_CST!$A$2:$C$200,3,FALSE),""))</f>
        <v/>
      </c>
      <c r="L1641" s="23" t="str">
        <f>IF($G1641="", "", $G1641*(1-$V1641))</f>
        <v/>
      </c>
      <c r="M1641" s="24" t="str">
        <f>IF(OR($L1641="",$S1641=""),"",$L1641*$S1641)</f>
        <v/>
      </c>
      <c r="N1641" s="24" t="str">
        <f>IF(OR($L1641="",$T1641=""),"",$L1641*$T1641)</f>
        <v/>
      </c>
      <c r="O1641" s="15" t="str">
        <f>IF(D1641="","",
IF(AND(K1641&lt;&gt;"SIM",V1641&gt;0),"ERRO: % BC &gt; 0, mas NÃO permitida ❌",
IF(AND(K1641="SIM",V1641=0),"ATENÇÃO: BC permitida, mas % = 0 🔎",
"Base de cálculo aplicada corretamente ✅")))</f>
        <v/>
      </c>
      <c r="P1641" s="31" t="str">
        <f>IF(D1641="","",
IF(AND(Q1641&lt;&gt;"SIM",U1641&gt;0),"ERRO: % alíquota &gt; 0, mas NÃO permitida ❌",
IF(AND(Q1641="SIM",U1641=0),"ATENÇÃO: alíquota permitida, mas % = 0 🔎",
"Alíquota aplicada corretamente ✅")))</f>
        <v/>
      </c>
      <c r="Q1641" s="8" t="str">
        <f>IF(E1641="","",IFERROR(VLOOKUP(E1641,REGRAS_CST!$A$2:$D$200,4,FALSE),""))</f>
        <v/>
      </c>
      <c r="S1641" s="9">
        <f>IF($H1641="","",$H1641*(1-$U1641))</f>
        <v>8.9999999999999993E-3</v>
      </c>
      <c r="T1641" s="9">
        <f>IF($I1641="","",$I1641*(1-$U1641))</f>
        <v>1E-3</v>
      </c>
      <c r="U1641" s="16">
        <f>IFERROR(INDEX(BASE_CCLASSTRIB!$E:$E, MATCH(TEXT($D1641,"000000"), BASE_CCLASSTRIB!$A:$A, 0))/100, 0)</f>
        <v>0</v>
      </c>
      <c r="V1641" s="16">
        <f>IFERROR(INDEX(BASE_CCLASSTRIB!$F:$F, MATCH(TEXT($D1641,"000000"), BASE_CCLASSTRIB!$A:$A, 0))/100, 0)</f>
        <v>0</v>
      </c>
    </row>
    <row r="1642" spans="4:22" ht="32.25" customHeight="1">
      <c r="D1642" s="40"/>
      <c r="E1642" s="27" t="str">
        <f>IF(D1642="","",LEFT(D1642,3))</f>
        <v/>
      </c>
      <c r="F1642" s="28" t="str">
        <f>IF(E1642="","",IFERROR(VLOOKUP(E1642,REGRAS_CST!$A$2:$B$200,2,FALSE),""))</f>
        <v/>
      </c>
      <c r="H1642" s="29">
        <v>8.9999999999999993E-3</v>
      </c>
      <c r="I1642" s="29">
        <v>1E-3</v>
      </c>
      <c r="K1642" s="21" t="str">
        <f>IF(E1642="","",IFERROR(VLOOKUP(E1642,REGRAS_CST!$A$2:$C$200,3,FALSE),""))</f>
        <v/>
      </c>
      <c r="L1642" s="23" t="str">
        <f>IF($G1642="", "", $G1642*(1-$V1642))</f>
        <v/>
      </c>
      <c r="M1642" s="24" t="str">
        <f>IF(OR($L1642="",$S1642=""),"",$L1642*$S1642)</f>
        <v/>
      </c>
      <c r="N1642" s="24" t="str">
        <f>IF(OR($L1642="",$T1642=""),"",$L1642*$T1642)</f>
        <v/>
      </c>
      <c r="O1642" s="15" t="str">
        <f>IF(D1642="","",
IF(AND(K1642&lt;&gt;"SIM",V1642&gt;0),"ERRO: % BC &gt; 0, mas NÃO permitida ❌",
IF(AND(K1642="SIM",V1642=0),"ATENÇÃO: BC permitida, mas % = 0 🔎",
"Base de cálculo aplicada corretamente ✅")))</f>
        <v/>
      </c>
      <c r="P1642" s="31" t="str">
        <f>IF(D1642="","",
IF(AND(Q1642&lt;&gt;"SIM",U1642&gt;0),"ERRO: % alíquota &gt; 0, mas NÃO permitida ❌",
IF(AND(Q1642="SIM",U1642=0),"ATENÇÃO: alíquota permitida, mas % = 0 🔎",
"Alíquota aplicada corretamente ✅")))</f>
        <v/>
      </c>
      <c r="Q1642" s="8" t="str">
        <f>IF(E1642="","",IFERROR(VLOOKUP(E1642,REGRAS_CST!$A$2:$D$200,4,FALSE),""))</f>
        <v/>
      </c>
      <c r="S1642" s="9">
        <f>IF($H1642="","",$H1642*(1-$U1642))</f>
        <v>8.9999999999999993E-3</v>
      </c>
      <c r="T1642" s="9">
        <f>IF($I1642="","",$I1642*(1-$U1642))</f>
        <v>1E-3</v>
      </c>
      <c r="U1642" s="16">
        <f>IFERROR(INDEX(BASE_CCLASSTRIB!$E:$E, MATCH(TEXT($D1642,"000000"), BASE_CCLASSTRIB!$A:$A, 0))/100, 0)</f>
        <v>0</v>
      </c>
      <c r="V1642" s="16">
        <f>IFERROR(INDEX(BASE_CCLASSTRIB!$F:$F, MATCH(TEXT($D1642,"000000"), BASE_CCLASSTRIB!$A:$A, 0))/100, 0)</f>
        <v>0</v>
      </c>
    </row>
    <row r="1643" spans="4:22" ht="32.25" customHeight="1">
      <c r="D1643" s="39"/>
      <c r="E1643" s="27" t="str">
        <f>IF(D1643="","",LEFT(D1643,3))</f>
        <v/>
      </c>
      <c r="F1643" s="28" t="str">
        <f>IF(E1643="","",IFERROR(VLOOKUP(E1643,REGRAS_CST!$A$2:$B$200,2,FALSE),""))</f>
        <v/>
      </c>
      <c r="H1643" s="29">
        <v>8.9999999999999993E-3</v>
      </c>
      <c r="I1643" s="29">
        <v>1E-3</v>
      </c>
      <c r="K1643" s="21" t="str">
        <f>IF(E1643="","",IFERROR(VLOOKUP(E1643,REGRAS_CST!$A$2:$C$200,3,FALSE),""))</f>
        <v/>
      </c>
      <c r="L1643" s="23" t="str">
        <f>IF($G1643="", "", $G1643*(1-$V1643))</f>
        <v/>
      </c>
      <c r="M1643" s="24" t="str">
        <f>IF(OR($L1643="",$S1643=""),"",$L1643*$S1643)</f>
        <v/>
      </c>
      <c r="N1643" s="24" t="str">
        <f>IF(OR($L1643="",$T1643=""),"",$L1643*$T1643)</f>
        <v/>
      </c>
      <c r="O1643" s="15" t="str">
        <f>IF(D1643="","",
IF(AND(K1643&lt;&gt;"SIM",V1643&gt;0),"ERRO: % BC &gt; 0, mas NÃO permitida ❌",
IF(AND(K1643="SIM",V1643=0),"ATENÇÃO: BC permitida, mas % = 0 🔎",
"Base de cálculo aplicada corretamente ✅")))</f>
        <v/>
      </c>
      <c r="P1643" s="31" t="str">
        <f>IF(D1643="","",
IF(AND(Q1643&lt;&gt;"SIM",U1643&gt;0),"ERRO: % alíquota &gt; 0, mas NÃO permitida ❌",
IF(AND(Q1643="SIM",U1643=0),"ATENÇÃO: alíquota permitida, mas % = 0 🔎",
"Alíquota aplicada corretamente ✅")))</f>
        <v/>
      </c>
      <c r="Q1643" s="8" t="str">
        <f>IF(E1643="","",IFERROR(VLOOKUP(E1643,REGRAS_CST!$A$2:$D$200,4,FALSE),""))</f>
        <v/>
      </c>
      <c r="S1643" s="9">
        <f>IF($H1643="","",$H1643*(1-$U1643))</f>
        <v>8.9999999999999993E-3</v>
      </c>
      <c r="T1643" s="9">
        <f>IF($I1643="","",$I1643*(1-$U1643))</f>
        <v>1E-3</v>
      </c>
      <c r="U1643" s="16">
        <f>IFERROR(INDEX(BASE_CCLASSTRIB!$E:$E, MATCH(TEXT($D1643,"000000"), BASE_CCLASSTRIB!$A:$A, 0))/100, 0)</f>
        <v>0</v>
      </c>
      <c r="V1643" s="16">
        <f>IFERROR(INDEX(BASE_CCLASSTRIB!$F:$F, MATCH(TEXT($D1643,"000000"), BASE_CCLASSTRIB!$A:$A, 0))/100, 0)</f>
        <v>0</v>
      </c>
    </row>
    <row r="1644" spans="4:22" ht="32.25" customHeight="1">
      <c r="D1644" s="40"/>
      <c r="E1644" s="27" t="str">
        <f>IF(D1644="","",LEFT(D1644,3))</f>
        <v/>
      </c>
      <c r="F1644" s="28" t="str">
        <f>IF(E1644="","",IFERROR(VLOOKUP(E1644,REGRAS_CST!$A$2:$B$200,2,FALSE),""))</f>
        <v/>
      </c>
      <c r="H1644" s="29">
        <v>8.9999999999999993E-3</v>
      </c>
      <c r="I1644" s="29">
        <v>1E-3</v>
      </c>
      <c r="K1644" s="21" t="str">
        <f>IF(E1644="","",IFERROR(VLOOKUP(E1644,REGRAS_CST!$A$2:$C$200,3,FALSE),""))</f>
        <v/>
      </c>
      <c r="L1644" s="23" t="str">
        <f>IF($G1644="", "", $G1644*(1-$V1644))</f>
        <v/>
      </c>
      <c r="M1644" s="24" t="str">
        <f>IF(OR($L1644="",$S1644=""),"",$L1644*$S1644)</f>
        <v/>
      </c>
      <c r="N1644" s="24" t="str">
        <f>IF(OR($L1644="",$T1644=""),"",$L1644*$T1644)</f>
        <v/>
      </c>
      <c r="O1644" s="15" t="str">
        <f>IF(D1644="","",
IF(AND(K1644&lt;&gt;"SIM",V1644&gt;0),"ERRO: % BC &gt; 0, mas NÃO permitida ❌",
IF(AND(K1644="SIM",V1644=0),"ATENÇÃO: BC permitida, mas % = 0 🔎",
"Base de cálculo aplicada corretamente ✅")))</f>
        <v/>
      </c>
      <c r="P1644" s="31" t="str">
        <f>IF(D1644="","",
IF(AND(Q1644&lt;&gt;"SIM",U1644&gt;0),"ERRO: % alíquota &gt; 0, mas NÃO permitida ❌",
IF(AND(Q1644="SIM",U1644=0),"ATENÇÃO: alíquota permitida, mas % = 0 🔎",
"Alíquota aplicada corretamente ✅")))</f>
        <v/>
      </c>
      <c r="Q1644" s="8" t="str">
        <f>IF(E1644="","",IFERROR(VLOOKUP(E1644,REGRAS_CST!$A$2:$D$200,4,FALSE),""))</f>
        <v/>
      </c>
      <c r="S1644" s="9">
        <f>IF($H1644="","",$H1644*(1-$U1644))</f>
        <v>8.9999999999999993E-3</v>
      </c>
      <c r="T1644" s="9">
        <f>IF($I1644="","",$I1644*(1-$U1644))</f>
        <v>1E-3</v>
      </c>
      <c r="U1644" s="16">
        <f>IFERROR(INDEX(BASE_CCLASSTRIB!$E:$E, MATCH(TEXT($D1644,"000000"), BASE_CCLASSTRIB!$A:$A, 0))/100, 0)</f>
        <v>0</v>
      </c>
      <c r="V1644" s="16">
        <f>IFERROR(INDEX(BASE_CCLASSTRIB!$F:$F, MATCH(TEXT($D1644,"000000"), BASE_CCLASSTRIB!$A:$A, 0))/100, 0)</f>
        <v>0</v>
      </c>
    </row>
    <row r="1645" spans="4:22" ht="32.25" customHeight="1">
      <c r="D1645" s="39"/>
      <c r="E1645" s="27" t="str">
        <f>IF(D1645="","",LEFT(D1645,3))</f>
        <v/>
      </c>
      <c r="F1645" s="28" t="str">
        <f>IF(E1645="","",IFERROR(VLOOKUP(E1645,REGRAS_CST!$A$2:$B$200,2,FALSE),""))</f>
        <v/>
      </c>
      <c r="H1645" s="29">
        <v>8.9999999999999993E-3</v>
      </c>
      <c r="I1645" s="29">
        <v>1E-3</v>
      </c>
      <c r="K1645" s="21" t="str">
        <f>IF(E1645="","",IFERROR(VLOOKUP(E1645,REGRAS_CST!$A$2:$C$200,3,FALSE),""))</f>
        <v/>
      </c>
      <c r="L1645" s="23" t="str">
        <f>IF($G1645="", "", $G1645*(1-$V1645))</f>
        <v/>
      </c>
      <c r="M1645" s="24" t="str">
        <f>IF(OR($L1645="",$S1645=""),"",$L1645*$S1645)</f>
        <v/>
      </c>
      <c r="N1645" s="24" t="str">
        <f>IF(OR($L1645="",$T1645=""),"",$L1645*$T1645)</f>
        <v/>
      </c>
      <c r="O1645" s="15" t="str">
        <f>IF(D1645="","",
IF(AND(K1645&lt;&gt;"SIM",V1645&gt;0),"ERRO: % BC &gt; 0, mas NÃO permitida ❌",
IF(AND(K1645="SIM",V1645=0),"ATENÇÃO: BC permitida, mas % = 0 🔎",
"Base de cálculo aplicada corretamente ✅")))</f>
        <v/>
      </c>
      <c r="P1645" s="31" t="str">
        <f>IF(D1645="","",
IF(AND(Q1645&lt;&gt;"SIM",U1645&gt;0),"ERRO: % alíquota &gt; 0, mas NÃO permitida ❌",
IF(AND(Q1645="SIM",U1645=0),"ATENÇÃO: alíquota permitida, mas % = 0 🔎",
"Alíquota aplicada corretamente ✅")))</f>
        <v/>
      </c>
      <c r="Q1645" s="8" t="str">
        <f>IF(E1645="","",IFERROR(VLOOKUP(E1645,REGRAS_CST!$A$2:$D$200,4,FALSE),""))</f>
        <v/>
      </c>
      <c r="S1645" s="9">
        <f>IF($H1645="","",$H1645*(1-$U1645))</f>
        <v>8.9999999999999993E-3</v>
      </c>
      <c r="T1645" s="9">
        <f>IF($I1645="","",$I1645*(1-$U1645))</f>
        <v>1E-3</v>
      </c>
      <c r="U1645" s="16">
        <f>IFERROR(INDEX(BASE_CCLASSTRIB!$E:$E, MATCH(TEXT($D1645,"000000"), BASE_CCLASSTRIB!$A:$A, 0))/100, 0)</f>
        <v>0</v>
      </c>
      <c r="V1645" s="16">
        <f>IFERROR(INDEX(BASE_CCLASSTRIB!$F:$F, MATCH(TEXT($D1645,"000000"), BASE_CCLASSTRIB!$A:$A, 0))/100, 0)</f>
        <v>0</v>
      </c>
    </row>
    <row r="1646" spans="4:22" ht="32.25" customHeight="1">
      <c r="D1646" s="39"/>
      <c r="E1646" s="27" t="str">
        <f>IF(D1646="","",LEFT(D1646,3))</f>
        <v/>
      </c>
      <c r="F1646" s="28" t="str">
        <f>IF(E1646="","",IFERROR(VLOOKUP(E1646,REGRAS_CST!$A$2:$B$200,2,FALSE),""))</f>
        <v/>
      </c>
      <c r="H1646" s="29">
        <v>8.9999999999999993E-3</v>
      </c>
      <c r="I1646" s="29">
        <v>1E-3</v>
      </c>
      <c r="K1646" s="21" t="str">
        <f>IF(E1646="","",IFERROR(VLOOKUP(E1646,REGRAS_CST!$A$2:$C$200,3,FALSE),""))</f>
        <v/>
      </c>
      <c r="L1646" s="23" t="str">
        <f>IF($G1646="", "", $G1646*(1-$V1646))</f>
        <v/>
      </c>
      <c r="M1646" s="24" t="str">
        <f>IF(OR($L1646="",$S1646=""),"",$L1646*$S1646)</f>
        <v/>
      </c>
      <c r="N1646" s="24" t="str">
        <f>IF(OR($L1646="",$T1646=""),"",$L1646*$T1646)</f>
        <v/>
      </c>
      <c r="O1646" s="15" t="str">
        <f>IF(D1646="","",
IF(AND(K1646&lt;&gt;"SIM",V1646&gt;0),"ERRO: % BC &gt; 0, mas NÃO permitida ❌",
IF(AND(K1646="SIM",V1646=0),"ATENÇÃO: BC permitida, mas % = 0 🔎",
"Base de cálculo aplicada corretamente ✅")))</f>
        <v/>
      </c>
      <c r="P1646" s="31" t="str">
        <f>IF(D1646="","",
IF(AND(Q1646&lt;&gt;"SIM",U1646&gt;0),"ERRO: % alíquota &gt; 0, mas NÃO permitida ❌",
IF(AND(Q1646="SIM",U1646=0),"ATENÇÃO: alíquota permitida, mas % = 0 🔎",
"Alíquota aplicada corretamente ✅")))</f>
        <v/>
      </c>
      <c r="Q1646" s="8" t="str">
        <f>IF(E1646="","",IFERROR(VLOOKUP(E1646,REGRAS_CST!$A$2:$D$200,4,FALSE),""))</f>
        <v/>
      </c>
      <c r="S1646" s="9">
        <f>IF($H1646="","",$H1646*(1-$U1646))</f>
        <v>8.9999999999999993E-3</v>
      </c>
      <c r="T1646" s="9">
        <f>IF($I1646="","",$I1646*(1-$U1646))</f>
        <v>1E-3</v>
      </c>
      <c r="U1646" s="16">
        <f>IFERROR(INDEX(BASE_CCLASSTRIB!$E:$E, MATCH(TEXT($D1646,"000000"), BASE_CCLASSTRIB!$A:$A, 0))/100, 0)</f>
        <v>0</v>
      </c>
      <c r="V1646" s="16">
        <f>IFERROR(INDEX(BASE_CCLASSTRIB!$F:$F, MATCH(TEXT($D1646,"000000"), BASE_CCLASSTRIB!$A:$A, 0))/100, 0)</f>
        <v>0</v>
      </c>
    </row>
    <row r="1647" spans="4:22" ht="32.25" customHeight="1">
      <c r="D1647" s="39"/>
      <c r="E1647" s="27" t="str">
        <f>IF(D1647="","",LEFT(D1647,3))</f>
        <v/>
      </c>
      <c r="F1647" s="28" t="str">
        <f>IF(E1647="","",IFERROR(VLOOKUP(E1647,REGRAS_CST!$A$2:$B$200,2,FALSE),""))</f>
        <v/>
      </c>
      <c r="H1647" s="29">
        <v>8.9999999999999993E-3</v>
      </c>
      <c r="I1647" s="29">
        <v>1E-3</v>
      </c>
      <c r="K1647" s="21" t="str">
        <f>IF(E1647="","",IFERROR(VLOOKUP(E1647,REGRAS_CST!$A$2:$C$200,3,FALSE),""))</f>
        <v/>
      </c>
      <c r="L1647" s="23" t="str">
        <f>IF($G1647="", "", $G1647*(1-$V1647))</f>
        <v/>
      </c>
      <c r="M1647" s="24" t="str">
        <f>IF(OR($L1647="",$S1647=""),"",$L1647*$S1647)</f>
        <v/>
      </c>
      <c r="N1647" s="24" t="str">
        <f>IF(OR($L1647="",$T1647=""),"",$L1647*$T1647)</f>
        <v/>
      </c>
      <c r="O1647" s="15" t="str">
        <f>IF(D1647="","",
IF(AND(K1647&lt;&gt;"SIM",V1647&gt;0),"ERRO: % BC &gt; 0, mas NÃO permitida ❌",
IF(AND(K1647="SIM",V1647=0),"ATENÇÃO: BC permitida, mas % = 0 🔎",
"Base de cálculo aplicada corretamente ✅")))</f>
        <v/>
      </c>
      <c r="P1647" s="31" t="str">
        <f>IF(D1647="","",
IF(AND(Q1647&lt;&gt;"SIM",U1647&gt;0),"ERRO: % alíquota &gt; 0, mas NÃO permitida ❌",
IF(AND(Q1647="SIM",U1647=0),"ATENÇÃO: alíquota permitida, mas % = 0 🔎",
"Alíquota aplicada corretamente ✅")))</f>
        <v/>
      </c>
      <c r="Q1647" s="8" t="str">
        <f>IF(E1647="","",IFERROR(VLOOKUP(E1647,REGRAS_CST!$A$2:$D$200,4,FALSE),""))</f>
        <v/>
      </c>
      <c r="S1647" s="9">
        <f>IF($H1647="","",$H1647*(1-$U1647))</f>
        <v>8.9999999999999993E-3</v>
      </c>
      <c r="T1647" s="9">
        <f>IF($I1647="","",$I1647*(1-$U1647))</f>
        <v>1E-3</v>
      </c>
      <c r="U1647" s="16">
        <f>IFERROR(INDEX(BASE_CCLASSTRIB!$E:$E, MATCH(TEXT($D1647,"000000"), BASE_CCLASSTRIB!$A:$A, 0))/100, 0)</f>
        <v>0</v>
      </c>
      <c r="V1647" s="16">
        <f>IFERROR(INDEX(BASE_CCLASSTRIB!$F:$F, MATCH(TEXT($D1647,"000000"), BASE_CCLASSTRIB!$A:$A, 0))/100, 0)</f>
        <v>0</v>
      </c>
    </row>
    <row r="1648" spans="4:22" ht="32.25" customHeight="1">
      <c r="D1648" s="40"/>
      <c r="E1648" s="27" t="str">
        <f>IF(D1648="","",LEFT(D1648,3))</f>
        <v/>
      </c>
      <c r="F1648" s="28" t="str">
        <f>IF(E1648="","",IFERROR(VLOOKUP(E1648,REGRAS_CST!$A$2:$B$200,2,FALSE),""))</f>
        <v/>
      </c>
      <c r="H1648" s="29">
        <v>8.9999999999999993E-3</v>
      </c>
      <c r="I1648" s="29">
        <v>1E-3</v>
      </c>
      <c r="K1648" s="21" t="str">
        <f>IF(E1648="","",IFERROR(VLOOKUP(E1648,REGRAS_CST!$A$2:$C$200,3,FALSE),""))</f>
        <v/>
      </c>
      <c r="L1648" s="23" t="str">
        <f>IF($G1648="", "", $G1648*(1-$V1648))</f>
        <v/>
      </c>
      <c r="M1648" s="24" t="str">
        <f>IF(OR($L1648="",$S1648=""),"",$L1648*$S1648)</f>
        <v/>
      </c>
      <c r="N1648" s="24" t="str">
        <f>IF(OR($L1648="",$T1648=""),"",$L1648*$T1648)</f>
        <v/>
      </c>
      <c r="O1648" s="15" t="str">
        <f>IF(D1648="","",
IF(AND(K1648&lt;&gt;"SIM",V1648&gt;0),"ERRO: % BC &gt; 0, mas NÃO permitida ❌",
IF(AND(K1648="SIM",V1648=0),"ATENÇÃO: BC permitida, mas % = 0 🔎",
"Base de cálculo aplicada corretamente ✅")))</f>
        <v/>
      </c>
      <c r="P1648" s="31" t="str">
        <f>IF(D1648="","",
IF(AND(Q1648&lt;&gt;"SIM",U1648&gt;0),"ERRO: % alíquota &gt; 0, mas NÃO permitida ❌",
IF(AND(Q1648="SIM",U1648=0),"ATENÇÃO: alíquota permitida, mas % = 0 🔎",
"Alíquota aplicada corretamente ✅")))</f>
        <v/>
      </c>
      <c r="Q1648" s="8" t="str">
        <f>IF(E1648="","",IFERROR(VLOOKUP(E1648,REGRAS_CST!$A$2:$D$200,4,FALSE),""))</f>
        <v/>
      </c>
      <c r="S1648" s="9">
        <f>IF($H1648="","",$H1648*(1-$U1648))</f>
        <v>8.9999999999999993E-3</v>
      </c>
      <c r="T1648" s="9">
        <f>IF($I1648="","",$I1648*(1-$U1648))</f>
        <v>1E-3</v>
      </c>
      <c r="U1648" s="16">
        <f>IFERROR(INDEX(BASE_CCLASSTRIB!$E:$E, MATCH(TEXT($D1648,"000000"), BASE_CCLASSTRIB!$A:$A, 0))/100, 0)</f>
        <v>0</v>
      </c>
      <c r="V1648" s="16">
        <f>IFERROR(INDEX(BASE_CCLASSTRIB!$F:$F, MATCH(TEXT($D1648,"000000"), BASE_CCLASSTRIB!$A:$A, 0))/100, 0)</f>
        <v>0</v>
      </c>
    </row>
    <row r="1649" spans="4:22" ht="32.25" customHeight="1">
      <c r="D1649" s="39"/>
      <c r="E1649" s="27" t="str">
        <f>IF(D1649="","",LEFT(D1649,3))</f>
        <v/>
      </c>
      <c r="F1649" s="28" t="str">
        <f>IF(E1649="","",IFERROR(VLOOKUP(E1649,REGRAS_CST!$A$2:$B$200,2,FALSE),""))</f>
        <v/>
      </c>
      <c r="H1649" s="29">
        <v>8.9999999999999993E-3</v>
      </c>
      <c r="I1649" s="29">
        <v>1E-3</v>
      </c>
      <c r="K1649" s="21" t="str">
        <f>IF(E1649="","",IFERROR(VLOOKUP(E1649,REGRAS_CST!$A$2:$C$200,3,FALSE),""))</f>
        <v/>
      </c>
      <c r="L1649" s="23" t="str">
        <f>IF($G1649="", "", $G1649*(1-$V1649))</f>
        <v/>
      </c>
      <c r="M1649" s="24" t="str">
        <f>IF(OR($L1649="",$S1649=""),"",$L1649*$S1649)</f>
        <v/>
      </c>
      <c r="N1649" s="24" t="str">
        <f>IF(OR($L1649="",$T1649=""),"",$L1649*$T1649)</f>
        <v/>
      </c>
      <c r="O1649" s="15" t="str">
        <f>IF(D1649="","",
IF(AND(K1649&lt;&gt;"SIM",V1649&gt;0),"ERRO: % BC &gt; 0, mas NÃO permitida ❌",
IF(AND(K1649="SIM",V1649=0),"ATENÇÃO: BC permitida, mas % = 0 🔎",
"Base de cálculo aplicada corretamente ✅")))</f>
        <v/>
      </c>
      <c r="P1649" s="31" t="str">
        <f>IF(D1649="","",
IF(AND(Q1649&lt;&gt;"SIM",U1649&gt;0),"ERRO: % alíquota &gt; 0, mas NÃO permitida ❌",
IF(AND(Q1649="SIM",U1649=0),"ATENÇÃO: alíquota permitida, mas % = 0 🔎",
"Alíquota aplicada corretamente ✅")))</f>
        <v/>
      </c>
      <c r="Q1649" s="8" t="str">
        <f>IF(E1649="","",IFERROR(VLOOKUP(E1649,REGRAS_CST!$A$2:$D$200,4,FALSE),""))</f>
        <v/>
      </c>
      <c r="S1649" s="9">
        <f>IF($H1649="","",$H1649*(1-$U1649))</f>
        <v>8.9999999999999993E-3</v>
      </c>
      <c r="T1649" s="9">
        <f>IF($I1649="","",$I1649*(1-$U1649))</f>
        <v>1E-3</v>
      </c>
      <c r="U1649" s="16">
        <f>IFERROR(INDEX(BASE_CCLASSTRIB!$E:$E, MATCH(TEXT($D1649,"000000"), BASE_CCLASSTRIB!$A:$A, 0))/100, 0)</f>
        <v>0</v>
      </c>
      <c r="V1649" s="16">
        <f>IFERROR(INDEX(BASE_CCLASSTRIB!$F:$F, MATCH(TEXT($D1649,"000000"), BASE_CCLASSTRIB!$A:$A, 0))/100, 0)</f>
        <v>0</v>
      </c>
    </row>
    <row r="1650" spans="4:22" ht="32.25" customHeight="1">
      <c r="D1650" s="39"/>
      <c r="E1650" s="27" t="str">
        <f>IF(D1650="","",LEFT(D1650,3))</f>
        <v/>
      </c>
      <c r="F1650" s="28" t="str">
        <f>IF(E1650="","",IFERROR(VLOOKUP(E1650,REGRAS_CST!$A$2:$B$200,2,FALSE),""))</f>
        <v/>
      </c>
      <c r="H1650" s="29">
        <v>8.9999999999999993E-3</v>
      </c>
      <c r="I1650" s="29">
        <v>1E-3</v>
      </c>
      <c r="K1650" s="21" t="str">
        <f>IF(E1650="","",IFERROR(VLOOKUP(E1650,REGRAS_CST!$A$2:$C$200,3,FALSE),""))</f>
        <v/>
      </c>
      <c r="L1650" s="23" t="str">
        <f>IF($G1650="", "", $G1650*(1-$V1650))</f>
        <v/>
      </c>
      <c r="M1650" s="24" t="str">
        <f>IF(OR($L1650="",$S1650=""),"",$L1650*$S1650)</f>
        <v/>
      </c>
      <c r="N1650" s="24" t="str">
        <f>IF(OR($L1650="",$T1650=""),"",$L1650*$T1650)</f>
        <v/>
      </c>
      <c r="O1650" s="15" t="str">
        <f>IF(D1650="","",
IF(AND(K1650&lt;&gt;"SIM",V1650&gt;0),"ERRO: % BC &gt; 0, mas NÃO permitida ❌",
IF(AND(K1650="SIM",V1650=0),"ATENÇÃO: BC permitida, mas % = 0 🔎",
"Base de cálculo aplicada corretamente ✅")))</f>
        <v/>
      </c>
      <c r="P1650" s="31" t="str">
        <f>IF(D1650="","",
IF(AND(Q1650&lt;&gt;"SIM",U1650&gt;0),"ERRO: % alíquota &gt; 0, mas NÃO permitida ❌",
IF(AND(Q1650="SIM",U1650=0),"ATENÇÃO: alíquota permitida, mas % = 0 🔎",
"Alíquota aplicada corretamente ✅")))</f>
        <v/>
      </c>
      <c r="Q1650" s="8" t="str">
        <f>IF(E1650="","",IFERROR(VLOOKUP(E1650,REGRAS_CST!$A$2:$D$200,4,FALSE),""))</f>
        <v/>
      </c>
      <c r="S1650" s="9">
        <f>IF($H1650="","",$H1650*(1-$U1650))</f>
        <v>8.9999999999999993E-3</v>
      </c>
      <c r="T1650" s="9">
        <f>IF($I1650="","",$I1650*(1-$U1650))</f>
        <v>1E-3</v>
      </c>
      <c r="U1650" s="16">
        <f>IFERROR(INDEX(BASE_CCLASSTRIB!$E:$E, MATCH(TEXT($D1650,"000000"), BASE_CCLASSTRIB!$A:$A, 0))/100, 0)</f>
        <v>0</v>
      </c>
      <c r="V1650" s="16">
        <f>IFERROR(INDEX(BASE_CCLASSTRIB!$F:$F, MATCH(TEXT($D1650,"000000"), BASE_CCLASSTRIB!$A:$A, 0))/100, 0)</f>
        <v>0</v>
      </c>
    </row>
    <row r="1651" spans="4:22" ht="32.25" customHeight="1">
      <c r="D1651" s="40"/>
      <c r="E1651" s="27" t="str">
        <f>IF(D1651="","",LEFT(D1651,3))</f>
        <v/>
      </c>
      <c r="F1651" s="28" t="str">
        <f>IF(E1651="","",IFERROR(VLOOKUP(E1651,REGRAS_CST!$A$2:$B$200,2,FALSE),""))</f>
        <v/>
      </c>
      <c r="H1651" s="29">
        <v>8.9999999999999993E-3</v>
      </c>
      <c r="I1651" s="29">
        <v>1E-3</v>
      </c>
      <c r="K1651" s="21" t="str">
        <f>IF(E1651="","",IFERROR(VLOOKUP(E1651,REGRAS_CST!$A$2:$C$200,3,FALSE),""))</f>
        <v/>
      </c>
      <c r="L1651" s="23" t="str">
        <f>IF($G1651="", "", $G1651*(1-$V1651))</f>
        <v/>
      </c>
      <c r="M1651" s="24" t="str">
        <f>IF(OR($L1651="",$S1651=""),"",$L1651*$S1651)</f>
        <v/>
      </c>
      <c r="N1651" s="24" t="str">
        <f>IF(OR($L1651="",$T1651=""),"",$L1651*$T1651)</f>
        <v/>
      </c>
      <c r="O1651" s="15" t="str">
        <f>IF(D1651="","",
IF(AND(K1651&lt;&gt;"SIM",V1651&gt;0),"ERRO: % BC &gt; 0, mas NÃO permitida ❌",
IF(AND(K1651="SIM",V1651=0),"ATENÇÃO: BC permitida, mas % = 0 🔎",
"Base de cálculo aplicada corretamente ✅")))</f>
        <v/>
      </c>
      <c r="P1651" s="31" t="str">
        <f>IF(D1651="","",
IF(AND(Q1651&lt;&gt;"SIM",U1651&gt;0),"ERRO: % alíquota &gt; 0, mas NÃO permitida ❌",
IF(AND(Q1651="SIM",U1651=0),"ATENÇÃO: alíquota permitida, mas % = 0 🔎",
"Alíquota aplicada corretamente ✅")))</f>
        <v/>
      </c>
      <c r="Q1651" s="8" t="str">
        <f>IF(E1651="","",IFERROR(VLOOKUP(E1651,REGRAS_CST!$A$2:$D$200,4,FALSE),""))</f>
        <v/>
      </c>
      <c r="S1651" s="9">
        <f>IF($H1651="","",$H1651*(1-$U1651))</f>
        <v>8.9999999999999993E-3</v>
      </c>
      <c r="T1651" s="9">
        <f>IF($I1651="","",$I1651*(1-$U1651))</f>
        <v>1E-3</v>
      </c>
      <c r="U1651" s="16">
        <f>IFERROR(INDEX(BASE_CCLASSTRIB!$E:$E, MATCH(TEXT($D1651,"000000"), BASE_CCLASSTRIB!$A:$A, 0))/100, 0)</f>
        <v>0</v>
      </c>
      <c r="V1651" s="16">
        <f>IFERROR(INDEX(BASE_CCLASSTRIB!$F:$F, MATCH(TEXT($D1651,"000000"), BASE_CCLASSTRIB!$A:$A, 0))/100, 0)</f>
        <v>0</v>
      </c>
    </row>
    <row r="1652" spans="4:22" ht="32.25" customHeight="1">
      <c r="D1652" s="40"/>
      <c r="E1652" s="27" t="str">
        <f>IF(D1652="","",LEFT(D1652,3))</f>
        <v/>
      </c>
      <c r="F1652" s="28" t="str">
        <f>IF(E1652="","",IFERROR(VLOOKUP(E1652,REGRAS_CST!$A$2:$B$200,2,FALSE),""))</f>
        <v/>
      </c>
      <c r="H1652" s="29">
        <v>8.9999999999999993E-3</v>
      </c>
      <c r="I1652" s="29">
        <v>1E-3</v>
      </c>
      <c r="K1652" s="21" t="str">
        <f>IF(E1652="","",IFERROR(VLOOKUP(E1652,REGRAS_CST!$A$2:$C$200,3,FALSE),""))</f>
        <v/>
      </c>
      <c r="L1652" s="23" t="str">
        <f>IF($G1652="", "", $G1652*(1-$V1652))</f>
        <v/>
      </c>
      <c r="M1652" s="24" t="str">
        <f>IF(OR($L1652="",$S1652=""),"",$L1652*$S1652)</f>
        <v/>
      </c>
      <c r="N1652" s="24" t="str">
        <f>IF(OR($L1652="",$T1652=""),"",$L1652*$T1652)</f>
        <v/>
      </c>
      <c r="O1652" s="15" t="str">
        <f>IF(D1652="","",
IF(AND(K1652&lt;&gt;"SIM",V1652&gt;0),"ERRO: % BC &gt; 0, mas NÃO permitida ❌",
IF(AND(K1652="SIM",V1652=0),"ATENÇÃO: BC permitida, mas % = 0 🔎",
"Base de cálculo aplicada corretamente ✅")))</f>
        <v/>
      </c>
      <c r="P1652" s="31" t="str">
        <f>IF(D1652="","",
IF(AND(Q1652&lt;&gt;"SIM",U1652&gt;0),"ERRO: % alíquota &gt; 0, mas NÃO permitida ❌",
IF(AND(Q1652="SIM",U1652=0),"ATENÇÃO: alíquota permitida, mas % = 0 🔎",
"Alíquota aplicada corretamente ✅")))</f>
        <v/>
      </c>
      <c r="Q1652" s="8" t="str">
        <f>IF(E1652="","",IFERROR(VLOOKUP(E1652,REGRAS_CST!$A$2:$D$200,4,FALSE),""))</f>
        <v/>
      </c>
      <c r="S1652" s="9">
        <f>IF($H1652="","",$H1652*(1-$U1652))</f>
        <v>8.9999999999999993E-3</v>
      </c>
      <c r="T1652" s="9">
        <f>IF($I1652="","",$I1652*(1-$U1652))</f>
        <v>1E-3</v>
      </c>
      <c r="U1652" s="16">
        <f>IFERROR(INDEX(BASE_CCLASSTRIB!$E:$E, MATCH(TEXT($D1652,"000000"), BASE_CCLASSTRIB!$A:$A, 0))/100, 0)</f>
        <v>0</v>
      </c>
      <c r="V1652" s="16">
        <f>IFERROR(INDEX(BASE_CCLASSTRIB!$F:$F, MATCH(TEXT($D1652,"000000"), BASE_CCLASSTRIB!$A:$A, 0))/100, 0)</f>
        <v>0</v>
      </c>
    </row>
    <row r="1653" spans="4:22" ht="32.25" customHeight="1">
      <c r="D1653" s="40"/>
      <c r="E1653" s="27" t="str">
        <f>IF(D1653="","",LEFT(D1653,3))</f>
        <v/>
      </c>
      <c r="F1653" s="28" t="str">
        <f>IF(E1653="","",IFERROR(VLOOKUP(E1653,REGRAS_CST!$A$2:$B$200,2,FALSE),""))</f>
        <v/>
      </c>
      <c r="H1653" s="29">
        <v>8.9999999999999993E-3</v>
      </c>
      <c r="I1653" s="29">
        <v>1E-3</v>
      </c>
      <c r="K1653" s="21" t="str">
        <f>IF(E1653="","",IFERROR(VLOOKUP(E1653,REGRAS_CST!$A$2:$C$200,3,FALSE),""))</f>
        <v/>
      </c>
      <c r="L1653" s="23" t="str">
        <f>IF($G1653="", "", $G1653*(1-$V1653))</f>
        <v/>
      </c>
      <c r="M1653" s="24" t="str">
        <f>IF(OR($L1653="",$S1653=""),"",$L1653*$S1653)</f>
        <v/>
      </c>
      <c r="N1653" s="24" t="str">
        <f>IF(OR($L1653="",$T1653=""),"",$L1653*$T1653)</f>
        <v/>
      </c>
      <c r="O1653" s="15" t="str">
        <f>IF(D1653="","",
IF(AND(K1653&lt;&gt;"SIM",V1653&gt;0),"ERRO: % BC &gt; 0, mas NÃO permitida ❌",
IF(AND(K1653="SIM",V1653=0),"ATENÇÃO: BC permitida, mas % = 0 🔎",
"Base de cálculo aplicada corretamente ✅")))</f>
        <v/>
      </c>
      <c r="P1653" s="31" t="str">
        <f>IF(D1653="","",
IF(AND(Q1653&lt;&gt;"SIM",U1653&gt;0),"ERRO: % alíquota &gt; 0, mas NÃO permitida ❌",
IF(AND(Q1653="SIM",U1653=0),"ATENÇÃO: alíquota permitida, mas % = 0 🔎",
"Alíquota aplicada corretamente ✅")))</f>
        <v/>
      </c>
      <c r="Q1653" s="8" t="str">
        <f>IF(E1653="","",IFERROR(VLOOKUP(E1653,REGRAS_CST!$A$2:$D$200,4,FALSE),""))</f>
        <v/>
      </c>
      <c r="S1653" s="9">
        <f>IF($H1653="","",$H1653*(1-$U1653))</f>
        <v>8.9999999999999993E-3</v>
      </c>
      <c r="T1653" s="9">
        <f>IF($I1653="","",$I1653*(1-$U1653))</f>
        <v>1E-3</v>
      </c>
      <c r="U1653" s="16">
        <f>IFERROR(INDEX(BASE_CCLASSTRIB!$E:$E, MATCH(TEXT($D1653,"000000"), BASE_CCLASSTRIB!$A:$A, 0))/100, 0)</f>
        <v>0</v>
      </c>
      <c r="V1653" s="16">
        <f>IFERROR(INDEX(BASE_CCLASSTRIB!$F:$F, MATCH(TEXT($D1653,"000000"), BASE_CCLASSTRIB!$A:$A, 0))/100, 0)</f>
        <v>0</v>
      </c>
    </row>
    <row r="1654" spans="4:22" ht="32.25" customHeight="1">
      <c r="D1654" s="40"/>
      <c r="E1654" s="27" t="str">
        <f>IF(D1654="","",LEFT(D1654,3))</f>
        <v/>
      </c>
      <c r="F1654" s="28" t="str">
        <f>IF(E1654="","",IFERROR(VLOOKUP(E1654,REGRAS_CST!$A$2:$B$200,2,FALSE),""))</f>
        <v/>
      </c>
      <c r="H1654" s="29">
        <v>8.9999999999999993E-3</v>
      </c>
      <c r="I1654" s="29">
        <v>1E-3</v>
      </c>
      <c r="K1654" s="21" t="str">
        <f>IF(E1654="","",IFERROR(VLOOKUP(E1654,REGRAS_CST!$A$2:$C$200,3,FALSE),""))</f>
        <v/>
      </c>
      <c r="L1654" s="23" t="str">
        <f>IF($G1654="", "", $G1654*(1-$V1654))</f>
        <v/>
      </c>
      <c r="M1654" s="24" t="str">
        <f>IF(OR($L1654="",$S1654=""),"",$L1654*$S1654)</f>
        <v/>
      </c>
      <c r="N1654" s="24" t="str">
        <f>IF(OR($L1654="",$T1654=""),"",$L1654*$T1654)</f>
        <v/>
      </c>
      <c r="O1654" s="15" t="str">
        <f>IF(D1654="","",
IF(AND(K1654&lt;&gt;"SIM",V1654&gt;0),"ERRO: % BC &gt; 0, mas NÃO permitida ❌",
IF(AND(K1654="SIM",V1654=0),"ATENÇÃO: BC permitida, mas % = 0 🔎",
"Base de cálculo aplicada corretamente ✅")))</f>
        <v/>
      </c>
      <c r="P1654" s="31" t="str">
        <f>IF(D1654="","",
IF(AND(Q1654&lt;&gt;"SIM",U1654&gt;0),"ERRO: % alíquota &gt; 0, mas NÃO permitida ❌",
IF(AND(Q1654="SIM",U1654=0),"ATENÇÃO: alíquota permitida, mas % = 0 🔎",
"Alíquota aplicada corretamente ✅")))</f>
        <v/>
      </c>
      <c r="Q1654" s="8" t="str">
        <f>IF(E1654="","",IFERROR(VLOOKUP(E1654,REGRAS_CST!$A$2:$D$200,4,FALSE),""))</f>
        <v/>
      </c>
      <c r="S1654" s="9">
        <f>IF($H1654="","",$H1654*(1-$U1654))</f>
        <v>8.9999999999999993E-3</v>
      </c>
      <c r="T1654" s="9">
        <f>IF($I1654="","",$I1654*(1-$U1654))</f>
        <v>1E-3</v>
      </c>
      <c r="U1654" s="16">
        <f>IFERROR(INDEX(BASE_CCLASSTRIB!$E:$E, MATCH(TEXT($D1654,"000000"), BASE_CCLASSTRIB!$A:$A, 0))/100, 0)</f>
        <v>0</v>
      </c>
      <c r="V1654" s="16">
        <f>IFERROR(INDEX(BASE_CCLASSTRIB!$F:$F, MATCH(TEXT($D1654,"000000"), BASE_CCLASSTRIB!$A:$A, 0))/100, 0)</f>
        <v>0</v>
      </c>
    </row>
    <row r="1655" spans="4:22" ht="32.25" customHeight="1">
      <c r="D1655" s="40"/>
      <c r="E1655" s="27" t="str">
        <f>IF(D1655="","",LEFT(D1655,3))</f>
        <v/>
      </c>
      <c r="F1655" s="28" t="str">
        <f>IF(E1655="","",IFERROR(VLOOKUP(E1655,REGRAS_CST!$A$2:$B$200,2,FALSE),""))</f>
        <v/>
      </c>
      <c r="H1655" s="29">
        <v>8.9999999999999993E-3</v>
      </c>
      <c r="I1655" s="29">
        <v>1E-3</v>
      </c>
      <c r="K1655" s="21" t="str">
        <f>IF(E1655="","",IFERROR(VLOOKUP(E1655,REGRAS_CST!$A$2:$C$200,3,FALSE),""))</f>
        <v/>
      </c>
      <c r="L1655" s="23" t="str">
        <f>IF($G1655="", "", $G1655*(1-$V1655))</f>
        <v/>
      </c>
      <c r="M1655" s="24" t="str">
        <f>IF(OR($L1655="",$S1655=""),"",$L1655*$S1655)</f>
        <v/>
      </c>
      <c r="N1655" s="24" t="str">
        <f>IF(OR($L1655="",$T1655=""),"",$L1655*$T1655)</f>
        <v/>
      </c>
      <c r="O1655" s="15" t="str">
        <f>IF(D1655="","",
IF(AND(K1655&lt;&gt;"SIM",V1655&gt;0),"ERRO: % BC &gt; 0, mas NÃO permitida ❌",
IF(AND(K1655="SIM",V1655=0),"ATENÇÃO: BC permitida, mas % = 0 🔎",
"Base de cálculo aplicada corretamente ✅")))</f>
        <v/>
      </c>
      <c r="P1655" s="31" t="str">
        <f>IF(D1655="","",
IF(AND(Q1655&lt;&gt;"SIM",U1655&gt;0),"ERRO: % alíquota &gt; 0, mas NÃO permitida ❌",
IF(AND(Q1655="SIM",U1655=0),"ATENÇÃO: alíquota permitida, mas % = 0 🔎",
"Alíquota aplicada corretamente ✅")))</f>
        <v/>
      </c>
      <c r="Q1655" s="8" t="str">
        <f>IF(E1655="","",IFERROR(VLOOKUP(E1655,REGRAS_CST!$A$2:$D$200,4,FALSE),""))</f>
        <v/>
      </c>
      <c r="S1655" s="9">
        <f>IF($H1655="","",$H1655*(1-$U1655))</f>
        <v>8.9999999999999993E-3</v>
      </c>
      <c r="T1655" s="9">
        <f>IF($I1655="","",$I1655*(1-$U1655))</f>
        <v>1E-3</v>
      </c>
      <c r="U1655" s="16">
        <f>IFERROR(INDEX(BASE_CCLASSTRIB!$E:$E, MATCH(TEXT($D1655,"000000"), BASE_CCLASSTRIB!$A:$A, 0))/100, 0)</f>
        <v>0</v>
      </c>
      <c r="V1655" s="16">
        <f>IFERROR(INDEX(BASE_CCLASSTRIB!$F:$F, MATCH(TEXT($D1655,"000000"), BASE_CCLASSTRIB!$A:$A, 0))/100, 0)</f>
        <v>0</v>
      </c>
    </row>
    <row r="1656" spans="4:22" ht="32.25" customHeight="1">
      <c r="D1656" s="39"/>
      <c r="E1656" s="27" t="str">
        <f>IF(D1656="","",LEFT(D1656,3))</f>
        <v/>
      </c>
      <c r="F1656" s="28" t="str">
        <f>IF(E1656="","",IFERROR(VLOOKUP(E1656,REGRAS_CST!$A$2:$B$200,2,FALSE),""))</f>
        <v/>
      </c>
      <c r="H1656" s="29">
        <v>8.9999999999999993E-3</v>
      </c>
      <c r="I1656" s="29">
        <v>1E-3</v>
      </c>
      <c r="K1656" s="21" t="str">
        <f>IF(E1656="","",IFERROR(VLOOKUP(E1656,REGRAS_CST!$A$2:$C$200,3,FALSE),""))</f>
        <v/>
      </c>
      <c r="L1656" s="23" t="str">
        <f>IF($G1656="", "", $G1656*(1-$V1656))</f>
        <v/>
      </c>
      <c r="M1656" s="24" t="str">
        <f>IF(OR($L1656="",$S1656=""),"",$L1656*$S1656)</f>
        <v/>
      </c>
      <c r="N1656" s="24" t="str">
        <f>IF(OR($L1656="",$T1656=""),"",$L1656*$T1656)</f>
        <v/>
      </c>
      <c r="O1656" s="15" t="str">
        <f>IF(D1656="","",
IF(AND(K1656&lt;&gt;"SIM",V1656&gt;0),"ERRO: % BC &gt; 0, mas NÃO permitida ❌",
IF(AND(K1656="SIM",V1656=0),"ATENÇÃO: BC permitida, mas % = 0 🔎",
"Base de cálculo aplicada corretamente ✅")))</f>
        <v/>
      </c>
      <c r="P1656" s="31" t="str">
        <f>IF(D1656="","",
IF(AND(Q1656&lt;&gt;"SIM",U1656&gt;0),"ERRO: % alíquota &gt; 0, mas NÃO permitida ❌",
IF(AND(Q1656="SIM",U1656=0),"ATENÇÃO: alíquota permitida, mas % = 0 🔎",
"Alíquota aplicada corretamente ✅")))</f>
        <v/>
      </c>
      <c r="Q1656" s="8" t="str">
        <f>IF(E1656="","",IFERROR(VLOOKUP(E1656,REGRAS_CST!$A$2:$D$200,4,FALSE),""))</f>
        <v/>
      </c>
      <c r="S1656" s="9">
        <f>IF($H1656="","",$H1656*(1-$U1656))</f>
        <v>8.9999999999999993E-3</v>
      </c>
      <c r="T1656" s="9">
        <f>IF($I1656="","",$I1656*(1-$U1656))</f>
        <v>1E-3</v>
      </c>
      <c r="U1656" s="16">
        <f>IFERROR(INDEX(BASE_CCLASSTRIB!$E:$E, MATCH(TEXT($D1656,"000000"), BASE_CCLASSTRIB!$A:$A, 0))/100, 0)</f>
        <v>0</v>
      </c>
      <c r="V1656" s="16">
        <f>IFERROR(INDEX(BASE_CCLASSTRIB!$F:$F, MATCH(TEXT($D1656,"000000"), BASE_CCLASSTRIB!$A:$A, 0))/100, 0)</f>
        <v>0</v>
      </c>
    </row>
    <row r="1657" spans="4:22" ht="32.25" customHeight="1">
      <c r="D1657" s="40"/>
      <c r="E1657" s="27" t="str">
        <f>IF(D1657="","",LEFT(D1657,3))</f>
        <v/>
      </c>
      <c r="F1657" s="28" t="str">
        <f>IF(E1657="","",IFERROR(VLOOKUP(E1657,REGRAS_CST!$A$2:$B$200,2,FALSE),""))</f>
        <v/>
      </c>
      <c r="H1657" s="29">
        <v>8.9999999999999993E-3</v>
      </c>
      <c r="I1657" s="29">
        <v>1E-3</v>
      </c>
      <c r="K1657" s="21" t="str">
        <f>IF(E1657="","",IFERROR(VLOOKUP(E1657,REGRAS_CST!$A$2:$C$200,3,FALSE),""))</f>
        <v/>
      </c>
      <c r="L1657" s="23" t="str">
        <f>IF($G1657="", "", $G1657*(1-$V1657))</f>
        <v/>
      </c>
      <c r="M1657" s="24" t="str">
        <f>IF(OR($L1657="",$S1657=""),"",$L1657*$S1657)</f>
        <v/>
      </c>
      <c r="N1657" s="24" t="str">
        <f>IF(OR($L1657="",$T1657=""),"",$L1657*$T1657)</f>
        <v/>
      </c>
      <c r="O1657" s="15" t="str">
        <f>IF(D1657="","",
IF(AND(K1657&lt;&gt;"SIM",V1657&gt;0),"ERRO: % BC &gt; 0, mas NÃO permitida ❌",
IF(AND(K1657="SIM",V1657=0),"ATENÇÃO: BC permitida, mas % = 0 🔎",
"Base de cálculo aplicada corretamente ✅")))</f>
        <v/>
      </c>
      <c r="P1657" s="31" t="str">
        <f>IF(D1657="","",
IF(AND(Q1657&lt;&gt;"SIM",U1657&gt;0),"ERRO: % alíquota &gt; 0, mas NÃO permitida ❌",
IF(AND(Q1657="SIM",U1657=0),"ATENÇÃO: alíquota permitida, mas % = 0 🔎",
"Alíquota aplicada corretamente ✅")))</f>
        <v/>
      </c>
      <c r="Q1657" s="8" t="str">
        <f>IF(E1657="","",IFERROR(VLOOKUP(E1657,REGRAS_CST!$A$2:$D$200,4,FALSE),""))</f>
        <v/>
      </c>
      <c r="S1657" s="9">
        <f>IF($H1657="","",$H1657*(1-$U1657))</f>
        <v>8.9999999999999993E-3</v>
      </c>
      <c r="T1657" s="9">
        <f>IF($I1657="","",$I1657*(1-$U1657))</f>
        <v>1E-3</v>
      </c>
      <c r="U1657" s="16">
        <f>IFERROR(INDEX(BASE_CCLASSTRIB!$E:$E, MATCH(TEXT($D1657,"000000"), BASE_CCLASSTRIB!$A:$A, 0))/100, 0)</f>
        <v>0</v>
      </c>
      <c r="V1657" s="16">
        <f>IFERROR(INDEX(BASE_CCLASSTRIB!$F:$F, MATCH(TEXT($D1657,"000000"), BASE_CCLASSTRIB!$A:$A, 0))/100, 0)</f>
        <v>0</v>
      </c>
    </row>
    <row r="1658" spans="4:22" ht="32.25" customHeight="1">
      <c r="D1658" s="39"/>
      <c r="E1658" s="27" t="str">
        <f>IF(D1658="","",LEFT(D1658,3))</f>
        <v/>
      </c>
      <c r="F1658" s="28" t="str">
        <f>IF(E1658="","",IFERROR(VLOOKUP(E1658,REGRAS_CST!$A$2:$B$200,2,FALSE),""))</f>
        <v/>
      </c>
      <c r="H1658" s="29">
        <v>8.9999999999999993E-3</v>
      </c>
      <c r="I1658" s="29">
        <v>1E-3</v>
      </c>
      <c r="K1658" s="21" t="str">
        <f>IF(E1658="","",IFERROR(VLOOKUP(E1658,REGRAS_CST!$A$2:$C$200,3,FALSE),""))</f>
        <v/>
      </c>
      <c r="L1658" s="23" t="str">
        <f>IF($G1658="", "", $G1658*(1-$V1658))</f>
        <v/>
      </c>
      <c r="M1658" s="24" t="str">
        <f>IF(OR($L1658="",$S1658=""),"",$L1658*$S1658)</f>
        <v/>
      </c>
      <c r="N1658" s="24" t="str">
        <f>IF(OR($L1658="",$T1658=""),"",$L1658*$T1658)</f>
        <v/>
      </c>
      <c r="O1658" s="15" t="str">
        <f>IF(D1658="","",
IF(AND(K1658&lt;&gt;"SIM",V1658&gt;0),"ERRO: % BC &gt; 0, mas NÃO permitida ❌",
IF(AND(K1658="SIM",V1658=0),"ATENÇÃO: BC permitida, mas % = 0 🔎",
"Base de cálculo aplicada corretamente ✅")))</f>
        <v/>
      </c>
      <c r="P1658" s="31" t="str">
        <f>IF(D1658="","",
IF(AND(Q1658&lt;&gt;"SIM",U1658&gt;0),"ERRO: % alíquota &gt; 0, mas NÃO permitida ❌",
IF(AND(Q1658="SIM",U1658=0),"ATENÇÃO: alíquota permitida, mas % = 0 🔎",
"Alíquota aplicada corretamente ✅")))</f>
        <v/>
      </c>
      <c r="Q1658" s="8" t="str">
        <f>IF(E1658="","",IFERROR(VLOOKUP(E1658,REGRAS_CST!$A$2:$D$200,4,FALSE),""))</f>
        <v/>
      </c>
      <c r="S1658" s="9">
        <f>IF($H1658="","",$H1658*(1-$U1658))</f>
        <v>8.9999999999999993E-3</v>
      </c>
      <c r="T1658" s="9">
        <f>IF($I1658="","",$I1658*(1-$U1658))</f>
        <v>1E-3</v>
      </c>
      <c r="U1658" s="16">
        <f>IFERROR(INDEX(BASE_CCLASSTRIB!$E:$E, MATCH(TEXT($D1658,"000000"), BASE_CCLASSTRIB!$A:$A, 0))/100, 0)</f>
        <v>0</v>
      </c>
      <c r="V1658" s="16">
        <f>IFERROR(INDEX(BASE_CCLASSTRIB!$F:$F, MATCH(TEXT($D1658,"000000"), BASE_CCLASSTRIB!$A:$A, 0))/100, 0)</f>
        <v>0</v>
      </c>
    </row>
    <row r="1659" spans="4:22" ht="32.25" customHeight="1">
      <c r="D1659" s="39"/>
      <c r="E1659" s="27" t="str">
        <f>IF(D1659="","",LEFT(D1659,3))</f>
        <v/>
      </c>
      <c r="F1659" s="28" t="str">
        <f>IF(E1659="","",IFERROR(VLOOKUP(E1659,REGRAS_CST!$A$2:$B$200,2,FALSE),""))</f>
        <v/>
      </c>
      <c r="H1659" s="29">
        <v>8.9999999999999993E-3</v>
      </c>
      <c r="I1659" s="29">
        <v>1E-3</v>
      </c>
      <c r="K1659" s="21" t="str">
        <f>IF(E1659="","",IFERROR(VLOOKUP(E1659,REGRAS_CST!$A$2:$C$200,3,FALSE),""))</f>
        <v/>
      </c>
      <c r="L1659" s="23" t="str">
        <f>IF($G1659="", "", $G1659*(1-$V1659))</f>
        <v/>
      </c>
      <c r="M1659" s="24" t="str">
        <f>IF(OR($L1659="",$S1659=""),"",$L1659*$S1659)</f>
        <v/>
      </c>
      <c r="N1659" s="24" t="str">
        <f>IF(OR($L1659="",$T1659=""),"",$L1659*$T1659)</f>
        <v/>
      </c>
      <c r="O1659" s="15" t="str">
        <f>IF(D1659="","",
IF(AND(K1659&lt;&gt;"SIM",V1659&gt;0),"ERRO: % BC &gt; 0, mas NÃO permitida ❌",
IF(AND(K1659="SIM",V1659=0),"ATENÇÃO: BC permitida, mas % = 0 🔎",
"Base de cálculo aplicada corretamente ✅")))</f>
        <v/>
      </c>
      <c r="P1659" s="31" t="str">
        <f>IF(D1659="","",
IF(AND(Q1659&lt;&gt;"SIM",U1659&gt;0),"ERRO: % alíquota &gt; 0, mas NÃO permitida ❌",
IF(AND(Q1659="SIM",U1659=0),"ATENÇÃO: alíquota permitida, mas % = 0 🔎",
"Alíquota aplicada corretamente ✅")))</f>
        <v/>
      </c>
      <c r="Q1659" s="8" t="str">
        <f>IF(E1659="","",IFERROR(VLOOKUP(E1659,REGRAS_CST!$A$2:$D$200,4,FALSE),""))</f>
        <v/>
      </c>
      <c r="S1659" s="9">
        <f>IF($H1659="","",$H1659*(1-$U1659))</f>
        <v>8.9999999999999993E-3</v>
      </c>
      <c r="T1659" s="9">
        <f>IF($I1659="","",$I1659*(1-$U1659))</f>
        <v>1E-3</v>
      </c>
      <c r="U1659" s="16">
        <f>IFERROR(INDEX(BASE_CCLASSTRIB!$E:$E, MATCH(TEXT($D1659,"000000"), BASE_CCLASSTRIB!$A:$A, 0))/100, 0)</f>
        <v>0</v>
      </c>
      <c r="V1659" s="16">
        <f>IFERROR(INDEX(BASE_CCLASSTRIB!$F:$F, MATCH(TEXT($D1659,"000000"), BASE_CCLASSTRIB!$A:$A, 0))/100, 0)</f>
        <v>0</v>
      </c>
    </row>
    <row r="1660" spans="4:22" ht="32.25" customHeight="1">
      <c r="D1660" s="39"/>
      <c r="E1660" s="27" t="str">
        <f>IF(D1660="","",LEFT(D1660,3))</f>
        <v/>
      </c>
      <c r="F1660" s="28" t="str">
        <f>IF(E1660="","",IFERROR(VLOOKUP(E1660,REGRAS_CST!$A$2:$B$200,2,FALSE),""))</f>
        <v/>
      </c>
      <c r="H1660" s="29">
        <v>8.9999999999999993E-3</v>
      </c>
      <c r="I1660" s="29">
        <v>1E-3</v>
      </c>
      <c r="K1660" s="21" t="str">
        <f>IF(E1660="","",IFERROR(VLOOKUP(E1660,REGRAS_CST!$A$2:$C$200,3,FALSE),""))</f>
        <v/>
      </c>
      <c r="L1660" s="23" t="str">
        <f>IF($G1660="", "", $G1660*(1-$V1660))</f>
        <v/>
      </c>
      <c r="M1660" s="24" t="str">
        <f>IF(OR($L1660="",$S1660=""),"",$L1660*$S1660)</f>
        <v/>
      </c>
      <c r="N1660" s="24" t="str">
        <f>IF(OR($L1660="",$T1660=""),"",$L1660*$T1660)</f>
        <v/>
      </c>
      <c r="O1660" s="15" t="str">
        <f>IF(D1660="","",
IF(AND(K1660&lt;&gt;"SIM",V1660&gt;0),"ERRO: % BC &gt; 0, mas NÃO permitida ❌",
IF(AND(K1660="SIM",V1660=0),"ATENÇÃO: BC permitida, mas % = 0 🔎",
"Base de cálculo aplicada corretamente ✅")))</f>
        <v/>
      </c>
      <c r="P1660" s="31" t="str">
        <f>IF(D1660="","",
IF(AND(Q1660&lt;&gt;"SIM",U1660&gt;0),"ERRO: % alíquota &gt; 0, mas NÃO permitida ❌",
IF(AND(Q1660="SIM",U1660=0),"ATENÇÃO: alíquota permitida, mas % = 0 🔎",
"Alíquota aplicada corretamente ✅")))</f>
        <v/>
      </c>
      <c r="Q1660" s="8" t="str">
        <f>IF(E1660="","",IFERROR(VLOOKUP(E1660,REGRAS_CST!$A$2:$D$200,4,FALSE),""))</f>
        <v/>
      </c>
      <c r="S1660" s="9">
        <f>IF($H1660="","",$H1660*(1-$U1660))</f>
        <v>8.9999999999999993E-3</v>
      </c>
      <c r="T1660" s="9">
        <f>IF($I1660="","",$I1660*(1-$U1660))</f>
        <v>1E-3</v>
      </c>
      <c r="U1660" s="16">
        <f>IFERROR(INDEX(BASE_CCLASSTRIB!$E:$E, MATCH(TEXT($D1660,"000000"), BASE_CCLASSTRIB!$A:$A, 0))/100, 0)</f>
        <v>0</v>
      </c>
      <c r="V1660" s="16">
        <f>IFERROR(INDEX(BASE_CCLASSTRIB!$F:$F, MATCH(TEXT($D1660,"000000"), BASE_CCLASSTRIB!$A:$A, 0))/100, 0)</f>
        <v>0</v>
      </c>
    </row>
    <row r="1661" spans="4:22" ht="32.25" customHeight="1">
      <c r="D1661" s="39"/>
      <c r="E1661" s="27" t="str">
        <f>IF(D1661="","",LEFT(D1661,3))</f>
        <v/>
      </c>
      <c r="F1661" s="28" t="str">
        <f>IF(E1661="","",IFERROR(VLOOKUP(E1661,REGRAS_CST!$A$2:$B$200,2,FALSE),""))</f>
        <v/>
      </c>
      <c r="H1661" s="29">
        <v>8.9999999999999993E-3</v>
      </c>
      <c r="I1661" s="29">
        <v>1E-3</v>
      </c>
      <c r="K1661" s="21" t="str">
        <f>IF(E1661="","",IFERROR(VLOOKUP(E1661,REGRAS_CST!$A$2:$C$200,3,FALSE),""))</f>
        <v/>
      </c>
      <c r="L1661" s="23" t="str">
        <f>IF($G1661="", "", $G1661*(1-$V1661))</f>
        <v/>
      </c>
      <c r="M1661" s="24" t="str">
        <f>IF(OR($L1661="",$S1661=""),"",$L1661*$S1661)</f>
        <v/>
      </c>
      <c r="N1661" s="24" t="str">
        <f>IF(OR($L1661="",$T1661=""),"",$L1661*$T1661)</f>
        <v/>
      </c>
      <c r="O1661" s="15" t="str">
        <f>IF(D1661="","",
IF(AND(K1661&lt;&gt;"SIM",V1661&gt;0),"ERRO: % BC &gt; 0, mas NÃO permitida ❌",
IF(AND(K1661="SIM",V1661=0),"ATENÇÃO: BC permitida, mas % = 0 🔎",
"Base de cálculo aplicada corretamente ✅")))</f>
        <v/>
      </c>
      <c r="P1661" s="31" t="str">
        <f>IF(D1661="","",
IF(AND(Q1661&lt;&gt;"SIM",U1661&gt;0),"ERRO: % alíquota &gt; 0, mas NÃO permitida ❌",
IF(AND(Q1661="SIM",U1661=0),"ATENÇÃO: alíquota permitida, mas % = 0 🔎",
"Alíquota aplicada corretamente ✅")))</f>
        <v/>
      </c>
      <c r="Q1661" s="8" t="str">
        <f>IF(E1661="","",IFERROR(VLOOKUP(E1661,REGRAS_CST!$A$2:$D$200,4,FALSE),""))</f>
        <v/>
      </c>
      <c r="S1661" s="9">
        <f>IF($H1661="","",$H1661*(1-$U1661))</f>
        <v>8.9999999999999993E-3</v>
      </c>
      <c r="T1661" s="9">
        <f>IF($I1661="","",$I1661*(1-$U1661))</f>
        <v>1E-3</v>
      </c>
      <c r="U1661" s="16">
        <f>IFERROR(INDEX(BASE_CCLASSTRIB!$E:$E, MATCH(TEXT($D1661,"000000"), BASE_CCLASSTRIB!$A:$A, 0))/100, 0)</f>
        <v>0</v>
      </c>
      <c r="V1661" s="16">
        <f>IFERROR(INDEX(BASE_CCLASSTRIB!$F:$F, MATCH(TEXT($D1661,"000000"), BASE_CCLASSTRIB!$A:$A, 0))/100, 0)</f>
        <v>0</v>
      </c>
    </row>
    <row r="1662" spans="4:22" ht="32.25" customHeight="1">
      <c r="D1662" s="39"/>
      <c r="E1662" s="27" t="str">
        <f>IF(D1662="","",LEFT(D1662,3))</f>
        <v/>
      </c>
      <c r="F1662" s="28" t="str">
        <f>IF(E1662="","",IFERROR(VLOOKUP(E1662,REGRAS_CST!$A$2:$B$200,2,FALSE),""))</f>
        <v/>
      </c>
      <c r="H1662" s="29">
        <v>8.9999999999999993E-3</v>
      </c>
      <c r="I1662" s="29">
        <v>1E-3</v>
      </c>
      <c r="K1662" s="21" t="str">
        <f>IF(E1662="","",IFERROR(VLOOKUP(E1662,REGRAS_CST!$A$2:$C$200,3,FALSE),""))</f>
        <v/>
      </c>
      <c r="L1662" s="23" t="str">
        <f>IF($G1662="", "", $G1662*(1-$V1662))</f>
        <v/>
      </c>
      <c r="M1662" s="24" t="str">
        <f>IF(OR($L1662="",$S1662=""),"",$L1662*$S1662)</f>
        <v/>
      </c>
      <c r="N1662" s="24" t="str">
        <f>IF(OR($L1662="",$T1662=""),"",$L1662*$T1662)</f>
        <v/>
      </c>
      <c r="O1662" s="15" t="str">
        <f>IF(D1662="","",
IF(AND(K1662&lt;&gt;"SIM",V1662&gt;0),"ERRO: % BC &gt; 0, mas NÃO permitida ❌",
IF(AND(K1662="SIM",V1662=0),"ATENÇÃO: BC permitida, mas % = 0 🔎",
"Base de cálculo aplicada corretamente ✅")))</f>
        <v/>
      </c>
      <c r="P1662" s="31" t="str">
        <f>IF(D1662="","",
IF(AND(Q1662&lt;&gt;"SIM",U1662&gt;0),"ERRO: % alíquota &gt; 0, mas NÃO permitida ❌",
IF(AND(Q1662="SIM",U1662=0),"ATENÇÃO: alíquota permitida, mas % = 0 🔎",
"Alíquota aplicada corretamente ✅")))</f>
        <v/>
      </c>
      <c r="Q1662" s="8" t="str">
        <f>IF(E1662="","",IFERROR(VLOOKUP(E1662,REGRAS_CST!$A$2:$D$200,4,FALSE),""))</f>
        <v/>
      </c>
      <c r="S1662" s="9">
        <f>IF($H1662="","",$H1662*(1-$U1662))</f>
        <v>8.9999999999999993E-3</v>
      </c>
      <c r="T1662" s="9">
        <f>IF($I1662="","",$I1662*(1-$U1662))</f>
        <v>1E-3</v>
      </c>
      <c r="U1662" s="16">
        <f>IFERROR(INDEX(BASE_CCLASSTRIB!$E:$E, MATCH(TEXT($D1662,"000000"), BASE_CCLASSTRIB!$A:$A, 0))/100, 0)</f>
        <v>0</v>
      </c>
      <c r="V1662" s="16">
        <f>IFERROR(INDEX(BASE_CCLASSTRIB!$F:$F, MATCH(TEXT($D1662,"000000"), BASE_CCLASSTRIB!$A:$A, 0))/100, 0)</f>
        <v>0</v>
      </c>
    </row>
    <row r="1663" spans="4:22" ht="32.25" customHeight="1">
      <c r="D1663" s="39"/>
      <c r="E1663" s="27" t="str">
        <f>IF(D1663="","",LEFT(D1663,3))</f>
        <v/>
      </c>
      <c r="F1663" s="28" t="str">
        <f>IF(E1663="","",IFERROR(VLOOKUP(E1663,REGRAS_CST!$A$2:$B$200,2,FALSE),""))</f>
        <v/>
      </c>
      <c r="H1663" s="29">
        <v>8.9999999999999993E-3</v>
      </c>
      <c r="I1663" s="29">
        <v>1E-3</v>
      </c>
      <c r="K1663" s="21" t="str">
        <f>IF(E1663="","",IFERROR(VLOOKUP(E1663,REGRAS_CST!$A$2:$C$200,3,FALSE),""))</f>
        <v/>
      </c>
      <c r="L1663" s="23" t="str">
        <f>IF($G1663="", "", $G1663*(1-$V1663))</f>
        <v/>
      </c>
      <c r="M1663" s="24" t="str">
        <f>IF(OR($L1663="",$S1663=""),"",$L1663*$S1663)</f>
        <v/>
      </c>
      <c r="N1663" s="24" t="str">
        <f>IF(OR($L1663="",$T1663=""),"",$L1663*$T1663)</f>
        <v/>
      </c>
      <c r="O1663" s="15" t="str">
        <f>IF(D1663="","",
IF(AND(K1663&lt;&gt;"SIM",V1663&gt;0),"ERRO: % BC &gt; 0, mas NÃO permitida ❌",
IF(AND(K1663="SIM",V1663=0),"ATENÇÃO: BC permitida, mas % = 0 🔎",
"Base de cálculo aplicada corretamente ✅")))</f>
        <v/>
      </c>
      <c r="P1663" s="31" t="str">
        <f>IF(D1663="","",
IF(AND(Q1663&lt;&gt;"SIM",U1663&gt;0),"ERRO: % alíquota &gt; 0, mas NÃO permitida ❌",
IF(AND(Q1663="SIM",U1663=0),"ATENÇÃO: alíquota permitida, mas % = 0 🔎",
"Alíquota aplicada corretamente ✅")))</f>
        <v/>
      </c>
      <c r="Q1663" s="8" t="str">
        <f>IF(E1663="","",IFERROR(VLOOKUP(E1663,REGRAS_CST!$A$2:$D$200,4,FALSE),""))</f>
        <v/>
      </c>
      <c r="S1663" s="9">
        <f>IF($H1663="","",$H1663*(1-$U1663))</f>
        <v>8.9999999999999993E-3</v>
      </c>
      <c r="T1663" s="9">
        <f>IF($I1663="","",$I1663*(1-$U1663))</f>
        <v>1E-3</v>
      </c>
      <c r="U1663" s="16">
        <f>IFERROR(INDEX(BASE_CCLASSTRIB!$E:$E, MATCH(TEXT($D1663,"000000"), BASE_CCLASSTRIB!$A:$A, 0))/100, 0)</f>
        <v>0</v>
      </c>
      <c r="V1663" s="16">
        <f>IFERROR(INDEX(BASE_CCLASSTRIB!$F:$F, MATCH(TEXT($D1663,"000000"), BASE_CCLASSTRIB!$A:$A, 0))/100, 0)</f>
        <v>0</v>
      </c>
    </row>
    <row r="1664" spans="4:22" ht="32.25" customHeight="1">
      <c r="D1664" s="40"/>
      <c r="E1664" s="27" t="str">
        <f>IF(D1664="","",LEFT(D1664,3))</f>
        <v/>
      </c>
      <c r="F1664" s="28" t="str">
        <f>IF(E1664="","",IFERROR(VLOOKUP(E1664,REGRAS_CST!$A$2:$B$200,2,FALSE),""))</f>
        <v/>
      </c>
      <c r="H1664" s="29">
        <v>8.9999999999999993E-3</v>
      </c>
      <c r="I1664" s="29">
        <v>1E-3</v>
      </c>
      <c r="K1664" s="21" t="str">
        <f>IF(E1664="","",IFERROR(VLOOKUP(E1664,REGRAS_CST!$A$2:$C$200,3,FALSE),""))</f>
        <v/>
      </c>
      <c r="L1664" s="23" t="str">
        <f>IF($G1664="", "", $G1664*(1-$V1664))</f>
        <v/>
      </c>
      <c r="M1664" s="24" t="str">
        <f>IF(OR($L1664="",$S1664=""),"",$L1664*$S1664)</f>
        <v/>
      </c>
      <c r="N1664" s="24" t="str">
        <f>IF(OR($L1664="",$T1664=""),"",$L1664*$T1664)</f>
        <v/>
      </c>
      <c r="O1664" s="15" t="str">
        <f>IF(D1664="","",
IF(AND(K1664&lt;&gt;"SIM",V1664&gt;0),"ERRO: % BC &gt; 0, mas NÃO permitida ❌",
IF(AND(K1664="SIM",V1664=0),"ATENÇÃO: BC permitida, mas % = 0 🔎",
"Base de cálculo aplicada corretamente ✅")))</f>
        <v/>
      </c>
      <c r="P1664" s="31" t="str">
        <f>IF(D1664="","",
IF(AND(Q1664&lt;&gt;"SIM",U1664&gt;0),"ERRO: % alíquota &gt; 0, mas NÃO permitida ❌",
IF(AND(Q1664="SIM",U1664=0),"ATENÇÃO: alíquota permitida, mas % = 0 🔎",
"Alíquota aplicada corretamente ✅")))</f>
        <v/>
      </c>
      <c r="Q1664" s="8" t="str">
        <f>IF(E1664="","",IFERROR(VLOOKUP(E1664,REGRAS_CST!$A$2:$D$200,4,FALSE),""))</f>
        <v/>
      </c>
      <c r="S1664" s="9">
        <f>IF($H1664="","",$H1664*(1-$U1664))</f>
        <v>8.9999999999999993E-3</v>
      </c>
      <c r="T1664" s="9">
        <f>IF($I1664="","",$I1664*(1-$U1664))</f>
        <v>1E-3</v>
      </c>
      <c r="U1664" s="16">
        <f>IFERROR(INDEX(BASE_CCLASSTRIB!$E:$E, MATCH(TEXT($D1664,"000000"), BASE_CCLASSTRIB!$A:$A, 0))/100, 0)</f>
        <v>0</v>
      </c>
      <c r="V1664" s="16">
        <f>IFERROR(INDEX(BASE_CCLASSTRIB!$F:$F, MATCH(TEXT($D1664,"000000"), BASE_CCLASSTRIB!$A:$A, 0))/100, 0)</f>
        <v>0</v>
      </c>
    </row>
    <row r="1665" spans="4:22" ht="32.25" customHeight="1">
      <c r="D1665" s="39"/>
      <c r="E1665" s="27" t="str">
        <f>IF(D1665="","",LEFT(D1665,3))</f>
        <v/>
      </c>
      <c r="F1665" s="28" t="str">
        <f>IF(E1665="","",IFERROR(VLOOKUP(E1665,REGRAS_CST!$A$2:$B$200,2,FALSE),""))</f>
        <v/>
      </c>
      <c r="H1665" s="29">
        <v>8.9999999999999993E-3</v>
      </c>
      <c r="I1665" s="29">
        <v>1E-3</v>
      </c>
      <c r="K1665" s="21" t="str">
        <f>IF(E1665="","",IFERROR(VLOOKUP(E1665,REGRAS_CST!$A$2:$C$200,3,FALSE),""))</f>
        <v/>
      </c>
      <c r="L1665" s="23" t="str">
        <f>IF($G1665="", "", $G1665*(1-$V1665))</f>
        <v/>
      </c>
      <c r="M1665" s="24" t="str">
        <f>IF(OR($L1665="",$S1665=""),"",$L1665*$S1665)</f>
        <v/>
      </c>
      <c r="N1665" s="24" t="str">
        <f>IF(OR($L1665="",$T1665=""),"",$L1665*$T1665)</f>
        <v/>
      </c>
      <c r="O1665" s="15" t="str">
        <f>IF(D1665="","",
IF(AND(K1665&lt;&gt;"SIM",V1665&gt;0),"ERRO: % BC &gt; 0, mas NÃO permitida ❌",
IF(AND(K1665="SIM",V1665=0),"ATENÇÃO: BC permitida, mas % = 0 🔎",
"Base de cálculo aplicada corretamente ✅")))</f>
        <v/>
      </c>
      <c r="P1665" s="31" t="str">
        <f>IF(D1665="","",
IF(AND(Q1665&lt;&gt;"SIM",U1665&gt;0),"ERRO: % alíquota &gt; 0, mas NÃO permitida ❌",
IF(AND(Q1665="SIM",U1665=0),"ATENÇÃO: alíquota permitida, mas % = 0 🔎",
"Alíquota aplicada corretamente ✅")))</f>
        <v/>
      </c>
      <c r="Q1665" s="8" t="str">
        <f>IF(E1665="","",IFERROR(VLOOKUP(E1665,REGRAS_CST!$A$2:$D$200,4,FALSE),""))</f>
        <v/>
      </c>
      <c r="S1665" s="9">
        <f>IF($H1665="","",$H1665*(1-$U1665))</f>
        <v>8.9999999999999993E-3</v>
      </c>
      <c r="T1665" s="9">
        <f>IF($I1665="","",$I1665*(1-$U1665))</f>
        <v>1E-3</v>
      </c>
      <c r="U1665" s="16">
        <f>IFERROR(INDEX(BASE_CCLASSTRIB!$E:$E, MATCH(TEXT($D1665,"000000"), BASE_CCLASSTRIB!$A:$A, 0))/100, 0)</f>
        <v>0</v>
      </c>
      <c r="V1665" s="16">
        <f>IFERROR(INDEX(BASE_CCLASSTRIB!$F:$F, MATCH(TEXT($D1665,"000000"), BASE_CCLASSTRIB!$A:$A, 0))/100, 0)</f>
        <v>0</v>
      </c>
    </row>
    <row r="1666" spans="4:22" ht="32.25" customHeight="1">
      <c r="D1666" s="39"/>
      <c r="E1666" s="27" t="str">
        <f>IF(D1666="","",LEFT(D1666,3))</f>
        <v/>
      </c>
      <c r="F1666" s="28" t="str">
        <f>IF(E1666="","",IFERROR(VLOOKUP(E1666,REGRAS_CST!$A$2:$B$200,2,FALSE),""))</f>
        <v/>
      </c>
      <c r="H1666" s="29">
        <v>8.9999999999999993E-3</v>
      </c>
      <c r="I1666" s="29">
        <v>1E-3</v>
      </c>
      <c r="K1666" s="21" t="str">
        <f>IF(E1666="","",IFERROR(VLOOKUP(E1666,REGRAS_CST!$A$2:$C$200,3,FALSE),""))</f>
        <v/>
      </c>
      <c r="L1666" s="23" t="str">
        <f>IF($G1666="", "", $G1666*(1-$V1666))</f>
        <v/>
      </c>
      <c r="M1666" s="24" t="str">
        <f>IF(OR($L1666="",$S1666=""),"",$L1666*$S1666)</f>
        <v/>
      </c>
      <c r="N1666" s="24" t="str">
        <f>IF(OR($L1666="",$T1666=""),"",$L1666*$T1666)</f>
        <v/>
      </c>
      <c r="O1666" s="15" t="str">
        <f>IF(D1666="","",
IF(AND(K1666&lt;&gt;"SIM",V1666&gt;0),"ERRO: % BC &gt; 0, mas NÃO permitida ❌",
IF(AND(K1666="SIM",V1666=0),"ATENÇÃO: BC permitida, mas % = 0 🔎",
"Base de cálculo aplicada corretamente ✅")))</f>
        <v/>
      </c>
      <c r="P1666" s="31" t="str">
        <f>IF(D1666="","",
IF(AND(Q1666&lt;&gt;"SIM",U1666&gt;0),"ERRO: % alíquota &gt; 0, mas NÃO permitida ❌",
IF(AND(Q1666="SIM",U1666=0),"ATENÇÃO: alíquota permitida, mas % = 0 🔎",
"Alíquota aplicada corretamente ✅")))</f>
        <v/>
      </c>
      <c r="Q1666" s="8" t="str">
        <f>IF(E1666="","",IFERROR(VLOOKUP(E1666,REGRAS_CST!$A$2:$D$200,4,FALSE),""))</f>
        <v/>
      </c>
      <c r="S1666" s="9">
        <f>IF($H1666="","",$H1666*(1-$U1666))</f>
        <v>8.9999999999999993E-3</v>
      </c>
      <c r="T1666" s="9">
        <f>IF($I1666="","",$I1666*(1-$U1666))</f>
        <v>1E-3</v>
      </c>
      <c r="U1666" s="16">
        <f>IFERROR(INDEX(BASE_CCLASSTRIB!$E:$E, MATCH(TEXT($D1666,"000000"), BASE_CCLASSTRIB!$A:$A, 0))/100, 0)</f>
        <v>0</v>
      </c>
      <c r="V1666" s="16">
        <f>IFERROR(INDEX(BASE_CCLASSTRIB!$F:$F, MATCH(TEXT($D1666,"000000"), BASE_CCLASSTRIB!$A:$A, 0))/100, 0)</f>
        <v>0</v>
      </c>
    </row>
    <row r="1667" spans="4:22" ht="32.25" customHeight="1">
      <c r="D1667" s="39"/>
      <c r="E1667" s="27" t="str">
        <f>IF(D1667="","",LEFT(D1667,3))</f>
        <v/>
      </c>
      <c r="F1667" s="28" t="str">
        <f>IF(E1667="","",IFERROR(VLOOKUP(E1667,REGRAS_CST!$A$2:$B$200,2,FALSE),""))</f>
        <v/>
      </c>
      <c r="H1667" s="29">
        <v>8.9999999999999993E-3</v>
      </c>
      <c r="I1667" s="29">
        <v>1E-3</v>
      </c>
      <c r="K1667" s="21" t="str">
        <f>IF(E1667="","",IFERROR(VLOOKUP(E1667,REGRAS_CST!$A$2:$C$200,3,FALSE),""))</f>
        <v/>
      </c>
      <c r="L1667" s="23" t="str">
        <f>IF($G1667="", "", $G1667*(1-$V1667))</f>
        <v/>
      </c>
      <c r="M1667" s="24" t="str">
        <f>IF(OR($L1667="",$S1667=""),"",$L1667*$S1667)</f>
        <v/>
      </c>
      <c r="N1667" s="24" t="str">
        <f>IF(OR($L1667="",$T1667=""),"",$L1667*$T1667)</f>
        <v/>
      </c>
      <c r="O1667" s="15" t="str">
        <f>IF(D1667="","",
IF(AND(K1667&lt;&gt;"SIM",V1667&gt;0),"ERRO: % BC &gt; 0, mas NÃO permitida ❌",
IF(AND(K1667="SIM",V1667=0),"ATENÇÃO: BC permitida, mas % = 0 🔎",
"Base de cálculo aplicada corretamente ✅")))</f>
        <v/>
      </c>
      <c r="P1667" s="31" t="str">
        <f>IF(D1667="","",
IF(AND(Q1667&lt;&gt;"SIM",U1667&gt;0),"ERRO: % alíquota &gt; 0, mas NÃO permitida ❌",
IF(AND(Q1667="SIM",U1667=0),"ATENÇÃO: alíquota permitida, mas % = 0 🔎",
"Alíquota aplicada corretamente ✅")))</f>
        <v/>
      </c>
      <c r="Q1667" s="8" t="str">
        <f>IF(E1667="","",IFERROR(VLOOKUP(E1667,REGRAS_CST!$A$2:$D$200,4,FALSE),""))</f>
        <v/>
      </c>
      <c r="S1667" s="9">
        <f>IF($H1667="","",$H1667*(1-$U1667))</f>
        <v>8.9999999999999993E-3</v>
      </c>
      <c r="T1667" s="9">
        <f>IF($I1667="","",$I1667*(1-$U1667))</f>
        <v>1E-3</v>
      </c>
      <c r="U1667" s="16">
        <f>IFERROR(INDEX(BASE_CCLASSTRIB!$E:$E, MATCH(TEXT($D1667,"000000"), BASE_CCLASSTRIB!$A:$A, 0))/100, 0)</f>
        <v>0</v>
      </c>
      <c r="V1667" s="16">
        <f>IFERROR(INDEX(BASE_CCLASSTRIB!$F:$F, MATCH(TEXT($D1667,"000000"), BASE_CCLASSTRIB!$A:$A, 0))/100, 0)</f>
        <v>0</v>
      </c>
    </row>
    <row r="1668" spans="4:22" ht="32.25" customHeight="1">
      <c r="D1668" s="40"/>
      <c r="E1668" s="27" t="str">
        <f>IF(D1668="","",LEFT(D1668,3))</f>
        <v/>
      </c>
      <c r="F1668" s="28" t="str">
        <f>IF(E1668="","",IFERROR(VLOOKUP(E1668,REGRAS_CST!$A$2:$B$200,2,FALSE),""))</f>
        <v/>
      </c>
      <c r="H1668" s="29">
        <v>8.9999999999999993E-3</v>
      </c>
      <c r="I1668" s="29">
        <v>1E-3</v>
      </c>
      <c r="K1668" s="21" t="str">
        <f>IF(E1668="","",IFERROR(VLOOKUP(E1668,REGRAS_CST!$A$2:$C$200,3,FALSE),""))</f>
        <v/>
      </c>
      <c r="L1668" s="23" t="str">
        <f>IF($G1668="", "", $G1668*(1-$V1668))</f>
        <v/>
      </c>
      <c r="M1668" s="24" t="str">
        <f>IF(OR($L1668="",$S1668=""),"",$L1668*$S1668)</f>
        <v/>
      </c>
      <c r="N1668" s="24" t="str">
        <f>IF(OR($L1668="",$T1668=""),"",$L1668*$T1668)</f>
        <v/>
      </c>
      <c r="O1668" s="15" t="str">
        <f>IF(D1668="","",
IF(AND(K1668&lt;&gt;"SIM",V1668&gt;0),"ERRO: % BC &gt; 0, mas NÃO permitida ❌",
IF(AND(K1668="SIM",V1668=0),"ATENÇÃO: BC permitida, mas % = 0 🔎",
"Base de cálculo aplicada corretamente ✅")))</f>
        <v/>
      </c>
      <c r="P1668" s="31" t="str">
        <f>IF(D1668="","",
IF(AND(Q1668&lt;&gt;"SIM",U1668&gt;0),"ERRO: % alíquota &gt; 0, mas NÃO permitida ❌",
IF(AND(Q1668="SIM",U1668=0),"ATENÇÃO: alíquota permitida, mas % = 0 🔎",
"Alíquota aplicada corretamente ✅")))</f>
        <v/>
      </c>
      <c r="Q1668" s="8" t="str">
        <f>IF(E1668="","",IFERROR(VLOOKUP(E1668,REGRAS_CST!$A$2:$D$200,4,FALSE),""))</f>
        <v/>
      </c>
      <c r="S1668" s="9">
        <f>IF($H1668="","",$H1668*(1-$U1668))</f>
        <v>8.9999999999999993E-3</v>
      </c>
      <c r="T1668" s="9">
        <f>IF($I1668="","",$I1668*(1-$U1668))</f>
        <v>1E-3</v>
      </c>
      <c r="U1668" s="16">
        <f>IFERROR(INDEX(BASE_CCLASSTRIB!$E:$E, MATCH(TEXT($D1668,"000000"), BASE_CCLASSTRIB!$A:$A, 0))/100, 0)</f>
        <v>0</v>
      </c>
      <c r="V1668" s="16">
        <f>IFERROR(INDEX(BASE_CCLASSTRIB!$F:$F, MATCH(TEXT($D1668,"000000"), BASE_CCLASSTRIB!$A:$A, 0))/100, 0)</f>
        <v>0</v>
      </c>
    </row>
    <row r="1669" spans="4:22" ht="32.25" customHeight="1">
      <c r="D1669" s="39"/>
      <c r="E1669" s="27" t="str">
        <f>IF(D1669="","",LEFT(D1669,3))</f>
        <v/>
      </c>
      <c r="F1669" s="28" t="str">
        <f>IF(E1669="","",IFERROR(VLOOKUP(E1669,REGRAS_CST!$A$2:$B$200,2,FALSE),""))</f>
        <v/>
      </c>
      <c r="H1669" s="29">
        <v>8.9999999999999993E-3</v>
      </c>
      <c r="I1669" s="29">
        <v>1E-3</v>
      </c>
      <c r="K1669" s="21" t="str">
        <f>IF(E1669="","",IFERROR(VLOOKUP(E1669,REGRAS_CST!$A$2:$C$200,3,FALSE),""))</f>
        <v/>
      </c>
      <c r="L1669" s="23" t="str">
        <f>IF($G1669="", "", $G1669*(1-$V1669))</f>
        <v/>
      </c>
      <c r="M1669" s="24" t="str">
        <f>IF(OR($L1669="",$S1669=""),"",$L1669*$S1669)</f>
        <v/>
      </c>
      <c r="N1669" s="24" t="str">
        <f>IF(OR($L1669="",$T1669=""),"",$L1669*$T1669)</f>
        <v/>
      </c>
      <c r="O1669" s="15" t="str">
        <f>IF(D1669="","",
IF(AND(K1669&lt;&gt;"SIM",V1669&gt;0),"ERRO: % BC &gt; 0, mas NÃO permitida ❌",
IF(AND(K1669="SIM",V1669=0),"ATENÇÃO: BC permitida, mas % = 0 🔎",
"Base de cálculo aplicada corretamente ✅")))</f>
        <v/>
      </c>
      <c r="P1669" s="31" t="str">
        <f>IF(D1669="","",
IF(AND(Q1669&lt;&gt;"SIM",U1669&gt;0),"ERRO: % alíquota &gt; 0, mas NÃO permitida ❌",
IF(AND(Q1669="SIM",U1669=0),"ATENÇÃO: alíquota permitida, mas % = 0 🔎",
"Alíquota aplicada corretamente ✅")))</f>
        <v/>
      </c>
      <c r="Q1669" s="8" t="str">
        <f>IF(E1669="","",IFERROR(VLOOKUP(E1669,REGRAS_CST!$A$2:$D$200,4,FALSE),""))</f>
        <v/>
      </c>
      <c r="S1669" s="9">
        <f>IF($H1669="","",$H1669*(1-$U1669))</f>
        <v>8.9999999999999993E-3</v>
      </c>
      <c r="T1669" s="9">
        <f>IF($I1669="","",$I1669*(1-$U1669))</f>
        <v>1E-3</v>
      </c>
      <c r="U1669" s="16">
        <f>IFERROR(INDEX(BASE_CCLASSTRIB!$E:$E, MATCH(TEXT($D1669,"000000"), BASE_CCLASSTRIB!$A:$A, 0))/100, 0)</f>
        <v>0</v>
      </c>
      <c r="V1669" s="16">
        <f>IFERROR(INDEX(BASE_CCLASSTRIB!$F:$F, MATCH(TEXT($D1669,"000000"), BASE_CCLASSTRIB!$A:$A, 0))/100, 0)</f>
        <v>0</v>
      </c>
    </row>
    <row r="1670" spans="4:22" ht="32.25" customHeight="1">
      <c r="D1670" s="39"/>
      <c r="E1670" s="27" t="str">
        <f>IF(D1670="","",LEFT(D1670,3))</f>
        <v/>
      </c>
      <c r="F1670" s="28" t="str">
        <f>IF(E1670="","",IFERROR(VLOOKUP(E1670,REGRAS_CST!$A$2:$B$200,2,FALSE),""))</f>
        <v/>
      </c>
      <c r="H1670" s="29">
        <v>8.9999999999999993E-3</v>
      </c>
      <c r="I1670" s="29">
        <v>1E-3</v>
      </c>
      <c r="K1670" s="21" t="str">
        <f>IF(E1670="","",IFERROR(VLOOKUP(E1670,REGRAS_CST!$A$2:$C$200,3,FALSE),""))</f>
        <v/>
      </c>
      <c r="L1670" s="23" t="str">
        <f>IF($G1670="", "", $G1670*(1-$V1670))</f>
        <v/>
      </c>
      <c r="M1670" s="24" t="str">
        <f>IF(OR($L1670="",$S1670=""),"",$L1670*$S1670)</f>
        <v/>
      </c>
      <c r="N1670" s="24" t="str">
        <f>IF(OR($L1670="",$T1670=""),"",$L1670*$T1670)</f>
        <v/>
      </c>
      <c r="O1670" s="15" t="str">
        <f>IF(D1670="","",
IF(AND(K1670&lt;&gt;"SIM",V1670&gt;0),"ERRO: % BC &gt; 0, mas NÃO permitida ❌",
IF(AND(K1670="SIM",V1670=0),"ATENÇÃO: BC permitida, mas % = 0 🔎",
"Base de cálculo aplicada corretamente ✅")))</f>
        <v/>
      </c>
      <c r="P1670" s="31" t="str">
        <f>IF(D1670="","",
IF(AND(Q1670&lt;&gt;"SIM",U1670&gt;0),"ERRO: % alíquota &gt; 0, mas NÃO permitida ❌",
IF(AND(Q1670="SIM",U1670=0),"ATENÇÃO: alíquota permitida, mas % = 0 🔎",
"Alíquota aplicada corretamente ✅")))</f>
        <v/>
      </c>
      <c r="Q1670" s="8" t="str">
        <f>IF(E1670="","",IFERROR(VLOOKUP(E1670,REGRAS_CST!$A$2:$D$200,4,FALSE),""))</f>
        <v/>
      </c>
      <c r="S1670" s="9">
        <f>IF($H1670="","",$H1670*(1-$U1670))</f>
        <v>8.9999999999999993E-3</v>
      </c>
      <c r="T1670" s="9">
        <f>IF($I1670="","",$I1670*(1-$U1670))</f>
        <v>1E-3</v>
      </c>
      <c r="U1670" s="16">
        <f>IFERROR(INDEX(BASE_CCLASSTRIB!$E:$E, MATCH(TEXT($D1670,"000000"), BASE_CCLASSTRIB!$A:$A, 0))/100, 0)</f>
        <v>0</v>
      </c>
      <c r="V1670" s="16">
        <f>IFERROR(INDEX(BASE_CCLASSTRIB!$F:$F, MATCH(TEXT($D1670,"000000"), BASE_CCLASSTRIB!$A:$A, 0))/100, 0)</f>
        <v>0</v>
      </c>
    </row>
    <row r="1671" spans="4:22" ht="32.25" customHeight="1">
      <c r="D1671" s="39"/>
      <c r="E1671" s="27" t="str">
        <f>IF(D1671="","",LEFT(D1671,3))</f>
        <v/>
      </c>
      <c r="F1671" s="28" t="str">
        <f>IF(E1671="","",IFERROR(VLOOKUP(E1671,REGRAS_CST!$A$2:$B$200,2,FALSE),""))</f>
        <v/>
      </c>
      <c r="H1671" s="29">
        <v>8.9999999999999993E-3</v>
      </c>
      <c r="I1671" s="29">
        <v>1E-3</v>
      </c>
      <c r="K1671" s="21" t="str">
        <f>IF(E1671="","",IFERROR(VLOOKUP(E1671,REGRAS_CST!$A$2:$C$200,3,FALSE),""))</f>
        <v/>
      </c>
      <c r="L1671" s="23" t="str">
        <f>IF($G1671="", "", $G1671*(1-$V1671))</f>
        <v/>
      </c>
      <c r="M1671" s="24" t="str">
        <f>IF(OR($L1671="",$S1671=""),"",$L1671*$S1671)</f>
        <v/>
      </c>
      <c r="N1671" s="24" t="str">
        <f>IF(OR($L1671="",$T1671=""),"",$L1671*$T1671)</f>
        <v/>
      </c>
      <c r="O1671" s="15" t="str">
        <f>IF(D1671="","",
IF(AND(K1671&lt;&gt;"SIM",V1671&gt;0),"ERRO: % BC &gt; 0, mas NÃO permitida ❌",
IF(AND(K1671="SIM",V1671=0),"ATENÇÃO: BC permitida, mas % = 0 🔎",
"Base de cálculo aplicada corretamente ✅")))</f>
        <v/>
      </c>
      <c r="P1671" s="31" t="str">
        <f>IF(D1671="","",
IF(AND(Q1671&lt;&gt;"SIM",U1671&gt;0),"ERRO: % alíquota &gt; 0, mas NÃO permitida ❌",
IF(AND(Q1671="SIM",U1671=0),"ATENÇÃO: alíquota permitida, mas % = 0 🔎",
"Alíquota aplicada corretamente ✅")))</f>
        <v/>
      </c>
      <c r="Q1671" s="8" t="str">
        <f>IF(E1671="","",IFERROR(VLOOKUP(E1671,REGRAS_CST!$A$2:$D$200,4,FALSE),""))</f>
        <v/>
      </c>
      <c r="S1671" s="9">
        <f>IF($H1671="","",$H1671*(1-$U1671))</f>
        <v>8.9999999999999993E-3</v>
      </c>
      <c r="T1671" s="9">
        <f>IF($I1671="","",$I1671*(1-$U1671))</f>
        <v>1E-3</v>
      </c>
      <c r="U1671" s="16">
        <f>IFERROR(INDEX(BASE_CCLASSTRIB!$E:$E, MATCH(TEXT($D1671,"000000"), BASE_CCLASSTRIB!$A:$A, 0))/100, 0)</f>
        <v>0</v>
      </c>
      <c r="V1671" s="16">
        <f>IFERROR(INDEX(BASE_CCLASSTRIB!$F:$F, MATCH(TEXT($D1671,"000000"), BASE_CCLASSTRIB!$A:$A, 0))/100, 0)</f>
        <v>0</v>
      </c>
    </row>
    <row r="1672" spans="4:22" ht="32.25" customHeight="1">
      <c r="D1672" s="40"/>
      <c r="E1672" s="27" t="str">
        <f>IF(D1672="","",LEFT(D1672,3))</f>
        <v/>
      </c>
      <c r="F1672" s="28" t="str">
        <f>IF(E1672="","",IFERROR(VLOOKUP(E1672,REGRAS_CST!$A$2:$B$200,2,FALSE),""))</f>
        <v/>
      </c>
      <c r="H1672" s="29">
        <v>8.9999999999999993E-3</v>
      </c>
      <c r="I1672" s="29">
        <v>1E-3</v>
      </c>
      <c r="K1672" s="21" t="str">
        <f>IF(E1672="","",IFERROR(VLOOKUP(E1672,REGRAS_CST!$A$2:$C$200,3,FALSE),""))</f>
        <v/>
      </c>
      <c r="L1672" s="23" t="str">
        <f>IF($G1672="", "", $G1672*(1-$V1672))</f>
        <v/>
      </c>
      <c r="M1672" s="24" t="str">
        <f>IF(OR($L1672="",$S1672=""),"",$L1672*$S1672)</f>
        <v/>
      </c>
      <c r="N1672" s="24" t="str">
        <f>IF(OR($L1672="",$T1672=""),"",$L1672*$T1672)</f>
        <v/>
      </c>
      <c r="O1672" s="15" t="str">
        <f>IF(D1672="","",
IF(AND(K1672&lt;&gt;"SIM",V1672&gt;0),"ERRO: % BC &gt; 0, mas NÃO permitida ❌",
IF(AND(K1672="SIM",V1672=0),"ATENÇÃO: BC permitida, mas % = 0 🔎",
"Base de cálculo aplicada corretamente ✅")))</f>
        <v/>
      </c>
      <c r="P1672" s="31" t="str">
        <f>IF(D1672="","",
IF(AND(Q1672&lt;&gt;"SIM",U1672&gt;0),"ERRO: % alíquota &gt; 0, mas NÃO permitida ❌",
IF(AND(Q1672="SIM",U1672=0),"ATENÇÃO: alíquota permitida, mas % = 0 🔎",
"Alíquota aplicada corretamente ✅")))</f>
        <v/>
      </c>
      <c r="Q1672" s="8" t="str">
        <f>IF(E1672="","",IFERROR(VLOOKUP(E1672,REGRAS_CST!$A$2:$D$200,4,FALSE),""))</f>
        <v/>
      </c>
      <c r="S1672" s="9">
        <f>IF($H1672="","",$H1672*(1-$U1672))</f>
        <v>8.9999999999999993E-3</v>
      </c>
      <c r="T1672" s="9">
        <f>IF($I1672="","",$I1672*(1-$U1672))</f>
        <v>1E-3</v>
      </c>
      <c r="U1672" s="16">
        <f>IFERROR(INDEX(BASE_CCLASSTRIB!$E:$E, MATCH(TEXT($D1672,"000000"), BASE_CCLASSTRIB!$A:$A, 0))/100, 0)</f>
        <v>0</v>
      </c>
      <c r="V1672" s="16">
        <f>IFERROR(INDEX(BASE_CCLASSTRIB!$F:$F, MATCH(TEXT($D1672,"000000"), BASE_CCLASSTRIB!$A:$A, 0))/100, 0)</f>
        <v>0</v>
      </c>
    </row>
    <row r="1673" spans="4:22" ht="32.25" customHeight="1">
      <c r="D1673" s="40"/>
      <c r="E1673" s="27" t="str">
        <f>IF(D1673="","",LEFT(D1673,3))</f>
        <v/>
      </c>
      <c r="F1673" s="28" t="str">
        <f>IF(E1673="","",IFERROR(VLOOKUP(E1673,REGRAS_CST!$A$2:$B$200,2,FALSE),""))</f>
        <v/>
      </c>
      <c r="H1673" s="29">
        <v>8.9999999999999993E-3</v>
      </c>
      <c r="I1673" s="29">
        <v>1E-3</v>
      </c>
      <c r="K1673" s="21" t="str">
        <f>IF(E1673="","",IFERROR(VLOOKUP(E1673,REGRAS_CST!$A$2:$C$200,3,FALSE),""))</f>
        <v/>
      </c>
      <c r="L1673" s="23" t="str">
        <f>IF($G1673="", "", $G1673*(1-$V1673))</f>
        <v/>
      </c>
      <c r="M1673" s="24" t="str">
        <f>IF(OR($L1673="",$S1673=""),"",$L1673*$S1673)</f>
        <v/>
      </c>
      <c r="N1673" s="24" t="str">
        <f>IF(OR($L1673="",$T1673=""),"",$L1673*$T1673)</f>
        <v/>
      </c>
      <c r="O1673" s="15" t="str">
        <f>IF(D1673="","",
IF(AND(K1673&lt;&gt;"SIM",V1673&gt;0),"ERRO: % BC &gt; 0, mas NÃO permitida ❌",
IF(AND(K1673="SIM",V1673=0),"ATENÇÃO: BC permitida, mas % = 0 🔎",
"Base de cálculo aplicada corretamente ✅")))</f>
        <v/>
      </c>
      <c r="P1673" s="31" t="str">
        <f>IF(D1673="","",
IF(AND(Q1673&lt;&gt;"SIM",U1673&gt;0),"ERRO: % alíquota &gt; 0, mas NÃO permitida ❌",
IF(AND(Q1673="SIM",U1673=0),"ATENÇÃO: alíquota permitida, mas % = 0 🔎",
"Alíquota aplicada corretamente ✅")))</f>
        <v/>
      </c>
      <c r="Q1673" s="8" t="str">
        <f>IF(E1673="","",IFERROR(VLOOKUP(E1673,REGRAS_CST!$A$2:$D$200,4,FALSE),""))</f>
        <v/>
      </c>
      <c r="S1673" s="9">
        <f>IF($H1673="","",$H1673*(1-$U1673))</f>
        <v>8.9999999999999993E-3</v>
      </c>
      <c r="T1673" s="9">
        <f>IF($I1673="","",$I1673*(1-$U1673))</f>
        <v>1E-3</v>
      </c>
      <c r="U1673" s="16">
        <f>IFERROR(INDEX(BASE_CCLASSTRIB!$E:$E, MATCH(TEXT($D1673,"000000"), BASE_CCLASSTRIB!$A:$A, 0))/100, 0)</f>
        <v>0</v>
      </c>
      <c r="V1673" s="16">
        <f>IFERROR(INDEX(BASE_CCLASSTRIB!$F:$F, MATCH(TEXT($D1673,"000000"), BASE_CCLASSTRIB!$A:$A, 0))/100, 0)</f>
        <v>0</v>
      </c>
    </row>
    <row r="1674" spans="4:22" ht="32.25" customHeight="1">
      <c r="D1674" s="39"/>
      <c r="E1674" s="27" t="str">
        <f>IF(D1674="","",LEFT(D1674,3))</f>
        <v/>
      </c>
      <c r="F1674" s="28" t="str">
        <f>IF(E1674="","",IFERROR(VLOOKUP(E1674,REGRAS_CST!$A$2:$B$200,2,FALSE),""))</f>
        <v/>
      </c>
      <c r="H1674" s="29">
        <v>8.9999999999999993E-3</v>
      </c>
      <c r="I1674" s="29">
        <v>1E-3</v>
      </c>
      <c r="K1674" s="21" t="str">
        <f>IF(E1674="","",IFERROR(VLOOKUP(E1674,REGRAS_CST!$A$2:$C$200,3,FALSE),""))</f>
        <v/>
      </c>
      <c r="L1674" s="23" t="str">
        <f>IF($G1674="", "", $G1674*(1-$V1674))</f>
        <v/>
      </c>
      <c r="M1674" s="24" t="str">
        <f>IF(OR($L1674="",$S1674=""),"",$L1674*$S1674)</f>
        <v/>
      </c>
      <c r="N1674" s="24" t="str">
        <f>IF(OR($L1674="",$T1674=""),"",$L1674*$T1674)</f>
        <v/>
      </c>
      <c r="O1674" s="15" t="str">
        <f>IF(D1674="","",
IF(AND(K1674&lt;&gt;"SIM",V1674&gt;0),"ERRO: % BC &gt; 0, mas NÃO permitida ❌",
IF(AND(K1674="SIM",V1674=0),"ATENÇÃO: BC permitida, mas % = 0 🔎",
"Base de cálculo aplicada corretamente ✅")))</f>
        <v/>
      </c>
      <c r="P1674" s="31" t="str">
        <f>IF(D1674="","",
IF(AND(Q1674&lt;&gt;"SIM",U1674&gt;0),"ERRO: % alíquota &gt; 0, mas NÃO permitida ❌",
IF(AND(Q1674="SIM",U1674=0),"ATENÇÃO: alíquota permitida, mas % = 0 🔎",
"Alíquota aplicada corretamente ✅")))</f>
        <v/>
      </c>
      <c r="Q1674" s="8" t="str">
        <f>IF(E1674="","",IFERROR(VLOOKUP(E1674,REGRAS_CST!$A$2:$D$200,4,FALSE),""))</f>
        <v/>
      </c>
      <c r="S1674" s="9">
        <f>IF($H1674="","",$H1674*(1-$U1674))</f>
        <v>8.9999999999999993E-3</v>
      </c>
      <c r="T1674" s="9">
        <f>IF($I1674="","",$I1674*(1-$U1674))</f>
        <v>1E-3</v>
      </c>
      <c r="U1674" s="16">
        <f>IFERROR(INDEX(BASE_CCLASSTRIB!$E:$E, MATCH(TEXT($D1674,"000000"), BASE_CCLASSTRIB!$A:$A, 0))/100, 0)</f>
        <v>0</v>
      </c>
      <c r="V1674" s="16">
        <f>IFERROR(INDEX(BASE_CCLASSTRIB!$F:$F, MATCH(TEXT($D1674,"000000"), BASE_CCLASSTRIB!$A:$A, 0))/100, 0)</f>
        <v>0</v>
      </c>
    </row>
    <row r="1675" spans="4:22" ht="32.25" customHeight="1">
      <c r="D1675" s="40"/>
      <c r="E1675" s="27" t="str">
        <f>IF(D1675="","",LEFT(D1675,3))</f>
        <v/>
      </c>
      <c r="F1675" s="28" t="str">
        <f>IF(E1675="","",IFERROR(VLOOKUP(E1675,REGRAS_CST!$A$2:$B$200,2,FALSE),""))</f>
        <v/>
      </c>
      <c r="H1675" s="29">
        <v>8.9999999999999993E-3</v>
      </c>
      <c r="I1675" s="29">
        <v>1E-3</v>
      </c>
      <c r="K1675" s="21" t="str">
        <f>IF(E1675="","",IFERROR(VLOOKUP(E1675,REGRAS_CST!$A$2:$C$200,3,FALSE),""))</f>
        <v/>
      </c>
      <c r="L1675" s="23" t="str">
        <f>IF($G1675="", "", $G1675*(1-$V1675))</f>
        <v/>
      </c>
      <c r="M1675" s="24" t="str">
        <f>IF(OR($L1675="",$S1675=""),"",$L1675*$S1675)</f>
        <v/>
      </c>
      <c r="N1675" s="24" t="str">
        <f>IF(OR($L1675="",$T1675=""),"",$L1675*$T1675)</f>
        <v/>
      </c>
      <c r="O1675" s="15" t="str">
        <f>IF(D1675="","",
IF(AND(K1675&lt;&gt;"SIM",V1675&gt;0),"ERRO: % BC &gt; 0, mas NÃO permitida ❌",
IF(AND(K1675="SIM",V1675=0),"ATENÇÃO: BC permitida, mas % = 0 🔎",
"Base de cálculo aplicada corretamente ✅")))</f>
        <v/>
      </c>
      <c r="P1675" s="31" t="str">
        <f>IF(D1675="","",
IF(AND(Q1675&lt;&gt;"SIM",U1675&gt;0),"ERRO: % alíquota &gt; 0, mas NÃO permitida ❌",
IF(AND(Q1675="SIM",U1675=0),"ATENÇÃO: alíquota permitida, mas % = 0 🔎",
"Alíquota aplicada corretamente ✅")))</f>
        <v/>
      </c>
      <c r="Q1675" s="8" t="str">
        <f>IF(E1675="","",IFERROR(VLOOKUP(E1675,REGRAS_CST!$A$2:$D$200,4,FALSE),""))</f>
        <v/>
      </c>
      <c r="S1675" s="9">
        <f>IF($H1675="","",$H1675*(1-$U1675))</f>
        <v>8.9999999999999993E-3</v>
      </c>
      <c r="T1675" s="9">
        <f>IF($I1675="","",$I1675*(1-$U1675))</f>
        <v>1E-3</v>
      </c>
      <c r="U1675" s="16">
        <f>IFERROR(INDEX(BASE_CCLASSTRIB!$E:$E, MATCH(TEXT($D1675,"000000"), BASE_CCLASSTRIB!$A:$A, 0))/100, 0)</f>
        <v>0</v>
      </c>
      <c r="V1675" s="16">
        <f>IFERROR(INDEX(BASE_CCLASSTRIB!$F:$F, MATCH(TEXT($D1675,"000000"), BASE_CCLASSTRIB!$A:$A, 0))/100, 0)</f>
        <v>0</v>
      </c>
    </row>
    <row r="1676" spans="4:22" ht="32.25" customHeight="1">
      <c r="D1676" s="39"/>
      <c r="E1676" s="27" t="str">
        <f>IF(D1676="","",LEFT(D1676,3))</f>
        <v/>
      </c>
      <c r="F1676" s="28" t="str">
        <f>IF(E1676="","",IFERROR(VLOOKUP(E1676,REGRAS_CST!$A$2:$B$200,2,FALSE),""))</f>
        <v/>
      </c>
      <c r="H1676" s="29">
        <v>8.9999999999999993E-3</v>
      </c>
      <c r="I1676" s="29">
        <v>1E-3</v>
      </c>
      <c r="K1676" s="21" t="str">
        <f>IF(E1676="","",IFERROR(VLOOKUP(E1676,REGRAS_CST!$A$2:$C$200,3,FALSE),""))</f>
        <v/>
      </c>
      <c r="L1676" s="23" t="str">
        <f>IF($G1676="", "", $G1676*(1-$V1676))</f>
        <v/>
      </c>
      <c r="M1676" s="24" t="str">
        <f>IF(OR($L1676="",$S1676=""),"",$L1676*$S1676)</f>
        <v/>
      </c>
      <c r="N1676" s="24" t="str">
        <f>IF(OR($L1676="",$T1676=""),"",$L1676*$T1676)</f>
        <v/>
      </c>
      <c r="O1676" s="15" t="str">
        <f>IF(D1676="","",
IF(AND(K1676&lt;&gt;"SIM",V1676&gt;0),"ERRO: % BC &gt; 0, mas NÃO permitida ❌",
IF(AND(K1676="SIM",V1676=0),"ATENÇÃO: BC permitida, mas % = 0 🔎",
"Base de cálculo aplicada corretamente ✅")))</f>
        <v/>
      </c>
      <c r="P1676" s="31" t="str">
        <f>IF(D1676="","",
IF(AND(Q1676&lt;&gt;"SIM",U1676&gt;0),"ERRO: % alíquota &gt; 0, mas NÃO permitida ❌",
IF(AND(Q1676="SIM",U1676=0),"ATENÇÃO: alíquota permitida, mas % = 0 🔎",
"Alíquota aplicada corretamente ✅")))</f>
        <v/>
      </c>
      <c r="Q1676" s="8" t="str">
        <f>IF(E1676="","",IFERROR(VLOOKUP(E1676,REGRAS_CST!$A$2:$D$200,4,FALSE),""))</f>
        <v/>
      </c>
      <c r="S1676" s="9">
        <f>IF($H1676="","",$H1676*(1-$U1676))</f>
        <v>8.9999999999999993E-3</v>
      </c>
      <c r="T1676" s="9">
        <f>IF($I1676="","",$I1676*(1-$U1676))</f>
        <v>1E-3</v>
      </c>
      <c r="U1676" s="16">
        <f>IFERROR(INDEX(BASE_CCLASSTRIB!$E:$E, MATCH(TEXT($D1676,"000000"), BASE_CCLASSTRIB!$A:$A, 0))/100, 0)</f>
        <v>0</v>
      </c>
      <c r="V1676" s="16">
        <f>IFERROR(INDEX(BASE_CCLASSTRIB!$F:$F, MATCH(TEXT($D1676,"000000"), BASE_CCLASSTRIB!$A:$A, 0))/100, 0)</f>
        <v>0</v>
      </c>
    </row>
    <row r="1677" spans="4:22" ht="32.25" customHeight="1">
      <c r="D1677" s="40"/>
      <c r="E1677" s="27" t="str">
        <f>IF(D1677="","",LEFT(D1677,3))</f>
        <v/>
      </c>
      <c r="F1677" s="28" t="str">
        <f>IF(E1677="","",IFERROR(VLOOKUP(E1677,REGRAS_CST!$A$2:$B$200,2,FALSE),""))</f>
        <v/>
      </c>
      <c r="H1677" s="29">
        <v>8.9999999999999993E-3</v>
      </c>
      <c r="I1677" s="29">
        <v>1E-3</v>
      </c>
      <c r="K1677" s="21" t="str">
        <f>IF(E1677="","",IFERROR(VLOOKUP(E1677,REGRAS_CST!$A$2:$C$200,3,FALSE),""))</f>
        <v/>
      </c>
      <c r="L1677" s="23" t="str">
        <f>IF($G1677="", "", $G1677*(1-$V1677))</f>
        <v/>
      </c>
      <c r="M1677" s="24" t="str">
        <f>IF(OR($L1677="",$S1677=""),"",$L1677*$S1677)</f>
        <v/>
      </c>
      <c r="N1677" s="24" t="str">
        <f>IF(OR($L1677="",$T1677=""),"",$L1677*$T1677)</f>
        <v/>
      </c>
      <c r="O1677" s="15" t="str">
        <f>IF(D1677="","",
IF(AND(K1677&lt;&gt;"SIM",V1677&gt;0),"ERRO: % BC &gt; 0, mas NÃO permitida ❌",
IF(AND(K1677="SIM",V1677=0),"ATENÇÃO: BC permitida, mas % = 0 🔎",
"Base de cálculo aplicada corretamente ✅")))</f>
        <v/>
      </c>
      <c r="P1677" s="31" t="str">
        <f>IF(D1677="","",
IF(AND(Q1677&lt;&gt;"SIM",U1677&gt;0),"ERRO: % alíquota &gt; 0, mas NÃO permitida ❌",
IF(AND(Q1677="SIM",U1677=0),"ATENÇÃO: alíquota permitida, mas % = 0 🔎",
"Alíquota aplicada corretamente ✅")))</f>
        <v/>
      </c>
      <c r="Q1677" s="8" t="str">
        <f>IF(E1677="","",IFERROR(VLOOKUP(E1677,REGRAS_CST!$A$2:$D$200,4,FALSE),""))</f>
        <v/>
      </c>
      <c r="S1677" s="9">
        <f>IF($H1677="","",$H1677*(1-$U1677))</f>
        <v>8.9999999999999993E-3</v>
      </c>
      <c r="T1677" s="9">
        <f>IF($I1677="","",$I1677*(1-$U1677))</f>
        <v>1E-3</v>
      </c>
      <c r="U1677" s="16">
        <f>IFERROR(INDEX(BASE_CCLASSTRIB!$E:$E, MATCH(TEXT($D1677,"000000"), BASE_CCLASSTRIB!$A:$A, 0))/100, 0)</f>
        <v>0</v>
      </c>
      <c r="V1677" s="16">
        <f>IFERROR(INDEX(BASE_CCLASSTRIB!$F:$F, MATCH(TEXT($D1677,"000000"), BASE_CCLASSTRIB!$A:$A, 0))/100, 0)</f>
        <v>0</v>
      </c>
    </row>
    <row r="1678" spans="4:22" ht="32.25" customHeight="1">
      <c r="D1678" s="39"/>
      <c r="E1678" s="27" t="str">
        <f>IF(D1678="","",LEFT(D1678,3))</f>
        <v/>
      </c>
      <c r="F1678" s="28" t="str">
        <f>IF(E1678="","",IFERROR(VLOOKUP(E1678,REGRAS_CST!$A$2:$B$200,2,FALSE),""))</f>
        <v/>
      </c>
      <c r="H1678" s="29">
        <v>8.9999999999999993E-3</v>
      </c>
      <c r="I1678" s="29">
        <v>1E-3</v>
      </c>
      <c r="K1678" s="21" t="str">
        <f>IF(E1678="","",IFERROR(VLOOKUP(E1678,REGRAS_CST!$A$2:$C$200,3,FALSE),""))</f>
        <v/>
      </c>
      <c r="L1678" s="23" t="str">
        <f>IF($G1678="", "", $G1678*(1-$V1678))</f>
        <v/>
      </c>
      <c r="M1678" s="24" t="str">
        <f>IF(OR($L1678="",$S1678=""),"",$L1678*$S1678)</f>
        <v/>
      </c>
      <c r="N1678" s="24" t="str">
        <f>IF(OR($L1678="",$T1678=""),"",$L1678*$T1678)</f>
        <v/>
      </c>
      <c r="O1678" s="15" t="str">
        <f>IF(D1678="","",
IF(AND(K1678&lt;&gt;"SIM",V1678&gt;0),"ERRO: % BC &gt; 0, mas NÃO permitida ❌",
IF(AND(K1678="SIM",V1678=0),"ATENÇÃO: BC permitida, mas % = 0 🔎",
"Base de cálculo aplicada corretamente ✅")))</f>
        <v/>
      </c>
      <c r="P1678" s="31" t="str">
        <f>IF(D1678="","",
IF(AND(Q1678&lt;&gt;"SIM",U1678&gt;0),"ERRO: % alíquota &gt; 0, mas NÃO permitida ❌",
IF(AND(Q1678="SIM",U1678=0),"ATENÇÃO: alíquota permitida, mas % = 0 🔎",
"Alíquota aplicada corretamente ✅")))</f>
        <v/>
      </c>
      <c r="Q1678" s="8" t="str">
        <f>IF(E1678="","",IFERROR(VLOOKUP(E1678,REGRAS_CST!$A$2:$D$200,4,FALSE),""))</f>
        <v/>
      </c>
      <c r="S1678" s="9">
        <f>IF($H1678="","",$H1678*(1-$U1678))</f>
        <v>8.9999999999999993E-3</v>
      </c>
      <c r="T1678" s="9">
        <f>IF($I1678="","",$I1678*(1-$U1678))</f>
        <v>1E-3</v>
      </c>
      <c r="U1678" s="16">
        <f>IFERROR(INDEX(BASE_CCLASSTRIB!$E:$E, MATCH(TEXT($D1678,"000000"), BASE_CCLASSTRIB!$A:$A, 0))/100, 0)</f>
        <v>0</v>
      </c>
      <c r="V1678" s="16">
        <f>IFERROR(INDEX(BASE_CCLASSTRIB!$F:$F, MATCH(TEXT($D1678,"000000"), BASE_CCLASSTRIB!$A:$A, 0))/100, 0)</f>
        <v>0</v>
      </c>
    </row>
    <row r="1679" spans="4:22" ht="32.25" customHeight="1">
      <c r="D1679" s="39"/>
      <c r="E1679" s="27" t="str">
        <f>IF(D1679="","",LEFT(D1679,3))</f>
        <v/>
      </c>
      <c r="F1679" s="28" t="str">
        <f>IF(E1679="","",IFERROR(VLOOKUP(E1679,REGRAS_CST!$A$2:$B$200,2,FALSE),""))</f>
        <v/>
      </c>
      <c r="H1679" s="29">
        <v>8.9999999999999993E-3</v>
      </c>
      <c r="I1679" s="29">
        <v>1E-3</v>
      </c>
      <c r="K1679" s="21" t="str">
        <f>IF(E1679="","",IFERROR(VLOOKUP(E1679,REGRAS_CST!$A$2:$C$200,3,FALSE),""))</f>
        <v/>
      </c>
      <c r="L1679" s="23" t="str">
        <f>IF($G1679="", "", $G1679*(1-$V1679))</f>
        <v/>
      </c>
      <c r="M1679" s="24" t="str">
        <f>IF(OR($L1679="",$S1679=""),"",$L1679*$S1679)</f>
        <v/>
      </c>
      <c r="N1679" s="24" t="str">
        <f>IF(OR($L1679="",$T1679=""),"",$L1679*$T1679)</f>
        <v/>
      </c>
      <c r="O1679" s="15" t="str">
        <f>IF(D1679="","",
IF(AND(K1679&lt;&gt;"SIM",V1679&gt;0),"ERRO: % BC &gt; 0, mas NÃO permitida ❌",
IF(AND(K1679="SIM",V1679=0),"ATENÇÃO: BC permitida, mas % = 0 🔎",
"Base de cálculo aplicada corretamente ✅")))</f>
        <v/>
      </c>
      <c r="P1679" s="31" t="str">
        <f>IF(D1679="","",
IF(AND(Q1679&lt;&gt;"SIM",U1679&gt;0),"ERRO: % alíquota &gt; 0, mas NÃO permitida ❌",
IF(AND(Q1679="SIM",U1679=0),"ATENÇÃO: alíquota permitida, mas % = 0 🔎",
"Alíquota aplicada corretamente ✅")))</f>
        <v/>
      </c>
      <c r="Q1679" s="8" t="str">
        <f>IF(E1679="","",IFERROR(VLOOKUP(E1679,REGRAS_CST!$A$2:$D$200,4,FALSE),""))</f>
        <v/>
      </c>
      <c r="S1679" s="9">
        <f>IF($H1679="","",$H1679*(1-$U1679))</f>
        <v>8.9999999999999993E-3</v>
      </c>
      <c r="T1679" s="9">
        <f>IF($I1679="","",$I1679*(1-$U1679))</f>
        <v>1E-3</v>
      </c>
      <c r="U1679" s="16">
        <f>IFERROR(INDEX(BASE_CCLASSTRIB!$E:$E, MATCH(TEXT($D1679,"000000"), BASE_CCLASSTRIB!$A:$A, 0))/100, 0)</f>
        <v>0</v>
      </c>
      <c r="V1679" s="16">
        <f>IFERROR(INDEX(BASE_CCLASSTRIB!$F:$F, MATCH(TEXT($D1679,"000000"), BASE_CCLASSTRIB!$A:$A, 0))/100, 0)</f>
        <v>0</v>
      </c>
    </row>
    <row r="1680" spans="4:22" ht="32.25" customHeight="1">
      <c r="D1680" s="40"/>
      <c r="E1680" s="27" t="str">
        <f>IF(D1680="","",LEFT(D1680,3))</f>
        <v/>
      </c>
      <c r="F1680" s="28" t="str">
        <f>IF(E1680="","",IFERROR(VLOOKUP(E1680,REGRAS_CST!$A$2:$B$200,2,FALSE),""))</f>
        <v/>
      </c>
      <c r="H1680" s="29">
        <v>8.9999999999999993E-3</v>
      </c>
      <c r="I1680" s="29">
        <v>1E-3</v>
      </c>
      <c r="K1680" s="21" t="str">
        <f>IF(E1680="","",IFERROR(VLOOKUP(E1680,REGRAS_CST!$A$2:$C$200,3,FALSE),""))</f>
        <v/>
      </c>
      <c r="L1680" s="23" t="str">
        <f>IF($G1680="", "", $G1680*(1-$V1680))</f>
        <v/>
      </c>
      <c r="M1680" s="24" t="str">
        <f>IF(OR($L1680="",$S1680=""),"",$L1680*$S1680)</f>
        <v/>
      </c>
      <c r="N1680" s="24" t="str">
        <f>IF(OR($L1680="",$T1680=""),"",$L1680*$T1680)</f>
        <v/>
      </c>
      <c r="O1680" s="15" t="str">
        <f>IF(D1680="","",
IF(AND(K1680&lt;&gt;"SIM",V1680&gt;0),"ERRO: % BC &gt; 0, mas NÃO permitida ❌",
IF(AND(K1680="SIM",V1680=0),"ATENÇÃO: BC permitida, mas % = 0 🔎",
"Base de cálculo aplicada corretamente ✅")))</f>
        <v/>
      </c>
      <c r="P1680" s="31" t="str">
        <f>IF(D1680="","",
IF(AND(Q1680&lt;&gt;"SIM",U1680&gt;0),"ERRO: % alíquota &gt; 0, mas NÃO permitida ❌",
IF(AND(Q1680="SIM",U1680=0),"ATENÇÃO: alíquota permitida, mas % = 0 🔎",
"Alíquota aplicada corretamente ✅")))</f>
        <v/>
      </c>
      <c r="Q1680" s="8" t="str">
        <f>IF(E1680="","",IFERROR(VLOOKUP(E1680,REGRAS_CST!$A$2:$D$200,4,FALSE),""))</f>
        <v/>
      </c>
      <c r="S1680" s="9">
        <f>IF($H1680="","",$H1680*(1-$U1680))</f>
        <v>8.9999999999999993E-3</v>
      </c>
      <c r="T1680" s="9">
        <f>IF($I1680="","",$I1680*(1-$U1680))</f>
        <v>1E-3</v>
      </c>
      <c r="U1680" s="16">
        <f>IFERROR(INDEX(BASE_CCLASSTRIB!$E:$E, MATCH(TEXT($D1680,"000000"), BASE_CCLASSTRIB!$A:$A, 0))/100, 0)</f>
        <v>0</v>
      </c>
      <c r="V1680" s="16">
        <f>IFERROR(INDEX(BASE_CCLASSTRIB!$F:$F, MATCH(TEXT($D1680,"000000"), BASE_CCLASSTRIB!$A:$A, 0))/100, 0)</f>
        <v>0</v>
      </c>
    </row>
    <row r="1681" spans="4:22" ht="32.25" customHeight="1">
      <c r="D1681" s="40"/>
      <c r="E1681" s="27" t="str">
        <f>IF(D1681="","",LEFT(D1681,3))</f>
        <v/>
      </c>
      <c r="F1681" s="28" t="str">
        <f>IF(E1681="","",IFERROR(VLOOKUP(E1681,REGRAS_CST!$A$2:$B$200,2,FALSE),""))</f>
        <v/>
      </c>
      <c r="H1681" s="29">
        <v>8.9999999999999993E-3</v>
      </c>
      <c r="I1681" s="29">
        <v>1E-3</v>
      </c>
      <c r="K1681" s="21" t="str">
        <f>IF(E1681="","",IFERROR(VLOOKUP(E1681,REGRAS_CST!$A$2:$C$200,3,FALSE),""))</f>
        <v/>
      </c>
      <c r="L1681" s="23" t="str">
        <f>IF($G1681="", "", $G1681*(1-$V1681))</f>
        <v/>
      </c>
      <c r="M1681" s="24" t="str">
        <f>IF(OR($L1681="",$S1681=""),"",$L1681*$S1681)</f>
        <v/>
      </c>
      <c r="N1681" s="24" t="str">
        <f>IF(OR($L1681="",$T1681=""),"",$L1681*$T1681)</f>
        <v/>
      </c>
      <c r="O1681" s="15" t="str">
        <f>IF(D1681="","",
IF(AND(K1681&lt;&gt;"SIM",V1681&gt;0),"ERRO: % BC &gt; 0, mas NÃO permitida ❌",
IF(AND(K1681="SIM",V1681=0),"ATENÇÃO: BC permitida, mas % = 0 🔎",
"Base de cálculo aplicada corretamente ✅")))</f>
        <v/>
      </c>
      <c r="P1681" s="31" t="str">
        <f>IF(D1681="","",
IF(AND(Q1681&lt;&gt;"SIM",U1681&gt;0),"ERRO: % alíquota &gt; 0, mas NÃO permitida ❌",
IF(AND(Q1681="SIM",U1681=0),"ATENÇÃO: alíquota permitida, mas % = 0 🔎",
"Alíquota aplicada corretamente ✅")))</f>
        <v/>
      </c>
      <c r="Q1681" s="8" t="str">
        <f>IF(E1681="","",IFERROR(VLOOKUP(E1681,REGRAS_CST!$A$2:$D$200,4,FALSE),""))</f>
        <v/>
      </c>
      <c r="S1681" s="9">
        <f>IF($H1681="","",$H1681*(1-$U1681))</f>
        <v>8.9999999999999993E-3</v>
      </c>
      <c r="T1681" s="9">
        <f>IF($I1681="","",$I1681*(1-$U1681))</f>
        <v>1E-3</v>
      </c>
      <c r="U1681" s="16">
        <f>IFERROR(INDEX(BASE_CCLASSTRIB!$E:$E, MATCH(TEXT($D1681,"000000"), BASE_CCLASSTRIB!$A:$A, 0))/100, 0)</f>
        <v>0</v>
      </c>
      <c r="V1681" s="16">
        <f>IFERROR(INDEX(BASE_CCLASSTRIB!$F:$F, MATCH(TEXT($D1681,"000000"), BASE_CCLASSTRIB!$A:$A, 0))/100, 0)</f>
        <v>0</v>
      </c>
    </row>
    <row r="1682" spans="4:22" ht="32.25" customHeight="1">
      <c r="D1682" s="40"/>
      <c r="E1682" s="27" t="str">
        <f>IF(D1682="","",LEFT(D1682,3))</f>
        <v/>
      </c>
      <c r="F1682" s="28" t="str">
        <f>IF(E1682="","",IFERROR(VLOOKUP(E1682,REGRAS_CST!$A$2:$B$200,2,FALSE),""))</f>
        <v/>
      </c>
      <c r="H1682" s="29">
        <v>8.9999999999999993E-3</v>
      </c>
      <c r="I1682" s="29">
        <v>1E-3</v>
      </c>
      <c r="K1682" s="21" t="str">
        <f>IF(E1682="","",IFERROR(VLOOKUP(E1682,REGRAS_CST!$A$2:$C$200,3,FALSE),""))</f>
        <v/>
      </c>
      <c r="L1682" s="23" t="str">
        <f>IF($G1682="", "", $G1682*(1-$V1682))</f>
        <v/>
      </c>
      <c r="M1682" s="24" t="str">
        <f>IF(OR($L1682="",$S1682=""),"",$L1682*$S1682)</f>
        <v/>
      </c>
      <c r="N1682" s="24" t="str">
        <f>IF(OR($L1682="",$T1682=""),"",$L1682*$T1682)</f>
        <v/>
      </c>
      <c r="O1682" s="15" t="str">
        <f>IF(D1682="","",
IF(AND(K1682&lt;&gt;"SIM",V1682&gt;0),"ERRO: % BC &gt; 0, mas NÃO permitida ❌",
IF(AND(K1682="SIM",V1682=0),"ATENÇÃO: BC permitida, mas % = 0 🔎",
"Base de cálculo aplicada corretamente ✅")))</f>
        <v/>
      </c>
      <c r="P1682" s="31" t="str">
        <f>IF(D1682="","",
IF(AND(Q1682&lt;&gt;"SIM",U1682&gt;0),"ERRO: % alíquota &gt; 0, mas NÃO permitida ❌",
IF(AND(Q1682="SIM",U1682=0),"ATENÇÃO: alíquota permitida, mas % = 0 🔎",
"Alíquota aplicada corretamente ✅")))</f>
        <v/>
      </c>
      <c r="Q1682" s="8" t="str">
        <f>IF(E1682="","",IFERROR(VLOOKUP(E1682,REGRAS_CST!$A$2:$D$200,4,FALSE),""))</f>
        <v/>
      </c>
      <c r="S1682" s="9">
        <f>IF($H1682="","",$H1682*(1-$U1682))</f>
        <v>8.9999999999999993E-3</v>
      </c>
      <c r="T1682" s="9">
        <f>IF($I1682="","",$I1682*(1-$U1682))</f>
        <v>1E-3</v>
      </c>
      <c r="U1682" s="16">
        <f>IFERROR(INDEX(BASE_CCLASSTRIB!$E:$E, MATCH(TEXT($D1682,"000000"), BASE_CCLASSTRIB!$A:$A, 0))/100, 0)</f>
        <v>0</v>
      </c>
      <c r="V1682" s="16">
        <f>IFERROR(INDEX(BASE_CCLASSTRIB!$F:$F, MATCH(TEXT($D1682,"000000"), BASE_CCLASSTRIB!$A:$A, 0))/100, 0)</f>
        <v>0</v>
      </c>
    </row>
    <row r="1683" spans="4:22" ht="32.25" customHeight="1">
      <c r="D1683" s="39"/>
      <c r="E1683" s="27" t="str">
        <f>IF(D1683="","",LEFT(D1683,3))</f>
        <v/>
      </c>
      <c r="F1683" s="28" t="str">
        <f>IF(E1683="","",IFERROR(VLOOKUP(E1683,REGRAS_CST!$A$2:$B$200,2,FALSE),""))</f>
        <v/>
      </c>
      <c r="H1683" s="29">
        <v>8.9999999999999993E-3</v>
      </c>
      <c r="I1683" s="29">
        <v>1E-3</v>
      </c>
      <c r="K1683" s="21" t="str">
        <f>IF(E1683="","",IFERROR(VLOOKUP(E1683,REGRAS_CST!$A$2:$C$200,3,FALSE),""))</f>
        <v/>
      </c>
      <c r="L1683" s="23" t="str">
        <f>IF($G1683="", "", $G1683*(1-$V1683))</f>
        <v/>
      </c>
      <c r="M1683" s="24" t="str">
        <f>IF(OR($L1683="",$S1683=""),"",$L1683*$S1683)</f>
        <v/>
      </c>
      <c r="N1683" s="24" t="str">
        <f>IF(OR($L1683="",$T1683=""),"",$L1683*$T1683)</f>
        <v/>
      </c>
      <c r="O1683" s="15" t="str">
        <f>IF(D1683="","",
IF(AND(K1683&lt;&gt;"SIM",V1683&gt;0),"ERRO: % BC &gt; 0, mas NÃO permitida ❌",
IF(AND(K1683="SIM",V1683=0),"ATENÇÃO: BC permitida, mas % = 0 🔎",
"Base de cálculo aplicada corretamente ✅")))</f>
        <v/>
      </c>
      <c r="P1683" s="31" t="str">
        <f>IF(D1683="","",
IF(AND(Q1683&lt;&gt;"SIM",U1683&gt;0),"ERRO: % alíquota &gt; 0, mas NÃO permitida ❌",
IF(AND(Q1683="SIM",U1683=0),"ATENÇÃO: alíquota permitida, mas % = 0 🔎",
"Alíquota aplicada corretamente ✅")))</f>
        <v/>
      </c>
      <c r="Q1683" s="8" t="str">
        <f>IF(E1683="","",IFERROR(VLOOKUP(E1683,REGRAS_CST!$A$2:$D$200,4,FALSE),""))</f>
        <v/>
      </c>
      <c r="S1683" s="9">
        <f>IF($H1683="","",$H1683*(1-$U1683))</f>
        <v>8.9999999999999993E-3</v>
      </c>
      <c r="T1683" s="9">
        <f>IF($I1683="","",$I1683*(1-$U1683))</f>
        <v>1E-3</v>
      </c>
      <c r="U1683" s="16">
        <f>IFERROR(INDEX(BASE_CCLASSTRIB!$E:$E, MATCH(TEXT($D1683,"000000"), BASE_CCLASSTRIB!$A:$A, 0))/100, 0)</f>
        <v>0</v>
      </c>
      <c r="V1683" s="16">
        <f>IFERROR(INDEX(BASE_CCLASSTRIB!$F:$F, MATCH(TEXT($D1683,"000000"), BASE_CCLASSTRIB!$A:$A, 0))/100, 0)</f>
        <v>0</v>
      </c>
    </row>
    <row r="1684" spans="4:22" ht="32.25" customHeight="1">
      <c r="D1684" s="39"/>
      <c r="E1684" s="27" t="str">
        <f>IF(D1684="","",LEFT(D1684,3))</f>
        <v/>
      </c>
      <c r="F1684" s="28" t="str">
        <f>IF(E1684="","",IFERROR(VLOOKUP(E1684,REGRAS_CST!$A$2:$B$200,2,FALSE),""))</f>
        <v/>
      </c>
      <c r="H1684" s="29">
        <v>8.9999999999999993E-3</v>
      </c>
      <c r="I1684" s="29">
        <v>1E-3</v>
      </c>
      <c r="K1684" s="21" t="str">
        <f>IF(E1684="","",IFERROR(VLOOKUP(E1684,REGRAS_CST!$A$2:$C$200,3,FALSE),""))</f>
        <v/>
      </c>
      <c r="L1684" s="23" t="str">
        <f>IF($G1684="", "", $G1684*(1-$V1684))</f>
        <v/>
      </c>
      <c r="M1684" s="24" t="str">
        <f>IF(OR($L1684="",$S1684=""),"",$L1684*$S1684)</f>
        <v/>
      </c>
      <c r="N1684" s="24" t="str">
        <f>IF(OR($L1684="",$T1684=""),"",$L1684*$T1684)</f>
        <v/>
      </c>
      <c r="O1684" s="15" t="str">
        <f>IF(D1684="","",
IF(AND(K1684&lt;&gt;"SIM",V1684&gt;0),"ERRO: % BC &gt; 0, mas NÃO permitida ❌",
IF(AND(K1684="SIM",V1684=0),"ATENÇÃO: BC permitida, mas % = 0 🔎",
"Base de cálculo aplicada corretamente ✅")))</f>
        <v/>
      </c>
      <c r="P1684" s="31" t="str">
        <f>IF(D1684="","",
IF(AND(Q1684&lt;&gt;"SIM",U1684&gt;0),"ERRO: % alíquota &gt; 0, mas NÃO permitida ❌",
IF(AND(Q1684="SIM",U1684=0),"ATENÇÃO: alíquota permitida, mas % = 0 🔎",
"Alíquota aplicada corretamente ✅")))</f>
        <v/>
      </c>
      <c r="Q1684" s="8" t="str">
        <f>IF(E1684="","",IFERROR(VLOOKUP(E1684,REGRAS_CST!$A$2:$D$200,4,FALSE),""))</f>
        <v/>
      </c>
      <c r="S1684" s="9">
        <f>IF($H1684="","",$H1684*(1-$U1684))</f>
        <v>8.9999999999999993E-3</v>
      </c>
      <c r="T1684" s="9">
        <f>IF($I1684="","",$I1684*(1-$U1684))</f>
        <v>1E-3</v>
      </c>
      <c r="U1684" s="16">
        <f>IFERROR(INDEX(BASE_CCLASSTRIB!$E:$E, MATCH(TEXT($D1684,"000000"), BASE_CCLASSTRIB!$A:$A, 0))/100, 0)</f>
        <v>0</v>
      </c>
      <c r="V1684" s="16">
        <f>IFERROR(INDEX(BASE_CCLASSTRIB!$F:$F, MATCH(TEXT($D1684,"000000"), BASE_CCLASSTRIB!$A:$A, 0))/100, 0)</f>
        <v>0</v>
      </c>
    </row>
    <row r="1685" spans="4:22" ht="32.25" customHeight="1">
      <c r="D1685" s="39"/>
      <c r="E1685" s="27" t="str">
        <f>IF(D1685="","",LEFT(D1685,3))</f>
        <v/>
      </c>
      <c r="F1685" s="28" t="str">
        <f>IF(E1685="","",IFERROR(VLOOKUP(E1685,REGRAS_CST!$A$2:$B$200,2,FALSE),""))</f>
        <v/>
      </c>
      <c r="H1685" s="29">
        <v>8.9999999999999993E-3</v>
      </c>
      <c r="I1685" s="29">
        <v>1E-3</v>
      </c>
      <c r="K1685" s="21" t="str">
        <f>IF(E1685="","",IFERROR(VLOOKUP(E1685,REGRAS_CST!$A$2:$C$200,3,FALSE),""))</f>
        <v/>
      </c>
      <c r="L1685" s="23" t="str">
        <f>IF($G1685="", "", $G1685*(1-$V1685))</f>
        <v/>
      </c>
      <c r="M1685" s="24" t="str">
        <f>IF(OR($L1685="",$S1685=""),"",$L1685*$S1685)</f>
        <v/>
      </c>
      <c r="N1685" s="24" t="str">
        <f>IF(OR($L1685="",$T1685=""),"",$L1685*$T1685)</f>
        <v/>
      </c>
      <c r="O1685" s="15" t="str">
        <f>IF(D1685="","",
IF(AND(K1685&lt;&gt;"SIM",V1685&gt;0),"ERRO: % BC &gt; 0, mas NÃO permitida ❌",
IF(AND(K1685="SIM",V1685=0),"ATENÇÃO: BC permitida, mas % = 0 🔎",
"Base de cálculo aplicada corretamente ✅")))</f>
        <v/>
      </c>
      <c r="P1685" s="31" t="str">
        <f>IF(D1685="","",
IF(AND(Q1685&lt;&gt;"SIM",U1685&gt;0),"ERRO: % alíquota &gt; 0, mas NÃO permitida ❌",
IF(AND(Q1685="SIM",U1685=0),"ATENÇÃO: alíquota permitida, mas % = 0 🔎",
"Alíquota aplicada corretamente ✅")))</f>
        <v/>
      </c>
      <c r="Q1685" s="8" t="str">
        <f>IF(E1685="","",IFERROR(VLOOKUP(E1685,REGRAS_CST!$A$2:$D$200,4,FALSE),""))</f>
        <v/>
      </c>
      <c r="S1685" s="9">
        <f>IF($H1685="","",$H1685*(1-$U1685))</f>
        <v>8.9999999999999993E-3</v>
      </c>
      <c r="T1685" s="9">
        <f>IF($I1685="","",$I1685*(1-$U1685))</f>
        <v>1E-3</v>
      </c>
      <c r="U1685" s="16">
        <f>IFERROR(INDEX(BASE_CCLASSTRIB!$E:$E, MATCH(TEXT($D1685,"000000"), BASE_CCLASSTRIB!$A:$A, 0))/100, 0)</f>
        <v>0</v>
      </c>
      <c r="V1685" s="16">
        <f>IFERROR(INDEX(BASE_CCLASSTRIB!$F:$F, MATCH(TEXT($D1685,"000000"), BASE_CCLASSTRIB!$A:$A, 0))/100, 0)</f>
        <v>0</v>
      </c>
    </row>
    <row r="1686" spans="4:22" ht="32.25" customHeight="1">
      <c r="D1686" s="40"/>
      <c r="E1686" s="27" t="str">
        <f>IF(D1686="","",LEFT(D1686,3))</f>
        <v/>
      </c>
      <c r="F1686" s="28" t="str">
        <f>IF(E1686="","",IFERROR(VLOOKUP(E1686,REGRAS_CST!$A$2:$B$200,2,FALSE),""))</f>
        <v/>
      </c>
      <c r="H1686" s="29">
        <v>8.9999999999999993E-3</v>
      </c>
      <c r="I1686" s="29">
        <v>1E-3</v>
      </c>
      <c r="K1686" s="21" t="str">
        <f>IF(E1686="","",IFERROR(VLOOKUP(E1686,REGRAS_CST!$A$2:$C$200,3,FALSE),""))</f>
        <v/>
      </c>
      <c r="L1686" s="23" t="str">
        <f>IF($G1686="", "", $G1686*(1-$V1686))</f>
        <v/>
      </c>
      <c r="M1686" s="24" t="str">
        <f>IF(OR($L1686="",$S1686=""),"",$L1686*$S1686)</f>
        <v/>
      </c>
      <c r="N1686" s="24" t="str">
        <f>IF(OR($L1686="",$T1686=""),"",$L1686*$T1686)</f>
        <v/>
      </c>
      <c r="O1686" s="15" t="str">
        <f>IF(D1686="","",
IF(AND(K1686&lt;&gt;"SIM",V1686&gt;0),"ERRO: % BC &gt; 0, mas NÃO permitida ❌",
IF(AND(K1686="SIM",V1686=0),"ATENÇÃO: BC permitida, mas % = 0 🔎",
"Base de cálculo aplicada corretamente ✅")))</f>
        <v/>
      </c>
      <c r="P1686" s="31" t="str">
        <f>IF(D1686="","",
IF(AND(Q1686&lt;&gt;"SIM",U1686&gt;0),"ERRO: % alíquota &gt; 0, mas NÃO permitida ❌",
IF(AND(Q1686="SIM",U1686=0),"ATENÇÃO: alíquota permitida, mas % = 0 🔎",
"Alíquota aplicada corretamente ✅")))</f>
        <v/>
      </c>
      <c r="Q1686" s="8" t="str">
        <f>IF(E1686="","",IFERROR(VLOOKUP(E1686,REGRAS_CST!$A$2:$D$200,4,FALSE),""))</f>
        <v/>
      </c>
      <c r="S1686" s="9">
        <f>IF($H1686="","",$H1686*(1-$U1686))</f>
        <v>8.9999999999999993E-3</v>
      </c>
      <c r="T1686" s="9">
        <f>IF($I1686="","",$I1686*(1-$U1686))</f>
        <v>1E-3</v>
      </c>
      <c r="U1686" s="16">
        <f>IFERROR(INDEX(BASE_CCLASSTRIB!$E:$E, MATCH(TEXT($D1686,"000000"), BASE_CCLASSTRIB!$A:$A, 0))/100, 0)</f>
        <v>0</v>
      </c>
      <c r="V1686" s="16">
        <f>IFERROR(INDEX(BASE_CCLASSTRIB!$F:$F, MATCH(TEXT($D1686,"000000"), BASE_CCLASSTRIB!$A:$A, 0))/100, 0)</f>
        <v>0</v>
      </c>
    </row>
    <row r="1687" spans="4:22" ht="32.25" customHeight="1">
      <c r="D1687" s="40"/>
      <c r="E1687" s="27" t="str">
        <f>IF(D1687="","",LEFT(D1687,3))</f>
        <v/>
      </c>
      <c r="F1687" s="28" t="str">
        <f>IF(E1687="","",IFERROR(VLOOKUP(E1687,REGRAS_CST!$A$2:$B$200,2,FALSE),""))</f>
        <v/>
      </c>
      <c r="H1687" s="29">
        <v>8.9999999999999993E-3</v>
      </c>
      <c r="I1687" s="29">
        <v>1E-3</v>
      </c>
      <c r="K1687" s="21" t="str">
        <f>IF(E1687="","",IFERROR(VLOOKUP(E1687,REGRAS_CST!$A$2:$C$200,3,FALSE),""))</f>
        <v/>
      </c>
      <c r="L1687" s="23" t="str">
        <f>IF($G1687="", "", $G1687*(1-$V1687))</f>
        <v/>
      </c>
      <c r="M1687" s="24" t="str">
        <f>IF(OR($L1687="",$S1687=""),"",$L1687*$S1687)</f>
        <v/>
      </c>
      <c r="N1687" s="24" t="str">
        <f>IF(OR($L1687="",$T1687=""),"",$L1687*$T1687)</f>
        <v/>
      </c>
      <c r="O1687" s="15" t="str">
        <f>IF(D1687="","",
IF(AND(K1687&lt;&gt;"SIM",V1687&gt;0),"ERRO: % BC &gt; 0, mas NÃO permitida ❌",
IF(AND(K1687="SIM",V1687=0),"ATENÇÃO: BC permitida, mas % = 0 🔎",
"Base de cálculo aplicada corretamente ✅")))</f>
        <v/>
      </c>
      <c r="P1687" s="31" t="str">
        <f>IF(D1687="","",
IF(AND(Q1687&lt;&gt;"SIM",U1687&gt;0),"ERRO: % alíquota &gt; 0, mas NÃO permitida ❌",
IF(AND(Q1687="SIM",U1687=0),"ATENÇÃO: alíquota permitida, mas % = 0 🔎",
"Alíquota aplicada corretamente ✅")))</f>
        <v/>
      </c>
      <c r="Q1687" s="8" t="str">
        <f>IF(E1687="","",IFERROR(VLOOKUP(E1687,REGRAS_CST!$A$2:$D$200,4,FALSE),""))</f>
        <v/>
      </c>
      <c r="S1687" s="9">
        <f>IF($H1687="","",$H1687*(1-$U1687))</f>
        <v>8.9999999999999993E-3</v>
      </c>
      <c r="T1687" s="9">
        <f>IF($I1687="","",$I1687*(1-$U1687))</f>
        <v>1E-3</v>
      </c>
      <c r="U1687" s="16">
        <f>IFERROR(INDEX(BASE_CCLASSTRIB!$E:$E, MATCH(TEXT($D1687,"000000"), BASE_CCLASSTRIB!$A:$A, 0))/100, 0)</f>
        <v>0</v>
      </c>
      <c r="V1687" s="16">
        <f>IFERROR(INDEX(BASE_CCLASSTRIB!$F:$F, MATCH(TEXT($D1687,"000000"), BASE_CCLASSTRIB!$A:$A, 0))/100, 0)</f>
        <v>0</v>
      </c>
    </row>
    <row r="1688" spans="4:22" ht="32.25" customHeight="1">
      <c r="D1688" s="39"/>
      <c r="E1688" s="27" t="str">
        <f>IF(D1688="","",LEFT(D1688,3))</f>
        <v/>
      </c>
      <c r="F1688" s="28" t="str">
        <f>IF(E1688="","",IFERROR(VLOOKUP(E1688,REGRAS_CST!$A$2:$B$200,2,FALSE),""))</f>
        <v/>
      </c>
      <c r="H1688" s="29">
        <v>8.9999999999999993E-3</v>
      </c>
      <c r="I1688" s="29">
        <v>1E-3</v>
      </c>
      <c r="K1688" s="21" t="str">
        <f>IF(E1688="","",IFERROR(VLOOKUP(E1688,REGRAS_CST!$A$2:$C$200,3,FALSE),""))</f>
        <v/>
      </c>
      <c r="L1688" s="23" t="str">
        <f>IF($G1688="", "", $G1688*(1-$V1688))</f>
        <v/>
      </c>
      <c r="M1688" s="24" t="str">
        <f>IF(OR($L1688="",$S1688=""),"",$L1688*$S1688)</f>
        <v/>
      </c>
      <c r="N1688" s="24" t="str">
        <f>IF(OR($L1688="",$T1688=""),"",$L1688*$T1688)</f>
        <v/>
      </c>
      <c r="O1688" s="15" t="str">
        <f>IF(D1688="","",
IF(AND(K1688&lt;&gt;"SIM",V1688&gt;0),"ERRO: % BC &gt; 0, mas NÃO permitida ❌",
IF(AND(K1688="SIM",V1688=0),"ATENÇÃO: BC permitida, mas % = 0 🔎",
"Base de cálculo aplicada corretamente ✅")))</f>
        <v/>
      </c>
      <c r="P1688" s="31" t="str">
        <f>IF(D1688="","",
IF(AND(Q1688&lt;&gt;"SIM",U1688&gt;0),"ERRO: % alíquota &gt; 0, mas NÃO permitida ❌",
IF(AND(Q1688="SIM",U1688=0),"ATENÇÃO: alíquota permitida, mas % = 0 🔎",
"Alíquota aplicada corretamente ✅")))</f>
        <v/>
      </c>
      <c r="Q1688" s="8" t="str">
        <f>IF(E1688="","",IFERROR(VLOOKUP(E1688,REGRAS_CST!$A$2:$D$200,4,FALSE),""))</f>
        <v/>
      </c>
      <c r="S1688" s="9">
        <f>IF($H1688="","",$H1688*(1-$U1688))</f>
        <v>8.9999999999999993E-3</v>
      </c>
      <c r="T1688" s="9">
        <f>IF($I1688="","",$I1688*(1-$U1688))</f>
        <v>1E-3</v>
      </c>
      <c r="U1688" s="16">
        <f>IFERROR(INDEX(BASE_CCLASSTRIB!$E:$E, MATCH(TEXT($D1688,"000000"), BASE_CCLASSTRIB!$A:$A, 0))/100, 0)</f>
        <v>0</v>
      </c>
      <c r="V1688" s="16">
        <f>IFERROR(INDEX(BASE_CCLASSTRIB!$F:$F, MATCH(TEXT($D1688,"000000"), BASE_CCLASSTRIB!$A:$A, 0))/100, 0)</f>
        <v>0</v>
      </c>
    </row>
    <row r="1689" spans="4:22" ht="32.25" customHeight="1">
      <c r="D1689" s="39"/>
      <c r="E1689" s="27" t="str">
        <f>IF(D1689="","",LEFT(D1689,3))</f>
        <v/>
      </c>
      <c r="F1689" s="28" t="str">
        <f>IF(E1689="","",IFERROR(VLOOKUP(E1689,REGRAS_CST!$A$2:$B$200,2,FALSE),""))</f>
        <v/>
      </c>
      <c r="H1689" s="29">
        <v>8.9999999999999993E-3</v>
      </c>
      <c r="I1689" s="29">
        <v>1E-3</v>
      </c>
      <c r="K1689" s="21" t="str">
        <f>IF(E1689="","",IFERROR(VLOOKUP(E1689,REGRAS_CST!$A$2:$C$200,3,FALSE),""))</f>
        <v/>
      </c>
      <c r="L1689" s="23" t="str">
        <f>IF($G1689="", "", $G1689*(1-$V1689))</f>
        <v/>
      </c>
      <c r="M1689" s="24" t="str">
        <f>IF(OR($L1689="",$S1689=""),"",$L1689*$S1689)</f>
        <v/>
      </c>
      <c r="N1689" s="24" t="str">
        <f>IF(OR($L1689="",$T1689=""),"",$L1689*$T1689)</f>
        <v/>
      </c>
      <c r="O1689" s="15" t="str">
        <f>IF(D1689="","",
IF(AND(K1689&lt;&gt;"SIM",V1689&gt;0),"ERRO: % BC &gt; 0, mas NÃO permitida ❌",
IF(AND(K1689="SIM",V1689=0),"ATENÇÃO: BC permitida, mas % = 0 🔎",
"Base de cálculo aplicada corretamente ✅")))</f>
        <v/>
      </c>
      <c r="P1689" s="31" t="str">
        <f>IF(D1689="","",
IF(AND(Q1689&lt;&gt;"SIM",U1689&gt;0),"ERRO: % alíquota &gt; 0, mas NÃO permitida ❌",
IF(AND(Q1689="SIM",U1689=0),"ATENÇÃO: alíquota permitida, mas % = 0 🔎",
"Alíquota aplicada corretamente ✅")))</f>
        <v/>
      </c>
      <c r="Q1689" s="8" t="str">
        <f>IF(E1689="","",IFERROR(VLOOKUP(E1689,REGRAS_CST!$A$2:$D$200,4,FALSE),""))</f>
        <v/>
      </c>
      <c r="S1689" s="9">
        <f>IF($H1689="","",$H1689*(1-$U1689))</f>
        <v>8.9999999999999993E-3</v>
      </c>
      <c r="T1689" s="9">
        <f>IF($I1689="","",$I1689*(1-$U1689))</f>
        <v>1E-3</v>
      </c>
      <c r="U1689" s="16">
        <f>IFERROR(INDEX(BASE_CCLASSTRIB!$E:$E, MATCH(TEXT($D1689,"000000"), BASE_CCLASSTRIB!$A:$A, 0))/100, 0)</f>
        <v>0</v>
      </c>
      <c r="V1689" s="16">
        <f>IFERROR(INDEX(BASE_CCLASSTRIB!$F:$F, MATCH(TEXT($D1689,"000000"), BASE_CCLASSTRIB!$A:$A, 0))/100, 0)</f>
        <v>0</v>
      </c>
    </row>
    <row r="1690" spans="4:22" ht="32.25" customHeight="1">
      <c r="D1690" s="39"/>
      <c r="E1690" s="27" t="str">
        <f>IF(D1690="","",LEFT(D1690,3))</f>
        <v/>
      </c>
      <c r="F1690" s="28" t="str">
        <f>IF(E1690="","",IFERROR(VLOOKUP(E1690,REGRAS_CST!$A$2:$B$200,2,FALSE),""))</f>
        <v/>
      </c>
      <c r="H1690" s="29">
        <v>8.9999999999999993E-3</v>
      </c>
      <c r="I1690" s="29">
        <v>1E-3</v>
      </c>
      <c r="K1690" s="21" t="str">
        <f>IF(E1690="","",IFERROR(VLOOKUP(E1690,REGRAS_CST!$A$2:$C$200,3,FALSE),""))</f>
        <v/>
      </c>
      <c r="L1690" s="23" t="str">
        <f>IF($G1690="", "", $G1690*(1-$V1690))</f>
        <v/>
      </c>
      <c r="M1690" s="24" t="str">
        <f>IF(OR($L1690="",$S1690=""),"",$L1690*$S1690)</f>
        <v/>
      </c>
      <c r="N1690" s="24" t="str">
        <f>IF(OR($L1690="",$T1690=""),"",$L1690*$T1690)</f>
        <v/>
      </c>
      <c r="O1690" s="15" t="str">
        <f>IF(D1690="","",
IF(AND(K1690&lt;&gt;"SIM",V1690&gt;0),"ERRO: % BC &gt; 0, mas NÃO permitida ❌",
IF(AND(K1690="SIM",V1690=0),"ATENÇÃO: BC permitida, mas % = 0 🔎",
"Base de cálculo aplicada corretamente ✅")))</f>
        <v/>
      </c>
      <c r="P1690" s="31" t="str">
        <f>IF(D1690="","",
IF(AND(Q1690&lt;&gt;"SIM",U1690&gt;0),"ERRO: % alíquota &gt; 0, mas NÃO permitida ❌",
IF(AND(Q1690="SIM",U1690=0),"ATENÇÃO: alíquota permitida, mas % = 0 🔎",
"Alíquota aplicada corretamente ✅")))</f>
        <v/>
      </c>
      <c r="Q1690" s="8" t="str">
        <f>IF(E1690="","",IFERROR(VLOOKUP(E1690,REGRAS_CST!$A$2:$D$200,4,FALSE),""))</f>
        <v/>
      </c>
      <c r="S1690" s="9">
        <f>IF($H1690="","",$H1690*(1-$U1690))</f>
        <v>8.9999999999999993E-3</v>
      </c>
      <c r="T1690" s="9">
        <f>IF($I1690="","",$I1690*(1-$U1690))</f>
        <v>1E-3</v>
      </c>
      <c r="U1690" s="16">
        <f>IFERROR(INDEX(BASE_CCLASSTRIB!$E:$E, MATCH(TEXT($D1690,"000000"), BASE_CCLASSTRIB!$A:$A, 0))/100, 0)</f>
        <v>0</v>
      </c>
      <c r="V1690" s="16">
        <f>IFERROR(INDEX(BASE_CCLASSTRIB!$F:$F, MATCH(TEXT($D1690,"000000"), BASE_CCLASSTRIB!$A:$A, 0))/100, 0)</f>
        <v>0</v>
      </c>
    </row>
    <row r="1691" spans="4:22" ht="32.25" customHeight="1">
      <c r="D1691" s="39"/>
      <c r="E1691" s="27" t="str">
        <f>IF(D1691="","",LEFT(D1691,3))</f>
        <v/>
      </c>
      <c r="F1691" s="28" t="str">
        <f>IF(E1691="","",IFERROR(VLOOKUP(E1691,REGRAS_CST!$A$2:$B$200,2,FALSE),""))</f>
        <v/>
      </c>
      <c r="H1691" s="29">
        <v>8.9999999999999993E-3</v>
      </c>
      <c r="I1691" s="29">
        <v>1E-3</v>
      </c>
      <c r="K1691" s="21" t="str">
        <f>IF(E1691="","",IFERROR(VLOOKUP(E1691,REGRAS_CST!$A$2:$C$200,3,FALSE),""))</f>
        <v/>
      </c>
      <c r="L1691" s="23" t="str">
        <f>IF($G1691="", "", $G1691*(1-$V1691))</f>
        <v/>
      </c>
      <c r="M1691" s="24" t="str">
        <f>IF(OR($L1691="",$S1691=""),"",$L1691*$S1691)</f>
        <v/>
      </c>
      <c r="N1691" s="24" t="str">
        <f>IF(OR($L1691="",$T1691=""),"",$L1691*$T1691)</f>
        <v/>
      </c>
      <c r="O1691" s="15" t="str">
        <f>IF(D1691="","",
IF(AND(K1691&lt;&gt;"SIM",V1691&gt;0),"ERRO: % BC &gt; 0, mas NÃO permitida ❌",
IF(AND(K1691="SIM",V1691=0),"ATENÇÃO: BC permitida, mas % = 0 🔎",
"Base de cálculo aplicada corretamente ✅")))</f>
        <v/>
      </c>
      <c r="P1691" s="31" t="str">
        <f>IF(D1691="","",
IF(AND(Q1691&lt;&gt;"SIM",U1691&gt;0),"ERRO: % alíquota &gt; 0, mas NÃO permitida ❌",
IF(AND(Q1691="SIM",U1691=0),"ATENÇÃO: alíquota permitida, mas % = 0 🔎",
"Alíquota aplicada corretamente ✅")))</f>
        <v/>
      </c>
      <c r="Q1691" s="8" t="str">
        <f>IF(E1691="","",IFERROR(VLOOKUP(E1691,REGRAS_CST!$A$2:$D$200,4,FALSE),""))</f>
        <v/>
      </c>
      <c r="S1691" s="9">
        <f>IF($H1691="","",$H1691*(1-$U1691))</f>
        <v>8.9999999999999993E-3</v>
      </c>
      <c r="T1691" s="9">
        <f>IF($I1691="","",$I1691*(1-$U1691))</f>
        <v>1E-3</v>
      </c>
      <c r="U1691" s="16">
        <f>IFERROR(INDEX(BASE_CCLASSTRIB!$E:$E, MATCH(TEXT($D1691,"000000"), BASE_CCLASSTRIB!$A:$A, 0))/100, 0)</f>
        <v>0</v>
      </c>
      <c r="V1691" s="16">
        <f>IFERROR(INDEX(BASE_CCLASSTRIB!$F:$F, MATCH(TEXT($D1691,"000000"), BASE_CCLASSTRIB!$A:$A, 0))/100, 0)</f>
        <v>0</v>
      </c>
    </row>
    <row r="1692" spans="4:22" ht="32.25" customHeight="1">
      <c r="D1692" s="40"/>
      <c r="E1692" s="27" t="str">
        <f>IF(D1692="","",LEFT(D1692,3))</f>
        <v/>
      </c>
      <c r="F1692" s="28" t="str">
        <f>IF(E1692="","",IFERROR(VLOOKUP(E1692,REGRAS_CST!$A$2:$B$200,2,FALSE),""))</f>
        <v/>
      </c>
      <c r="H1692" s="29">
        <v>8.9999999999999993E-3</v>
      </c>
      <c r="I1692" s="29">
        <v>1E-3</v>
      </c>
      <c r="K1692" s="21" t="str">
        <f>IF(E1692="","",IFERROR(VLOOKUP(E1692,REGRAS_CST!$A$2:$C$200,3,FALSE),""))</f>
        <v/>
      </c>
      <c r="L1692" s="23" t="str">
        <f>IF($G1692="", "", $G1692*(1-$V1692))</f>
        <v/>
      </c>
      <c r="M1692" s="24" t="str">
        <f>IF(OR($L1692="",$S1692=""),"",$L1692*$S1692)</f>
        <v/>
      </c>
      <c r="N1692" s="24" t="str">
        <f>IF(OR($L1692="",$T1692=""),"",$L1692*$T1692)</f>
        <v/>
      </c>
      <c r="O1692" s="15" t="str">
        <f>IF(D1692="","",
IF(AND(K1692&lt;&gt;"SIM",V1692&gt;0),"ERRO: % BC &gt; 0, mas NÃO permitida ❌",
IF(AND(K1692="SIM",V1692=0),"ATENÇÃO: BC permitida, mas % = 0 🔎",
"Base de cálculo aplicada corretamente ✅")))</f>
        <v/>
      </c>
      <c r="P1692" s="31" t="str">
        <f>IF(D1692="","",
IF(AND(Q1692&lt;&gt;"SIM",U1692&gt;0),"ERRO: % alíquota &gt; 0, mas NÃO permitida ❌",
IF(AND(Q1692="SIM",U1692=0),"ATENÇÃO: alíquota permitida, mas % = 0 🔎",
"Alíquota aplicada corretamente ✅")))</f>
        <v/>
      </c>
      <c r="Q1692" s="8" t="str">
        <f>IF(E1692="","",IFERROR(VLOOKUP(E1692,REGRAS_CST!$A$2:$D$200,4,FALSE),""))</f>
        <v/>
      </c>
      <c r="S1692" s="9">
        <f>IF($H1692="","",$H1692*(1-$U1692))</f>
        <v>8.9999999999999993E-3</v>
      </c>
      <c r="T1692" s="9">
        <f>IF($I1692="","",$I1692*(1-$U1692))</f>
        <v>1E-3</v>
      </c>
      <c r="U1692" s="16">
        <f>IFERROR(INDEX(BASE_CCLASSTRIB!$E:$E, MATCH(TEXT($D1692,"000000"), BASE_CCLASSTRIB!$A:$A, 0))/100, 0)</f>
        <v>0</v>
      </c>
      <c r="V1692" s="16">
        <f>IFERROR(INDEX(BASE_CCLASSTRIB!$F:$F, MATCH(TEXT($D1692,"000000"), BASE_CCLASSTRIB!$A:$A, 0))/100, 0)</f>
        <v>0</v>
      </c>
    </row>
    <row r="1693" spans="4:22" ht="32.25" customHeight="1">
      <c r="D1693" s="39"/>
      <c r="E1693" s="27" t="str">
        <f>IF(D1693="","",LEFT(D1693,3))</f>
        <v/>
      </c>
      <c r="F1693" s="28" t="str">
        <f>IF(E1693="","",IFERROR(VLOOKUP(E1693,REGRAS_CST!$A$2:$B$200,2,FALSE),""))</f>
        <v/>
      </c>
      <c r="H1693" s="29">
        <v>8.9999999999999993E-3</v>
      </c>
      <c r="I1693" s="29">
        <v>1E-3</v>
      </c>
      <c r="K1693" s="21" t="str">
        <f>IF(E1693="","",IFERROR(VLOOKUP(E1693,REGRAS_CST!$A$2:$C$200,3,FALSE),""))</f>
        <v/>
      </c>
      <c r="L1693" s="23" t="str">
        <f>IF($G1693="", "", $G1693*(1-$V1693))</f>
        <v/>
      </c>
      <c r="M1693" s="24" t="str">
        <f>IF(OR($L1693="",$S1693=""),"",$L1693*$S1693)</f>
        <v/>
      </c>
      <c r="N1693" s="24" t="str">
        <f>IF(OR($L1693="",$T1693=""),"",$L1693*$T1693)</f>
        <v/>
      </c>
      <c r="O1693" s="15" t="str">
        <f>IF(D1693="","",
IF(AND(K1693&lt;&gt;"SIM",V1693&gt;0),"ERRO: % BC &gt; 0, mas NÃO permitida ❌",
IF(AND(K1693="SIM",V1693=0),"ATENÇÃO: BC permitida, mas % = 0 🔎",
"Base de cálculo aplicada corretamente ✅")))</f>
        <v/>
      </c>
      <c r="P1693" s="31" t="str">
        <f>IF(D1693="","",
IF(AND(Q1693&lt;&gt;"SIM",U1693&gt;0),"ERRO: % alíquota &gt; 0, mas NÃO permitida ❌",
IF(AND(Q1693="SIM",U1693=0),"ATENÇÃO: alíquota permitida, mas % = 0 🔎",
"Alíquota aplicada corretamente ✅")))</f>
        <v/>
      </c>
      <c r="Q1693" s="8" t="str">
        <f>IF(E1693="","",IFERROR(VLOOKUP(E1693,REGRAS_CST!$A$2:$D$200,4,FALSE),""))</f>
        <v/>
      </c>
      <c r="S1693" s="9">
        <f>IF($H1693="","",$H1693*(1-$U1693))</f>
        <v>8.9999999999999993E-3</v>
      </c>
      <c r="T1693" s="9">
        <f>IF($I1693="","",$I1693*(1-$U1693))</f>
        <v>1E-3</v>
      </c>
      <c r="U1693" s="16">
        <f>IFERROR(INDEX(BASE_CCLASSTRIB!$E:$E, MATCH(TEXT($D1693,"000000"), BASE_CCLASSTRIB!$A:$A, 0))/100, 0)</f>
        <v>0</v>
      </c>
      <c r="V1693" s="16">
        <f>IFERROR(INDEX(BASE_CCLASSTRIB!$F:$F, MATCH(TEXT($D1693,"000000"), BASE_CCLASSTRIB!$A:$A, 0))/100, 0)</f>
        <v>0</v>
      </c>
    </row>
    <row r="1694" spans="4:22" ht="32.25" customHeight="1">
      <c r="D1694" s="39"/>
      <c r="E1694" s="27" t="str">
        <f>IF(D1694="","",LEFT(D1694,3))</f>
        <v/>
      </c>
      <c r="F1694" s="28" t="str">
        <f>IF(E1694="","",IFERROR(VLOOKUP(E1694,REGRAS_CST!$A$2:$B$200,2,FALSE),""))</f>
        <v/>
      </c>
      <c r="H1694" s="29">
        <v>8.9999999999999993E-3</v>
      </c>
      <c r="I1694" s="29">
        <v>1E-3</v>
      </c>
      <c r="K1694" s="21" t="str">
        <f>IF(E1694="","",IFERROR(VLOOKUP(E1694,REGRAS_CST!$A$2:$C$200,3,FALSE),""))</f>
        <v/>
      </c>
      <c r="L1694" s="23" t="str">
        <f>IF($G1694="", "", $G1694*(1-$V1694))</f>
        <v/>
      </c>
      <c r="M1694" s="24" t="str">
        <f>IF(OR($L1694="",$S1694=""),"",$L1694*$S1694)</f>
        <v/>
      </c>
      <c r="N1694" s="24" t="str">
        <f>IF(OR($L1694="",$T1694=""),"",$L1694*$T1694)</f>
        <v/>
      </c>
      <c r="O1694" s="15" t="str">
        <f>IF(D1694="","",
IF(AND(K1694&lt;&gt;"SIM",V1694&gt;0),"ERRO: % BC &gt; 0, mas NÃO permitida ❌",
IF(AND(K1694="SIM",V1694=0),"ATENÇÃO: BC permitida, mas % = 0 🔎",
"Base de cálculo aplicada corretamente ✅")))</f>
        <v/>
      </c>
      <c r="P1694" s="31" t="str">
        <f>IF(D1694="","",
IF(AND(Q1694&lt;&gt;"SIM",U1694&gt;0),"ERRO: % alíquota &gt; 0, mas NÃO permitida ❌",
IF(AND(Q1694="SIM",U1694=0),"ATENÇÃO: alíquota permitida, mas % = 0 🔎",
"Alíquota aplicada corretamente ✅")))</f>
        <v/>
      </c>
      <c r="Q1694" s="8" t="str">
        <f>IF(E1694="","",IFERROR(VLOOKUP(E1694,REGRAS_CST!$A$2:$D$200,4,FALSE),""))</f>
        <v/>
      </c>
      <c r="S1694" s="9">
        <f>IF($H1694="","",$H1694*(1-$U1694))</f>
        <v>8.9999999999999993E-3</v>
      </c>
      <c r="T1694" s="9">
        <f>IF($I1694="","",$I1694*(1-$U1694))</f>
        <v>1E-3</v>
      </c>
      <c r="U1694" s="16">
        <f>IFERROR(INDEX(BASE_CCLASSTRIB!$E:$E, MATCH(TEXT($D1694,"000000"), BASE_CCLASSTRIB!$A:$A, 0))/100, 0)</f>
        <v>0</v>
      </c>
      <c r="V1694" s="16">
        <f>IFERROR(INDEX(BASE_CCLASSTRIB!$F:$F, MATCH(TEXT($D1694,"000000"), BASE_CCLASSTRIB!$A:$A, 0))/100, 0)</f>
        <v>0</v>
      </c>
    </row>
    <row r="1695" spans="4:22" ht="32.25" customHeight="1">
      <c r="D1695" s="39"/>
      <c r="E1695" s="27" t="str">
        <f>IF(D1695="","",LEFT(D1695,3))</f>
        <v/>
      </c>
      <c r="F1695" s="28" t="str">
        <f>IF(E1695="","",IFERROR(VLOOKUP(E1695,REGRAS_CST!$A$2:$B$200,2,FALSE),""))</f>
        <v/>
      </c>
      <c r="H1695" s="29">
        <v>8.9999999999999993E-3</v>
      </c>
      <c r="I1695" s="29">
        <v>1E-3</v>
      </c>
      <c r="K1695" s="21" t="str">
        <f>IF(E1695="","",IFERROR(VLOOKUP(E1695,REGRAS_CST!$A$2:$C$200,3,FALSE),""))</f>
        <v/>
      </c>
      <c r="L1695" s="23" t="str">
        <f>IF($G1695="", "", $G1695*(1-$V1695))</f>
        <v/>
      </c>
      <c r="M1695" s="24" t="str">
        <f>IF(OR($L1695="",$S1695=""),"",$L1695*$S1695)</f>
        <v/>
      </c>
      <c r="N1695" s="24" t="str">
        <f>IF(OR($L1695="",$T1695=""),"",$L1695*$T1695)</f>
        <v/>
      </c>
      <c r="O1695" s="15" t="str">
        <f>IF(D1695="","",
IF(AND(K1695&lt;&gt;"SIM",V1695&gt;0),"ERRO: % BC &gt; 0, mas NÃO permitida ❌",
IF(AND(K1695="SIM",V1695=0),"ATENÇÃO: BC permitida, mas % = 0 🔎",
"Base de cálculo aplicada corretamente ✅")))</f>
        <v/>
      </c>
      <c r="P1695" s="31" t="str">
        <f>IF(D1695="","",
IF(AND(Q1695&lt;&gt;"SIM",U1695&gt;0),"ERRO: % alíquota &gt; 0, mas NÃO permitida ❌",
IF(AND(Q1695="SIM",U1695=0),"ATENÇÃO: alíquota permitida, mas % = 0 🔎",
"Alíquota aplicada corretamente ✅")))</f>
        <v/>
      </c>
      <c r="Q1695" s="8" t="str">
        <f>IF(E1695="","",IFERROR(VLOOKUP(E1695,REGRAS_CST!$A$2:$D$200,4,FALSE),""))</f>
        <v/>
      </c>
      <c r="S1695" s="9">
        <f>IF($H1695="","",$H1695*(1-$U1695))</f>
        <v>8.9999999999999993E-3</v>
      </c>
      <c r="T1695" s="9">
        <f>IF($I1695="","",$I1695*(1-$U1695))</f>
        <v>1E-3</v>
      </c>
      <c r="U1695" s="16">
        <f>IFERROR(INDEX(BASE_CCLASSTRIB!$E:$E, MATCH(TEXT($D1695,"000000"), BASE_CCLASSTRIB!$A:$A, 0))/100, 0)</f>
        <v>0</v>
      </c>
      <c r="V1695" s="16">
        <f>IFERROR(INDEX(BASE_CCLASSTRIB!$F:$F, MATCH(TEXT($D1695,"000000"), BASE_CCLASSTRIB!$A:$A, 0))/100, 0)</f>
        <v>0</v>
      </c>
    </row>
    <row r="1696" spans="4:22" ht="32.25" customHeight="1">
      <c r="D1696" s="39"/>
      <c r="E1696" s="27" t="str">
        <f>IF(D1696="","",LEFT(D1696,3))</f>
        <v/>
      </c>
      <c r="F1696" s="28" t="str">
        <f>IF(E1696="","",IFERROR(VLOOKUP(E1696,REGRAS_CST!$A$2:$B$200,2,FALSE),""))</f>
        <v/>
      </c>
      <c r="H1696" s="29">
        <v>8.9999999999999993E-3</v>
      </c>
      <c r="I1696" s="29">
        <v>1E-3</v>
      </c>
      <c r="K1696" s="21" t="str">
        <f>IF(E1696="","",IFERROR(VLOOKUP(E1696,REGRAS_CST!$A$2:$C$200,3,FALSE),""))</f>
        <v/>
      </c>
      <c r="L1696" s="23" t="str">
        <f>IF($G1696="", "", $G1696*(1-$V1696))</f>
        <v/>
      </c>
      <c r="M1696" s="24" t="str">
        <f>IF(OR($L1696="",$S1696=""),"",$L1696*$S1696)</f>
        <v/>
      </c>
      <c r="N1696" s="24" t="str">
        <f>IF(OR($L1696="",$T1696=""),"",$L1696*$T1696)</f>
        <v/>
      </c>
      <c r="O1696" s="15" t="str">
        <f>IF(D1696="","",
IF(AND(K1696&lt;&gt;"SIM",V1696&gt;0),"ERRO: % BC &gt; 0, mas NÃO permitida ❌",
IF(AND(K1696="SIM",V1696=0),"ATENÇÃO: BC permitida, mas % = 0 🔎",
"Base de cálculo aplicada corretamente ✅")))</f>
        <v/>
      </c>
      <c r="P1696" s="31" t="str">
        <f>IF(D1696="","",
IF(AND(Q1696&lt;&gt;"SIM",U1696&gt;0),"ERRO: % alíquota &gt; 0, mas NÃO permitida ❌",
IF(AND(Q1696="SIM",U1696=0),"ATENÇÃO: alíquota permitida, mas % = 0 🔎",
"Alíquota aplicada corretamente ✅")))</f>
        <v/>
      </c>
      <c r="Q1696" s="8" t="str">
        <f>IF(E1696="","",IFERROR(VLOOKUP(E1696,REGRAS_CST!$A$2:$D$200,4,FALSE),""))</f>
        <v/>
      </c>
      <c r="S1696" s="9">
        <f>IF($H1696="","",$H1696*(1-$U1696))</f>
        <v>8.9999999999999993E-3</v>
      </c>
      <c r="T1696" s="9">
        <f>IF($I1696="","",$I1696*(1-$U1696))</f>
        <v>1E-3</v>
      </c>
      <c r="U1696" s="16">
        <f>IFERROR(INDEX(BASE_CCLASSTRIB!$E:$E, MATCH(TEXT($D1696,"000000"), BASE_CCLASSTRIB!$A:$A, 0))/100, 0)</f>
        <v>0</v>
      </c>
      <c r="V1696" s="16">
        <f>IFERROR(INDEX(BASE_CCLASSTRIB!$F:$F, MATCH(TEXT($D1696,"000000"), BASE_CCLASSTRIB!$A:$A, 0))/100, 0)</f>
        <v>0</v>
      </c>
    </row>
    <row r="1697" spans="4:22" ht="32.25" customHeight="1">
      <c r="D1697" s="40"/>
      <c r="E1697" s="27" t="str">
        <f>IF(D1697="","",LEFT(D1697,3))</f>
        <v/>
      </c>
      <c r="F1697" s="28" t="str">
        <f>IF(E1697="","",IFERROR(VLOOKUP(E1697,REGRAS_CST!$A$2:$B$200,2,FALSE),""))</f>
        <v/>
      </c>
      <c r="H1697" s="29">
        <v>8.9999999999999993E-3</v>
      </c>
      <c r="I1697" s="29">
        <v>1E-3</v>
      </c>
      <c r="K1697" s="21" t="str">
        <f>IF(E1697="","",IFERROR(VLOOKUP(E1697,REGRAS_CST!$A$2:$C$200,3,FALSE),""))</f>
        <v/>
      </c>
      <c r="L1697" s="23" t="str">
        <f>IF($G1697="", "", $G1697*(1-$V1697))</f>
        <v/>
      </c>
      <c r="M1697" s="24" t="str">
        <f>IF(OR($L1697="",$S1697=""),"",$L1697*$S1697)</f>
        <v/>
      </c>
      <c r="N1697" s="24" t="str">
        <f>IF(OR($L1697="",$T1697=""),"",$L1697*$T1697)</f>
        <v/>
      </c>
      <c r="O1697" s="15" t="str">
        <f>IF(D1697="","",
IF(AND(K1697&lt;&gt;"SIM",V1697&gt;0),"ERRO: % BC &gt; 0, mas NÃO permitida ❌",
IF(AND(K1697="SIM",V1697=0),"ATENÇÃO: BC permitida, mas % = 0 🔎",
"Base de cálculo aplicada corretamente ✅")))</f>
        <v/>
      </c>
      <c r="P1697" s="31" t="str">
        <f>IF(D1697="","",
IF(AND(Q1697&lt;&gt;"SIM",U1697&gt;0),"ERRO: % alíquota &gt; 0, mas NÃO permitida ❌",
IF(AND(Q1697="SIM",U1697=0),"ATENÇÃO: alíquota permitida, mas % = 0 🔎",
"Alíquota aplicada corretamente ✅")))</f>
        <v/>
      </c>
      <c r="Q1697" s="8" t="str">
        <f>IF(E1697="","",IFERROR(VLOOKUP(E1697,REGRAS_CST!$A$2:$D$200,4,FALSE),""))</f>
        <v/>
      </c>
      <c r="S1697" s="9">
        <f>IF($H1697="","",$H1697*(1-$U1697))</f>
        <v>8.9999999999999993E-3</v>
      </c>
      <c r="T1697" s="9">
        <f>IF($I1697="","",$I1697*(1-$U1697))</f>
        <v>1E-3</v>
      </c>
      <c r="U1697" s="16">
        <f>IFERROR(INDEX(BASE_CCLASSTRIB!$E:$E, MATCH(TEXT($D1697,"000000"), BASE_CCLASSTRIB!$A:$A, 0))/100, 0)</f>
        <v>0</v>
      </c>
      <c r="V1697" s="16">
        <f>IFERROR(INDEX(BASE_CCLASSTRIB!$F:$F, MATCH(TEXT($D1697,"000000"), BASE_CCLASSTRIB!$A:$A, 0))/100, 0)</f>
        <v>0</v>
      </c>
    </row>
    <row r="1698" spans="4:22" ht="32.25" customHeight="1">
      <c r="D1698" s="40"/>
      <c r="E1698" s="27" t="str">
        <f>IF(D1698="","",LEFT(D1698,3))</f>
        <v/>
      </c>
      <c r="F1698" s="28" t="str">
        <f>IF(E1698="","",IFERROR(VLOOKUP(E1698,REGRAS_CST!$A$2:$B$200,2,FALSE),""))</f>
        <v/>
      </c>
      <c r="H1698" s="29">
        <v>8.9999999999999993E-3</v>
      </c>
      <c r="I1698" s="29">
        <v>1E-3</v>
      </c>
      <c r="K1698" s="21" t="str">
        <f>IF(E1698="","",IFERROR(VLOOKUP(E1698,REGRAS_CST!$A$2:$C$200,3,FALSE),""))</f>
        <v/>
      </c>
      <c r="L1698" s="23" t="str">
        <f>IF($G1698="", "", $G1698*(1-$V1698))</f>
        <v/>
      </c>
      <c r="M1698" s="24" t="str">
        <f>IF(OR($L1698="",$S1698=""),"",$L1698*$S1698)</f>
        <v/>
      </c>
      <c r="N1698" s="24" t="str">
        <f>IF(OR($L1698="",$T1698=""),"",$L1698*$T1698)</f>
        <v/>
      </c>
      <c r="O1698" s="15" t="str">
        <f>IF(D1698="","",
IF(AND(K1698&lt;&gt;"SIM",V1698&gt;0),"ERRO: % BC &gt; 0, mas NÃO permitida ❌",
IF(AND(K1698="SIM",V1698=0),"ATENÇÃO: BC permitida, mas % = 0 🔎",
"Base de cálculo aplicada corretamente ✅")))</f>
        <v/>
      </c>
      <c r="P1698" s="31" t="str">
        <f>IF(D1698="","",
IF(AND(Q1698&lt;&gt;"SIM",U1698&gt;0),"ERRO: % alíquota &gt; 0, mas NÃO permitida ❌",
IF(AND(Q1698="SIM",U1698=0),"ATENÇÃO: alíquota permitida, mas % = 0 🔎",
"Alíquota aplicada corretamente ✅")))</f>
        <v/>
      </c>
      <c r="Q1698" s="8" t="str">
        <f>IF(E1698="","",IFERROR(VLOOKUP(E1698,REGRAS_CST!$A$2:$D$200,4,FALSE),""))</f>
        <v/>
      </c>
      <c r="S1698" s="9">
        <f>IF($H1698="","",$H1698*(1-$U1698))</f>
        <v>8.9999999999999993E-3</v>
      </c>
      <c r="T1698" s="9">
        <f>IF($I1698="","",$I1698*(1-$U1698))</f>
        <v>1E-3</v>
      </c>
      <c r="U1698" s="16">
        <f>IFERROR(INDEX(BASE_CCLASSTRIB!$E:$E, MATCH(TEXT($D1698,"000000"), BASE_CCLASSTRIB!$A:$A, 0))/100, 0)</f>
        <v>0</v>
      </c>
      <c r="V1698" s="16">
        <f>IFERROR(INDEX(BASE_CCLASSTRIB!$F:$F, MATCH(TEXT($D1698,"000000"), BASE_CCLASSTRIB!$A:$A, 0))/100, 0)</f>
        <v>0</v>
      </c>
    </row>
    <row r="1699" spans="4:22" ht="32.25" customHeight="1">
      <c r="D1699" s="40"/>
      <c r="E1699" s="27" t="str">
        <f>IF(D1699="","",LEFT(D1699,3))</f>
        <v/>
      </c>
      <c r="F1699" s="28" t="str">
        <f>IF(E1699="","",IFERROR(VLOOKUP(E1699,REGRAS_CST!$A$2:$B$200,2,FALSE),""))</f>
        <v/>
      </c>
      <c r="H1699" s="29">
        <v>8.9999999999999993E-3</v>
      </c>
      <c r="I1699" s="29">
        <v>1E-3</v>
      </c>
      <c r="K1699" s="21" t="str">
        <f>IF(E1699="","",IFERROR(VLOOKUP(E1699,REGRAS_CST!$A$2:$C$200,3,FALSE),""))</f>
        <v/>
      </c>
      <c r="L1699" s="23" t="str">
        <f>IF($G1699="", "", $G1699*(1-$V1699))</f>
        <v/>
      </c>
      <c r="M1699" s="24" t="str">
        <f>IF(OR($L1699="",$S1699=""),"",$L1699*$S1699)</f>
        <v/>
      </c>
      <c r="N1699" s="24" t="str">
        <f>IF(OR($L1699="",$T1699=""),"",$L1699*$T1699)</f>
        <v/>
      </c>
      <c r="O1699" s="15" t="str">
        <f>IF(D1699="","",
IF(AND(K1699&lt;&gt;"SIM",V1699&gt;0),"ERRO: % BC &gt; 0, mas NÃO permitida ❌",
IF(AND(K1699="SIM",V1699=0),"ATENÇÃO: BC permitida, mas % = 0 🔎",
"Base de cálculo aplicada corretamente ✅")))</f>
        <v/>
      </c>
      <c r="P1699" s="31" t="str">
        <f>IF(D1699="","",
IF(AND(Q1699&lt;&gt;"SIM",U1699&gt;0),"ERRO: % alíquota &gt; 0, mas NÃO permitida ❌",
IF(AND(Q1699="SIM",U1699=0),"ATENÇÃO: alíquota permitida, mas % = 0 🔎",
"Alíquota aplicada corretamente ✅")))</f>
        <v/>
      </c>
      <c r="Q1699" s="8" t="str">
        <f>IF(E1699="","",IFERROR(VLOOKUP(E1699,REGRAS_CST!$A$2:$D$200,4,FALSE),""))</f>
        <v/>
      </c>
      <c r="S1699" s="9">
        <f>IF($H1699="","",$H1699*(1-$U1699))</f>
        <v>8.9999999999999993E-3</v>
      </c>
      <c r="T1699" s="9">
        <f>IF($I1699="","",$I1699*(1-$U1699))</f>
        <v>1E-3</v>
      </c>
      <c r="U1699" s="16">
        <f>IFERROR(INDEX(BASE_CCLASSTRIB!$E:$E, MATCH(TEXT($D1699,"000000"), BASE_CCLASSTRIB!$A:$A, 0))/100, 0)</f>
        <v>0</v>
      </c>
      <c r="V1699" s="16">
        <f>IFERROR(INDEX(BASE_CCLASSTRIB!$F:$F, MATCH(TEXT($D1699,"000000"), BASE_CCLASSTRIB!$A:$A, 0))/100, 0)</f>
        <v>0</v>
      </c>
    </row>
    <row r="1700" spans="4:22" ht="32.25" customHeight="1">
      <c r="D1700" s="40"/>
      <c r="E1700" s="27" t="str">
        <f>IF(D1700="","",LEFT(D1700,3))</f>
        <v/>
      </c>
      <c r="F1700" s="28" t="str">
        <f>IF(E1700="","",IFERROR(VLOOKUP(E1700,REGRAS_CST!$A$2:$B$200,2,FALSE),""))</f>
        <v/>
      </c>
      <c r="H1700" s="29">
        <v>8.9999999999999993E-3</v>
      </c>
      <c r="I1700" s="29">
        <v>1E-3</v>
      </c>
      <c r="K1700" s="21" t="str">
        <f>IF(E1700="","",IFERROR(VLOOKUP(E1700,REGRAS_CST!$A$2:$C$200,3,FALSE),""))</f>
        <v/>
      </c>
      <c r="L1700" s="23" t="str">
        <f>IF($G1700="", "", $G1700*(1-$V1700))</f>
        <v/>
      </c>
      <c r="M1700" s="24" t="str">
        <f>IF(OR($L1700="",$S1700=""),"",$L1700*$S1700)</f>
        <v/>
      </c>
      <c r="N1700" s="24" t="str">
        <f>IF(OR($L1700="",$T1700=""),"",$L1700*$T1700)</f>
        <v/>
      </c>
      <c r="O1700" s="15" t="str">
        <f>IF(D1700="","",
IF(AND(K1700&lt;&gt;"SIM",V1700&gt;0),"ERRO: % BC &gt; 0, mas NÃO permitida ❌",
IF(AND(K1700="SIM",V1700=0),"ATENÇÃO: BC permitida, mas % = 0 🔎",
"Base de cálculo aplicada corretamente ✅")))</f>
        <v/>
      </c>
      <c r="P1700" s="31" t="str">
        <f>IF(D1700="","",
IF(AND(Q1700&lt;&gt;"SIM",U1700&gt;0),"ERRO: % alíquota &gt; 0, mas NÃO permitida ❌",
IF(AND(Q1700="SIM",U1700=0),"ATENÇÃO: alíquota permitida, mas % = 0 🔎",
"Alíquota aplicada corretamente ✅")))</f>
        <v/>
      </c>
      <c r="Q1700" s="8" t="str">
        <f>IF(E1700="","",IFERROR(VLOOKUP(E1700,REGRAS_CST!$A$2:$D$200,4,FALSE),""))</f>
        <v/>
      </c>
      <c r="S1700" s="9">
        <f>IF($H1700="","",$H1700*(1-$U1700))</f>
        <v>8.9999999999999993E-3</v>
      </c>
      <c r="T1700" s="9">
        <f>IF($I1700="","",$I1700*(1-$U1700))</f>
        <v>1E-3</v>
      </c>
      <c r="U1700" s="16">
        <f>IFERROR(INDEX(BASE_CCLASSTRIB!$E:$E, MATCH(TEXT($D1700,"000000"), BASE_CCLASSTRIB!$A:$A, 0))/100, 0)</f>
        <v>0</v>
      </c>
      <c r="V1700" s="16">
        <f>IFERROR(INDEX(BASE_CCLASSTRIB!$F:$F, MATCH(TEXT($D1700,"000000"), BASE_CCLASSTRIB!$A:$A, 0))/100, 0)</f>
        <v>0</v>
      </c>
    </row>
    <row r="1701" spans="4:22" ht="32.25" customHeight="1">
      <c r="D1701" s="40"/>
      <c r="E1701" s="27" t="str">
        <f>IF(D1701="","",LEFT(D1701,3))</f>
        <v/>
      </c>
      <c r="F1701" s="28" t="str">
        <f>IF(E1701="","",IFERROR(VLOOKUP(E1701,REGRAS_CST!$A$2:$B$200,2,FALSE),""))</f>
        <v/>
      </c>
      <c r="H1701" s="29">
        <v>8.9999999999999993E-3</v>
      </c>
      <c r="I1701" s="29">
        <v>1E-3</v>
      </c>
      <c r="K1701" s="21" t="str">
        <f>IF(E1701="","",IFERROR(VLOOKUP(E1701,REGRAS_CST!$A$2:$C$200,3,FALSE),""))</f>
        <v/>
      </c>
      <c r="L1701" s="23" t="str">
        <f>IF($G1701="", "", $G1701*(1-$V1701))</f>
        <v/>
      </c>
      <c r="M1701" s="24" t="str">
        <f>IF(OR($L1701="",$S1701=""),"",$L1701*$S1701)</f>
        <v/>
      </c>
      <c r="N1701" s="24" t="str">
        <f>IF(OR($L1701="",$T1701=""),"",$L1701*$T1701)</f>
        <v/>
      </c>
      <c r="O1701" s="15" t="str">
        <f>IF(D1701="","",
IF(AND(K1701&lt;&gt;"SIM",V1701&gt;0),"ERRO: % BC &gt; 0, mas NÃO permitida ❌",
IF(AND(K1701="SIM",V1701=0),"ATENÇÃO: BC permitida, mas % = 0 🔎",
"Base de cálculo aplicada corretamente ✅")))</f>
        <v/>
      </c>
      <c r="P1701" s="31" t="str">
        <f>IF(D1701="","",
IF(AND(Q1701&lt;&gt;"SIM",U1701&gt;0),"ERRO: % alíquota &gt; 0, mas NÃO permitida ❌",
IF(AND(Q1701="SIM",U1701=0),"ATENÇÃO: alíquota permitida, mas % = 0 🔎",
"Alíquota aplicada corretamente ✅")))</f>
        <v/>
      </c>
      <c r="Q1701" s="8" t="str">
        <f>IF(E1701="","",IFERROR(VLOOKUP(E1701,REGRAS_CST!$A$2:$D$200,4,FALSE),""))</f>
        <v/>
      </c>
      <c r="S1701" s="9">
        <f>IF($H1701="","",$H1701*(1-$U1701))</f>
        <v>8.9999999999999993E-3</v>
      </c>
      <c r="T1701" s="9">
        <f>IF($I1701="","",$I1701*(1-$U1701))</f>
        <v>1E-3</v>
      </c>
      <c r="U1701" s="16">
        <f>IFERROR(INDEX(BASE_CCLASSTRIB!$E:$E, MATCH(TEXT($D1701,"000000"), BASE_CCLASSTRIB!$A:$A, 0))/100, 0)</f>
        <v>0</v>
      </c>
      <c r="V1701" s="16">
        <f>IFERROR(INDEX(BASE_CCLASSTRIB!$F:$F, MATCH(TEXT($D1701,"000000"), BASE_CCLASSTRIB!$A:$A, 0))/100, 0)</f>
        <v>0</v>
      </c>
    </row>
    <row r="1702" spans="4:22" ht="32.25" customHeight="1">
      <c r="D1702" s="40"/>
      <c r="E1702" s="27" t="str">
        <f>IF(D1702="","",LEFT(D1702,3))</f>
        <v/>
      </c>
      <c r="F1702" s="28" t="str">
        <f>IF(E1702="","",IFERROR(VLOOKUP(E1702,REGRAS_CST!$A$2:$B$200,2,FALSE),""))</f>
        <v/>
      </c>
      <c r="H1702" s="29">
        <v>8.9999999999999993E-3</v>
      </c>
      <c r="I1702" s="29">
        <v>1E-3</v>
      </c>
      <c r="K1702" s="21" t="str">
        <f>IF(E1702="","",IFERROR(VLOOKUP(E1702,REGRAS_CST!$A$2:$C$200,3,FALSE),""))</f>
        <v/>
      </c>
      <c r="L1702" s="23" t="str">
        <f>IF($G1702="", "", $G1702*(1-$V1702))</f>
        <v/>
      </c>
      <c r="M1702" s="24" t="str">
        <f>IF(OR($L1702="",$S1702=""),"",$L1702*$S1702)</f>
        <v/>
      </c>
      <c r="N1702" s="24" t="str">
        <f>IF(OR($L1702="",$T1702=""),"",$L1702*$T1702)</f>
        <v/>
      </c>
      <c r="O1702" s="15" t="str">
        <f>IF(D1702="","",
IF(AND(K1702&lt;&gt;"SIM",V1702&gt;0),"ERRO: % BC &gt; 0, mas NÃO permitida ❌",
IF(AND(K1702="SIM",V1702=0),"ATENÇÃO: BC permitida, mas % = 0 🔎",
"Base de cálculo aplicada corretamente ✅")))</f>
        <v/>
      </c>
      <c r="P1702" s="31" t="str">
        <f>IF(D1702="","",
IF(AND(Q1702&lt;&gt;"SIM",U1702&gt;0),"ERRO: % alíquota &gt; 0, mas NÃO permitida ❌",
IF(AND(Q1702="SIM",U1702=0),"ATENÇÃO: alíquota permitida, mas % = 0 🔎",
"Alíquota aplicada corretamente ✅")))</f>
        <v/>
      </c>
      <c r="Q1702" s="8" t="str">
        <f>IF(E1702="","",IFERROR(VLOOKUP(E1702,REGRAS_CST!$A$2:$D$200,4,FALSE),""))</f>
        <v/>
      </c>
      <c r="S1702" s="9">
        <f>IF($H1702="","",$H1702*(1-$U1702))</f>
        <v>8.9999999999999993E-3</v>
      </c>
      <c r="T1702" s="9">
        <f>IF($I1702="","",$I1702*(1-$U1702))</f>
        <v>1E-3</v>
      </c>
      <c r="U1702" s="16">
        <f>IFERROR(INDEX(BASE_CCLASSTRIB!$E:$E, MATCH(TEXT($D1702,"000000"), BASE_CCLASSTRIB!$A:$A, 0))/100, 0)</f>
        <v>0</v>
      </c>
      <c r="V1702" s="16">
        <f>IFERROR(INDEX(BASE_CCLASSTRIB!$F:$F, MATCH(TEXT($D1702,"000000"), BASE_CCLASSTRIB!$A:$A, 0))/100, 0)</f>
        <v>0</v>
      </c>
    </row>
    <row r="1703" spans="4:22" ht="32.25" customHeight="1">
      <c r="D1703" s="39"/>
      <c r="E1703" s="27" t="str">
        <f>IF(D1703="","",LEFT(D1703,3))</f>
        <v/>
      </c>
      <c r="F1703" s="28" t="str">
        <f>IF(E1703="","",IFERROR(VLOOKUP(E1703,REGRAS_CST!$A$2:$B$200,2,FALSE),""))</f>
        <v/>
      </c>
      <c r="H1703" s="29">
        <v>8.9999999999999993E-3</v>
      </c>
      <c r="I1703" s="29">
        <v>1E-3</v>
      </c>
      <c r="K1703" s="21" t="str">
        <f>IF(E1703="","",IFERROR(VLOOKUP(E1703,REGRAS_CST!$A$2:$C$200,3,FALSE),""))</f>
        <v/>
      </c>
      <c r="L1703" s="23" t="str">
        <f>IF($G1703="", "", $G1703*(1-$V1703))</f>
        <v/>
      </c>
      <c r="M1703" s="24" t="str">
        <f>IF(OR($L1703="",$S1703=""),"",$L1703*$S1703)</f>
        <v/>
      </c>
      <c r="N1703" s="24" t="str">
        <f>IF(OR($L1703="",$T1703=""),"",$L1703*$T1703)</f>
        <v/>
      </c>
      <c r="O1703" s="15" t="str">
        <f>IF(D1703="","",
IF(AND(K1703&lt;&gt;"SIM",V1703&gt;0),"ERRO: % BC &gt; 0, mas NÃO permitida ❌",
IF(AND(K1703="SIM",V1703=0),"ATENÇÃO: BC permitida, mas % = 0 🔎",
"Base de cálculo aplicada corretamente ✅")))</f>
        <v/>
      </c>
      <c r="P1703" s="31" t="str">
        <f>IF(D1703="","",
IF(AND(Q1703&lt;&gt;"SIM",U1703&gt;0),"ERRO: % alíquota &gt; 0, mas NÃO permitida ❌",
IF(AND(Q1703="SIM",U1703=0),"ATENÇÃO: alíquota permitida, mas % = 0 🔎",
"Alíquota aplicada corretamente ✅")))</f>
        <v/>
      </c>
      <c r="Q1703" s="8" t="str">
        <f>IF(E1703="","",IFERROR(VLOOKUP(E1703,REGRAS_CST!$A$2:$D$200,4,FALSE),""))</f>
        <v/>
      </c>
      <c r="S1703" s="9">
        <f>IF($H1703="","",$H1703*(1-$U1703))</f>
        <v>8.9999999999999993E-3</v>
      </c>
      <c r="T1703" s="9">
        <f>IF($I1703="","",$I1703*(1-$U1703))</f>
        <v>1E-3</v>
      </c>
      <c r="U1703" s="16">
        <f>IFERROR(INDEX(BASE_CCLASSTRIB!$E:$E, MATCH(TEXT($D1703,"000000"), BASE_CCLASSTRIB!$A:$A, 0))/100, 0)</f>
        <v>0</v>
      </c>
      <c r="V1703" s="16">
        <f>IFERROR(INDEX(BASE_CCLASSTRIB!$F:$F, MATCH(TEXT($D1703,"000000"), BASE_CCLASSTRIB!$A:$A, 0))/100, 0)</f>
        <v>0</v>
      </c>
    </row>
    <row r="1704" spans="4:22" ht="32.25" customHeight="1">
      <c r="D1704" s="39"/>
      <c r="E1704" s="27" t="str">
        <f>IF(D1704="","",LEFT(D1704,3))</f>
        <v/>
      </c>
      <c r="F1704" s="28" t="str">
        <f>IF(E1704="","",IFERROR(VLOOKUP(E1704,REGRAS_CST!$A$2:$B$200,2,FALSE),""))</f>
        <v/>
      </c>
      <c r="H1704" s="29">
        <v>8.9999999999999993E-3</v>
      </c>
      <c r="I1704" s="29">
        <v>1E-3</v>
      </c>
      <c r="K1704" s="21" t="str">
        <f>IF(E1704="","",IFERROR(VLOOKUP(E1704,REGRAS_CST!$A$2:$C$200,3,FALSE),""))</f>
        <v/>
      </c>
      <c r="L1704" s="23" t="str">
        <f>IF($G1704="", "", $G1704*(1-$V1704))</f>
        <v/>
      </c>
      <c r="M1704" s="24" t="str">
        <f>IF(OR($L1704="",$S1704=""),"",$L1704*$S1704)</f>
        <v/>
      </c>
      <c r="N1704" s="24" t="str">
        <f>IF(OR($L1704="",$T1704=""),"",$L1704*$T1704)</f>
        <v/>
      </c>
      <c r="O1704" s="15" t="str">
        <f>IF(D1704="","",
IF(AND(K1704&lt;&gt;"SIM",V1704&gt;0),"ERRO: % BC &gt; 0, mas NÃO permitida ❌",
IF(AND(K1704="SIM",V1704=0),"ATENÇÃO: BC permitida, mas % = 0 🔎",
"Base de cálculo aplicada corretamente ✅")))</f>
        <v/>
      </c>
      <c r="P1704" s="31" t="str">
        <f>IF(D1704="","",
IF(AND(Q1704&lt;&gt;"SIM",U1704&gt;0),"ERRO: % alíquota &gt; 0, mas NÃO permitida ❌",
IF(AND(Q1704="SIM",U1704=0),"ATENÇÃO: alíquota permitida, mas % = 0 🔎",
"Alíquota aplicada corretamente ✅")))</f>
        <v/>
      </c>
      <c r="Q1704" s="8" t="str">
        <f>IF(E1704="","",IFERROR(VLOOKUP(E1704,REGRAS_CST!$A$2:$D$200,4,FALSE),""))</f>
        <v/>
      </c>
      <c r="S1704" s="9">
        <f>IF($H1704="","",$H1704*(1-$U1704))</f>
        <v>8.9999999999999993E-3</v>
      </c>
      <c r="T1704" s="9">
        <f>IF($I1704="","",$I1704*(1-$U1704))</f>
        <v>1E-3</v>
      </c>
      <c r="U1704" s="16">
        <f>IFERROR(INDEX(BASE_CCLASSTRIB!$E:$E, MATCH(TEXT($D1704,"000000"), BASE_CCLASSTRIB!$A:$A, 0))/100, 0)</f>
        <v>0</v>
      </c>
      <c r="V1704" s="16">
        <f>IFERROR(INDEX(BASE_CCLASSTRIB!$F:$F, MATCH(TEXT($D1704,"000000"), BASE_CCLASSTRIB!$A:$A, 0))/100, 0)</f>
        <v>0</v>
      </c>
    </row>
    <row r="1705" spans="4:22" ht="32.25" customHeight="1">
      <c r="D1705" s="39"/>
      <c r="E1705" s="27" t="str">
        <f>IF(D1705="","",LEFT(D1705,3))</f>
        <v/>
      </c>
      <c r="F1705" s="28" t="str">
        <f>IF(E1705="","",IFERROR(VLOOKUP(E1705,REGRAS_CST!$A$2:$B$200,2,FALSE),""))</f>
        <v/>
      </c>
      <c r="H1705" s="29">
        <v>8.9999999999999993E-3</v>
      </c>
      <c r="I1705" s="29">
        <v>1E-3</v>
      </c>
      <c r="K1705" s="21" t="str">
        <f>IF(E1705="","",IFERROR(VLOOKUP(E1705,REGRAS_CST!$A$2:$C$200,3,FALSE),""))</f>
        <v/>
      </c>
      <c r="L1705" s="23" t="str">
        <f>IF($G1705="", "", $G1705*(1-$V1705))</f>
        <v/>
      </c>
      <c r="M1705" s="24" t="str">
        <f>IF(OR($L1705="",$S1705=""),"",$L1705*$S1705)</f>
        <v/>
      </c>
      <c r="N1705" s="24" t="str">
        <f>IF(OR($L1705="",$T1705=""),"",$L1705*$T1705)</f>
        <v/>
      </c>
      <c r="O1705" s="15" t="str">
        <f>IF(D1705="","",
IF(AND(K1705&lt;&gt;"SIM",V1705&gt;0),"ERRO: % BC &gt; 0, mas NÃO permitida ❌",
IF(AND(K1705="SIM",V1705=0),"ATENÇÃO: BC permitida, mas % = 0 🔎",
"Base de cálculo aplicada corretamente ✅")))</f>
        <v/>
      </c>
      <c r="P1705" s="31" t="str">
        <f>IF(D1705="","",
IF(AND(Q1705&lt;&gt;"SIM",U1705&gt;0),"ERRO: % alíquota &gt; 0, mas NÃO permitida ❌",
IF(AND(Q1705="SIM",U1705=0),"ATENÇÃO: alíquota permitida, mas % = 0 🔎",
"Alíquota aplicada corretamente ✅")))</f>
        <v/>
      </c>
      <c r="Q1705" s="8" t="str">
        <f>IF(E1705="","",IFERROR(VLOOKUP(E1705,REGRAS_CST!$A$2:$D$200,4,FALSE),""))</f>
        <v/>
      </c>
      <c r="S1705" s="9">
        <f>IF($H1705="","",$H1705*(1-$U1705))</f>
        <v>8.9999999999999993E-3</v>
      </c>
      <c r="T1705" s="9">
        <f>IF($I1705="","",$I1705*(1-$U1705))</f>
        <v>1E-3</v>
      </c>
      <c r="U1705" s="16">
        <f>IFERROR(INDEX(BASE_CCLASSTRIB!$E:$E, MATCH(TEXT($D1705,"000000"), BASE_CCLASSTRIB!$A:$A, 0))/100, 0)</f>
        <v>0</v>
      </c>
      <c r="V1705" s="16">
        <f>IFERROR(INDEX(BASE_CCLASSTRIB!$F:$F, MATCH(TEXT($D1705,"000000"), BASE_CCLASSTRIB!$A:$A, 0))/100, 0)</f>
        <v>0</v>
      </c>
    </row>
    <row r="1706" spans="4:22" ht="32.25" customHeight="1">
      <c r="D1706" s="40"/>
      <c r="E1706" s="27" t="str">
        <f>IF(D1706="","",LEFT(D1706,3))</f>
        <v/>
      </c>
      <c r="F1706" s="28" t="str">
        <f>IF(E1706="","",IFERROR(VLOOKUP(E1706,REGRAS_CST!$A$2:$B$200,2,FALSE),""))</f>
        <v/>
      </c>
      <c r="H1706" s="29">
        <v>8.9999999999999993E-3</v>
      </c>
      <c r="I1706" s="29">
        <v>1E-3</v>
      </c>
      <c r="K1706" s="21" t="str">
        <f>IF(E1706="","",IFERROR(VLOOKUP(E1706,REGRAS_CST!$A$2:$C$200,3,FALSE),""))</f>
        <v/>
      </c>
      <c r="L1706" s="23" t="str">
        <f>IF($G1706="", "", $G1706*(1-$V1706))</f>
        <v/>
      </c>
      <c r="M1706" s="24" t="str">
        <f>IF(OR($L1706="",$S1706=""),"",$L1706*$S1706)</f>
        <v/>
      </c>
      <c r="N1706" s="24" t="str">
        <f>IF(OR($L1706="",$T1706=""),"",$L1706*$T1706)</f>
        <v/>
      </c>
      <c r="O1706" s="15" t="str">
        <f>IF(D1706="","",
IF(AND(K1706&lt;&gt;"SIM",V1706&gt;0),"ERRO: % BC &gt; 0, mas NÃO permitida ❌",
IF(AND(K1706="SIM",V1706=0),"ATENÇÃO: BC permitida, mas % = 0 🔎",
"Base de cálculo aplicada corretamente ✅")))</f>
        <v/>
      </c>
      <c r="P1706" s="31" t="str">
        <f>IF(D1706="","",
IF(AND(Q1706&lt;&gt;"SIM",U1706&gt;0),"ERRO: % alíquota &gt; 0, mas NÃO permitida ❌",
IF(AND(Q1706="SIM",U1706=0),"ATENÇÃO: alíquota permitida, mas % = 0 🔎",
"Alíquota aplicada corretamente ✅")))</f>
        <v/>
      </c>
      <c r="Q1706" s="8" t="str">
        <f>IF(E1706="","",IFERROR(VLOOKUP(E1706,REGRAS_CST!$A$2:$D$200,4,FALSE),""))</f>
        <v/>
      </c>
      <c r="S1706" s="9">
        <f>IF($H1706="","",$H1706*(1-$U1706))</f>
        <v>8.9999999999999993E-3</v>
      </c>
      <c r="T1706" s="9">
        <f>IF($I1706="","",$I1706*(1-$U1706))</f>
        <v>1E-3</v>
      </c>
      <c r="U1706" s="16">
        <f>IFERROR(INDEX(BASE_CCLASSTRIB!$E:$E, MATCH(TEXT($D1706,"000000"), BASE_CCLASSTRIB!$A:$A, 0))/100, 0)</f>
        <v>0</v>
      </c>
      <c r="V1706" s="16">
        <f>IFERROR(INDEX(BASE_CCLASSTRIB!$F:$F, MATCH(TEXT($D1706,"000000"), BASE_CCLASSTRIB!$A:$A, 0))/100, 0)</f>
        <v>0</v>
      </c>
    </row>
    <row r="1707" spans="4:22" ht="32.25" customHeight="1">
      <c r="D1707" s="40"/>
      <c r="E1707" s="27" t="str">
        <f>IF(D1707="","",LEFT(D1707,3))</f>
        <v/>
      </c>
      <c r="F1707" s="28" t="str">
        <f>IF(E1707="","",IFERROR(VLOOKUP(E1707,REGRAS_CST!$A$2:$B$200,2,FALSE),""))</f>
        <v/>
      </c>
      <c r="H1707" s="29">
        <v>8.9999999999999993E-3</v>
      </c>
      <c r="I1707" s="29">
        <v>1E-3</v>
      </c>
      <c r="K1707" s="21" t="str">
        <f>IF(E1707="","",IFERROR(VLOOKUP(E1707,REGRAS_CST!$A$2:$C$200,3,FALSE),""))</f>
        <v/>
      </c>
      <c r="L1707" s="23" t="str">
        <f>IF($G1707="", "", $G1707*(1-$V1707))</f>
        <v/>
      </c>
      <c r="M1707" s="24" t="str">
        <f>IF(OR($L1707="",$S1707=""),"",$L1707*$S1707)</f>
        <v/>
      </c>
      <c r="N1707" s="24" t="str">
        <f>IF(OR($L1707="",$T1707=""),"",$L1707*$T1707)</f>
        <v/>
      </c>
      <c r="O1707" s="15" t="str">
        <f>IF(D1707="","",
IF(AND(K1707&lt;&gt;"SIM",V1707&gt;0),"ERRO: % BC &gt; 0, mas NÃO permitida ❌",
IF(AND(K1707="SIM",V1707=0),"ATENÇÃO: BC permitida, mas % = 0 🔎",
"Base de cálculo aplicada corretamente ✅")))</f>
        <v/>
      </c>
      <c r="P1707" s="31" t="str">
        <f>IF(D1707="","",
IF(AND(Q1707&lt;&gt;"SIM",U1707&gt;0),"ERRO: % alíquota &gt; 0, mas NÃO permitida ❌",
IF(AND(Q1707="SIM",U1707=0),"ATENÇÃO: alíquota permitida, mas % = 0 🔎",
"Alíquota aplicada corretamente ✅")))</f>
        <v/>
      </c>
      <c r="Q1707" s="8" t="str">
        <f>IF(E1707="","",IFERROR(VLOOKUP(E1707,REGRAS_CST!$A$2:$D$200,4,FALSE),""))</f>
        <v/>
      </c>
      <c r="S1707" s="9">
        <f>IF($H1707="","",$H1707*(1-$U1707))</f>
        <v>8.9999999999999993E-3</v>
      </c>
      <c r="T1707" s="9">
        <f>IF($I1707="","",$I1707*(1-$U1707))</f>
        <v>1E-3</v>
      </c>
      <c r="U1707" s="16">
        <f>IFERROR(INDEX(BASE_CCLASSTRIB!$E:$E, MATCH(TEXT($D1707,"000000"), BASE_CCLASSTRIB!$A:$A, 0))/100, 0)</f>
        <v>0</v>
      </c>
      <c r="V1707" s="16">
        <f>IFERROR(INDEX(BASE_CCLASSTRIB!$F:$F, MATCH(TEXT($D1707,"000000"), BASE_CCLASSTRIB!$A:$A, 0))/100, 0)</f>
        <v>0</v>
      </c>
    </row>
    <row r="1708" spans="4:22" ht="32.25" customHeight="1">
      <c r="D1708" s="39"/>
      <c r="E1708" s="27" t="str">
        <f>IF(D1708="","",LEFT(D1708,3))</f>
        <v/>
      </c>
      <c r="F1708" s="28" t="str">
        <f>IF(E1708="","",IFERROR(VLOOKUP(E1708,REGRAS_CST!$A$2:$B$200,2,FALSE),""))</f>
        <v/>
      </c>
      <c r="H1708" s="29">
        <v>8.9999999999999993E-3</v>
      </c>
      <c r="I1708" s="29">
        <v>1E-3</v>
      </c>
      <c r="K1708" s="21" t="str">
        <f>IF(E1708="","",IFERROR(VLOOKUP(E1708,REGRAS_CST!$A$2:$C$200,3,FALSE),""))</f>
        <v/>
      </c>
      <c r="L1708" s="23" t="str">
        <f>IF($G1708="", "", $G1708*(1-$V1708))</f>
        <v/>
      </c>
      <c r="M1708" s="24" t="str">
        <f>IF(OR($L1708="",$S1708=""),"",$L1708*$S1708)</f>
        <v/>
      </c>
      <c r="N1708" s="24" t="str">
        <f>IF(OR($L1708="",$T1708=""),"",$L1708*$T1708)</f>
        <v/>
      </c>
      <c r="O1708" s="15" t="str">
        <f>IF(D1708="","",
IF(AND(K1708&lt;&gt;"SIM",V1708&gt;0),"ERRO: % BC &gt; 0, mas NÃO permitida ❌",
IF(AND(K1708="SIM",V1708=0),"ATENÇÃO: BC permitida, mas % = 0 🔎",
"Base de cálculo aplicada corretamente ✅")))</f>
        <v/>
      </c>
      <c r="P1708" s="31" t="str">
        <f>IF(D1708="","",
IF(AND(Q1708&lt;&gt;"SIM",U1708&gt;0),"ERRO: % alíquota &gt; 0, mas NÃO permitida ❌",
IF(AND(Q1708="SIM",U1708=0),"ATENÇÃO: alíquota permitida, mas % = 0 🔎",
"Alíquota aplicada corretamente ✅")))</f>
        <v/>
      </c>
      <c r="Q1708" s="8" t="str">
        <f>IF(E1708="","",IFERROR(VLOOKUP(E1708,REGRAS_CST!$A$2:$D$200,4,FALSE),""))</f>
        <v/>
      </c>
      <c r="S1708" s="9">
        <f>IF($H1708="","",$H1708*(1-$U1708))</f>
        <v>8.9999999999999993E-3</v>
      </c>
      <c r="T1708" s="9">
        <f>IF($I1708="","",$I1708*(1-$U1708))</f>
        <v>1E-3</v>
      </c>
      <c r="U1708" s="16">
        <f>IFERROR(INDEX(BASE_CCLASSTRIB!$E:$E, MATCH(TEXT($D1708,"000000"), BASE_CCLASSTRIB!$A:$A, 0))/100, 0)</f>
        <v>0</v>
      </c>
      <c r="V1708" s="16">
        <f>IFERROR(INDEX(BASE_CCLASSTRIB!$F:$F, MATCH(TEXT($D1708,"000000"), BASE_CCLASSTRIB!$A:$A, 0))/100, 0)</f>
        <v>0</v>
      </c>
    </row>
    <row r="1709" spans="4:22" ht="32.25" customHeight="1">
      <c r="D1709" s="39"/>
      <c r="E1709" s="27" t="str">
        <f>IF(D1709="","",LEFT(D1709,3))</f>
        <v/>
      </c>
      <c r="F1709" s="28" t="str">
        <f>IF(E1709="","",IFERROR(VLOOKUP(E1709,REGRAS_CST!$A$2:$B$200,2,FALSE),""))</f>
        <v/>
      </c>
      <c r="H1709" s="29">
        <v>8.9999999999999993E-3</v>
      </c>
      <c r="I1709" s="29">
        <v>1E-3</v>
      </c>
      <c r="K1709" s="21" t="str">
        <f>IF(E1709="","",IFERROR(VLOOKUP(E1709,REGRAS_CST!$A$2:$C$200,3,FALSE),""))</f>
        <v/>
      </c>
      <c r="L1709" s="23" t="str">
        <f>IF($G1709="", "", $G1709*(1-$V1709))</f>
        <v/>
      </c>
      <c r="M1709" s="24" t="str">
        <f>IF(OR($L1709="",$S1709=""),"",$L1709*$S1709)</f>
        <v/>
      </c>
      <c r="N1709" s="24" t="str">
        <f>IF(OR($L1709="",$T1709=""),"",$L1709*$T1709)</f>
        <v/>
      </c>
      <c r="O1709" s="15" t="str">
        <f>IF(D1709="","",
IF(AND(K1709&lt;&gt;"SIM",V1709&gt;0),"ERRO: % BC &gt; 0, mas NÃO permitida ❌",
IF(AND(K1709="SIM",V1709=0),"ATENÇÃO: BC permitida, mas % = 0 🔎",
"Base de cálculo aplicada corretamente ✅")))</f>
        <v/>
      </c>
      <c r="P1709" s="31" t="str">
        <f>IF(D1709="","",
IF(AND(Q1709&lt;&gt;"SIM",U1709&gt;0),"ERRO: % alíquota &gt; 0, mas NÃO permitida ❌",
IF(AND(Q1709="SIM",U1709=0),"ATENÇÃO: alíquota permitida, mas % = 0 🔎",
"Alíquota aplicada corretamente ✅")))</f>
        <v/>
      </c>
      <c r="Q1709" s="8" t="str">
        <f>IF(E1709="","",IFERROR(VLOOKUP(E1709,REGRAS_CST!$A$2:$D$200,4,FALSE),""))</f>
        <v/>
      </c>
      <c r="S1709" s="9">
        <f>IF($H1709="","",$H1709*(1-$U1709))</f>
        <v>8.9999999999999993E-3</v>
      </c>
      <c r="T1709" s="9">
        <f>IF($I1709="","",$I1709*(1-$U1709))</f>
        <v>1E-3</v>
      </c>
      <c r="U1709" s="16">
        <f>IFERROR(INDEX(BASE_CCLASSTRIB!$E:$E, MATCH(TEXT($D1709,"000000"), BASE_CCLASSTRIB!$A:$A, 0))/100, 0)</f>
        <v>0</v>
      </c>
      <c r="V1709" s="16">
        <f>IFERROR(INDEX(BASE_CCLASSTRIB!$F:$F, MATCH(TEXT($D1709,"000000"), BASE_CCLASSTRIB!$A:$A, 0))/100, 0)</f>
        <v>0</v>
      </c>
    </row>
    <row r="1710" spans="4:22" ht="32.25" customHeight="1">
      <c r="D1710" s="39"/>
      <c r="E1710" s="27" t="str">
        <f>IF(D1710="","",LEFT(D1710,3))</f>
        <v/>
      </c>
      <c r="F1710" s="28" t="str">
        <f>IF(E1710="","",IFERROR(VLOOKUP(E1710,REGRAS_CST!$A$2:$B$200,2,FALSE),""))</f>
        <v/>
      </c>
      <c r="H1710" s="29">
        <v>8.9999999999999993E-3</v>
      </c>
      <c r="I1710" s="29">
        <v>1E-3</v>
      </c>
      <c r="K1710" s="21" t="str">
        <f>IF(E1710="","",IFERROR(VLOOKUP(E1710,REGRAS_CST!$A$2:$C$200,3,FALSE),""))</f>
        <v/>
      </c>
      <c r="L1710" s="23" t="str">
        <f>IF($G1710="", "", $G1710*(1-$V1710))</f>
        <v/>
      </c>
      <c r="M1710" s="24" t="str">
        <f>IF(OR($L1710="",$S1710=""),"",$L1710*$S1710)</f>
        <v/>
      </c>
      <c r="N1710" s="24" t="str">
        <f>IF(OR($L1710="",$T1710=""),"",$L1710*$T1710)</f>
        <v/>
      </c>
      <c r="O1710" s="15" t="str">
        <f>IF(D1710="","",
IF(AND(K1710&lt;&gt;"SIM",V1710&gt;0),"ERRO: % BC &gt; 0, mas NÃO permitida ❌",
IF(AND(K1710="SIM",V1710=0),"ATENÇÃO: BC permitida, mas % = 0 🔎",
"Base de cálculo aplicada corretamente ✅")))</f>
        <v/>
      </c>
      <c r="P1710" s="31" t="str">
        <f>IF(D1710="","",
IF(AND(Q1710&lt;&gt;"SIM",U1710&gt;0),"ERRO: % alíquota &gt; 0, mas NÃO permitida ❌",
IF(AND(Q1710="SIM",U1710=0),"ATENÇÃO: alíquota permitida, mas % = 0 🔎",
"Alíquota aplicada corretamente ✅")))</f>
        <v/>
      </c>
      <c r="Q1710" s="8" t="str">
        <f>IF(E1710="","",IFERROR(VLOOKUP(E1710,REGRAS_CST!$A$2:$D$200,4,FALSE),""))</f>
        <v/>
      </c>
      <c r="S1710" s="9">
        <f>IF($H1710="","",$H1710*(1-$U1710))</f>
        <v>8.9999999999999993E-3</v>
      </c>
      <c r="T1710" s="9">
        <f>IF($I1710="","",$I1710*(1-$U1710))</f>
        <v>1E-3</v>
      </c>
      <c r="U1710" s="16">
        <f>IFERROR(INDEX(BASE_CCLASSTRIB!$E:$E, MATCH(TEXT($D1710,"000000"), BASE_CCLASSTRIB!$A:$A, 0))/100, 0)</f>
        <v>0</v>
      </c>
      <c r="V1710" s="16">
        <f>IFERROR(INDEX(BASE_CCLASSTRIB!$F:$F, MATCH(TEXT($D1710,"000000"), BASE_CCLASSTRIB!$A:$A, 0))/100, 0)</f>
        <v>0</v>
      </c>
    </row>
    <row r="1711" spans="4:22" ht="32.25" customHeight="1">
      <c r="D1711" s="40"/>
      <c r="E1711" s="27" t="str">
        <f>IF(D1711="","",LEFT(D1711,3))</f>
        <v/>
      </c>
      <c r="F1711" s="28" t="str">
        <f>IF(E1711="","",IFERROR(VLOOKUP(E1711,REGRAS_CST!$A$2:$B$200,2,FALSE),""))</f>
        <v/>
      </c>
      <c r="H1711" s="29">
        <v>8.9999999999999993E-3</v>
      </c>
      <c r="I1711" s="29">
        <v>1E-3</v>
      </c>
      <c r="K1711" s="21" t="str">
        <f>IF(E1711="","",IFERROR(VLOOKUP(E1711,REGRAS_CST!$A$2:$C$200,3,FALSE),""))</f>
        <v/>
      </c>
      <c r="L1711" s="23" t="str">
        <f>IF($G1711="", "", $G1711*(1-$V1711))</f>
        <v/>
      </c>
      <c r="M1711" s="24" t="str">
        <f>IF(OR($L1711="",$S1711=""),"",$L1711*$S1711)</f>
        <v/>
      </c>
      <c r="N1711" s="24" t="str">
        <f>IF(OR($L1711="",$T1711=""),"",$L1711*$T1711)</f>
        <v/>
      </c>
      <c r="O1711" s="15" t="str">
        <f>IF(D1711="","",
IF(AND(K1711&lt;&gt;"SIM",V1711&gt;0),"ERRO: % BC &gt; 0, mas NÃO permitida ❌",
IF(AND(K1711="SIM",V1711=0),"ATENÇÃO: BC permitida, mas % = 0 🔎",
"Base de cálculo aplicada corretamente ✅")))</f>
        <v/>
      </c>
      <c r="P1711" s="31" t="str">
        <f>IF(D1711="","",
IF(AND(Q1711&lt;&gt;"SIM",U1711&gt;0),"ERRO: % alíquota &gt; 0, mas NÃO permitida ❌",
IF(AND(Q1711="SIM",U1711=0),"ATENÇÃO: alíquota permitida, mas % = 0 🔎",
"Alíquota aplicada corretamente ✅")))</f>
        <v/>
      </c>
      <c r="Q1711" s="8" t="str">
        <f>IF(E1711="","",IFERROR(VLOOKUP(E1711,REGRAS_CST!$A$2:$D$200,4,FALSE),""))</f>
        <v/>
      </c>
      <c r="S1711" s="9">
        <f>IF($H1711="","",$H1711*(1-$U1711))</f>
        <v>8.9999999999999993E-3</v>
      </c>
      <c r="T1711" s="9">
        <f>IF($I1711="","",$I1711*(1-$U1711))</f>
        <v>1E-3</v>
      </c>
      <c r="U1711" s="16">
        <f>IFERROR(INDEX(BASE_CCLASSTRIB!$E:$E, MATCH(TEXT($D1711,"000000"), BASE_CCLASSTRIB!$A:$A, 0))/100, 0)</f>
        <v>0</v>
      </c>
      <c r="V1711" s="16">
        <f>IFERROR(INDEX(BASE_CCLASSTRIB!$F:$F, MATCH(TEXT($D1711,"000000"), BASE_CCLASSTRIB!$A:$A, 0))/100, 0)</f>
        <v>0</v>
      </c>
    </row>
    <row r="1712" spans="4:22" ht="32.25" customHeight="1">
      <c r="D1712" s="39"/>
      <c r="E1712" s="27" t="str">
        <f>IF(D1712="","",LEFT(D1712,3))</f>
        <v/>
      </c>
      <c r="F1712" s="28" t="str">
        <f>IF(E1712="","",IFERROR(VLOOKUP(E1712,REGRAS_CST!$A$2:$B$200,2,FALSE),""))</f>
        <v/>
      </c>
      <c r="H1712" s="29">
        <v>8.9999999999999993E-3</v>
      </c>
      <c r="I1712" s="29">
        <v>1E-3</v>
      </c>
      <c r="K1712" s="21" t="str">
        <f>IF(E1712="","",IFERROR(VLOOKUP(E1712,REGRAS_CST!$A$2:$C$200,3,FALSE),""))</f>
        <v/>
      </c>
      <c r="L1712" s="23" t="str">
        <f>IF($G1712="", "", $G1712*(1-$V1712))</f>
        <v/>
      </c>
      <c r="M1712" s="24" t="str">
        <f>IF(OR($L1712="",$S1712=""),"",$L1712*$S1712)</f>
        <v/>
      </c>
      <c r="N1712" s="24" t="str">
        <f>IF(OR($L1712="",$T1712=""),"",$L1712*$T1712)</f>
        <v/>
      </c>
      <c r="O1712" s="15" t="str">
        <f>IF(D1712="","",
IF(AND(K1712&lt;&gt;"SIM",V1712&gt;0),"ERRO: % BC &gt; 0, mas NÃO permitida ❌",
IF(AND(K1712="SIM",V1712=0),"ATENÇÃO: BC permitida, mas % = 0 🔎",
"Base de cálculo aplicada corretamente ✅")))</f>
        <v/>
      </c>
      <c r="P1712" s="31" t="str">
        <f>IF(D1712="","",
IF(AND(Q1712&lt;&gt;"SIM",U1712&gt;0),"ERRO: % alíquota &gt; 0, mas NÃO permitida ❌",
IF(AND(Q1712="SIM",U1712=0),"ATENÇÃO: alíquota permitida, mas % = 0 🔎",
"Alíquota aplicada corretamente ✅")))</f>
        <v/>
      </c>
      <c r="Q1712" s="8" t="str">
        <f>IF(E1712="","",IFERROR(VLOOKUP(E1712,REGRAS_CST!$A$2:$D$200,4,FALSE),""))</f>
        <v/>
      </c>
      <c r="S1712" s="9">
        <f>IF($H1712="","",$H1712*(1-$U1712))</f>
        <v>8.9999999999999993E-3</v>
      </c>
      <c r="T1712" s="9">
        <f>IF($I1712="","",$I1712*(1-$U1712))</f>
        <v>1E-3</v>
      </c>
      <c r="U1712" s="16">
        <f>IFERROR(INDEX(BASE_CCLASSTRIB!$E:$E, MATCH(TEXT($D1712,"000000"), BASE_CCLASSTRIB!$A:$A, 0))/100, 0)</f>
        <v>0</v>
      </c>
      <c r="V1712" s="16">
        <f>IFERROR(INDEX(BASE_CCLASSTRIB!$F:$F, MATCH(TEXT($D1712,"000000"), BASE_CCLASSTRIB!$A:$A, 0))/100, 0)</f>
        <v>0</v>
      </c>
    </row>
    <row r="1713" spans="4:22" ht="32.25" customHeight="1">
      <c r="D1713" s="40"/>
      <c r="E1713" s="27" t="str">
        <f>IF(D1713="","",LEFT(D1713,3))</f>
        <v/>
      </c>
      <c r="F1713" s="28" t="str">
        <f>IF(E1713="","",IFERROR(VLOOKUP(E1713,REGRAS_CST!$A$2:$B$200,2,FALSE),""))</f>
        <v/>
      </c>
      <c r="H1713" s="29">
        <v>8.9999999999999993E-3</v>
      </c>
      <c r="I1713" s="29">
        <v>1E-3</v>
      </c>
      <c r="K1713" s="21" t="str">
        <f>IF(E1713="","",IFERROR(VLOOKUP(E1713,REGRAS_CST!$A$2:$C$200,3,FALSE),""))</f>
        <v/>
      </c>
      <c r="L1713" s="23" t="str">
        <f>IF($G1713="", "", $G1713*(1-$V1713))</f>
        <v/>
      </c>
      <c r="M1713" s="24" t="str">
        <f>IF(OR($L1713="",$S1713=""),"",$L1713*$S1713)</f>
        <v/>
      </c>
      <c r="N1713" s="24" t="str">
        <f>IF(OR($L1713="",$T1713=""),"",$L1713*$T1713)</f>
        <v/>
      </c>
      <c r="O1713" s="15" t="str">
        <f>IF(D1713="","",
IF(AND(K1713&lt;&gt;"SIM",V1713&gt;0),"ERRO: % BC &gt; 0, mas NÃO permitida ❌",
IF(AND(K1713="SIM",V1713=0),"ATENÇÃO: BC permitida, mas % = 0 🔎",
"Base de cálculo aplicada corretamente ✅")))</f>
        <v/>
      </c>
      <c r="P1713" s="31" t="str">
        <f>IF(D1713="","",
IF(AND(Q1713&lt;&gt;"SIM",U1713&gt;0),"ERRO: % alíquota &gt; 0, mas NÃO permitida ❌",
IF(AND(Q1713="SIM",U1713=0),"ATENÇÃO: alíquota permitida, mas % = 0 🔎",
"Alíquota aplicada corretamente ✅")))</f>
        <v/>
      </c>
      <c r="Q1713" s="8" t="str">
        <f>IF(E1713="","",IFERROR(VLOOKUP(E1713,REGRAS_CST!$A$2:$D$200,4,FALSE),""))</f>
        <v/>
      </c>
      <c r="S1713" s="9">
        <f>IF($H1713="","",$H1713*(1-$U1713))</f>
        <v>8.9999999999999993E-3</v>
      </c>
      <c r="T1713" s="9">
        <f>IF($I1713="","",$I1713*(1-$U1713))</f>
        <v>1E-3</v>
      </c>
      <c r="U1713" s="16">
        <f>IFERROR(INDEX(BASE_CCLASSTRIB!$E:$E, MATCH(TEXT($D1713,"000000"), BASE_CCLASSTRIB!$A:$A, 0))/100, 0)</f>
        <v>0</v>
      </c>
      <c r="V1713" s="16">
        <f>IFERROR(INDEX(BASE_CCLASSTRIB!$F:$F, MATCH(TEXT($D1713,"000000"), BASE_CCLASSTRIB!$A:$A, 0))/100, 0)</f>
        <v>0</v>
      </c>
    </row>
    <row r="1714" spans="4:22" ht="32.25" customHeight="1">
      <c r="D1714" s="40"/>
      <c r="E1714" s="27" t="str">
        <f>IF(D1714="","",LEFT(D1714,3))</f>
        <v/>
      </c>
      <c r="F1714" s="28" t="str">
        <f>IF(E1714="","",IFERROR(VLOOKUP(E1714,REGRAS_CST!$A$2:$B$200,2,FALSE),""))</f>
        <v/>
      </c>
      <c r="H1714" s="29">
        <v>8.9999999999999993E-3</v>
      </c>
      <c r="I1714" s="29">
        <v>1E-3</v>
      </c>
      <c r="K1714" s="21" t="str">
        <f>IF(E1714="","",IFERROR(VLOOKUP(E1714,REGRAS_CST!$A$2:$C$200,3,FALSE),""))</f>
        <v/>
      </c>
      <c r="L1714" s="23" t="str">
        <f>IF($G1714="", "", $G1714*(1-$V1714))</f>
        <v/>
      </c>
      <c r="M1714" s="24" t="str">
        <f>IF(OR($L1714="",$S1714=""),"",$L1714*$S1714)</f>
        <v/>
      </c>
      <c r="N1714" s="24" t="str">
        <f>IF(OR($L1714="",$T1714=""),"",$L1714*$T1714)</f>
        <v/>
      </c>
      <c r="O1714" s="15" t="str">
        <f>IF(D1714="","",
IF(AND(K1714&lt;&gt;"SIM",V1714&gt;0),"ERRO: % BC &gt; 0, mas NÃO permitida ❌",
IF(AND(K1714="SIM",V1714=0),"ATENÇÃO: BC permitida, mas % = 0 🔎",
"Base de cálculo aplicada corretamente ✅")))</f>
        <v/>
      </c>
      <c r="P1714" s="31" t="str">
        <f>IF(D1714="","",
IF(AND(Q1714&lt;&gt;"SIM",U1714&gt;0),"ERRO: % alíquota &gt; 0, mas NÃO permitida ❌",
IF(AND(Q1714="SIM",U1714=0),"ATENÇÃO: alíquota permitida, mas % = 0 🔎",
"Alíquota aplicada corretamente ✅")))</f>
        <v/>
      </c>
      <c r="Q1714" s="8" t="str">
        <f>IF(E1714="","",IFERROR(VLOOKUP(E1714,REGRAS_CST!$A$2:$D$200,4,FALSE),""))</f>
        <v/>
      </c>
      <c r="S1714" s="9">
        <f>IF($H1714="","",$H1714*(1-$U1714))</f>
        <v>8.9999999999999993E-3</v>
      </c>
      <c r="T1714" s="9">
        <f>IF($I1714="","",$I1714*(1-$U1714))</f>
        <v>1E-3</v>
      </c>
      <c r="U1714" s="16">
        <f>IFERROR(INDEX(BASE_CCLASSTRIB!$E:$E, MATCH(TEXT($D1714,"000000"), BASE_CCLASSTRIB!$A:$A, 0))/100, 0)</f>
        <v>0</v>
      </c>
      <c r="V1714" s="16">
        <f>IFERROR(INDEX(BASE_CCLASSTRIB!$F:$F, MATCH(TEXT($D1714,"000000"), BASE_CCLASSTRIB!$A:$A, 0))/100, 0)</f>
        <v>0</v>
      </c>
    </row>
    <row r="1715" spans="4:22" ht="32.25" customHeight="1">
      <c r="D1715" s="40"/>
      <c r="E1715" s="27" t="str">
        <f>IF(D1715="","",LEFT(D1715,3))</f>
        <v/>
      </c>
      <c r="F1715" s="28" t="str">
        <f>IF(E1715="","",IFERROR(VLOOKUP(E1715,REGRAS_CST!$A$2:$B$200,2,FALSE),""))</f>
        <v/>
      </c>
      <c r="H1715" s="29">
        <v>8.9999999999999993E-3</v>
      </c>
      <c r="I1715" s="29">
        <v>1E-3</v>
      </c>
      <c r="K1715" s="21" t="str">
        <f>IF(E1715="","",IFERROR(VLOOKUP(E1715,REGRAS_CST!$A$2:$C$200,3,FALSE),""))</f>
        <v/>
      </c>
      <c r="L1715" s="23" t="str">
        <f>IF($G1715="", "", $G1715*(1-$V1715))</f>
        <v/>
      </c>
      <c r="M1715" s="24" t="str">
        <f>IF(OR($L1715="",$S1715=""),"",$L1715*$S1715)</f>
        <v/>
      </c>
      <c r="N1715" s="24" t="str">
        <f>IF(OR($L1715="",$T1715=""),"",$L1715*$T1715)</f>
        <v/>
      </c>
      <c r="O1715" s="15" t="str">
        <f>IF(D1715="","",
IF(AND(K1715&lt;&gt;"SIM",V1715&gt;0),"ERRO: % BC &gt; 0, mas NÃO permitida ❌",
IF(AND(K1715="SIM",V1715=0),"ATENÇÃO: BC permitida, mas % = 0 🔎",
"Base de cálculo aplicada corretamente ✅")))</f>
        <v/>
      </c>
      <c r="P1715" s="31" t="str">
        <f>IF(D1715="","",
IF(AND(Q1715&lt;&gt;"SIM",U1715&gt;0),"ERRO: % alíquota &gt; 0, mas NÃO permitida ❌",
IF(AND(Q1715="SIM",U1715=0),"ATENÇÃO: alíquota permitida, mas % = 0 🔎",
"Alíquota aplicada corretamente ✅")))</f>
        <v/>
      </c>
      <c r="Q1715" s="8" t="str">
        <f>IF(E1715="","",IFERROR(VLOOKUP(E1715,REGRAS_CST!$A$2:$D$200,4,FALSE),""))</f>
        <v/>
      </c>
      <c r="S1715" s="9">
        <f>IF($H1715="","",$H1715*(1-$U1715))</f>
        <v>8.9999999999999993E-3</v>
      </c>
      <c r="T1715" s="9">
        <f>IF($I1715="","",$I1715*(1-$U1715))</f>
        <v>1E-3</v>
      </c>
      <c r="U1715" s="16">
        <f>IFERROR(INDEX(BASE_CCLASSTRIB!$E:$E, MATCH(TEXT($D1715,"000000"), BASE_CCLASSTRIB!$A:$A, 0))/100, 0)</f>
        <v>0</v>
      </c>
      <c r="V1715" s="16">
        <f>IFERROR(INDEX(BASE_CCLASSTRIB!$F:$F, MATCH(TEXT($D1715,"000000"), BASE_CCLASSTRIB!$A:$A, 0))/100, 0)</f>
        <v>0</v>
      </c>
    </row>
    <row r="1716" spans="4:22" ht="32.25" customHeight="1">
      <c r="D1716" s="40"/>
      <c r="E1716" s="27" t="str">
        <f>IF(D1716="","",LEFT(D1716,3))</f>
        <v/>
      </c>
      <c r="F1716" s="28" t="str">
        <f>IF(E1716="","",IFERROR(VLOOKUP(E1716,REGRAS_CST!$A$2:$B$200,2,FALSE),""))</f>
        <v/>
      </c>
      <c r="H1716" s="29">
        <v>8.9999999999999993E-3</v>
      </c>
      <c r="I1716" s="29">
        <v>1E-3</v>
      </c>
      <c r="K1716" s="21" t="str">
        <f>IF(E1716="","",IFERROR(VLOOKUP(E1716,REGRAS_CST!$A$2:$C$200,3,FALSE),""))</f>
        <v/>
      </c>
      <c r="L1716" s="23" t="str">
        <f>IF($G1716="", "", $G1716*(1-$V1716))</f>
        <v/>
      </c>
      <c r="M1716" s="24" t="str">
        <f>IF(OR($L1716="",$S1716=""),"",$L1716*$S1716)</f>
        <v/>
      </c>
      <c r="N1716" s="24" t="str">
        <f>IF(OR($L1716="",$T1716=""),"",$L1716*$T1716)</f>
        <v/>
      </c>
      <c r="O1716" s="15" t="str">
        <f>IF(D1716="","",
IF(AND(K1716&lt;&gt;"SIM",V1716&gt;0),"ERRO: % BC &gt; 0, mas NÃO permitida ❌",
IF(AND(K1716="SIM",V1716=0),"ATENÇÃO: BC permitida, mas % = 0 🔎",
"Base de cálculo aplicada corretamente ✅")))</f>
        <v/>
      </c>
      <c r="P1716" s="31" t="str">
        <f>IF(D1716="","",
IF(AND(Q1716&lt;&gt;"SIM",U1716&gt;0),"ERRO: % alíquota &gt; 0, mas NÃO permitida ❌",
IF(AND(Q1716="SIM",U1716=0),"ATENÇÃO: alíquota permitida, mas % = 0 🔎",
"Alíquota aplicada corretamente ✅")))</f>
        <v/>
      </c>
      <c r="Q1716" s="8" t="str">
        <f>IF(E1716="","",IFERROR(VLOOKUP(E1716,REGRAS_CST!$A$2:$D$200,4,FALSE),""))</f>
        <v/>
      </c>
      <c r="S1716" s="9">
        <f>IF($H1716="","",$H1716*(1-$U1716))</f>
        <v>8.9999999999999993E-3</v>
      </c>
      <c r="T1716" s="9">
        <f>IF($I1716="","",$I1716*(1-$U1716))</f>
        <v>1E-3</v>
      </c>
      <c r="U1716" s="16">
        <f>IFERROR(INDEX(BASE_CCLASSTRIB!$E:$E, MATCH(TEXT($D1716,"000000"), BASE_CCLASSTRIB!$A:$A, 0))/100, 0)</f>
        <v>0</v>
      </c>
      <c r="V1716" s="16">
        <f>IFERROR(INDEX(BASE_CCLASSTRIB!$F:$F, MATCH(TEXT($D1716,"000000"), BASE_CCLASSTRIB!$A:$A, 0))/100, 0)</f>
        <v>0</v>
      </c>
    </row>
    <row r="1717" spans="4:22" ht="32.25" customHeight="1">
      <c r="D1717" s="40"/>
      <c r="E1717" s="27" t="str">
        <f>IF(D1717="","",LEFT(D1717,3))</f>
        <v/>
      </c>
      <c r="F1717" s="28" t="str">
        <f>IF(E1717="","",IFERROR(VLOOKUP(E1717,REGRAS_CST!$A$2:$B$200,2,FALSE),""))</f>
        <v/>
      </c>
      <c r="H1717" s="29">
        <v>8.9999999999999993E-3</v>
      </c>
      <c r="I1717" s="29">
        <v>1E-3</v>
      </c>
      <c r="K1717" s="21" t="str">
        <f>IF(E1717="","",IFERROR(VLOOKUP(E1717,REGRAS_CST!$A$2:$C$200,3,FALSE),""))</f>
        <v/>
      </c>
      <c r="L1717" s="23" t="str">
        <f>IF($G1717="", "", $G1717*(1-$V1717))</f>
        <v/>
      </c>
      <c r="M1717" s="24" t="str">
        <f>IF(OR($L1717="",$S1717=""),"",$L1717*$S1717)</f>
        <v/>
      </c>
      <c r="N1717" s="24" t="str">
        <f>IF(OR($L1717="",$T1717=""),"",$L1717*$T1717)</f>
        <v/>
      </c>
      <c r="O1717" s="15" t="str">
        <f>IF(D1717="","",
IF(AND(K1717&lt;&gt;"SIM",V1717&gt;0),"ERRO: % BC &gt; 0, mas NÃO permitida ❌",
IF(AND(K1717="SIM",V1717=0),"ATENÇÃO: BC permitida, mas % = 0 🔎",
"Base de cálculo aplicada corretamente ✅")))</f>
        <v/>
      </c>
      <c r="P1717" s="31" t="str">
        <f>IF(D1717="","",
IF(AND(Q1717&lt;&gt;"SIM",U1717&gt;0),"ERRO: % alíquota &gt; 0, mas NÃO permitida ❌",
IF(AND(Q1717="SIM",U1717=0),"ATENÇÃO: alíquota permitida, mas % = 0 🔎",
"Alíquota aplicada corretamente ✅")))</f>
        <v/>
      </c>
      <c r="Q1717" s="8" t="str">
        <f>IF(E1717="","",IFERROR(VLOOKUP(E1717,REGRAS_CST!$A$2:$D$200,4,FALSE),""))</f>
        <v/>
      </c>
      <c r="S1717" s="9">
        <f>IF($H1717="","",$H1717*(1-$U1717))</f>
        <v>8.9999999999999993E-3</v>
      </c>
      <c r="T1717" s="9">
        <f>IF($I1717="","",$I1717*(1-$U1717))</f>
        <v>1E-3</v>
      </c>
      <c r="U1717" s="16">
        <f>IFERROR(INDEX(BASE_CCLASSTRIB!$E:$E, MATCH(TEXT($D1717,"000000"), BASE_CCLASSTRIB!$A:$A, 0))/100, 0)</f>
        <v>0</v>
      </c>
      <c r="V1717" s="16">
        <f>IFERROR(INDEX(BASE_CCLASSTRIB!$F:$F, MATCH(TEXT($D1717,"000000"), BASE_CCLASSTRIB!$A:$A, 0))/100, 0)</f>
        <v>0</v>
      </c>
    </row>
    <row r="1718" spans="4:22" ht="32.25" customHeight="1">
      <c r="D1718" s="39"/>
      <c r="E1718" s="27" t="str">
        <f>IF(D1718="","",LEFT(D1718,3))</f>
        <v/>
      </c>
      <c r="F1718" s="28" t="str">
        <f>IF(E1718="","",IFERROR(VLOOKUP(E1718,REGRAS_CST!$A$2:$B$200,2,FALSE),""))</f>
        <v/>
      </c>
      <c r="H1718" s="29">
        <v>8.9999999999999993E-3</v>
      </c>
      <c r="I1718" s="29">
        <v>1E-3</v>
      </c>
      <c r="K1718" s="21" t="str">
        <f>IF(E1718="","",IFERROR(VLOOKUP(E1718,REGRAS_CST!$A$2:$C$200,3,FALSE),""))</f>
        <v/>
      </c>
      <c r="L1718" s="23" t="str">
        <f>IF($G1718="", "", $G1718*(1-$V1718))</f>
        <v/>
      </c>
      <c r="M1718" s="24" t="str">
        <f>IF(OR($L1718="",$S1718=""),"",$L1718*$S1718)</f>
        <v/>
      </c>
      <c r="N1718" s="24" t="str">
        <f>IF(OR($L1718="",$T1718=""),"",$L1718*$T1718)</f>
        <v/>
      </c>
      <c r="O1718" s="15" t="str">
        <f>IF(D1718="","",
IF(AND(K1718&lt;&gt;"SIM",V1718&gt;0),"ERRO: % BC &gt; 0, mas NÃO permitida ❌",
IF(AND(K1718="SIM",V1718=0),"ATENÇÃO: BC permitida, mas % = 0 🔎",
"Base de cálculo aplicada corretamente ✅")))</f>
        <v/>
      </c>
      <c r="P1718" s="31" t="str">
        <f>IF(D1718="","",
IF(AND(Q1718&lt;&gt;"SIM",U1718&gt;0),"ERRO: % alíquota &gt; 0, mas NÃO permitida ❌",
IF(AND(Q1718="SIM",U1718=0),"ATENÇÃO: alíquota permitida, mas % = 0 🔎",
"Alíquota aplicada corretamente ✅")))</f>
        <v/>
      </c>
      <c r="Q1718" s="8" t="str">
        <f>IF(E1718="","",IFERROR(VLOOKUP(E1718,REGRAS_CST!$A$2:$D$200,4,FALSE),""))</f>
        <v/>
      </c>
      <c r="S1718" s="9">
        <f>IF($H1718="","",$H1718*(1-$U1718))</f>
        <v>8.9999999999999993E-3</v>
      </c>
      <c r="T1718" s="9">
        <f>IF($I1718="","",$I1718*(1-$U1718))</f>
        <v>1E-3</v>
      </c>
      <c r="U1718" s="16">
        <f>IFERROR(INDEX(BASE_CCLASSTRIB!$E:$E, MATCH(TEXT($D1718,"000000"), BASE_CCLASSTRIB!$A:$A, 0))/100, 0)</f>
        <v>0</v>
      </c>
      <c r="V1718" s="16">
        <f>IFERROR(INDEX(BASE_CCLASSTRIB!$F:$F, MATCH(TEXT($D1718,"000000"), BASE_CCLASSTRIB!$A:$A, 0))/100, 0)</f>
        <v>0</v>
      </c>
    </row>
    <row r="1719" spans="4:22" ht="32.25" customHeight="1">
      <c r="D1719" s="40"/>
      <c r="E1719" s="27" t="str">
        <f>IF(D1719="","",LEFT(D1719,3))</f>
        <v/>
      </c>
      <c r="F1719" s="28" t="str">
        <f>IF(E1719="","",IFERROR(VLOOKUP(E1719,REGRAS_CST!$A$2:$B$200,2,FALSE),""))</f>
        <v/>
      </c>
      <c r="H1719" s="29">
        <v>8.9999999999999993E-3</v>
      </c>
      <c r="I1719" s="29">
        <v>1E-3</v>
      </c>
      <c r="K1719" s="21" t="str">
        <f>IF(E1719="","",IFERROR(VLOOKUP(E1719,REGRAS_CST!$A$2:$C$200,3,FALSE),""))</f>
        <v/>
      </c>
      <c r="L1719" s="23" t="str">
        <f>IF($G1719="", "", $G1719*(1-$V1719))</f>
        <v/>
      </c>
      <c r="M1719" s="24" t="str">
        <f>IF(OR($L1719="",$S1719=""),"",$L1719*$S1719)</f>
        <v/>
      </c>
      <c r="N1719" s="24" t="str">
        <f>IF(OR($L1719="",$T1719=""),"",$L1719*$T1719)</f>
        <v/>
      </c>
      <c r="O1719" s="15" t="str">
        <f>IF(D1719="","",
IF(AND(K1719&lt;&gt;"SIM",V1719&gt;0),"ERRO: % BC &gt; 0, mas NÃO permitida ❌",
IF(AND(K1719="SIM",V1719=0),"ATENÇÃO: BC permitida, mas % = 0 🔎",
"Base de cálculo aplicada corretamente ✅")))</f>
        <v/>
      </c>
      <c r="P1719" s="31" t="str">
        <f>IF(D1719="","",
IF(AND(Q1719&lt;&gt;"SIM",U1719&gt;0),"ERRO: % alíquota &gt; 0, mas NÃO permitida ❌",
IF(AND(Q1719="SIM",U1719=0),"ATENÇÃO: alíquota permitida, mas % = 0 🔎",
"Alíquota aplicada corretamente ✅")))</f>
        <v/>
      </c>
      <c r="Q1719" s="8" t="str">
        <f>IF(E1719="","",IFERROR(VLOOKUP(E1719,REGRAS_CST!$A$2:$D$200,4,FALSE),""))</f>
        <v/>
      </c>
      <c r="S1719" s="9">
        <f>IF($H1719="","",$H1719*(1-$U1719))</f>
        <v>8.9999999999999993E-3</v>
      </c>
      <c r="T1719" s="9">
        <f>IF($I1719="","",$I1719*(1-$U1719))</f>
        <v>1E-3</v>
      </c>
      <c r="U1719" s="16">
        <f>IFERROR(INDEX(BASE_CCLASSTRIB!$E:$E, MATCH(TEXT($D1719,"000000"), BASE_CCLASSTRIB!$A:$A, 0))/100, 0)</f>
        <v>0</v>
      </c>
      <c r="V1719" s="16">
        <f>IFERROR(INDEX(BASE_CCLASSTRIB!$F:$F, MATCH(TEXT($D1719,"000000"), BASE_CCLASSTRIB!$A:$A, 0))/100, 0)</f>
        <v>0</v>
      </c>
    </row>
    <row r="1720" spans="4:22" ht="32.25" customHeight="1">
      <c r="D1720" s="40"/>
      <c r="E1720" s="27" t="str">
        <f>IF(D1720="","",LEFT(D1720,3))</f>
        <v/>
      </c>
      <c r="F1720" s="28" t="str">
        <f>IF(E1720="","",IFERROR(VLOOKUP(E1720,REGRAS_CST!$A$2:$B$200,2,FALSE),""))</f>
        <v/>
      </c>
      <c r="H1720" s="29">
        <v>8.9999999999999993E-3</v>
      </c>
      <c r="I1720" s="29">
        <v>1E-3</v>
      </c>
      <c r="K1720" s="21" t="str">
        <f>IF(E1720="","",IFERROR(VLOOKUP(E1720,REGRAS_CST!$A$2:$C$200,3,FALSE),""))</f>
        <v/>
      </c>
      <c r="L1720" s="23" t="str">
        <f>IF($G1720="", "", $G1720*(1-$V1720))</f>
        <v/>
      </c>
      <c r="M1720" s="24" t="str">
        <f>IF(OR($L1720="",$S1720=""),"",$L1720*$S1720)</f>
        <v/>
      </c>
      <c r="N1720" s="24" t="str">
        <f>IF(OR($L1720="",$T1720=""),"",$L1720*$T1720)</f>
        <v/>
      </c>
      <c r="O1720" s="15" t="str">
        <f>IF(D1720="","",
IF(AND(K1720&lt;&gt;"SIM",V1720&gt;0),"ERRO: % BC &gt; 0, mas NÃO permitida ❌",
IF(AND(K1720="SIM",V1720=0),"ATENÇÃO: BC permitida, mas % = 0 🔎",
"Base de cálculo aplicada corretamente ✅")))</f>
        <v/>
      </c>
      <c r="P1720" s="31" t="str">
        <f>IF(D1720="","",
IF(AND(Q1720&lt;&gt;"SIM",U1720&gt;0),"ERRO: % alíquota &gt; 0, mas NÃO permitida ❌",
IF(AND(Q1720="SIM",U1720=0),"ATENÇÃO: alíquota permitida, mas % = 0 🔎",
"Alíquota aplicada corretamente ✅")))</f>
        <v/>
      </c>
      <c r="Q1720" s="8" t="str">
        <f>IF(E1720="","",IFERROR(VLOOKUP(E1720,REGRAS_CST!$A$2:$D$200,4,FALSE),""))</f>
        <v/>
      </c>
      <c r="S1720" s="9">
        <f>IF($H1720="","",$H1720*(1-$U1720))</f>
        <v>8.9999999999999993E-3</v>
      </c>
      <c r="T1720" s="9">
        <f>IF($I1720="","",$I1720*(1-$U1720))</f>
        <v>1E-3</v>
      </c>
      <c r="U1720" s="16">
        <f>IFERROR(INDEX(BASE_CCLASSTRIB!$E:$E, MATCH(TEXT($D1720,"000000"), BASE_CCLASSTRIB!$A:$A, 0))/100, 0)</f>
        <v>0</v>
      </c>
      <c r="V1720" s="16">
        <f>IFERROR(INDEX(BASE_CCLASSTRIB!$F:$F, MATCH(TEXT($D1720,"000000"), BASE_CCLASSTRIB!$A:$A, 0))/100, 0)</f>
        <v>0</v>
      </c>
    </row>
    <row r="1721" spans="4:22" ht="32.25" customHeight="1">
      <c r="D1721" s="40"/>
      <c r="E1721" s="27" t="str">
        <f>IF(D1721="","",LEFT(D1721,3))</f>
        <v/>
      </c>
      <c r="F1721" s="28" t="str">
        <f>IF(E1721="","",IFERROR(VLOOKUP(E1721,REGRAS_CST!$A$2:$B$200,2,FALSE),""))</f>
        <v/>
      </c>
      <c r="H1721" s="29">
        <v>8.9999999999999993E-3</v>
      </c>
      <c r="I1721" s="29">
        <v>1E-3</v>
      </c>
      <c r="K1721" s="21" t="str">
        <f>IF(E1721="","",IFERROR(VLOOKUP(E1721,REGRAS_CST!$A$2:$C$200,3,FALSE),""))</f>
        <v/>
      </c>
      <c r="L1721" s="23" t="str">
        <f>IF($G1721="", "", $G1721*(1-$V1721))</f>
        <v/>
      </c>
      <c r="M1721" s="24" t="str">
        <f>IF(OR($L1721="",$S1721=""),"",$L1721*$S1721)</f>
        <v/>
      </c>
      <c r="N1721" s="24" t="str">
        <f>IF(OR($L1721="",$T1721=""),"",$L1721*$T1721)</f>
        <v/>
      </c>
      <c r="O1721" s="15" t="str">
        <f>IF(D1721="","",
IF(AND(K1721&lt;&gt;"SIM",V1721&gt;0),"ERRO: % BC &gt; 0, mas NÃO permitida ❌",
IF(AND(K1721="SIM",V1721=0),"ATENÇÃO: BC permitida, mas % = 0 🔎",
"Base de cálculo aplicada corretamente ✅")))</f>
        <v/>
      </c>
      <c r="P1721" s="31" t="str">
        <f>IF(D1721="","",
IF(AND(Q1721&lt;&gt;"SIM",U1721&gt;0),"ERRO: % alíquota &gt; 0, mas NÃO permitida ❌",
IF(AND(Q1721="SIM",U1721=0),"ATENÇÃO: alíquota permitida, mas % = 0 🔎",
"Alíquota aplicada corretamente ✅")))</f>
        <v/>
      </c>
      <c r="Q1721" s="8" t="str">
        <f>IF(E1721="","",IFERROR(VLOOKUP(E1721,REGRAS_CST!$A$2:$D$200,4,FALSE),""))</f>
        <v/>
      </c>
      <c r="S1721" s="9">
        <f>IF($H1721="","",$H1721*(1-$U1721))</f>
        <v>8.9999999999999993E-3</v>
      </c>
      <c r="T1721" s="9">
        <f>IF($I1721="","",$I1721*(1-$U1721))</f>
        <v>1E-3</v>
      </c>
      <c r="U1721" s="16">
        <f>IFERROR(INDEX(BASE_CCLASSTRIB!$E:$E, MATCH(TEXT($D1721,"000000"), BASE_CCLASSTRIB!$A:$A, 0))/100, 0)</f>
        <v>0</v>
      </c>
      <c r="V1721" s="16">
        <f>IFERROR(INDEX(BASE_CCLASSTRIB!$F:$F, MATCH(TEXT($D1721,"000000"), BASE_CCLASSTRIB!$A:$A, 0))/100, 0)</f>
        <v>0</v>
      </c>
    </row>
    <row r="1722" spans="4:22" ht="32.25" customHeight="1">
      <c r="D1722" s="39"/>
      <c r="E1722" s="27" t="str">
        <f>IF(D1722="","",LEFT(D1722,3))</f>
        <v/>
      </c>
      <c r="F1722" s="28" t="str">
        <f>IF(E1722="","",IFERROR(VLOOKUP(E1722,REGRAS_CST!$A$2:$B$200,2,FALSE),""))</f>
        <v/>
      </c>
      <c r="H1722" s="29">
        <v>8.9999999999999993E-3</v>
      </c>
      <c r="I1722" s="29">
        <v>1E-3</v>
      </c>
      <c r="K1722" s="21" t="str">
        <f>IF(E1722="","",IFERROR(VLOOKUP(E1722,REGRAS_CST!$A$2:$C$200,3,FALSE),""))</f>
        <v/>
      </c>
      <c r="L1722" s="23" t="str">
        <f>IF($G1722="", "", $G1722*(1-$V1722))</f>
        <v/>
      </c>
      <c r="M1722" s="24" t="str">
        <f>IF(OR($L1722="",$S1722=""),"",$L1722*$S1722)</f>
        <v/>
      </c>
      <c r="N1722" s="24" t="str">
        <f>IF(OR($L1722="",$T1722=""),"",$L1722*$T1722)</f>
        <v/>
      </c>
      <c r="O1722" s="15" t="str">
        <f>IF(D1722="","",
IF(AND(K1722&lt;&gt;"SIM",V1722&gt;0),"ERRO: % BC &gt; 0, mas NÃO permitida ❌",
IF(AND(K1722="SIM",V1722=0),"ATENÇÃO: BC permitida, mas % = 0 🔎",
"Base de cálculo aplicada corretamente ✅")))</f>
        <v/>
      </c>
      <c r="P1722" s="31" t="str">
        <f>IF(D1722="","",
IF(AND(Q1722&lt;&gt;"SIM",U1722&gt;0),"ERRO: % alíquota &gt; 0, mas NÃO permitida ❌",
IF(AND(Q1722="SIM",U1722=0),"ATENÇÃO: alíquota permitida, mas % = 0 🔎",
"Alíquota aplicada corretamente ✅")))</f>
        <v/>
      </c>
      <c r="Q1722" s="8" t="str">
        <f>IF(E1722="","",IFERROR(VLOOKUP(E1722,REGRAS_CST!$A$2:$D$200,4,FALSE),""))</f>
        <v/>
      </c>
      <c r="S1722" s="9">
        <f>IF($H1722="","",$H1722*(1-$U1722))</f>
        <v>8.9999999999999993E-3</v>
      </c>
      <c r="T1722" s="9">
        <f>IF($I1722="","",$I1722*(1-$U1722))</f>
        <v>1E-3</v>
      </c>
      <c r="U1722" s="16">
        <f>IFERROR(INDEX(BASE_CCLASSTRIB!$E:$E, MATCH(TEXT($D1722,"000000"), BASE_CCLASSTRIB!$A:$A, 0))/100, 0)</f>
        <v>0</v>
      </c>
      <c r="V1722" s="16">
        <f>IFERROR(INDEX(BASE_CCLASSTRIB!$F:$F, MATCH(TEXT($D1722,"000000"), BASE_CCLASSTRIB!$A:$A, 0))/100, 0)</f>
        <v>0</v>
      </c>
    </row>
    <row r="1723" spans="4:22" ht="32.25" customHeight="1">
      <c r="D1723" s="40"/>
      <c r="E1723" s="27" t="str">
        <f>IF(D1723="","",LEFT(D1723,3))</f>
        <v/>
      </c>
      <c r="F1723" s="28" t="str">
        <f>IF(E1723="","",IFERROR(VLOOKUP(E1723,REGRAS_CST!$A$2:$B$200,2,FALSE),""))</f>
        <v/>
      </c>
      <c r="H1723" s="29">
        <v>8.9999999999999993E-3</v>
      </c>
      <c r="I1723" s="29">
        <v>1E-3</v>
      </c>
      <c r="K1723" s="21" t="str">
        <f>IF(E1723="","",IFERROR(VLOOKUP(E1723,REGRAS_CST!$A$2:$C$200,3,FALSE),""))</f>
        <v/>
      </c>
      <c r="L1723" s="23" t="str">
        <f>IF($G1723="", "", $G1723*(1-$V1723))</f>
        <v/>
      </c>
      <c r="M1723" s="24" t="str">
        <f>IF(OR($L1723="",$S1723=""),"",$L1723*$S1723)</f>
        <v/>
      </c>
      <c r="N1723" s="24" t="str">
        <f>IF(OR($L1723="",$T1723=""),"",$L1723*$T1723)</f>
        <v/>
      </c>
      <c r="O1723" s="15" t="str">
        <f>IF(D1723="","",
IF(AND(K1723&lt;&gt;"SIM",V1723&gt;0),"ERRO: % BC &gt; 0, mas NÃO permitida ❌",
IF(AND(K1723="SIM",V1723=0),"ATENÇÃO: BC permitida, mas % = 0 🔎",
"Base de cálculo aplicada corretamente ✅")))</f>
        <v/>
      </c>
      <c r="P1723" s="31" t="str">
        <f>IF(D1723="","",
IF(AND(Q1723&lt;&gt;"SIM",U1723&gt;0),"ERRO: % alíquota &gt; 0, mas NÃO permitida ❌",
IF(AND(Q1723="SIM",U1723=0),"ATENÇÃO: alíquota permitida, mas % = 0 🔎",
"Alíquota aplicada corretamente ✅")))</f>
        <v/>
      </c>
      <c r="Q1723" s="8" t="str">
        <f>IF(E1723="","",IFERROR(VLOOKUP(E1723,REGRAS_CST!$A$2:$D$200,4,FALSE),""))</f>
        <v/>
      </c>
      <c r="S1723" s="9">
        <f>IF($H1723="","",$H1723*(1-$U1723))</f>
        <v>8.9999999999999993E-3</v>
      </c>
      <c r="T1723" s="9">
        <f>IF($I1723="","",$I1723*(1-$U1723))</f>
        <v>1E-3</v>
      </c>
      <c r="U1723" s="16">
        <f>IFERROR(INDEX(BASE_CCLASSTRIB!$E:$E, MATCH(TEXT($D1723,"000000"), BASE_CCLASSTRIB!$A:$A, 0))/100, 0)</f>
        <v>0</v>
      </c>
      <c r="V1723" s="16">
        <f>IFERROR(INDEX(BASE_CCLASSTRIB!$F:$F, MATCH(TEXT($D1723,"000000"), BASE_CCLASSTRIB!$A:$A, 0))/100, 0)</f>
        <v>0</v>
      </c>
    </row>
    <row r="1724" spans="4:22" ht="32.25" customHeight="1">
      <c r="D1724" s="40"/>
      <c r="E1724" s="27" t="str">
        <f>IF(D1724="","",LEFT(D1724,3))</f>
        <v/>
      </c>
      <c r="F1724" s="28" t="str">
        <f>IF(E1724="","",IFERROR(VLOOKUP(E1724,REGRAS_CST!$A$2:$B$200,2,FALSE),""))</f>
        <v/>
      </c>
      <c r="H1724" s="29">
        <v>8.9999999999999993E-3</v>
      </c>
      <c r="I1724" s="29">
        <v>1E-3</v>
      </c>
      <c r="K1724" s="21" t="str">
        <f>IF(E1724="","",IFERROR(VLOOKUP(E1724,REGRAS_CST!$A$2:$C$200,3,FALSE),""))</f>
        <v/>
      </c>
      <c r="L1724" s="23" t="str">
        <f>IF($G1724="", "", $G1724*(1-$V1724))</f>
        <v/>
      </c>
      <c r="M1724" s="24" t="str">
        <f>IF(OR($L1724="",$S1724=""),"",$L1724*$S1724)</f>
        <v/>
      </c>
      <c r="N1724" s="24" t="str">
        <f>IF(OR($L1724="",$T1724=""),"",$L1724*$T1724)</f>
        <v/>
      </c>
      <c r="O1724" s="15" t="str">
        <f>IF(D1724="","",
IF(AND(K1724&lt;&gt;"SIM",V1724&gt;0),"ERRO: % BC &gt; 0, mas NÃO permitida ❌",
IF(AND(K1724="SIM",V1724=0),"ATENÇÃO: BC permitida, mas % = 0 🔎",
"Base de cálculo aplicada corretamente ✅")))</f>
        <v/>
      </c>
      <c r="P1724" s="31" t="str">
        <f>IF(D1724="","",
IF(AND(Q1724&lt;&gt;"SIM",U1724&gt;0),"ERRO: % alíquota &gt; 0, mas NÃO permitida ❌",
IF(AND(Q1724="SIM",U1724=0),"ATENÇÃO: alíquota permitida, mas % = 0 🔎",
"Alíquota aplicada corretamente ✅")))</f>
        <v/>
      </c>
      <c r="Q1724" s="8" t="str">
        <f>IF(E1724="","",IFERROR(VLOOKUP(E1724,REGRAS_CST!$A$2:$D$200,4,FALSE),""))</f>
        <v/>
      </c>
      <c r="S1724" s="9">
        <f>IF($H1724="","",$H1724*(1-$U1724))</f>
        <v>8.9999999999999993E-3</v>
      </c>
      <c r="T1724" s="9">
        <f>IF($I1724="","",$I1724*(1-$U1724))</f>
        <v>1E-3</v>
      </c>
      <c r="U1724" s="16">
        <f>IFERROR(INDEX(BASE_CCLASSTRIB!$E:$E, MATCH(TEXT($D1724,"000000"), BASE_CCLASSTRIB!$A:$A, 0))/100, 0)</f>
        <v>0</v>
      </c>
      <c r="V1724" s="16">
        <f>IFERROR(INDEX(BASE_CCLASSTRIB!$F:$F, MATCH(TEXT($D1724,"000000"), BASE_CCLASSTRIB!$A:$A, 0))/100, 0)</f>
        <v>0</v>
      </c>
    </row>
    <row r="1725" spans="4:22" ht="32.25" customHeight="1">
      <c r="D1725" s="40"/>
      <c r="E1725" s="27" t="str">
        <f>IF(D1725="","",LEFT(D1725,3))</f>
        <v/>
      </c>
      <c r="F1725" s="28" t="str">
        <f>IF(E1725="","",IFERROR(VLOOKUP(E1725,REGRAS_CST!$A$2:$B$200,2,FALSE),""))</f>
        <v/>
      </c>
      <c r="H1725" s="29">
        <v>8.9999999999999993E-3</v>
      </c>
      <c r="I1725" s="29">
        <v>1E-3</v>
      </c>
      <c r="K1725" s="21" t="str">
        <f>IF(E1725="","",IFERROR(VLOOKUP(E1725,REGRAS_CST!$A$2:$C$200,3,FALSE),""))</f>
        <v/>
      </c>
      <c r="L1725" s="23" t="str">
        <f>IF($G1725="", "", $G1725*(1-$V1725))</f>
        <v/>
      </c>
      <c r="M1725" s="24" t="str">
        <f>IF(OR($L1725="",$S1725=""),"",$L1725*$S1725)</f>
        <v/>
      </c>
      <c r="N1725" s="24" t="str">
        <f>IF(OR($L1725="",$T1725=""),"",$L1725*$T1725)</f>
        <v/>
      </c>
      <c r="O1725" s="15" t="str">
        <f>IF(D1725="","",
IF(AND(K1725&lt;&gt;"SIM",V1725&gt;0),"ERRO: % BC &gt; 0, mas NÃO permitida ❌",
IF(AND(K1725="SIM",V1725=0),"ATENÇÃO: BC permitida, mas % = 0 🔎",
"Base de cálculo aplicada corretamente ✅")))</f>
        <v/>
      </c>
      <c r="P1725" s="31" t="str">
        <f>IF(D1725="","",
IF(AND(Q1725&lt;&gt;"SIM",U1725&gt;0),"ERRO: % alíquota &gt; 0, mas NÃO permitida ❌",
IF(AND(Q1725="SIM",U1725=0),"ATENÇÃO: alíquota permitida, mas % = 0 🔎",
"Alíquota aplicada corretamente ✅")))</f>
        <v/>
      </c>
      <c r="Q1725" s="8" t="str">
        <f>IF(E1725="","",IFERROR(VLOOKUP(E1725,REGRAS_CST!$A$2:$D$200,4,FALSE),""))</f>
        <v/>
      </c>
      <c r="S1725" s="9">
        <f>IF($H1725="","",$H1725*(1-$U1725))</f>
        <v>8.9999999999999993E-3</v>
      </c>
      <c r="T1725" s="9">
        <f>IF($I1725="","",$I1725*(1-$U1725))</f>
        <v>1E-3</v>
      </c>
      <c r="U1725" s="16">
        <f>IFERROR(INDEX(BASE_CCLASSTRIB!$E:$E, MATCH(TEXT($D1725,"000000"), BASE_CCLASSTRIB!$A:$A, 0))/100, 0)</f>
        <v>0</v>
      </c>
      <c r="V1725" s="16">
        <f>IFERROR(INDEX(BASE_CCLASSTRIB!$F:$F, MATCH(TEXT($D1725,"000000"), BASE_CCLASSTRIB!$A:$A, 0))/100, 0)</f>
        <v>0</v>
      </c>
    </row>
    <row r="1726" spans="4:22" ht="32.25" customHeight="1">
      <c r="D1726" s="40"/>
      <c r="E1726" s="27" t="str">
        <f>IF(D1726="","",LEFT(D1726,3))</f>
        <v/>
      </c>
      <c r="F1726" s="28" t="str">
        <f>IF(E1726="","",IFERROR(VLOOKUP(E1726,REGRAS_CST!$A$2:$B$200,2,FALSE),""))</f>
        <v/>
      </c>
      <c r="H1726" s="29">
        <v>8.9999999999999993E-3</v>
      </c>
      <c r="I1726" s="29">
        <v>1E-3</v>
      </c>
      <c r="K1726" s="21" t="str">
        <f>IF(E1726="","",IFERROR(VLOOKUP(E1726,REGRAS_CST!$A$2:$C$200,3,FALSE),""))</f>
        <v/>
      </c>
      <c r="L1726" s="23" t="str">
        <f>IF($G1726="", "", $G1726*(1-$V1726))</f>
        <v/>
      </c>
      <c r="M1726" s="24" t="str">
        <f>IF(OR($L1726="",$S1726=""),"",$L1726*$S1726)</f>
        <v/>
      </c>
      <c r="N1726" s="24" t="str">
        <f>IF(OR($L1726="",$T1726=""),"",$L1726*$T1726)</f>
        <v/>
      </c>
      <c r="O1726" s="15" t="str">
        <f>IF(D1726="","",
IF(AND(K1726&lt;&gt;"SIM",V1726&gt;0),"ERRO: % BC &gt; 0, mas NÃO permitida ❌",
IF(AND(K1726="SIM",V1726=0),"ATENÇÃO: BC permitida, mas % = 0 🔎",
"Base de cálculo aplicada corretamente ✅")))</f>
        <v/>
      </c>
      <c r="P1726" s="31" t="str">
        <f>IF(D1726="","",
IF(AND(Q1726&lt;&gt;"SIM",U1726&gt;0),"ERRO: % alíquota &gt; 0, mas NÃO permitida ❌",
IF(AND(Q1726="SIM",U1726=0),"ATENÇÃO: alíquota permitida, mas % = 0 🔎",
"Alíquota aplicada corretamente ✅")))</f>
        <v/>
      </c>
      <c r="Q1726" s="8" t="str">
        <f>IF(E1726="","",IFERROR(VLOOKUP(E1726,REGRAS_CST!$A$2:$D$200,4,FALSE),""))</f>
        <v/>
      </c>
      <c r="S1726" s="9">
        <f>IF($H1726="","",$H1726*(1-$U1726))</f>
        <v>8.9999999999999993E-3</v>
      </c>
      <c r="T1726" s="9">
        <f>IF($I1726="","",$I1726*(1-$U1726))</f>
        <v>1E-3</v>
      </c>
      <c r="U1726" s="16">
        <f>IFERROR(INDEX(BASE_CCLASSTRIB!$E:$E, MATCH(TEXT($D1726,"000000"), BASE_CCLASSTRIB!$A:$A, 0))/100, 0)</f>
        <v>0</v>
      </c>
      <c r="V1726" s="16">
        <f>IFERROR(INDEX(BASE_CCLASSTRIB!$F:$F, MATCH(TEXT($D1726,"000000"), BASE_CCLASSTRIB!$A:$A, 0))/100, 0)</f>
        <v>0</v>
      </c>
    </row>
    <row r="1727" spans="4:22" ht="32.25" customHeight="1">
      <c r="D1727" s="39"/>
      <c r="E1727" s="27" t="str">
        <f>IF(D1727="","",LEFT(D1727,3))</f>
        <v/>
      </c>
      <c r="F1727" s="28" t="str">
        <f>IF(E1727="","",IFERROR(VLOOKUP(E1727,REGRAS_CST!$A$2:$B$200,2,FALSE),""))</f>
        <v/>
      </c>
      <c r="H1727" s="29">
        <v>8.9999999999999993E-3</v>
      </c>
      <c r="I1727" s="29">
        <v>1E-3</v>
      </c>
      <c r="K1727" s="21" t="str">
        <f>IF(E1727="","",IFERROR(VLOOKUP(E1727,REGRAS_CST!$A$2:$C$200,3,FALSE),""))</f>
        <v/>
      </c>
      <c r="L1727" s="23" t="str">
        <f>IF($G1727="", "", $G1727*(1-$V1727))</f>
        <v/>
      </c>
      <c r="M1727" s="24" t="str">
        <f>IF(OR($L1727="",$S1727=""),"",$L1727*$S1727)</f>
        <v/>
      </c>
      <c r="N1727" s="24" t="str">
        <f>IF(OR($L1727="",$T1727=""),"",$L1727*$T1727)</f>
        <v/>
      </c>
      <c r="O1727" s="15" t="str">
        <f>IF(D1727="","",
IF(AND(K1727&lt;&gt;"SIM",V1727&gt;0),"ERRO: % BC &gt; 0, mas NÃO permitida ❌",
IF(AND(K1727="SIM",V1727=0),"ATENÇÃO: BC permitida, mas % = 0 🔎",
"Base de cálculo aplicada corretamente ✅")))</f>
        <v/>
      </c>
      <c r="P1727" s="31" t="str">
        <f>IF(D1727="","",
IF(AND(Q1727&lt;&gt;"SIM",U1727&gt;0),"ERRO: % alíquota &gt; 0, mas NÃO permitida ❌",
IF(AND(Q1727="SIM",U1727=0),"ATENÇÃO: alíquota permitida, mas % = 0 🔎",
"Alíquota aplicada corretamente ✅")))</f>
        <v/>
      </c>
      <c r="Q1727" s="8" t="str">
        <f>IF(E1727="","",IFERROR(VLOOKUP(E1727,REGRAS_CST!$A$2:$D$200,4,FALSE),""))</f>
        <v/>
      </c>
      <c r="S1727" s="9">
        <f>IF($H1727="","",$H1727*(1-$U1727))</f>
        <v>8.9999999999999993E-3</v>
      </c>
      <c r="T1727" s="9">
        <f>IF($I1727="","",$I1727*(1-$U1727))</f>
        <v>1E-3</v>
      </c>
      <c r="U1727" s="16">
        <f>IFERROR(INDEX(BASE_CCLASSTRIB!$E:$E, MATCH(TEXT($D1727,"000000"), BASE_CCLASSTRIB!$A:$A, 0))/100, 0)</f>
        <v>0</v>
      </c>
      <c r="V1727" s="16">
        <f>IFERROR(INDEX(BASE_CCLASSTRIB!$F:$F, MATCH(TEXT($D1727,"000000"), BASE_CCLASSTRIB!$A:$A, 0))/100, 0)</f>
        <v>0</v>
      </c>
    </row>
    <row r="1728" spans="4:22" ht="32.25" customHeight="1">
      <c r="D1728" s="40"/>
      <c r="E1728" s="27" t="str">
        <f>IF(D1728="","",LEFT(D1728,3))</f>
        <v/>
      </c>
      <c r="F1728" s="28" t="str">
        <f>IF(E1728="","",IFERROR(VLOOKUP(E1728,REGRAS_CST!$A$2:$B$200,2,FALSE),""))</f>
        <v/>
      </c>
      <c r="H1728" s="29">
        <v>8.9999999999999993E-3</v>
      </c>
      <c r="I1728" s="29">
        <v>1E-3</v>
      </c>
      <c r="K1728" s="21" t="str">
        <f>IF(E1728="","",IFERROR(VLOOKUP(E1728,REGRAS_CST!$A$2:$C$200,3,FALSE),""))</f>
        <v/>
      </c>
      <c r="L1728" s="23" t="str">
        <f>IF($G1728="", "", $G1728*(1-$V1728))</f>
        <v/>
      </c>
      <c r="M1728" s="24" t="str">
        <f>IF(OR($L1728="",$S1728=""),"",$L1728*$S1728)</f>
        <v/>
      </c>
      <c r="N1728" s="24" t="str">
        <f>IF(OR($L1728="",$T1728=""),"",$L1728*$T1728)</f>
        <v/>
      </c>
      <c r="O1728" s="15" t="str">
        <f>IF(D1728="","",
IF(AND(K1728&lt;&gt;"SIM",V1728&gt;0),"ERRO: % BC &gt; 0, mas NÃO permitida ❌",
IF(AND(K1728="SIM",V1728=0),"ATENÇÃO: BC permitida, mas % = 0 🔎",
"Base de cálculo aplicada corretamente ✅")))</f>
        <v/>
      </c>
      <c r="P1728" s="31" t="str">
        <f>IF(D1728="","",
IF(AND(Q1728&lt;&gt;"SIM",U1728&gt;0),"ERRO: % alíquota &gt; 0, mas NÃO permitida ❌",
IF(AND(Q1728="SIM",U1728=0),"ATENÇÃO: alíquota permitida, mas % = 0 🔎",
"Alíquota aplicada corretamente ✅")))</f>
        <v/>
      </c>
      <c r="Q1728" s="8" t="str">
        <f>IF(E1728="","",IFERROR(VLOOKUP(E1728,REGRAS_CST!$A$2:$D$200,4,FALSE),""))</f>
        <v/>
      </c>
      <c r="S1728" s="9">
        <f>IF($H1728="","",$H1728*(1-$U1728))</f>
        <v>8.9999999999999993E-3</v>
      </c>
      <c r="T1728" s="9">
        <f>IF($I1728="","",$I1728*(1-$U1728))</f>
        <v>1E-3</v>
      </c>
      <c r="U1728" s="16">
        <f>IFERROR(INDEX(BASE_CCLASSTRIB!$E:$E, MATCH(TEXT($D1728,"000000"), BASE_CCLASSTRIB!$A:$A, 0))/100, 0)</f>
        <v>0</v>
      </c>
      <c r="V1728" s="16">
        <f>IFERROR(INDEX(BASE_CCLASSTRIB!$F:$F, MATCH(TEXT($D1728,"000000"), BASE_CCLASSTRIB!$A:$A, 0))/100, 0)</f>
        <v>0</v>
      </c>
    </row>
    <row r="1729" spans="4:22" ht="32.25" customHeight="1">
      <c r="D1729" s="40"/>
      <c r="E1729" s="27" t="str">
        <f>IF(D1729="","",LEFT(D1729,3))</f>
        <v/>
      </c>
      <c r="F1729" s="28" t="str">
        <f>IF(E1729="","",IFERROR(VLOOKUP(E1729,REGRAS_CST!$A$2:$B$200,2,FALSE),""))</f>
        <v/>
      </c>
      <c r="H1729" s="29">
        <v>8.9999999999999993E-3</v>
      </c>
      <c r="I1729" s="29">
        <v>1E-3</v>
      </c>
      <c r="K1729" s="21" t="str">
        <f>IF(E1729="","",IFERROR(VLOOKUP(E1729,REGRAS_CST!$A$2:$C$200,3,FALSE),""))</f>
        <v/>
      </c>
      <c r="L1729" s="23" t="str">
        <f>IF($G1729="", "", $G1729*(1-$V1729))</f>
        <v/>
      </c>
      <c r="M1729" s="24" t="str">
        <f>IF(OR($L1729="",$S1729=""),"",$L1729*$S1729)</f>
        <v/>
      </c>
      <c r="N1729" s="24" t="str">
        <f>IF(OR($L1729="",$T1729=""),"",$L1729*$T1729)</f>
        <v/>
      </c>
      <c r="O1729" s="15" t="str">
        <f>IF(D1729="","",
IF(AND(K1729&lt;&gt;"SIM",V1729&gt;0),"ERRO: % BC &gt; 0, mas NÃO permitida ❌",
IF(AND(K1729="SIM",V1729=0),"ATENÇÃO: BC permitida, mas % = 0 🔎",
"Base de cálculo aplicada corretamente ✅")))</f>
        <v/>
      </c>
      <c r="P1729" s="31" t="str">
        <f>IF(D1729="","",
IF(AND(Q1729&lt;&gt;"SIM",U1729&gt;0),"ERRO: % alíquota &gt; 0, mas NÃO permitida ❌",
IF(AND(Q1729="SIM",U1729=0),"ATENÇÃO: alíquota permitida, mas % = 0 🔎",
"Alíquota aplicada corretamente ✅")))</f>
        <v/>
      </c>
      <c r="Q1729" s="8" t="str">
        <f>IF(E1729="","",IFERROR(VLOOKUP(E1729,REGRAS_CST!$A$2:$D$200,4,FALSE),""))</f>
        <v/>
      </c>
      <c r="S1729" s="9">
        <f>IF($H1729="","",$H1729*(1-$U1729))</f>
        <v>8.9999999999999993E-3</v>
      </c>
      <c r="T1729" s="9">
        <f>IF($I1729="","",$I1729*(1-$U1729))</f>
        <v>1E-3</v>
      </c>
      <c r="U1729" s="16">
        <f>IFERROR(INDEX(BASE_CCLASSTRIB!$E:$E, MATCH(TEXT($D1729,"000000"), BASE_CCLASSTRIB!$A:$A, 0))/100, 0)</f>
        <v>0</v>
      </c>
      <c r="V1729" s="16">
        <f>IFERROR(INDEX(BASE_CCLASSTRIB!$F:$F, MATCH(TEXT($D1729,"000000"), BASE_CCLASSTRIB!$A:$A, 0))/100, 0)</f>
        <v>0</v>
      </c>
    </row>
    <row r="1730" spans="4:22" ht="32.25" customHeight="1">
      <c r="D1730" s="39"/>
      <c r="E1730" s="27" t="str">
        <f>IF(D1730="","",LEFT(D1730,3))</f>
        <v/>
      </c>
      <c r="F1730" s="28" t="str">
        <f>IF(E1730="","",IFERROR(VLOOKUP(E1730,REGRAS_CST!$A$2:$B$200,2,FALSE),""))</f>
        <v/>
      </c>
      <c r="H1730" s="29">
        <v>8.9999999999999993E-3</v>
      </c>
      <c r="I1730" s="29">
        <v>1E-3</v>
      </c>
      <c r="K1730" s="21" t="str">
        <f>IF(E1730="","",IFERROR(VLOOKUP(E1730,REGRAS_CST!$A$2:$C$200,3,FALSE),""))</f>
        <v/>
      </c>
      <c r="L1730" s="23" t="str">
        <f>IF($G1730="", "", $G1730*(1-$V1730))</f>
        <v/>
      </c>
      <c r="M1730" s="24" t="str">
        <f>IF(OR($L1730="",$S1730=""),"",$L1730*$S1730)</f>
        <v/>
      </c>
      <c r="N1730" s="24" t="str">
        <f>IF(OR($L1730="",$T1730=""),"",$L1730*$T1730)</f>
        <v/>
      </c>
      <c r="O1730" s="15" t="str">
        <f>IF(D1730="","",
IF(AND(K1730&lt;&gt;"SIM",V1730&gt;0),"ERRO: % BC &gt; 0, mas NÃO permitida ❌",
IF(AND(K1730="SIM",V1730=0),"ATENÇÃO: BC permitida, mas % = 0 🔎",
"Base de cálculo aplicada corretamente ✅")))</f>
        <v/>
      </c>
      <c r="P1730" s="31" t="str">
        <f>IF(D1730="","",
IF(AND(Q1730&lt;&gt;"SIM",U1730&gt;0),"ERRO: % alíquota &gt; 0, mas NÃO permitida ❌",
IF(AND(Q1730="SIM",U1730=0),"ATENÇÃO: alíquota permitida, mas % = 0 🔎",
"Alíquota aplicada corretamente ✅")))</f>
        <v/>
      </c>
      <c r="Q1730" s="8" t="str">
        <f>IF(E1730="","",IFERROR(VLOOKUP(E1730,REGRAS_CST!$A$2:$D$200,4,FALSE),""))</f>
        <v/>
      </c>
      <c r="S1730" s="9">
        <f>IF($H1730="","",$H1730*(1-$U1730))</f>
        <v>8.9999999999999993E-3</v>
      </c>
      <c r="T1730" s="9">
        <f>IF($I1730="","",$I1730*(1-$U1730))</f>
        <v>1E-3</v>
      </c>
      <c r="U1730" s="16">
        <f>IFERROR(INDEX(BASE_CCLASSTRIB!$E:$E, MATCH(TEXT($D1730,"000000"), BASE_CCLASSTRIB!$A:$A, 0))/100, 0)</f>
        <v>0</v>
      </c>
      <c r="V1730" s="16">
        <f>IFERROR(INDEX(BASE_CCLASSTRIB!$F:$F, MATCH(TEXT($D1730,"000000"), BASE_CCLASSTRIB!$A:$A, 0))/100, 0)</f>
        <v>0</v>
      </c>
    </row>
    <row r="1731" spans="4:22" ht="32.25" customHeight="1">
      <c r="D1731" s="39"/>
      <c r="E1731" s="27" t="str">
        <f>IF(D1731="","",LEFT(D1731,3))</f>
        <v/>
      </c>
      <c r="F1731" s="28" t="str">
        <f>IF(E1731="","",IFERROR(VLOOKUP(E1731,REGRAS_CST!$A$2:$B$200,2,FALSE),""))</f>
        <v/>
      </c>
      <c r="H1731" s="29">
        <v>8.9999999999999993E-3</v>
      </c>
      <c r="I1731" s="29">
        <v>1E-3</v>
      </c>
      <c r="K1731" s="21" t="str">
        <f>IF(E1731="","",IFERROR(VLOOKUP(E1731,REGRAS_CST!$A$2:$C$200,3,FALSE),""))</f>
        <v/>
      </c>
      <c r="L1731" s="23" t="str">
        <f>IF($G1731="", "", $G1731*(1-$V1731))</f>
        <v/>
      </c>
      <c r="M1731" s="24" t="str">
        <f>IF(OR($L1731="",$S1731=""),"",$L1731*$S1731)</f>
        <v/>
      </c>
      <c r="N1731" s="24" t="str">
        <f>IF(OR($L1731="",$T1731=""),"",$L1731*$T1731)</f>
        <v/>
      </c>
      <c r="O1731" s="15" t="str">
        <f>IF(D1731="","",
IF(AND(K1731&lt;&gt;"SIM",V1731&gt;0),"ERRO: % BC &gt; 0, mas NÃO permitida ❌",
IF(AND(K1731="SIM",V1731=0),"ATENÇÃO: BC permitida, mas % = 0 🔎",
"Base de cálculo aplicada corretamente ✅")))</f>
        <v/>
      </c>
      <c r="P1731" s="31" t="str">
        <f>IF(D1731="","",
IF(AND(Q1731&lt;&gt;"SIM",U1731&gt;0),"ERRO: % alíquota &gt; 0, mas NÃO permitida ❌",
IF(AND(Q1731="SIM",U1731=0),"ATENÇÃO: alíquota permitida, mas % = 0 🔎",
"Alíquota aplicada corretamente ✅")))</f>
        <v/>
      </c>
      <c r="Q1731" s="8" t="str">
        <f>IF(E1731="","",IFERROR(VLOOKUP(E1731,REGRAS_CST!$A$2:$D$200,4,FALSE),""))</f>
        <v/>
      </c>
      <c r="S1731" s="9">
        <f>IF($H1731="","",$H1731*(1-$U1731))</f>
        <v>8.9999999999999993E-3</v>
      </c>
      <c r="T1731" s="9">
        <f>IF($I1731="","",$I1731*(1-$U1731))</f>
        <v>1E-3</v>
      </c>
      <c r="U1731" s="16">
        <f>IFERROR(INDEX(BASE_CCLASSTRIB!$E:$E, MATCH(TEXT($D1731,"000000"), BASE_CCLASSTRIB!$A:$A, 0))/100, 0)</f>
        <v>0</v>
      </c>
      <c r="V1731" s="16">
        <f>IFERROR(INDEX(BASE_CCLASSTRIB!$F:$F, MATCH(TEXT($D1731,"000000"), BASE_CCLASSTRIB!$A:$A, 0))/100, 0)</f>
        <v>0</v>
      </c>
    </row>
    <row r="1732" spans="4:22" ht="32.25" customHeight="1">
      <c r="D1732" s="39"/>
      <c r="E1732" s="27" t="str">
        <f>IF(D1732="","",LEFT(D1732,3))</f>
        <v/>
      </c>
      <c r="F1732" s="28" t="str">
        <f>IF(E1732="","",IFERROR(VLOOKUP(E1732,REGRAS_CST!$A$2:$B$200,2,FALSE),""))</f>
        <v/>
      </c>
      <c r="H1732" s="29">
        <v>8.9999999999999993E-3</v>
      </c>
      <c r="I1732" s="29">
        <v>1E-3</v>
      </c>
      <c r="K1732" s="21" t="str">
        <f>IF(E1732="","",IFERROR(VLOOKUP(E1732,REGRAS_CST!$A$2:$C$200,3,FALSE),""))</f>
        <v/>
      </c>
      <c r="L1732" s="23" t="str">
        <f>IF($G1732="", "", $G1732*(1-$V1732))</f>
        <v/>
      </c>
      <c r="M1732" s="24" t="str">
        <f>IF(OR($L1732="",$S1732=""),"",$L1732*$S1732)</f>
        <v/>
      </c>
      <c r="N1732" s="24" t="str">
        <f>IF(OR($L1732="",$T1732=""),"",$L1732*$T1732)</f>
        <v/>
      </c>
      <c r="O1732" s="15" t="str">
        <f>IF(D1732="","",
IF(AND(K1732&lt;&gt;"SIM",V1732&gt;0),"ERRO: % BC &gt; 0, mas NÃO permitida ❌",
IF(AND(K1732="SIM",V1732=0),"ATENÇÃO: BC permitida, mas % = 0 🔎",
"Base de cálculo aplicada corretamente ✅")))</f>
        <v/>
      </c>
      <c r="P1732" s="31" t="str">
        <f>IF(D1732="","",
IF(AND(Q1732&lt;&gt;"SIM",U1732&gt;0),"ERRO: % alíquota &gt; 0, mas NÃO permitida ❌",
IF(AND(Q1732="SIM",U1732=0),"ATENÇÃO: alíquota permitida, mas % = 0 🔎",
"Alíquota aplicada corretamente ✅")))</f>
        <v/>
      </c>
      <c r="Q1732" s="8" t="str">
        <f>IF(E1732="","",IFERROR(VLOOKUP(E1732,REGRAS_CST!$A$2:$D$200,4,FALSE),""))</f>
        <v/>
      </c>
      <c r="S1732" s="9">
        <f>IF($H1732="","",$H1732*(1-$U1732))</f>
        <v>8.9999999999999993E-3</v>
      </c>
      <c r="T1732" s="9">
        <f>IF($I1732="","",$I1732*(1-$U1732))</f>
        <v>1E-3</v>
      </c>
      <c r="U1732" s="16">
        <f>IFERROR(INDEX(BASE_CCLASSTRIB!$E:$E, MATCH(TEXT($D1732,"000000"), BASE_CCLASSTRIB!$A:$A, 0))/100, 0)</f>
        <v>0</v>
      </c>
      <c r="V1732" s="16">
        <f>IFERROR(INDEX(BASE_CCLASSTRIB!$F:$F, MATCH(TEXT($D1732,"000000"), BASE_CCLASSTRIB!$A:$A, 0))/100, 0)</f>
        <v>0</v>
      </c>
    </row>
    <row r="1733" spans="4:22" ht="32.25" customHeight="1">
      <c r="D1733" s="39"/>
      <c r="E1733" s="27" t="str">
        <f>IF(D1733="","",LEFT(D1733,3))</f>
        <v/>
      </c>
      <c r="F1733" s="28" t="str">
        <f>IF(E1733="","",IFERROR(VLOOKUP(E1733,REGRAS_CST!$A$2:$B$200,2,FALSE),""))</f>
        <v/>
      </c>
      <c r="H1733" s="29">
        <v>8.9999999999999993E-3</v>
      </c>
      <c r="I1733" s="29">
        <v>1E-3</v>
      </c>
      <c r="K1733" s="21" t="str">
        <f>IF(E1733="","",IFERROR(VLOOKUP(E1733,REGRAS_CST!$A$2:$C$200,3,FALSE),""))</f>
        <v/>
      </c>
      <c r="L1733" s="23" t="str">
        <f>IF($G1733="", "", $G1733*(1-$V1733))</f>
        <v/>
      </c>
      <c r="M1733" s="24" t="str">
        <f>IF(OR($L1733="",$S1733=""),"",$L1733*$S1733)</f>
        <v/>
      </c>
      <c r="N1733" s="24" t="str">
        <f>IF(OR($L1733="",$T1733=""),"",$L1733*$T1733)</f>
        <v/>
      </c>
      <c r="O1733" s="15" t="str">
        <f>IF(D1733="","",
IF(AND(K1733&lt;&gt;"SIM",V1733&gt;0),"ERRO: % BC &gt; 0, mas NÃO permitida ❌",
IF(AND(K1733="SIM",V1733=0),"ATENÇÃO: BC permitida, mas % = 0 🔎",
"Base de cálculo aplicada corretamente ✅")))</f>
        <v/>
      </c>
      <c r="P1733" s="31" t="str">
        <f>IF(D1733="","",
IF(AND(Q1733&lt;&gt;"SIM",U1733&gt;0),"ERRO: % alíquota &gt; 0, mas NÃO permitida ❌",
IF(AND(Q1733="SIM",U1733=0),"ATENÇÃO: alíquota permitida, mas % = 0 🔎",
"Alíquota aplicada corretamente ✅")))</f>
        <v/>
      </c>
      <c r="Q1733" s="8" t="str">
        <f>IF(E1733="","",IFERROR(VLOOKUP(E1733,REGRAS_CST!$A$2:$D$200,4,FALSE),""))</f>
        <v/>
      </c>
      <c r="S1733" s="9">
        <f>IF($H1733="","",$H1733*(1-$U1733))</f>
        <v>8.9999999999999993E-3</v>
      </c>
      <c r="T1733" s="9">
        <f>IF($I1733="","",$I1733*(1-$U1733))</f>
        <v>1E-3</v>
      </c>
      <c r="U1733" s="16">
        <f>IFERROR(INDEX(BASE_CCLASSTRIB!$E:$E, MATCH(TEXT($D1733,"000000"), BASE_CCLASSTRIB!$A:$A, 0))/100, 0)</f>
        <v>0</v>
      </c>
      <c r="V1733" s="16">
        <f>IFERROR(INDEX(BASE_CCLASSTRIB!$F:$F, MATCH(TEXT($D1733,"000000"), BASE_CCLASSTRIB!$A:$A, 0))/100, 0)</f>
        <v>0</v>
      </c>
    </row>
    <row r="1734" spans="4:22" ht="32.25" customHeight="1">
      <c r="D1734" s="40"/>
      <c r="E1734" s="27" t="str">
        <f>IF(D1734="","",LEFT(D1734,3))</f>
        <v/>
      </c>
      <c r="F1734" s="28" t="str">
        <f>IF(E1734="","",IFERROR(VLOOKUP(E1734,REGRAS_CST!$A$2:$B$200,2,FALSE),""))</f>
        <v/>
      </c>
      <c r="H1734" s="29">
        <v>8.9999999999999993E-3</v>
      </c>
      <c r="I1734" s="29">
        <v>1E-3</v>
      </c>
      <c r="K1734" s="21" t="str">
        <f>IF(E1734="","",IFERROR(VLOOKUP(E1734,REGRAS_CST!$A$2:$C$200,3,FALSE),""))</f>
        <v/>
      </c>
      <c r="L1734" s="23" t="str">
        <f>IF($G1734="", "", $G1734*(1-$V1734))</f>
        <v/>
      </c>
      <c r="M1734" s="24" t="str">
        <f>IF(OR($L1734="",$S1734=""),"",$L1734*$S1734)</f>
        <v/>
      </c>
      <c r="N1734" s="24" t="str">
        <f>IF(OR($L1734="",$T1734=""),"",$L1734*$T1734)</f>
        <v/>
      </c>
      <c r="O1734" s="15" t="str">
        <f>IF(D1734="","",
IF(AND(K1734&lt;&gt;"SIM",V1734&gt;0),"ERRO: % BC &gt; 0, mas NÃO permitida ❌",
IF(AND(K1734="SIM",V1734=0),"ATENÇÃO: BC permitida, mas % = 0 🔎",
"Base de cálculo aplicada corretamente ✅")))</f>
        <v/>
      </c>
      <c r="P1734" s="31" t="str">
        <f>IF(D1734="","",
IF(AND(Q1734&lt;&gt;"SIM",U1734&gt;0),"ERRO: % alíquota &gt; 0, mas NÃO permitida ❌",
IF(AND(Q1734="SIM",U1734=0),"ATENÇÃO: alíquota permitida, mas % = 0 🔎",
"Alíquota aplicada corretamente ✅")))</f>
        <v/>
      </c>
      <c r="Q1734" s="8" t="str">
        <f>IF(E1734="","",IFERROR(VLOOKUP(E1734,REGRAS_CST!$A$2:$D$200,4,FALSE),""))</f>
        <v/>
      </c>
      <c r="S1734" s="9">
        <f>IF($H1734="","",$H1734*(1-$U1734))</f>
        <v>8.9999999999999993E-3</v>
      </c>
      <c r="T1734" s="9">
        <f>IF($I1734="","",$I1734*(1-$U1734))</f>
        <v>1E-3</v>
      </c>
      <c r="U1734" s="16">
        <f>IFERROR(INDEX(BASE_CCLASSTRIB!$E:$E, MATCH(TEXT($D1734,"000000"), BASE_CCLASSTRIB!$A:$A, 0))/100, 0)</f>
        <v>0</v>
      </c>
      <c r="V1734" s="16">
        <f>IFERROR(INDEX(BASE_CCLASSTRIB!$F:$F, MATCH(TEXT($D1734,"000000"), BASE_CCLASSTRIB!$A:$A, 0))/100, 0)</f>
        <v>0</v>
      </c>
    </row>
    <row r="1735" spans="4:22" ht="32.25" customHeight="1">
      <c r="D1735" s="39"/>
      <c r="E1735" s="27" t="str">
        <f>IF(D1735="","",LEFT(D1735,3))</f>
        <v/>
      </c>
      <c r="F1735" s="28" t="str">
        <f>IF(E1735="","",IFERROR(VLOOKUP(E1735,REGRAS_CST!$A$2:$B$200,2,FALSE),""))</f>
        <v/>
      </c>
      <c r="H1735" s="29">
        <v>8.9999999999999993E-3</v>
      </c>
      <c r="I1735" s="29">
        <v>1E-3</v>
      </c>
      <c r="K1735" s="21" t="str">
        <f>IF(E1735="","",IFERROR(VLOOKUP(E1735,REGRAS_CST!$A$2:$C$200,3,FALSE),""))</f>
        <v/>
      </c>
      <c r="L1735" s="23" t="str">
        <f>IF($G1735="", "", $G1735*(1-$V1735))</f>
        <v/>
      </c>
      <c r="M1735" s="24" t="str">
        <f>IF(OR($L1735="",$S1735=""),"",$L1735*$S1735)</f>
        <v/>
      </c>
      <c r="N1735" s="24" t="str">
        <f>IF(OR($L1735="",$T1735=""),"",$L1735*$T1735)</f>
        <v/>
      </c>
      <c r="O1735" s="15" t="str">
        <f>IF(D1735="","",
IF(AND(K1735&lt;&gt;"SIM",V1735&gt;0),"ERRO: % BC &gt; 0, mas NÃO permitida ❌",
IF(AND(K1735="SIM",V1735=0),"ATENÇÃO: BC permitida, mas % = 0 🔎",
"Base de cálculo aplicada corretamente ✅")))</f>
        <v/>
      </c>
      <c r="P1735" s="31" t="str">
        <f>IF(D1735="","",
IF(AND(Q1735&lt;&gt;"SIM",U1735&gt;0),"ERRO: % alíquota &gt; 0, mas NÃO permitida ❌",
IF(AND(Q1735="SIM",U1735=0),"ATENÇÃO: alíquota permitida, mas % = 0 🔎",
"Alíquota aplicada corretamente ✅")))</f>
        <v/>
      </c>
      <c r="Q1735" s="8" t="str">
        <f>IF(E1735="","",IFERROR(VLOOKUP(E1735,REGRAS_CST!$A$2:$D$200,4,FALSE),""))</f>
        <v/>
      </c>
      <c r="S1735" s="9">
        <f>IF($H1735="","",$H1735*(1-$U1735))</f>
        <v>8.9999999999999993E-3</v>
      </c>
      <c r="T1735" s="9">
        <f>IF($I1735="","",$I1735*(1-$U1735))</f>
        <v>1E-3</v>
      </c>
      <c r="U1735" s="16">
        <f>IFERROR(INDEX(BASE_CCLASSTRIB!$E:$E, MATCH(TEXT($D1735,"000000"), BASE_CCLASSTRIB!$A:$A, 0))/100, 0)</f>
        <v>0</v>
      </c>
      <c r="V1735" s="16">
        <f>IFERROR(INDEX(BASE_CCLASSTRIB!$F:$F, MATCH(TEXT($D1735,"000000"), BASE_CCLASSTRIB!$A:$A, 0))/100, 0)</f>
        <v>0</v>
      </c>
    </row>
    <row r="1736" spans="4:22" ht="32.25" customHeight="1">
      <c r="D1736" s="40"/>
      <c r="E1736" s="27" t="str">
        <f>IF(D1736="","",LEFT(D1736,3))</f>
        <v/>
      </c>
      <c r="F1736" s="28" t="str">
        <f>IF(E1736="","",IFERROR(VLOOKUP(E1736,REGRAS_CST!$A$2:$B$200,2,FALSE),""))</f>
        <v/>
      </c>
      <c r="H1736" s="29">
        <v>8.9999999999999993E-3</v>
      </c>
      <c r="I1736" s="29">
        <v>1E-3</v>
      </c>
      <c r="K1736" s="21" t="str">
        <f>IF(E1736="","",IFERROR(VLOOKUP(E1736,REGRAS_CST!$A$2:$C$200,3,FALSE),""))</f>
        <v/>
      </c>
      <c r="L1736" s="23" t="str">
        <f>IF($G1736="", "", $G1736*(1-$V1736))</f>
        <v/>
      </c>
      <c r="M1736" s="24" t="str">
        <f>IF(OR($L1736="",$S1736=""),"",$L1736*$S1736)</f>
        <v/>
      </c>
      <c r="N1736" s="24" t="str">
        <f>IF(OR($L1736="",$T1736=""),"",$L1736*$T1736)</f>
        <v/>
      </c>
      <c r="O1736" s="15" t="str">
        <f>IF(D1736="","",
IF(AND(K1736&lt;&gt;"SIM",V1736&gt;0),"ERRO: % BC &gt; 0, mas NÃO permitida ❌",
IF(AND(K1736="SIM",V1736=0),"ATENÇÃO: BC permitida, mas % = 0 🔎",
"Base de cálculo aplicada corretamente ✅")))</f>
        <v/>
      </c>
      <c r="P1736" s="31" t="str">
        <f>IF(D1736="","",
IF(AND(Q1736&lt;&gt;"SIM",U1736&gt;0),"ERRO: % alíquota &gt; 0, mas NÃO permitida ❌",
IF(AND(Q1736="SIM",U1736=0),"ATENÇÃO: alíquota permitida, mas % = 0 🔎",
"Alíquota aplicada corretamente ✅")))</f>
        <v/>
      </c>
      <c r="Q1736" s="8" t="str">
        <f>IF(E1736="","",IFERROR(VLOOKUP(E1736,REGRAS_CST!$A$2:$D$200,4,FALSE),""))</f>
        <v/>
      </c>
      <c r="S1736" s="9">
        <f>IF($H1736="","",$H1736*(1-$U1736))</f>
        <v>8.9999999999999993E-3</v>
      </c>
      <c r="T1736" s="9">
        <f>IF($I1736="","",$I1736*(1-$U1736))</f>
        <v>1E-3</v>
      </c>
      <c r="U1736" s="16">
        <f>IFERROR(INDEX(BASE_CCLASSTRIB!$E:$E, MATCH(TEXT($D1736,"000000"), BASE_CCLASSTRIB!$A:$A, 0))/100, 0)</f>
        <v>0</v>
      </c>
      <c r="V1736" s="16">
        <f>IFERROR(INDEX(BASE_CCLASSTRIB!$F:$F, MATCH(TEXT($D1736,"000000"), BASE_CCLASSTRIB!$A:$A, 0))/100, 0)</f>
        <v>0</v>
      </c>
    </row>
    <row r="1737" spans="4:22" ht="32.25" customHeight="1">
      <c r="D1737" s="39"/>
      <c r="E1737" s="27" t="str">
        <f>IF(D1737="","",LEFT(D1737,3))</f>
        <v/>
      </c>
      <c r="F1737" s="28" t="str">
        <f>IF(E1737="","",IFERROR(VLOOKUP(E1737,REGRAS_CST!$A$2:$B$200,2,FALSE),""))</f>
        <v/>
      </c>
      <c r="H1737" s="29">
        <v>8.9999999999999993E-3</v>
      </c>
      <c r="I1737" s="29">
        <v>1E-3</v>
      </c>
      <c r="K1737" s="21" t="str">
        <f>IF(E1737="","",IFERROR(VLOOKUP(E1737,REGRAS_CST!$A$2:$C$200,3,FALSE),""))</f>
        <v/>
      </c>
      <c r="L1737" s="23" t="str">
        <f>IF($G1737="", "", $G1737*(1-$V1737))</f>
        <v/>
      </c>
      <c r="M1737" s="24" t="str">
        <f>IF(OR($L1737="",$S1737=""),"",$L1737*$S1737)</f>
        <v/>
      </c>
      <c r="N1737" s="24" t="str">
        <f>IF(OR($L1737="",$T1737=""),"",$L1737*$T1737)</f>
        <v/>
      </c>
      <c r="O1737" s="15" t="str">
        <f>IF(D1737="","",
IF(AND(K1737&lt;&gt;"SIM",V1737&gt;0),"ERRO: % BC &gt; 0, mas NÃO permitida ❌",
IF(AND(K1737="SIM",V1737=0),"ATENÇÃO: BC permitida, mas % = 0 🔎",
"Base de cálculo aplicada corretamente ✅")))</f>
        <v/>
      </c>
      <c r="P1737" s="31" t="str">
        <f>IF(D1737="","",
IF(AND(Q1737&lt;&gt;"SIM",U1737&gt;0),"ERRO: % alíquota &gt; 0, mas NÃO permitida ❌",
IF(AND(Q1737="SIM",U1737=0),"ATENÇÃO: alíquota permitida, mas % = 0 🔎",
"Alíquota aplicada corretamente ✅")))</f>
        <v/>
      </c>
      <c r="Q1737" s="8" t="str">
        <f>IF(E1737="","",IFERROR(VLOOKUP(E1737,REGRAS_CST!$A$2:$D$200,4,FALSE),""))</f>
        <v/>
      </c>
      <c r="S1737" s="9">
        <f>IF($H1737="","",$H1737*(1-$U1737))</f>
        <v>8.9999999999999993E-3</v>
      </c>
      <c r="T1737" s="9">
        <f>IF($I1737="","",$I1737*(1-$U1737))</f>
        <v>1E-3</v>
      </c>
      <c r="U1737" s="16">
        <f>IFERROR(INDEX(BASE_CCLASSTRIB!$E:$E, MATCH(TEXT($D1737,"000000"), BASE_CCLASSTRIB!$A:$A, 0))/100, 0)</f>
        <v>0</v>
      </c>
      <c r="V1737" s="16">
        <f>IFERROR(INDEX(BASE_CCLASSTRIB!$F:$F, MATCH(TEXT($D1737,"000000"), BASE_CCLASSTRIB!$A:$A, 0))/100, 0)</f>
        <v>0</v>
      </c>
    </row>
  </sheetData>
  <autoFilter ref="A1:V1737" xr:uid="{00000000-0009-0000-0000-000002000000}"/>
  <conditionalFormatting sqref="O2:O1737">
    <cfRule type="containsText" dxfId="5" priority="4" operator="containsText" text="ATENÇÃO: BC permitida, mas % = 0">
      <formula>NOT(ISERROR(SEARCH("ATENÇÃO: BC permitida, mas % = 0",O2)))</formula>
    </cfRule>
    <cfRule type="containsText" dxfId="4" priority="5" operator="containsText" text="ERRO: % BC &gt; 0, mas NÃO permitida">
      <formula>NOT(ISERROR(SEARCH("ERRO: % BC &gt; 0, mas NÃO permitida",O2)))</formula>
    </cfRule>
    <cfRule type="containsText" dxfId="3" priority="6" operator="containsText" text="Base de cálculo aplicada corretamente">
      <formula>NOT(ISERROR(SEARCH("Base de cálculo aplicada corretamente",O2)))</formula>
    </cfRule>
  </conditionalFormatting>
  <conditionalFormatting sqref="P2:P1737">
    <cfRule type="containsText" dxfId="2" priority="3" operator="containsText" text="ERRO: % alíquota &gt; 0, mas NÃO permitida ❌">
      <formula>NOT(ISERROR(SEARCH("ERRO: % alíquota &gt; 0, mas NÃO permitida ❌",P2)))</formula>
    </cfRule>
    <cfRule type="containsText" dxfId="1" priority="2" operator="containsText" text="ATENÇÃO: alíquota permitida, mas % = 0 🔎">
      <formula>NOT(ISERROR(SEARCH("ATENÇÃO: alíquota permitida, mas % = 0 🔎",P2)))</formula>
    </cfRule>
    <cfRule type="containsText" dxfId="0" priority="1" operator="containsText" text="Alíquota aplicada corretamente ✅">
      <formula>NOT(ISERROR(SEARCH("Alíquota aplicada corretamente ✅",P2)))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0"/>
  <sheetViews>
    <sheetView workbookViewId="0"/>
  </sheetViews>
  <sheetFormatPr defaultRowHeight="15"/>
  <sheetData>
    <row r="1" spans="1:8">
      <c r="A1" t="e">
        <f>#REF!</f>
        <v>#REF!</v>
      </c>
      <c r="B1" t="e">
        <f>#REF!</f>
        <v>#REF!</v>
      </c>
      <c r="C1" t="e">
        <f>#REF!</f>
        <v>#REF!</v>
      </c>
      <c r="D1" t="e">
        <f>#REF!</f>
        <v>#REF!</v>
      </c>
      <c r="E1" t="e">
        <f>#REF!</f>
        <v>#REF!</v>
      </c>
      <c r="F1" t="e">
        <f>#REF!</f>
        <v>#REF!</v>
      </c>
      <c r="G1" t="e">
        <f>#REF!</f>
        <v>#REF!</v>
      </c>
      <c r="H1" t="e">
        <f>#REF!</f>
        <v>#REF!</v>
      </c>
    </row>
    <row r="2" spans="1:8">
      <c r="A2" t="e">
        <f>#REF!</f>
        <v>#REF!</v>
      </c>
      <c r="B2" t="e">
        <f>#REF!</f>
        <v>#REF!</v>
      </c>
      <c r="C2" t="e">
        <f>#REF!</f>
        <v>#REF!</v>
      </c>
      <c r="D2" t="e">
        <f>#REF!</f>
        <v>#REF!</v>
      </c>
      <c r="E2" t="e">
        <f>#REF!</f>
        <v>#REF!</v>
      </c>
      <c r="F2" t="e">
        <f>#REF!</f>
        <v>#REF!</v>
      </c>
      <c r="G2" t="e">
        <f>#REF!</f>
        <v>#REF!</v>
      </c>
      <c r="H2" t="e">
        <f>#REF!</f>
        <v>#REF!</v>
      </c>
    </row>
    <row r="3" spans="1:8">
      <c r="A3" t="e">
        <f>#REF!</f>
        <v>#REF!</v>
      </c>
      <c r="B3" t="e">
        <f>#REF!</f>
        <v>#REF!</v>
      </c>
      <c r="C3" t="e">
        <f>#REF!</f>
        <v>#REF!</v>
      </c>
      <c r="D3" t="e">
        <f>#REF!</f>
        <v>#REF!</v>
      </c>
      <c r="E3" t="e">
        <f>#REF!</f>
        <v>#REF!</v>
      </c>
      <c r="F3" t="e">
        <f>#REF!</f>
        <v>#REF!</v>
      </c>
      <c r="G3" t="e">
        <f>#REF!</f>
        <v>#REF!</v>
      </c>
      <c r="H3" t="e">
        <f>#REF!</f>
        <v>#REF!</v>
      </c>
    </row>
    <row r="4" spans="1:8">
      <c r="A4" t="e">
        <f>#REF!</f>
        <v>#REF!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G4" t="e">
        <f>#REF!</f>
        <v>#REF!</v>
      </c>
      <c r="H4" t="e">
        <f>#REF!</f>
        <v>#REF!</v>
      </c>
    </row>
    <row r="5" spans="1:8">
      <c r="A5" t="e">
        <f>#REF!</f>
        <v>#REF!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  <c r="F5" t="e">
        <f>#REF!</f>
        <v>#REF!</v>
      </c>
      <c r="G5" t="e">
        <f>#REF!</f>
        <v>#REF!</v>
      </c>
      <c r="H5" t="e">
        <f>#REF!</f>
        <v>#REF!</v>
      </c>
    </row>
    <row r="6" spans="1:8">
      <c r="A6" t="e">
        <f>#REF!</f>
        <v>#REF!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  <c r="H6" t="e">
        <f>#REF!</f>
        <v>#REF!</v>
      </c>
    </row>
    <row r="7" spans="1:8">
      <c r="A7" t="e">
        <f>#REF!</f>
        <v>#REF!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  <c r="H7" t="e">
        <f>#REF!</f>
        <v>#REF!</v>
      </c>
    </row>
    <row r="8" spans="1:8">
      <c r="A8" t="e">
        <f>#REF!</f>
        <v>#REF!</v>
      </c>
      <c r="B8" t="e">
        <f>#REF!</f>
        <v>#REF!</v>
      </c>
      <c r="C8" t="e">
        <f>#REF!</f>
        <v>#REF!</v>
      </c>
      <c r="D8" t="e">
        <f>#REF!</f>
        <v>#REF!</v>
      </c>
      <c r="E8" t="e">
        <f>#REF!</f>
        <v>#REF!</v>
      </c>
      <c r="F8" t="e">
        <f>#REF!</f>
        <v>#REF!</v>
      </c>
      <c r="G8" t="e">
        <f>#REF!</f>
        <v>#REF!</v>
      </c>
      <c r="H8" t="e">
        <f>#REF!</f>
        <v>#REF!</v>
      </c>
    </row>
    <row r="9" spans="1:8">
      <c r="A9" t="e">
        <f>#REF!</f>
        <v>#REF!</v>
      </c>
      <c r="B9" t="e">
        <f>#REF!</f>
        <v>#REF!</v>
      </c>
      <c r="C9" t="e">
        <f>#REF!</f>
        <v>#REF!</v>
      </c>
      <c r="D9" t="e">
        <f>#REF!</f>
        <v>#REF!</v>
      </c>
      <c r="E9" t="e">
        <f>#REF!</f>
        <v>#REF!</v>
      </c>
      <c r="F9" t="e">
        <f>#REF!</f>
        <v>#REF!</v>
      </c>
      <c r="G9" t="e">
        <f>#REF!</f>
        <v>#REF!</v>
      </c>
      <c r="H9" t="e">
        <f>#REF!</f>
        <v>#REF!</v>
      </c>
    </row>
    <row r="10" spans="1:8">
      <c r="A10" t="e">
        <f>#REF!</f>
        <v>#REF!</v>
      </c>
      <c r="B10" t="e">
        <f>#REF!</f>
        <v>#REF!</v>
      </c>
      <c r="C10" t="e">
        <f>#REF!</f>
        <v>#REF!</v>
      </c>
      <c r="D10" t="e">
        <f>#REF!</f>
        <v>#REF!</v>
      </c>
      <c r="E10" t="e">
        <f>#REF!</f>
        <v>#REF!</v>
      </c>
      <c r="F10" t="e">
        <f>#REF!</f>
        <v>#REF!</v>
      </c>
      <c r="G10" t="e">
        <f>#REF!</f>
        <v>#REF!</v>
      </c>
      <c r="H10" t="e">
        <f>#REF!</f>
        <v>#REF!</v>
      </c>
    </row>
    <row r="11" spans="1:8">
      <c r="A11" t="e">
        <f>#REF!</f>
        <v>#REF!</v>
      </c>
      <c r="B11" t="e">
        <f>#REF!</f>
        <v>#REF!</v>
      </c>
      <c r="C11" t="e">
        <f>#REF!</f>
        <v>#REF!</v>
      </c>
      <c r="D11" t="e">
        <f>#REF!</f>
        <v>#REF!</v>
      </c>
      <c r="E11" t="e">
        <f>#REF!</f>
        <v>#REF!</v>
      </c>
      <c r="F11" t="e">
        <f>#REF!</f>
        <v>#REF!</v>
      </c>
      <c r="G11" t="e">
        <f>#REF!</f>
        <v>#REF!</v>
      </c>
      <c r="H11" t="e">
        <f>#REF!</f>
        <v>#REF!</v>
      </c>
    </row>
    <row r="12" spans="1:8">
      <c r="A12" t="e">
        <f>#REF!</f>
        <v>#REF!</v>
      </c>
      <c r="B12" t="e">
        <f>#REF!</f>
        <v>#REF!</v>
      </c>
      <c r="C12" t="e">
        <f>#REF!</f>
        <v>#REF!</v>
      </c>
      <c r="D12" t="e">
        <f>#REF!</f>
        <v>#REF!</v>
      </c>
      <c r="E12" t="e">
        <f>#REF!</f>
        <v>#REF!</v>
      </c>
      <c r="F12" t="e">
        <f>#REF!</f>
        <v>#REF!</v>
      </c>
      <c r="G12" t="e">
        <f>#REF!</f>
        <v>#REF!</v>
      </c>
      <c r="H12" t="e">
        <f>#REF!</f>
        <v>#REF!</v>
      </c>
    </row>
    <row r="13" spans="1:8">
      <c r="A13" t="e">
        <f>#REF!</f>
        <v>#REF!</v>
      </c>
      <c r="B13" t="e">
        <f>#REF!</f>
        <v>#REF!</v>
      </c>
      <c r="C13" t="e">
        <f>#REF!</f>
        <v>#REF!</v>
      </c>
      <c r="D13" t="e">
        <f>#REF!</f>
        <v>#REF!</v>
      </c>
      <c r="E13" t="e">
        <f>#REF!</f>
        <v>#REF!</v>
      </c>
      <c r="F13" t="e">
        <f>#REF!</f>
        <v>#REF!</v>
      </c>
      <c r="G13" t="e">
        <f>#REF!</f>
        <v>#REF!</v>
      </c>
      <c r="H13" t="e">
        <f>#REF!</f>
        <v>#REF!</v>
      </c>
    </row>
    <row r="14" spans="1:8">
      <c r="A14" t="e">
        <f>#REF!</f>
        <v>#REF!</v>
      </c>
      <c r="B14" t="e">
        <f>#REF!</f>
        <v>#REF!</v>
      </c>
      <c r="C14" t="e">
        <f>#REF!</f>
        <v>#REF!</v>
      </c>
      <c r="D14" t="e">
        <f>#REF!</f>
        <v>#REF!</v>
      </c>
      <c r="E14" t="e">
        <f>#REF!</f>
        <v>#REF!</v>
      </c>
      <c r="F14" t="e">
        <f>#REF!</f>
        <v>#REF!</v>
      </c>
      <c r="G14" t="e">
        <f>#REF!</f>
        <v>#REF!</v>
      </c>
      <c r="H14" t="e">
        <f>#REF!</f>
        <v>#REF!</v>
      </c>
    </row>
    <row r="15" spans="1:8">
      <c r="A15" t="e">
        <f>#REF!</f>
        <v>#REF!</v>
      </c>
      <c r="B15" t="e">
        <f>#REF!</f>
        <v>#REF!</v>
      </c>
      <c r="C15" t="e">
        <f>#REF!</f>
        <v>#REF!</v>
      </c>
      <c r="D15" t="e">
        <f>#REF!</f>
        <v>#REF!</v>
      </c>
      <c r="E15" t="e">
        <f>#REF!</f>
        <v>#REF!</v>
      </c>
      <c r="F15" t="e">
        <f>#REF!</f>
        <v>#REF!</v>
      </c>
      <c r="G15" t="e">
        <f>#REF!</f>
        <v>#REF!</v>
      </c>
      <c r="H15" t="e">
        <f>#REF!</f>
        <v>#REF!</v>
      </c>
    </row>
    <row r="16" spans="1:8">
      <c r="A16" t="e">
        <f>#REF!</f>
        <v>#REF!</v>
      </c>
      <c r="B16" t="e">
        <f>#REF!</f>
        <v>#REF!</v>
      </c>
      <c r="C16" t="e">
        <f>#REF!</f>
        <v>#REF!</v>
      </c>
      <c r="D16" t="e">
        <f>#REF!</f>
        <v>#REF!</v>
      </c>
      <c r="E16" t="e">
        <f>#REF!</f>
        <v>#REF!</v>
      </c>
      <c r="F16" t="e">
        <f>#REF!</f>
        <v>#REF!</v>
      </c>
      <c r="G16" t="e">
        <f>#REF!</f>
        <v>#REF!</v>
      </c>
      <c r="H16" t="e">
        <f>#REF!</f>
        <v>#REF!</v>
      </c>
    </row>
    <row r="17" spans="1:8">
      <c r="A17" t="e">
        <f>#REF!</f>
        <v>#REF!</v>
      </c>
      <c r="B17" t="e">
        <f>#REF!</f>
        <v>#REF!</v>
      </c>
      <c r="C17" t="e">
        <f>#REF!</f>
        <v>#REF!</v>
      </c>
      <c r="D17" t="e">
        <f>#REF!</f>
        <v>#REF!</v>
      </c>
      <c r="E17" t="e">
        <f>#REF!</f>
        <v>#REF!</v>
      </c>
      <c r="F17" t="e">
        <f>#REF!</f>
        <v>#REF!</v>
      </c>
      <c r="G17" t="e">
        <f>#REF!</f>
        <v>#REF!</v>
      </c>
      <c r="H17" t="e">
        <f>#REF!</f>
        <v>#REF!</v>
      </c>
    </row>
    <row r="18" spans="1:8">
      <c r="A18" t="e">
        <f>#REF!</f>
        <v>#REF!</v>
      </c>
      <c r="B18" t="e">
        <f>#REF!</f>
        <v>#REF!</v>
      </c>
      <c r="C18" t="e">
        <f>#REF!</f>
        <v>#REF!</v>
      </c>
      <c r="D18" t="e">
        <f>#REF!</f>
        <v>#REF!</v>
      </c>
      <c r="E18" t="e">
        <f>#REF!</f>
        <v>#REF!</v>
      </c>
      <c r="F18" t="e">
        <f>#REF!</f>
        <v>#REF!</v>
      </c>
      <c r="G18" t="e">
        <f>#REF!</f>
        <v>#REF!</v>
      </c>
      <c r="H18" t="e">
        <f>#REF!</f>
        <v>#REF!</v>
      </c>
    </row>
    <row r="19" spans="1:8">
      <c r="A19" t="e">
        <f>#REF!</f>
        <v>#REF!</v>
      </c>
      <c r="B19" t="e">
        <f>#REF!</f>
        <v>#REF!</v>
      </c>
      <c r="C19" t="e">
        <f>#REF!</f>
        <v>#REF!</v>
      </c>
      <c r="D19" t="e">
        <f>#REF!</f>
        <v>#REF!</v>
      </c>
      <c r="E19" t="e">
        <f>#REF!</f>
        <v>#REF!</v>
      </c>
      <c r="F19" t="e">
        <f>#REF!</f>
        <v>#REF!</v>
      </c>
      <c r="G19" t="e">
        <f>#REF!</f>
        <v>#REF!</v>
      </c>
      <c r="H19" t="e">
        <f>#REF!</f>
        <v>#REF!</v>
      </c>
    </row>
    <row r="20" spans="1:8">
      <c r="A20" t="e">
        <f>#REF!</f>
        <v>#REF!</v>
      </c>
      <c r="B20" t="e">
        <f>#REF!</f>
        <v>#REF!</v>
      </c>
      <c r="C20" t="e">
        <f>#REF!</f>
        <v>#REF!</v>
      </c>
      <c r="D20" t="e">
        <f>#REF!</f>
        <v>#REF!</v>
      </c>
      <c r="E20" t="e">
        <f>#REF!</f>
        <v>#REF!</v>
      </c>
      <c r="F20" t="e">
        <f>#REF!</f>
        <v>#REF!</v>
      </c>
      <c r="G20" t="e">
        <f>#REF!</f>
        <v>#REF!</v>
      </c>
      <c r="H20" t="e">
        <f>#REF!</f>
        <v>#REF!</v>
      </c>
    </row>
    <row r="21" spans="1:8">
      <c r="A21" t="e">
        <f>#REF!</f>
        <v>#REF!</v>
      </c>
      <c r="B21" t="e">
        <f>#REF!</f>
        <v>#REF!</v>
      </c>
      <c r="C21" t="e">
        <f>#REF!</f>
        <v>#REF!</v>
      </c>
      <c r="D21" t="e">
        <f>#REF!</f>
        <v>#REF!</v>
      </c>
      <c r="E21" t="e">
        <f>#REF!</f>
        <v>#REF!</v>
      </c>
      <c r="F21" t="e">
        <f>#REF!</f>
        <v>#REF!</v>
      </c>
      <c r="G21" t="e">
        <f>#REF!</f>
        <v>#REF!</v>
      </c>
      <c r="H21" t="e">
        <f>#REF!</f>
        <v>#REF!</v>
      </c>
    </row>
    <row r="22" spans="1:8">
      <c r="A22" t="e">
        <f>#REF!</f>
        <v>#REF!</v>
      </c>
      <c r="B22" t="e">
        <f>#REF!</f>
        <v>#REF!</v>
      </c>
      <c r="C22" t="e">
        <f>#REF!</f>
        <v>#REF!</v>
      </c>
      <c r="D22" t="e">
        <f>#REF!</f>
        <v>#REF!</v>
      </c>
      <c r="E22" t="e">
        <f>#REF!</f>
        <v>#REF!</v>
      </c>
      <c r="F22" t="e">
        <f>#REF!</f>
        <v>#REF!</v>
      </c>
      <c r="G22" t="e">
        <f>#REF!</f>
        <v>#REF!</v>
      </c>
      <c r="H22" t="e">
        <f>#REF!</f>
        <v>#REF!</v>
      </c>
    </row>
    <row r="23" spans="1:8">
      <c r="A23" t="e">
        <f>#REF!</f>
        <v>#REF!</v>
      </c>
      <c r="B23" t="e">
        <f>#REF!</f>
        <v>#REF!</v>
      </c>
      <c r="C23" t="e">
        <f>#REF!</f>
        <v>#REF!</v>
      </c>
      <c r="D23" t="e">
        <f>#REF!</f>
        <v>#REF!</v>
      </c>
      <c r="E23" t="e">
        <f>#REF!</f>
        <v>#REF!</v>
      </c>
      <c r="F23" t="e">
        <f>#REF!</f>
        <v>#REF!</v>
      </c>
      <c r="G23" t="e">
        <f>#REF!</f>
        <v>#REF!</v>
      </c>
      <c r="H23" t="e">
        <f>#REF!</f>
        <v>#REF!</v>
      </c>
    </row>
    <row r="24" spans="1:8">
      <c r="A24" t="e">
        <f>#REF!</f>
        <v>#REF!</v>
      </c>
      <c r="B24" t="e">
        <f>#REF!</f>
        <v>#REF!</v>
      </c>
      <c r="C24" t="e">
        <f>#REF!</f>
        <v>#REF!</v>
      </c>
      <c r="D24" t="e">
        <f>#REF!</f>
        <v>#REF!</v>
      </c>
      <c r="E24" t="e">
        <f>#REF!</f>
        <v>#REF!</v>
      </c>
      <c r="F24" t="e">
        <f>#REF!</f>
        <v>#REF!</v>
      </c>
      <c r="G24" t="e">
        <f>#REF!</f>
        <v>#REF!</v>
      </c>
      <c r="H24" t="e">
        <f>#REF!</f>
        <v>#REF!</v>
      </c>
    </row>
    <row r="25" spans="1:8">
      <c r="A25" t="e">
        <f>#REF!</f>
        <v>#REF!</v>
      </c>
      <c r="B25" t="e">
        <f>#REF!</f>
        <v>#REF!</v>
      </c>
      <c r="C25" t="e">
        <f>#REF!</f>
        <v>#REF!</v>
      </c>
      <c r="D25" t="e">
        <f>#REF!</f>
        <v>#REF!</v>
      </c>
      <c r="E25" t="e">
        <f>#REF!</f>
        <v>#REF!</v>
      </c>
      <c r="F25" t="e">
        <f>#REF!</f>
        <v>#REF!</v>
      </c>
      <c r="G25" t="e">
        <f>#REF!</f>
        <v>#REF!</v>
      </c>
      <c r="H25" t="e">
        <f>#REF!</f>
        <v>#REF!</v>
      </c>
    </row>
    <row r="26" spans="1:8">
      <c r="A26" t="e">
        <f>#REF!</f>
        <v>#REF!</v>
      </c>
      <c r="B26" t="e">
        <f>#REF!</f>
        <v>#REF!</v>
      </c>
      <c r="C26" t="e">
        <f>#REF!</f>
        <v>#REF!</v>
      </c>
      <c r="D26" t="e">
        <f>#REF!</f>
        <v>#REF!</v>
      </c>
      <c r="E26" t="e">
        <f>#REF!</f>
        <v>#REF!</v>
      </c>
      <c r="F26" t="e">
        <f>#REF!</f>
        <v>#REF!</v>
      </c>
      <c r="G26" t="e">
        <f>#REF!</f>
        <v>#REF!</v>
      </c>
      <c r="H26" t="e">
        <f>#REF!</f>
        <v>#REF!</v>
      </c>
    </row>
    <row r="27" spans="1:8">
      <c r="A27" t="e">
        <f>#REF!</f>
        <v>#REF!</v>
      </c>
      <c r="B27" t="e">
        <f>#REF!</f>
        <v>#REF!</v>
      </c>
      <c r="C27" t="e">
        <f>#REF!</f>
        <v>#REF!</v>
      </c>
      <c r="D27" t="e">
        <f>#REF!</f>
        <v>#REF!</v>
      </c>
      <c r="E27" t="e">
        <f>#REF!</f>
        <v>#REF!</v>
      </c>
      <c r="F27" t="e">
        <f>#REF!</f>
        <v>#REF!</v>
      </c>
      <c r="G27" t="e">
        <f>#REF!</f>
        <v>#REF!</v>
      </c>
      <c r="H27" t="e">
        <f>#REF!</f>
        <v>#REF!</v>
      </c>
    </row>
    <row r="28" spans="1:8">
      <c r="A28" t="e">
        <f>#REF!</f>
        <v>#REF!</v>
      </c>
      <c r="B28" t="e">
        <f>#REF!</f>
        <v>#REF!</v>
      </c>
      <c r="C28" t="e">
        <f>#REF!</f>
        <v>#REF!</v>
      </c>
      <c r="D28" t="e">
        <f>#REF!</f>
        <v>#REF!</v>
      </c>
      <c r="E28" t="e">
        <f>#REF!</f>
        <v>#REF!</v>
      </c>
      <c r="F28" t="e">
        <f>#REF!</f>
        <v>#REF!</v>
      </c>
      <c r="G28" t="e">
        <f>#REF!</f>
        <v>#REF!</v>
      </c>
      <c r="H28" t="e">
        <f>#REF!</f>
        <v>#REF!</v>
      </c>
    </row>
    <row r="29" spans="1:8">
      <c r="A29" t="e">
        <f>#REF!</f>
        <v>#REF!</v>
      </c>
      <c r="B29" t="e">
        <f>#REF!</f>
        <v>#REF!</v>
      </c>
      <c r="C29" t="e">
        <f>#REF!</f>
        <v>#REF!</v>
      </c>
      <c r="D29" t="e">
        <f>#REF!</f>
        <v>#REF!</v>
      </c>
      <c r="E29" t="e">
        <f>#REF!</f>
        <v>#REF!</v>
      </c>
      <c r="F29" t="e">
        <f>#REF!</f>
        <v>#REF!</v>
      </c>
      <c r="G29" t="e">
        <f>#REF!</f>
        <v>#REF!</v>
      </c>
      <c r="H29" t="e">
        <f>#REF!</f>
        <v>#REF!</v>
      </c>
    </row>
    <row r="30" spans="1:8">
      <c r="A30" t="e">
        <f>#REF!</f>
        <v>#REF!</v>
      </c>
      <c r="B30" t="e">
        <f>#REF!</f>
        <v>#REF!</v>
      </c>
      <c r="C30" t="e">
        <f>#REF!</f>
        <v>#REF!</v>
      </c>
      <c r="D30" t="e">
        <f>#REF!</f>
        <v>#REF!</v>
      </c>
      <c r="E30" t="e">
        <f>#REF!</f>
        <v>#REF!</v>
      </c>
      <c r="F30" t="e">
        <f>#REF!</f>
        <v>#REF!</v>
      </c>
      <c r="G30" t="e">
        <f>#REF!</f>
        <v>#REF!</v>
      </c>
      <c r="H30" t="e">
        <f>#REF!</f>
        <v>#REF!</v>
      </c>
    </row>
    <row r="31" spans="1:8">
      <c r="A31" t="e">
        <f>#REF!</f>
        <v>#REF!</v>
      </c>
      <c r="B31" t="e">
        <f>#REF!</f>
        <v>#REF!</v>
      </c>
      <c r="C31" t="e">
        <f>#REF!</f>
        <v>#REF!</v>
      </c>
      <c r="D31" t="e">
        <f>#REF!</f>
        <v>#REF!</v>
      </c>
      <c r="E31" t="e">
        <f>#REF!</f>
        <v>#REF!</v>
      </c>
      <c r="F31" t="e">
        <f>#REF!</f>
        <v>#REF!</v>
      </c>
      <c r="G31" t="e">
        <f>#REF!</f>
        <v>#REF!</v>
      </c>
      <c r="H31" t="e">
        <f>#REF!</f>
        <v>#REF!</v>
      </c>
    </row>
    <row r="32" spans="1:8">
      <c r="A32" t="e">
        <f>#REF!</f>
        <v>#REF!</v>
      </c>
      <c r="B32" t="e">
        <f>#REF!</f>
        <v>#REF!</v>
      </c>
      <c r="C32" t="e">
        <f>#REF!</f>
        <v>#REF!</v>
      </c>
      <c r="D32" t="e">
        <f>#REF!</f>
        <v>#REF!</v>
      </c>
      <c r="E32" t="e">
        <f>#REF!</f>
        <v>#REF!</v>
      </c>
      <c r="F32" t="e">
        <f>#REF!</f>
        <v>#REF!</v>
      </c>
      <c r="G32" t="e">
        <f>#REF!</f>
        <v>#REF!</v>
      </c>
      <c r="H32" t="e">
        <f>#REF!</f>
        <v>#REF!</v>
      </c>
    </row>
    <row r="33" spans="1:8">
      <c r="A33" t="e">
        <f>#REF!</f>
        <v>#REF!</v>
      </c>
      <c r="B33" t="e">
        <f>#REF!</f>
        <v>#REF!</v>
      </c>
      <c r="C33" t="e">
        <f>#REF!</f>
        <v>#REF!</v>
      </c>
      <c r="D33" t="e">
        <f>#REF!</f>
        <v>#REF!</v>
      </c>
      <c r="E33" t="e">
        <f>#REF!</f>
        <v>#REF!</v>
      </c>
      <c r="F33" t="e">
        <f>#REF!</f>
        <v>#REF!</v>
      </c>
      <c r="G33" t="e">
        <f>#REF!</f>
        <v>#REF!</v>
      </c>
      <c r="H33" t="e">
        <f>#REF!</f>
        <v>#REF!</v>
      </c>
    </row>
    <row r="34" spans="1:8">
      <c r="A34" t="e">
        <f>#REF!</f>
        <v>#REF!</v>
      </c>
      <c r="B34" t="e">
        <f>#REF!</f>
        <v>#REF!</v>
      </c>
      <c r="C34" t="e">
        <f>#REF!</f>
        <v>#REF!</v>
      </c>
      <c r="D34" t="e">
        <f>#REF!</f>
        <v>#REF!</v>
      </c>
      <c r="E34" t="e">
        <f>#REF!</f>
        <v>#REF!</v>
      </c>
      <c r="F34" t="e">
        <f>#REF!</f>
        <v>#REF!</v>
      </c>
      <c r="G34" t="e">
        <f>#REF!</f>
        <v>#REF!</v>
      </c>
      <c r="H34" t="e">
        <f>#REF!</f>
        <v>#REF!</v>
      </c>
    </row>
    <row r="35" spans="1:8">
      <c r="A35" t="e">
        <f>#REF!</f>
        <v>#REF!</v>
      </c>
      <c r="B35" t="e">
        <f>#REF!</f>
        <v>#REF!</v>
      </c>
      <c r="C35" t="e">
        <f>#REF!</f>
        <v>#REF!</v>
      </c>
      <c r="D35" t="e">
        <f>#REF!</f>
        <v>#REF!</v>
      </c>
      <c r="E35" t="e">
        <f>#REF!</f>
        <v>#REF!</v>
      </c>
      <c r="F35" t="e">
        <f>#REF!</f>
        <v>#REF!</v>
      </c>
      <c r="G35" t="e">
        <f>#REF!</f>
        <v>#REF!</v>
      </c>
      <c r="H35" t="e">
        <f>#REF!</f>
        <v>#REF!</v>
      </c>
    </row>
    <row r="36" spans="1:8">
      <c r="A36" t="e">
        <f>#REF!</f>
        <v>#REF!</v>
      </c>
      <c r="B36" t="e">
        <f>#REF!</f>
        <v>#REF!</v>
      </c>
      <c r="C36" t="e">
        <f>#REF!</f>
        <v>#REF!</v>
      </c>
      <c r="D36" t="e">
        <f>#REF!</f>
        <v>#REF!</v>
      </c>
      <c r="E36" t="e">
        <f>#REF!</f>
        <v>#REF!</v>
      </c>
      <c r="F36" t="e">
        <f>#REF!</f>
        <v>#REF!</v>
      </c>
      <c r="G36" t="e">
        <f>#REF!</f>
        <v>#REF!</v>
      </c>
      <c r="H36" t="e">
        <f>#REF!</f>
        <v>#REF!</v>
      </c>
    </row>
    <row r="37" spans="1:8">
      <c r="A37" t="e">
        <f>#REF!</f>
        <v>#REF!</v>
      </c>
      <c r="B37" t="e">
        <f>#REF!</f>
        <v>#REF!</v>
      </c>
      <c r="C37" t="e">
        <f>#REF!</f>
        <v>#REF!</v>
      </c>
      <c r="D37" t="e">
        <f>#REF!</f>
        <v>#REF!</v>
      </c>
      <c r="E37" t="e">
        <f>#REF!</f>
        <v>#REF!</v>
      </c>
      <c r="F37" t="e">
        <f>#REF!</f>
        <v>#REF!</v>
      </c>
      <c r="G37" t="e">
        <f>#REF!</f>
        <v>#REF!</v>
      </c>
      <c r="H37" t="e">
        <f>#REF!</f>
        <v>#REF!</v>
      </c>
    </row>
    <row r="38" spans="1:8">
      <c r="A38" t="e">
        <f>#REF!</f>
        <v>#REF!</v>
      </c>
      <c r="B38" t="e">
        <f>#REF!</f>
        <v>#REF!</v>
      </c>
      <c r="C38" t="e">
        <f>#REF!</f>
        <v>#REF!</v>
      </c>
      <c r="D38" t="e">
        <f>#REF!</f>
        <v>#REF!</v>
      </c>
      <c r="E38" t="e">
        <f>#REF!</f>
        <v>#REF!</v>
      </c>
      <c r="F38" t="e">
        <f>#REF!</f>
        <v>#REF!</v>
      </c>
      <c r="G38" t="e">
        <f>#REF!</f>
        <v>#REF!</v>
      </c>
      <c r="H38" t="e">
        <f>#REF!</f>
        <v>#REF!</v>
      </c>
    </row>
    <row r="39" spans="1:8">
      <c r="A39" t="e">
        <f>#REF!</f>
        <v>#REF!</v>
      </c>
      <c r="B39" t="e">
        <f>#REF!</f>
        <v>#REF!</v>
      </c>
      <c r="C39" t="e">
        <f>#REF!</f>
        <v>#REF!</v>
      </c>
      <c r="D39" t="e">
        <f>#REF!</f>
        <v>#REF!</v>
      </c>
      <c r="E39" t="e">
        <f>#REF!</f>
        <v>#REF!</v>
      </c>
      <c r="F39" t="e">
        <f>#REF!</f>
        <v>#REF!</v>
      </c>
      <c r="G39" t="e">
        <f>#REF!</f>
        <v>#REF!</v>
      </c>
      <c r="H39" t="e">
        <f>#REF!</f>
        <v>#REF!</v>
      </c>
    </row>
    <row r="40" spans="1:8">
      <c r="A40" t="e">
        <f>#REF!</f>
        <v>#REF!</v>
      </c>
      <c r="B40" t="e">
        <f>#REF!</f>
        <v>#REF!</v>
      </c>
      <c r="C40" t="e">
        <f>#REF!</f>
        <v>#REF!</v>
      </c>
      <c r="D40" t="e">
        <f>#REF!</f>
        <v>#REF!</v>
      </c>
      <c r="E40" t="e">
        <f>#REF!</f>
        <v>#REF!</v>
      </c>
      <c r="F40" t="e">
        <f>#REF!</f>
        <v>#REF!</v>
      </c>
      <c r="G40" t="e">
        <f>#REF!</f>
        <v>#REF!</v>
      </c>
      <c r="H40" t="e">
        <f>#REF!</f>
        <v>#REF!</v>
      </c>
    </row>
    <row r="41" spans="1:8">
      <c r="A41" t="e">
        <f>#REF!</f>
        <v>#REF!</v>
      </c>
      <c r="B41" t="e">
        <f>#REF!</f>
        <v>#REF!</v>
      </c>
      <c r="C41" t="e">
        <f>#REF!</f>
        <v>#REF!</v>
      </c>
      <c r="D41" t="e">
        <f>#REF!</f>
        <v>#REF!</v>
      </c>
      <c r="E41" t="e">
        <f>#REF!</f>
        <v>#REF!</v>
      </c>
      <c r="F41" t="e">
        <f>#REF!</f>
        <v>#REF!</v>
      </c>
      <c r="G41" t="e">
        <f>#REF!</f>
        <v>#REF!</v>
      </c>
      <c r="H41" t="e">
        <f>#REF!</f>
        <v>#REF!</v>
      </c>
    </row>
    <row r="42" spans="1:8">
      <c r="A42" t="e">
        <f>#REF!</f>
        <v>#REF!</v>
      </c>
      <c r="B42" t="e">
        <f>#REF!</f>
        <v>#REF!</v>
      </c>
      <c r="C42" t="e">
        <f>#REF!</f>
        <v>#REF!</v>
      </c>
      <c r="D42" t="e">
        <f>#REF!</f>
        <v>#REF!</v>
      </c>
      <c r="E42" t="e">
        <f>#REF!</f>
        <v>#REF!</v>
      </c>
      <c r="F42" t="e">
        <f>#REF!</f>
        <v>#REF!</v>
      </c>
      <c r="G42" t="e">
        <f>#REF!</f>
        <v>#REF!</v>
      </c>
      <c r="H42" t="e">
        <f>#REF!</f>
        <v>#REF!</v>
      </c>
    </row>
    <row r="43" spans="1:8">
      <c r="A43" t="e">
        <f>#REF!</f>
        <v>#REF!</v>
      </c>
      <c r="B43" t="e">
        <f>#REF!</f>
        <v>#REF!</v>
      </c>
      <c r="C43" t="e">
        <f>#REF!</f>
        <v>#REF!</v>
      </c>
      <c r="D43" t="e">
        <f>#REF!</f>
        <v>#REF!</v>
      </c>
      <c r="E43" t="e">
        <f>#REF!</f>
        <v>#REF!</v>
      </c>
      <c r="F43" t="e">
        <f>#REF!</f>
        <v>#REF!</v>
      </c>
      <c r="G43" t="e">
        <f>#REF!</f>
        <v>#REF!</v>
      </c>
      <c r="H43" t="e">
        <f>#REF!</f>
        <v>#REF!</v>
      </c>
    </row>
    <row r="44" spans="1:8">
      <c r="A44" t="e">
        <f>#REF!</f>
        <v>#REF!</v>
      </c>
      <c r="B44" t="e">
        <f>#REF!</f>
        <v>#REF!</v>
      </c>
      <c r="C44" t="e">
        <f>#REF!</f>
        <v>#REF!</v>
      </c>
      <c r="D44" t="e">
        <f>#REF!</f>
        <v>#REF!</v>
      </c>
      <c r="E44" t="e">
        <f>#REF!</f>
        <v>#REF!</v>
      </c>
      <c r="F44" t="e">
        <f>#REF!</f>
        <v>#REF!</v>
      </c>
      <c r="G44" t="e">
        <f>#REF!</f>
        <v>#REF!</v>
      </c>
      <c r="H44" t="e">
        <f>#REF!</f>
        <v>#REF!</v>
      </c>
    </row>
    <row r="45" spans="1:8">
      <c r="A45" t="e">
        <f>#REF!</f>
        <v>#REF!</v>
      </c>
      <c r="B45" t="e">
        <f>#REF!</f>
        <v>#REF!</v>
      </c>
      <c r="C45" t="e">
        <f>#REF!</f>
        <v>#REF!</v>
      </c>
      <c r="D45" t="e">
        <f>#REF!</f>
        <v>#REF!</v>
      </c>
      <c r="E45" t="e">
        <f>#REF!</f>
        <v>#REF!</v>
      </c>
      <c r="F45" t="e">
        <f>#REF!</f>
        <v>#REF!</v>
      </c>
      <c r="G45" t="e">
        <f>#REF!</f>
        <v>#REF!</v>
      </c>
      <c r="H45" t="e">
        <f>#REF!</f>
        <v>#REF!</v>
      </c>
    </row>
    <row r="46" spans="1:8">
      <c r="A46" t="e">
        <f>#REF!</f>
        <v>#REF!</v>
      </c>
      <c r="B46" t="e">
        <f>#REF!</f>
        <v>#REF!</v>
      </c>
      <c r="C46" t="e">
        <f>#REF!</f>
        <v>#REF!</v>
      </c>
      <c r="D46" t="e">
        <f>#REF!</f>
        <v>#REF!</v>
      </c>
      <c r="E46" t="e">
        <f>#REF!</f>
        <v>#REF!</v>
      </c>
      <c r="F46" t="e">
        <f>#REF!</f>
        <v>#REF!</v>
      </c>
      <c r="G46" t="e">
        <f>#REF!</f>
        <v>#REF!</v>
      </c>
      <c r="H46" t="e">
        <f>#REF!</f>
        <v>#REF!</v>
      </c>
    </row>
    <row r="47" spans="1:8">
      <c r="A47" t="e">
        <f>#REF!</f>
        <v>#REF!</v>
      </c>
      <c r="B47" t="e">
        <f>#REF!</f>
        <v>#REF!</v>
      </c>
      <c r="C47" t="e">
        <f>#REF!</f>
        <v>#REF!</v>
      </c>
      <c r="D47" t="e">
        <f>#REF!</f>
        <v>#REF!</v>
      </c>
      <c r="E47" t="e">
        <f>#REF!</f>
        <v>#REF!</v>
      </c>
      <c r="F47" t="e">
        <f>#REF!</f>
        <v>#REF!</v>
      </c>
      <c r="G47" t="e">
        <f>#REF!</f>
        <v>#REF!</v>
      </c>
      <c r="H47" t="e">
        <f>#REF!</f>
        <v>#REF!</v>
      </c>
    </row>
    <row r="48" spans="1:8">
      <c r="A48" t="e">
        <f>#REF!</f>
        <v>#REF!</v>
      </c>
      <c r="B48" t="e">
        <f>#REF!</f>
        <v>#REF!</v>
      </c>
      <c r="C48" t="e">
        <f>#REF!</f>
        <v>#REF!</v>
      </c>
      <c r="D48" t="e">
        <f>#REF!</f>
        <v>#REF!</v>
      </c>
      <c r="E48" t="e">
        <f>#REF!</f>
        <v>#REF!</v>
      </c>
      <c r="F48" t="e">
        <f>#REF!</f>
        <v>#REF!</v>
      </c>
      <c r="G48" t="e">
        <f>#REF!</f>
        <v>#REF!</v>
      </c>
      <c r="H48" t="e">
        <f>#REF!</f>
        <v>#REF!</v>
      </c>
    </row>
    <row r="49" spans="1:8">
      <c r="A49" t="e">
        <f>#REF!</f>
        <v>#REF!</v>
      </c>
      <c r="B49" t="e">
        <f>#REF!</f>
        <v>#REF!</v>
      </c>
      <c r="C49" t="e">
        <f>#REF!</f>
        <v>#REF!</v>
      </c>
      <c r="D49" t="e">
        <f>#REF!</f>
        <v>#REF!</v>
      </c>
      <c r="E49" t="e">
        <f>#REF!</f>
        <v>#REF!</v>
      </c>
      <c r="F49" t="e">
        <f>#REF!</f>
        <v>#REF!</v>
      </c>
      <c r="G49" t="e">
        <f>#REF!</f>
        <v>#REF!</v>
      </c>
      <c r="H49" t="e">
        <f>#REF!</f>
        <v>#REF!</v>
      </c>
    </row>
    <row r="50" spans="1:8">
      <c r="A50" t="e">
        <f>#REF!</f>
        <v>#REF!</v>
      </c>
      <c r="B50" t="e">
        <f>#REF!</f>
        <v>#REF!</v>
      </c>
      <c r="C50" t="e">
        <f>#REF!</f>
        <v>#REF!</v>
      </c>
      <c r="D50" t="e">
        <f>#REF!</f>
        <v>#REF!</v>
      </c>
      <c r="E50" t="e">
        <f>#REF!</f>
        <v>#REF!</v>
      </c>
      <c r="F50" t="e">
        <f>#REF!</f>
        <v>#REF!</v>
      </c>
      <c r="G50" t="e">
        <f>#REF!</f>
        <v>#REF!</v>
      </c>
      <c r="H50" t="e">
        <f>#REF!</f>
        <v>#REF!</v>
      </c>
    </row>
    <row r="51" spans="1:8">
      <c r="A51" t="e">
        <f>#REF!</f>
        <v>#REF!</v>
      </c>
      <c r="B51" t="e">
        <f>#REF!</f>
        <v>#REF!</v>
      </c>
      <c r="C51" t="e">
        <f>#REF!</f>
        <v>#REF!</v>
      </c>
      <c r="D51" t="e">
        <f>#REF!</f>
        <v>#REF!</v>
      </c>
      <c r="E51" t="e">
        <f>#REF!</f>
        <v>#REF!</v>
      </c>
      <c r="F51" t="e">
        <f>#REF!</f>
        <v>#REF!</v>
      </c>
      <c r="G51" t="e">
        <f>#REF!</f>
        <v>#REF!</v>
      </c>
      <c r="H51" t="e">
        <f>#REF!</f>
        <v>#REF!</v>
      </c>
    </row>
    <row r="52" spans="1:8">
      <c r="A52" t="e">
        <f>#REF!</f>
        <v>#REF!</v>
      </c>
      <c r="B52" t="e">
        <f>#REF!</f>
        <v>#REF!</v>
      </c>
      <c r="C52" t="e">
        <f>#REF!</f>
        <v>#REF!</v>
      </c>
      <c r="D52" t="e">
        <f>#REF!</f>
        <v>#REF!</v>
      </c>
      <c r="E52" t="e">
        <f>#REF!</f>
        <v>#REF!</v>
      </c>
      <c r="F52" t="e">
        <f>#REF!</f>
        <v>#REF!</v>
      </c>
      <c r="G52" t="e">
        <f>#REF!</f>
        <v>#REF!</v>
      </c>
      <c r="H52" t="e">
        <f>#REF!</f>
        <v>#REF!</v>
      </c>
    </row>
    <row r="53" spans="1:8">
      <c r="A53" t="e">
        <f>#REF!</f>
        <v>#REF!</v>
      </c>
      <c r="B53" t="e">
        <f>#REF!</f>
        <v>#REF!</v>
      </c>
      <c r="C53" t="e">
        <f>#REF!</f>
        <v>#REF!</v>
      </c>
      <c r="D53" t="e">
        <f>#REF!</f>
        <v>#REF!</v>
      </c>
      <c r="E53" t="e">
        <f>#REF!</f>
        <v>#REF!</v>
      </c>
      <c r="F53" t="e">
        <f>#REF!</f>
        <v>#REF!</v>
      </c>
      <c r="G53" t="e">
        <f>#REF!</f>
        <v>#REF!</v>
      </c>
      <c r="H53" t="e">
        <f>#REF!</f>
        <v>#REF!</v>
      </c>
    </row>
    <row r="54" spans="1:8">
      <c r="A54" t="e">
        <f>#REF!</f>
        <v>#REF!</v>
      </c>
      <c r="B54" t="e">
        <f>#REF!</f>
        <v>#REF!</v>
      </c>
      <c r="C54" t="e">
        <f>#REF!</f>
        <v>#REF!</v>
      </c>
      <c r="D54" t="e">
        <f>#REF!</f>
        <v>#REF!</v>
      </c>
      <c r="E54" t="e">
        <f>#REF!</f>
        <v>#REF!</v>
      </c>
      <c r="F54" t="e">
        <f>#REF!</f>
        <v>#REF!</v>
      </c>
      <c r="G54" t="e">
        <f>#REF!</f>
        <v>#REF!</v>
      </c>
      <c r="H54" t="e">
        <f>#REF!</f>
        <v>#REF!</v>
      </c>
    </row>
    <row r="55" spans="1:8">
      <c r="A55" t="e">
        <f>#REF!</f>
        <v>#REF!</v>
      </c>
      <c r="B55" t="e">
        <f>#REF!</f>
        <v>#REF!</v>
      </c>
      <c r="C55" t="e">
        <f>#REF!</f>
        <v>#REF!</v>
      </c>
      <c r="D55" t="e">
        <f>#REF!</f>
        <v>#REF!</v>
      </c>
      <c r="E55" t="e">
        <f>#REF!</f>
        <v>#REF!</v>
      </c>
      <c r="F55" t="e">
        <f>#REF!</f>
        <v>#REF!</v>
      </c>
      <c r="G55" t="e">
        <f>#REF!</f>
        <v>#REF!</v>
      </c>
      <c r="H55" t="e">
        <f>#REF!</f>
        <v>#REF!</v>
      </c>
    </row>
    <row r="56" spans="1:8">
      <c r="A56" t="e">
        <f>#REF!</f>
        <v>#REF!</v>
      </c>
      <c r="B56" t="e">
        <f>#REF!</f>
        <v>#REF!</v>
      </c>
      <c r="C56" t="e">
        <f>#REF!</f>
        <v>#REF!</v>
      </c>
      <c r="D56" t="e">
        <f>#REF!</f>
        <v>#REF!</v>
      </c>
      <c r="E56" t="e">
        <f>#REF!</f>
        <v>#REF!</v>
      </c>
      <c r="F56" t="e">
        <f>#REF!</f>
        <v>#REF!</v>
      </c>
      <c r="G56" t="e">
        <f>#REF!</f>
        <v>#REF!</v>
      </c>
      <c r="H56" t="e">
        <f>#REF!</f>
        <v>#REF!</v>
      </c>
    </row>
    <row r="57" spans="1:8">
      <c r="A57" t="e">
        <f>#REF!</f>
        <v>#REF!</v>
      </c>
      <c r="B57" t="e">
        <f>#REF!</f>
        <v>#REF!</v>
      </c>
      <c r="C57" t="e">
        <f>#REF!</f>
        <v>#REF!</v>
      </c>
      <c r="D57" t="e">
        <f>#REF!</f>
        <v>#REF!</v>
      </c>
      <c r="E57" t="e">
        <f>#REF!</f>
        <v>#REF!</v>
      </c>
      <c r="F57" t="e">
        <f>#REF!</f>
        <v>#REF!</v>
      </c>
      <c r="G57" t="e">
        <f>#REF!</f>
        <v>#REF!</v>
      </c>
      <c r="H57" t="e">
        <f>#REF!</f>
        <v>#REF!</v>
      </c>
    </row>
    <row r="58" spans="1:8">
      <c r="A58" t="e">
        <f>#REF!</f>
        <v>#REF!</v>
      </c>
      <c r="B58" t="e">
        <f>#REF!</f>
        <v>#REF!</v>
      </c>
      <c r="C58" t="e">
        <f>#REF!</f>
        <v>#REF!</v>
      </c>
      <c r="D58" t="e">
        <f>#REF!</f>
        <v>#REF!</v>
      </c>
      <c r="E58" t="e">
        <f>#REF!</f>
        <v>#REF!</v>
      </c>
      <c r="F58" t="e">
        <f>#REF!</f>
        <v>#REF!</v>
      </c>
      <c r="G58" t="e">
        <f>#REF!</f>
        <v>#REF!</v>
      </c>
      <c r="H58" t="e">
        <f>#REF!</f>
        <v>#REF!</v>
      </c>
    </row>
    <row r="59" spans="1:8">
      <c r="A59" t="e">
        <f>#REF!</f>
        <v>#REF!</v>
      </c>
      <c r="B59" t="e">
        <f>#REF!</f>
        <v>#REF!</v>
      </c>
      <c r="C59" t="e">
        <f>#REF!</f>
        <v>#REF!</v>
      </c>
      <c r="D59" t="e">
        <f>#REF!</f>
        <v>#REF!</v>
      </c>
      <c r="E59" t="e">
        <f>#REF!</f>
        <v>#REF!</v>
      </c>
      <c r="F59" t="e">
        <f>#REF!</f>
        <v>#REF!</v>
      </c>
      <c r="G59" t="e">
        <f>#REF!</f>
        <v>#REF!</v>
      </c>
      <c r="H59" t="e">
        <f>#REF!</f>
        <v>#REF!</v>
      </c>
    </row>
    <row r="60" spans="1:8">
      <c r="A60" t="e">
        <f>#REF!</f>
        <v>#REF!</v>
      </c>
      <c r="B60" t="e">
        <f>#REF!</f>
        <v>#REF!</v>
      </c>
      <c r="C60" t="e">
        <f>#REF!</f>
        <v>#REF!</v>
      </c>
      <c r="D60" t="e">
        <f>#REF!</f>
        <v>#REF!</v>
      </c>
      <c r="E60" t="e">
        <f>#REF!</f>
        <v>#REF!</v>
      </c>
      <c r="F60" t="e">
        <f>#REF!</f>
        <v>#REF!</v>
      </c>
      <c r="G60" t="e">
        <f>#REF!</f>
        <v>#REF!</v>
      </c>
      <c r="H60" t="e">
        <f>#REF!</f>
        <v>#REF!</v>
      </c>
    </row>
    <row r="61" spans="1:8">
      <c r="A61" t="e">
        <f>#REF!</f>
        <v>#REF!</v>
      </c>
      <c r="B61" t="e">
        <f>#REF!</f>
        <v>#REF!</v>
      </c>
      <c r="C61" t="e">
        <f>#REF!</f>
        <v>#REF!</v>
      </c>
      <c r="D61" t="e">
        <f>#REF!</f>
        <v>#REF!</v>
      </c>
      <c r="E61" t="e">
        <f>#REF!</f>
        <v>#REF!</v>
      </c>
      <c r="F61" t="e">
        <f>#REF!</f>
        <v>#REF!</v>
      </c>
      <c r="G61" t="e">
        <f>#REF!</f>
        <v>#REF!</v>
      </c>
      <c r="H61" t="e">
        <f>#REF!</f>
        <v>#REF!</v>
      </c>
    </row>
    <row r="62" spans="1:8">
      <c r="A62" t="e">
        <f>#REF!</f>
        <v>#REF!</v>
      </c>
      <c r="B62" t="e">
        <f>#REF!</f>
        <v>#REF!</v>
      </c>
      <c r="C62" t="e">
        <f>#REF!</f>
        <v>#REF!</v>
      </c>
      <c r="D62" t="e">
        <f>#REF!</f>
        <v>#REF!</v>
      </c>
      <c r="E62" t="e">
        <f>#REF!</f>
        <v>#REF!</v>
      </c>
      <c r="F62" t="e">
        <f>#REF!</f>
        <v>#REF!</v>
      </c>
      <c r="G62" t="e">
        <f>#REF!</f>
        <v>#REF!</v>
      </c>
      <c r="H62" t="e">
        <f>#REF!</f>
        <v>#REF!</v>
      </c>
    </row>
    <row r="63" spans="1:8">
      <c r="A63" t="e">
        <f>#REF!</f>
        <v>#REF!</v>
      </c>
      <c r="B63" t="e">
        <f>#REF!</f>
        <v>#REF!</v>
      </c>
      <c r="C63" t="e">
        <f>#REF!</f>
        <v>#REF!</v>
      </c>
      <c r="D63" t="e">
        <f>#REF!</f>
        <v>#REF!</v>
      </c>
      <c r="E63" t="e">
        <f>#REF!</f>
        <v>#REF!</v>
      </c>
      <c r="F63" t="e">
        <f>#REF!</f>
        <v>#REF!</v>
      </c>
      <c r="G63" t="e">
        <f>#REF!</f>
        <v>#REF!</v>
      </c>
      <c r="H63" t="e">
        <f>#REF!</f>
        <v>#REF!</v>
      </c>
    </row>
    <row r="64" spans="1:8">
      <c r="A64" t="e">
        <f>#REF!</f>
        <v>#REF!</v>
      </c>
      <c r="B64" t="e">
        <f>#REF!</f>
        <v>#REF!</v>
      </c>
      <c r="C64" t="e">
        <f>#REF!</f>
        <v>#REF!</v>
      </c>
      <c r="D64" t="e">
        <f>#REF!</f>
        <v>#REF!</v>
      </c>
      <c r="E64" t="e">
        <f>#REF!</f>
        <v>#REF!</v>
      </c>
      <c r="F64" t="e">
        <f>#REF!</f>
        <v>#REF!</v>
      </c>
      <c r="G64" t="e">
        <f>#REF!</f>
        <v>#REF!</v>
      </c>
      <c r="H64" t="e">
        <f>#REF!</f>
        <v>#REF!</v>
      </c>
    </row>
    <row r="65" spans="1:8">
      <c r="A65" t="e">
        <f>#REF!</f>
        <v>#REF!</v>
      </c>
      <c r="B65" t="e">
        <f>#REF!</f>
        <v>#REF!</v>
      </c>
      <c r="C65" t="e">
        <f>#REF!</f>
        <v>#REF!</v>
      </c>
      <c r="D65" t="e">
        <f>#REF!</f>
        <v>#REF!</v>
      </c>
      <c r="E65" t="e">
        <f>#REF!</f>
        <v>#REF!</v>
      </c>
      <c r="F65" t="e">
        <f>#REF!</f>
        <v>#REF!</v>
      </c>
      <c r="G65" t="e">
        <f>#REF!</f>
        <v>#REF!</v>
      </c>
      <c r="H65" t="e">
        <f>#REF!</f>
        <v>#REF!</v>
      </c>
    </row>
    <row r="66" spans="1:8">
      <c r="A66" t="e">
        <f>#REF!</f>
        <v>#REF!</v>
      </c>
      <c r="B66" t="e">
        <f>#REF!</f>
        <v>#REF!</v>
      </c>
      <c r="C66" t="e">
        <f>#REF!</f>
        <v>#REF!</v>
      </c>
      <c r="D66" t="e">
        <f>#REF!</f>
        <v>#REF!</v>
      </c>
      <c r="E66" t="e">
        <f>#REF!</f>
        <v>#REF!</v>
      </c>
      <c r="F66" t="e">
        <f>#REF!</f>
        <v>#REF!</v>
      </c>
      <c r="G66" t="e">
        <f>#REF!</f>
        <v>#REF!</v>
      </c>
      <c r="H66" t="e">
        <f>#REF!</f>
        <v>#REF!</v>
      </c>
    </row>
    <row r="67" spans="1:8">
      <c r="A67" t="e">
        <f>#REF!</f>
        <v>#REF!</v>
      </c>
      <c r="B67" t="e">
        <f>#REF!</f>
        <v>#REF!</v>
      </c>
      <c r="C67" t="e">
        <f>#REF!</f>
        <v>#REF!</v>
      </c>
      <c r="D67" t="e">
        <f>#REF!</f>
        <v>#REF!</v>
      </c>
      <c r="E67" t="e">
        <f>#REF!</f>
        <v>#REF!</v>
      </c>
      <c r="F67" t="e">
        <f>#REF!</f>
        <v>#REF!</v>
      </c>
      <c r="G67" t="e">
        <f>#REF!</f>
        <v>#REF!</v>
      </c>
      <c r="H67" t="e">
        <f>#REF!</f>
        <v>#REF!</v>
      </c>
    </row>
    <row r="68" spans="1:8">
      <c r="A68" t="e">
        <f>#REF!</f>
        <v>#REF!</v>
      </c>
      <c r="B68" t="e">
        <f>#REF!</f>
        <v>#REF!</v>
      </c>
      <c r="C68" t="e">
        <f>#REF!</f>
        <v>#REF!</v>
      </c>
      <c r="D68" t="e">
        <f>#REF!</f>
        <v>#REF!</v>
      </c>
      <c r="E68" t="e">
        <f>#REF!</f>
        <v>#REF!</v>
      </c>
      <c r="F68" t="e">
        <f>#REF!</f>
        <v>#REF!</v>
      </c>
      <c r="G68" t="e">
        <f>#REF!</f>
        <v>#REF!</v>
      </c>
      <c r="H68" t="e">
        <f>#REF!</f>
        <v>#REF!</v>
      </c>
    </row>
    <row r="69" spans="1:8">
      <c r="A69" t="e">
        <f>#REF!</f>
        <v>#REF!</v>
      </c>
      <c r="B69" t="e">
        <f>#REF!</f>
        <v>#REF!</v>
      </c>
      <c r="C69" t="e">
        <f>#REF!</f>
        <v>#REF!</v>
      </c>
      <c r="D69" t="e">
        <f>#REF!</f>
        <v>#REF!</v>
      </c>
      <c r="E69" t="e">
        <f>#REF!</f>
        <v>#REF!</v>
      </c>
      <c r="F69" t="e">
        <f>#REF!</f>
        <v>#REF!</v>
      </c>
      <c r="G69" t="e">
        <f>#REF!</f>
        <v>#REF!</v>
      </c>
      <c r="H69" t="e">
        <f>#REF!</f>
        <v>#REF!</v>
      </c>
    </row>
    <row r="70" spans="1:8">
      <c r="A70" t="e">
        <f>#REF!</f>
        <v>#REF!</v>
      </c>
      <c r="B70" t="e">
        <f>#REF!</f>
        <v>#REF!</v>
      </c>
      <c r="C70" t="e">
        <f>#REF!</f>
        <v>#REF!</v>
      </c>
      <c r="D70" t="e">
        <f>#REF!</f>
        <v>#REF!</v>
      </c>
      <c r="E70" t="e">
        <f>#REF!</f>
        <v>#REF!</v>
      </c>
      <c r="F70" t="e">
        <f>#REF!</f>
        <v>#REF!</v>
      </c>
      <c r="G70" t="e">
        <f>#REF!</f>
        <v>#REF!</v>
      </c>
      <c r="H70" t="e">
        <f>#REF!</f>
        <v>#REF!</v>
      </c>
    </row>
    <row r="71" spans="1:8">
      <c r="A71" t="e">
        <f>#REF!</f>
        <v>#REF!</v>
      </c>
      <c r="B71" t="e">
        <f>#REF!</f>
        <v>#REF!</v>
      </c>
      <c r="C71" t="e">
        <f>#REF!</f>
        <v>#REF!</v>
      </c>
      <c r="D71" t="e">
        <f>#REF!</f>
        <v>#REF!</v>
      </c>
      <c r="E71" t="e">
        <f>#REF!</f>
        <v>#REF!</v>
      </c>
      <c r="F71" t="e">
        <f>#REF!</f>
        <v>#REF!</v>
      </c>
      <c r="G71" t="e">
        <f>#REF!</f>
        <v>#REF!</v>
      </c>
      <c r="H71" t="e">
        <f>#REF!</f>
        <v>#REF!</v>
      </c>
    </row>
    <row r="72" spans="1:8">
      <c r="A72" t="e">
        <f>#REF!</f>
        <v>#REF!</v>
      </c>
      <c r="B72" t="e">
        <f>#REF!</f>
        <v>#REF!</v>
      </c>
      <c r="C72" t="e">
        <f>#REF!</f>
        <v>#REF!</v>
      </c>
      <c r="D72" t="e">
        <f>#REF!</f>
        <v>#REF!</v>
      </c>
      <c r="E72" t="e">
        <f>#REF!</f>
        <v>#REF!</v>
      </c>
      <c r="F72" t="e">
        <f>#REF!</f>
        <v>#REF!</v>
      </c>
      <c r="G72" t="e">
        <f>#REF!</f>
        <v>#REF!</v>
      </c>
      <c r="H72" t="e">
        <f>#REF!</f>
        <v>#REF!</v>
      </c>
    </row>
    <row r="73" spans="1:8">
      <c r="A73" t="e">
        <f>#REF!</f>
        <v>#REF!</v>
      </c>
      <c r="B73" t="e">
        <f>#REF!</f>
        <v>#REF!</v>
      </c>
      <c r="C73" t="e">
        <f>#REF!</f>
        <v>#REF!</v>
      </c>
      <c r="D73" t="e">
        <f>#REF!</f>
        <v>#REF!</v>
      </c>
      <c r="E73" t="e">
        <f>#REF!</f>
        <v>#REF!</v>
      </c>
      <c r="F73" t="e">
        <f>#REF!</f>
        <v>#REF!</v>
      </c>
      <c r="G73" t="e">
        <f>#REF!</f>
        <v>#REF!</v>
      </c>
      <c r="H73" t="e">
        <f>#REF!</f>
        <v>#REF!</v>
      </c>
    </row>
    <row r="74" spans="1:8">
      <c r="A74" t="e">
        <f>#REF!</f>
        <v>#REF!</v>
      </c>
      <c r="B74" t="e">
        <f>#REF!</f>
        <v>#REF!</v>
      </c>
      <c r="C74" t="e">
        <f>#REF!</f>
        <v>#REF!</v>
      </c>
      <c r="D74" t="e">
        <f>#REF!</f>
        <v>#REF!</v>
      </c>
      <c r="E74" t="e">
        <f>#REF!</f>
        <v>#REF!</v>
      </c>
      <c r="F74" t="e">
        <f>#REF!</f>
        <v>#REF!</v>
      </c>
      <c r="G74" t="e">
        <f>#REF!</f>
        <v>#REF!</v>
      </c>
      <c r="H74" t="e">
        <f>#REF!</f>
        <v>#REF!</v>
      </c>
    </row>
    <row r="75" spans="1:8">
      <c r="A75" t="e">
        <f>#REF!</f>
        <v>#REF!</v>
      </c>
      <c r="B75" t="e">
        <f>#REF!</f>
        <v>#REF!</v>
      </c>
      <c r="C75" t="e">
        <f>#REF!</f>
        <v>#REF!</v>
      </c>
      <c r="D75" t="e">
        <f>#REF!</f>
        <v>#REF!</v>
      </c>
      <c r="E75" t="e">
        <f>#REF!</f>
        <v>#REF!</v>
      </c>
      <c r="F75" t="e">
        <f>#REF!</f>
        <v>#REF!</v>
      </c>
      <c r="G75" t="e">
        <f>#REF!</f>
        <v>#REF!</v>
      </c>
      <c r="H75" t="e">
        <f>#REF!</f>
        <v>#REF!</v>
      </c>
    </row>
    <row r="76" spans="1:8">
      <c r="A76" t="e">
        <f>#REF!</f>
        <v>#REF!</v>
      </c>
      <c r="B76" t="e">
        <f>#REF!</f>
        <v>#REF!</v>
      </c>
      <c r="C76" t="e">
        <f>#REF!</f>
        <v>#REF!</v>
      </c>
      <c r="D76" t="e">
        <f>#REF!</f>
        <v>#REF!</v>
      </c>
      <c r="E76" t="e">
        <f>#REF!</f>
        <v>#REF!</v>
      </c>
      <c r="F76" t="e">
        <f>#REF!</f>
        <v>#REF!</v>
      </c>
      <c r="G76" t="e">
        <f>#REF!</f>
        <v>#REF!</v>
      </c>
      <c r="H76" t="e">
        <f>#REF!</f>
        <v>#REF!</v>
      </c>
    </row>
    <row r="77" spans="1:8">
      <c r="A77" t="e">
        <f>#REF!</f>
        <v>#REF!</v>
      </c>
      <c r="B77" t="e">
        <f>#REF!</f>
        <v>#REF!</v>
      </c>
      <c r="C77" t="e">
        <f>#REF!</f>
        <v>#REF!</v>
      </c>
      <c r="D77" t="e">
        <f>#REF!</f>
        <v>#REF!</v>
      </c>
      <c r="E77" t="e">
        <f>#REF!</f>
        <v>#REF!</v>
      </c>
      <c r="F77" t="e">
        <f>#REF!</f>
        <v>#REF!</v>
      </c>
      <c r="G77" t="e">
        <f>#REF!</f>
        <v>#REF!</v>
      </c>
      <c r="H77" t="e">
        <f>#REF!</f>
        <v>#REF!</v>
      </c>
    </row>
    <row r="78" spans="1:8">
      <c r="A78" t="e">
        <f>#REF!</f>
        <v>#REF!</v>
      </c>
      <c r="B78" t="e">
        <f>#REF!</f>
        <v>#REF!</v>
      </c>
      <c r="C78" t="e">
        <f>#REF!</f>
        <v>#REF!</v>
      </c>
      <c r="D78" t="e">
        <f>#REF!</f>
        <v>#REF!</v>
      </c>
      <c r="E78" t="e">
        <f>#REF!</f>
        <v>#REF!</v>
      </c>
      <c r="F78" t="e">
        <f>#REF!</f>
        <v>#REF!</v>
      </c>
      <c r="G78" t="e">
        <f>#REF!</f>
        <v>#REF!</v>
      </c>
      <c r="H78" t="e">
        <f>#REF!</f>
        <v>#REF!</v>
      </c>
    </row>
    <row r="79" spans="1:8">
      <c r="A79" t="e">
        <f>#REF!</f>
        <v>#REF!</v>
      </c>
      <c r="B79" t="e">
        <f>#REF!</f>
        <v>#REF!</v>
      </c>
      <c r="C79" t="e">
        <f>#REF!</f>
        <v>#REF!</v>
      </c>
      <c r="D79" t="e">
        <f>#REF!</f>
        <v>#REF!</v>
      </c>
      <c r="E79" t="e">
        <f>#REF!</f>
        <v>#REF!</v>
      </c>
      <c r="F79" t="e">
        <f>#REF!</f>
        <v>#REF!</v>
      </c>
      <c r="G79" t="e">
        <f>#REF!</f>
        <v>#REF!</v>
      </c>
      <c r="H79" t="e">
        <f>#REF!</f>
        <v>#REF!</v>
      </c>
    </row>
    <row r="80" spans="1:8">
      <c r="A80" t="e">
        <f>#REF!</f>
        <v>#REF!</v>
      </c>
      <c r="B80" t="e">
        <f>#REF!</f>
        <v>#REF!</v>
      </c>
      <c r="C80" t="e">
        <f>#REF!</f>
        <v>#REF!</v>
      </c>
      <c r="D80" t="e">
        <f>#REF!</f>
        <v>#REF!</v>
      </c>
      <c r="E80" t="e">
        <f>#REF!</f>
        <v>#REF!</v>
      </c>
      <c r="F80" t="e">
        <f>#REF!</f>
        <v>#REF!</v>
      </c>
      <c r="G80" t="e">
        <f>#REF!</f>
        <v>#REF!</v>
      </c>
      <c r="H80" t="e">
        <f>#REF!</f>
        <v>#REF!</v>
      </c>
    </row>
    <row r="81" spans="1:8">
      <c r="A81" t="e">
        <f>#REF!</f>
        <v>#REF!</v>
      </c>
      <c r="B81" t="e">
        <f>#REF!</f>
        <v>#REF!</v>
      </c>
      <c r="C81" t="e">
        <f>#REF!</f>
        <v>#REF!</v>
      </c>
      <c r="D81" t="e">
        <f>#REF!</f>
        <v>#REF!</v>
      </c>
      <c r="E81" t="e">
        <f>#REF!</f>
        <v>#REF!</v>
      </c>
      <c r="F81" t="e">
        <f>#REF!</f>
        <v>#REF!</v>
      </c>
      <c r="G81" t="e">
        <f>#REF!</f>
        <v>#REF!</v>
      </c>
      <c r="H81" t="e">
        <f>#REF!</f>
        <v>#REF!</v>
      </c>
    </row>
    <row r="82" spans="1:8">
      <c r="A82" t="e">
        <f>#REF!</f>
        <v>#REF!</v>
      </c>
      <c r="B82" t="e">
        <f>#REF!</f>
        <v>#REF!</v>
      </c>
      <c r="C82" t="e">
        <f>#REF!</f>
        <v>#REF!</v>
      </c>
      <c r="D82" t="e">
        <f>#REF!</f>
        <v>#REF!</v>
      </c>
      <c r="E82" t="e">
        <f>#REF!</f>
        <v>#REF!</v>
      </c>
      <c r="F82" t="e">
        <f>#REF!</f>
        <v>#REF!</v>
      </c>
      <c r="G82" t="e">
        <f>#REF!</f>
        <v>#REF!</v>
      </c>
      <c r="H82" t="e">
        <f>#REF!</f>
        <v>#REF!</v>
      </c>
    </row>
    <row r="83" spans="1:8">
      <c r="A83" t="e">
        <f>#REF!</f>
        <v>#REF!</v>
      </c>
      <c r="B83" t="e">
        <f>#REF!</f>
        <v>#REF!</v>
      </c>
      <c r="C83" t="e">
        <f>#REF!</f>
        <v>#REF!</v>
      </c>
      <c r="D83" t="e">
        <f>#REF!</f>
        <v>#REF!</v>
      </c>
      <c r="E83" t="e">
        <f>#REF!</f>
        <v>#REF!</v>
      </c>
      <c r="F83" t="e">
        <f>#REF!</f>
        <v>#REF!</v>
      </c>
      <c r="G83" t="e">
        <f>#REF!</f>
        <v>#REF!</v>
      </c>
      <c r="H83" t="e">
        <f>#REF!</f>
        <v>#REF!</v>
      </c>
    </row>
    <row r="84" spans="1:8">
      <c r="A84" t="e">
        <f>#REF!</f>
        <v>#REF!</v>
      </c>
      <c r="B84" t="e">
        <f>#REF!</f>
        <v>#REF!</v>
      </c>
      <c r="C84" t="e">
        <f>#REF!</f>
        <v>#REF!</v>
      </c>
      <c r="D84" t="e">
        <f>#REF!</f>
        <v>#REF!</v>
      </c>
      <c r="E84" t="e">
        <f>#REF!</f>
        <v>#REF!</v>
      </c>
      <c r="F84" t="e">
        <f>#REF!</f>
        <v>#REF!</v>
      </c>
      <c r="G84" t="e">
        <f>#REF!</f>
        <v>#REF!</v>
      </c>
      <c r="H84" t="e">
        <f>#REF!</f>
        <v>#REF!</v>
      </c>
    </row>
    <row r="85" spans="1:8">
      <c r="A85" t="e">
        <f>#REF!</f>
        <v>#REF!</v>
      </c>
      <c r="B85" t="e">
        <f>#REF!</f>
        <v>#REF!</v>
      </c>
      <c r="C85" t="e">
        <f>#REF!</f>
        <v>#REF!</v>
      </c>
      <c r="D85" t="e">
        <f>#REF!</f>
        <v>#REF!</v>
      </c>
      <c r="E85" t="e">
        <f>#REF!</f>
        <v>#REF!</v>
      </c>
      <c r="F85" t="e">
        <f>#REF!</f>
        <v>#REF!</v>
      </c>
      <c r="G85" t="e">
        <f>#REF!</f>
        <v>#REF!</v>
      </c>
      <c r="H85" t="e">
        <f>#REF!</f>
        <v>#REF!</v>
      </c>
    </row>
    <row r="86" spans="1:8">
      <c r="A86" t="e">
        <f>#REF!</f>
        <v>#REF!</v>
      </c>
      <c r="B86" t="e">
        <f>#REF!</f>
        <v>#REF!</v>
      </c>
      <c r="C86" t="e">
        <f>#REF!</f>
        <v>#REF!</v>
      </c>
      <c r="D86" t="e">
        <f>#REF!</f>
        <v>#REF!</v>
      </c>
      <c r="E86" t="e">
        <f>#REF!</f>
        <v>#REF!</v>
      </c>
      <c r="F86" t="e">
        <f>#REF!</f>
        <v>#REF!</v>
      </c>
      <c r="G86" t="e">
        <f>#REF!</f>
        <v>#REF!</v>
      </c>
      <c r="H86" t="e">
        <f>#REF!</f>
        <v>#REF!</v>
      </c>
    </row>
    <row r="87" spans="1:8">
      <c r="A87" t="e">
        <f>#REF!</f>
        <v>#REF!</v>
      </c>
      <c r="B87" t="e">
        <f>#REF!</f>
        <v>#REF!</v>
      </c>
      <c r="C87" t="e">
        <f>#REF!</f>
        <v>#REF!</v>
      </c>
      <c r="D87" t="e">
        <f>#REF!</f>
        <v>#REF!</v>
      </c>
      <c r="E87" t="e">
        <f>#REF!</f>
        <v>#REF!</v>
      </c>
      <c r="F87" t="e">
        <f>#REF!</f>
        <v>#REF!</v>
      </c>
      <c r="G87" t="e">
        <f>#REF!</f>
        <v>#REF!</v>
      </c>
      <c r="H87" t="e">
        <f>#REF!</f>
        <v>#REF!</v>
      </c>
    </row>
    <row r="88" spans="1:8">
      <c r="A88" t="e">
        <f>#REF!</f>
        <v>#REF!</v>
      </c>
      <c r="B88" t="e">
        <f>#REF!</f>
        <v>#REF!</v>
      </c>
      <c r="C88" t="e">
        <f>#REF!</f>
        <v>#REF!</v>
      </c>
      <c r="D88" t="e">
        <f>#REF!</f>
        <v>#REF!</v>
      </c>
      <c r="E88" t="e">
        <f>#REF!</f>
        <v>#REF!</v>
      </c>
      <c r="F88" t="e">
        <f>#REF!</f>
        <v>#REF!</v>
      </c>
      <c r="G88" t="e">
        <f>#REF!</f>
        <v>#REF!</v>
      </c>
      <c r="H88" t="e">
        <f>#REF!</f>
        <v>#REF!</v>
      </c>
    </row>
    <row r="89" spans="1:8">
      <c r="A89" t="e">
        <f>#REF!</f>
        <v>#REF!</v>
      </c>
      <c r="B89" t="e">
        <f>#REF!</f>
        <v>#REF!</v>
      </c>
      <c r="C89" t="e">
        <f>#REF!</f>
        <v>#REF!</v>
      </c>
      <c r="D89" t="e">
        <f>#REF!</f>
        <v>#REF!</v>
      </c>
      <c r="E89" t="e">
        <f>#REF!</f>
        <v>#REF!</v>
      </c>
      <c r="F89" t="e">
        <f>#REF!</f>
        <v>#REF!</v>
      </c>
      <c r="G89" t="e">
        <f>#REF!</f>
        <v>#REF!</v>
      </c>
      <c r="H89" t="e">
        <f>#REF!</f>
        <v>#REF!</v>
      </c>
    </row>
    <row r="90" spans="1:8">
      <c r="A90" t="e">
        <f>#REF!</f>
        <v>#REF!</v>
      </c>
      <c r="B90" t="e">
        <f>#REF!</f>
        <v>#REF!</v>
      </c>
      <c r="C90" t="e">
        <f>#REF!</f>
        <v>#REF!</v>
      </c>
      <c r="D90" t="e">
        <f>#REF!</f>
        <v>#REF!</v>
      </c>
      <c r="E90" t="e">
        <f>#REF!</f>
        <v>#REF!</v>
      </c>
      <c r="F90" t="e">
        <f>#REF!</f>
        <v>#REF!</v>
      </c>
      <c r="G90" t="e">
        <f>#REF!</f>
        <v>#REF!</v>
      </c>
      <c r="H90" t="e">
        <f>#REF!</f>
        <v>#REF!</v>
      </c>
    </row>
    <row r="91" spans="1:8">
      <c r="A91" t="e">
        <f>#REF!</f>
        <v>#REF!</v>
      </c>
      <c r="B91" t="e">
        <f>#REF!</f>
        <v>#REF!</v>
      </c>
      <c r="C91" t="e">
        <f>#REF!</f>
        <v>#REF!</v>
      </c>
      <c r="D91" t="e">
        <f>#REF!</f>
        <v>#REF!</v>
      </c>
      <c r="E91" t="e">
        <f>#REF!</f>
        <v>#REF!</v>
      </c>
      <c r="F91" t="e">
        <f>#REF!</f>
        <v>#REF!</v>
      </c>
      <c r="G91" t="e">
        <f>#REF!</f>
        <v>#REF!</v>
      </c>
      <c r="H91" t="e">
        <f>#REF!</f>
        <v>#REF!</v>
      </c>
    </row>
    <row r="92" spans="1:8">
      <c r="A92" t="e">
        <f>#REF!</f>
        <v>#REF!</v>
      </c>
      <c r="B92" t="e">
        <f>#REF!</f>
        <v>#REF!</v>
      </c>
      <c r="C92" t="e">
        <f>#REF!</f>
        <v>#REF!</v>
      </c>
      <c r="D92" t="e">
        <f>#REF!</f>
        <v>#REF!</v>
      </c>
      <c r="E92" t="e">
        <f>#REF!</f>
        <v>#REF!</v>
      </c>
      <c r="F92" t="e">
        <f>#REF!</f>
        <v>#REF!</v>
      </c>
      <c r="G92" t="e">
        <f>#REF!</f>
        <v>#REF!</v>
      </c>
      <c r="H92" t="e">
        <f>#REF!</f>
        <v>#REF!</v>
      </c>
    </row>
    <row r="93" spans="1:8">
      <c r="A93" t="e">
        <f>#REF!</f>
        <v>#REF!</v>
      </c>
      <c r="B93" t="e">
        <f>#REF!</f>
        <v>#REF!</v>
      </c>
      <c r="C93" t="e">
        <f>#REF!</f>
        <v>#REF!</v>
      </c>
      <c r="D93" t="e">
        <f>#REF!</f>
        <v>#REF!</v>
      </c>
      <c r="E93" t="e">
        <f>#REF!</f>
        <v>#REF!</v>
      </c>
      <c r="F93" t="e">
        <f>#REF!</f>
        <v>#REF!</v>
      </c>
      <c r="G93" t="e">
        <f>#REF!</f>
        <v>#REF!</v>
      </c>
      <c r="H93" t="e">
        <f>#REF!</f>
        <v>#REF!</v>
      </c>
    </row>
    <row r="94" spans="1:8">
      <c r="A94" t="e">
        <f>#REF!</f>
        <v>#REF!</v>
      </c>
      <c r="B94" t="e">
        <f>#REF!</f>
        <v>#REF!</v>
      </c>
      <c r="C94" t="e">
        <f>#REF!</f>
        <v>#REF!</v>
      </c>
      <c r="D94" t="e">
        <f>#REF!</f>
        <v>#REF!</v>
      </c>
      <c r="E94" t="e">
        <f>#REF!</f>
        <v>#REF!</v>
      </c>
      <c r="F94" t="e">
        <f>#REF!</f>
        <v>#REF!</v>
      </c>
      <c r="G94" t="e">
        <f>#REF!</f>
        <v>#REF!</v>
      </c>
      <c r="H94" t="e">
        <f>#REF!</f>
        <v>#REF!</v>
      </c>
    </row>
    <row r="95" spans="1:8">
      <c r="A95" t="e">
        <f>#REF!</f>
        <v>#REF!</v>
      </c>
      <c r="B95" t="e">
        <f>#REF!</f>
        <v>#REF!</v>
      </c>
      <c r="C95" t="e">
        <f>#REF!</f>
        <v>#REF!</v>
      </c>
      <c r="D95" t="e">
        <f>#REF!</f>
        <v>#REF!</v>
      </c>
      <c r="E95" t="e">
        <f>#REF!</f>
        <v>#REF!</v>
      </c>
      <c r="F95" t="e">
        <f>#REF!</f>
        <v>#REF!</v>
      </c>
      <c r="G95" t="e">
        <f>#REF!</f>
        <v>#REF!</v>
      </c>
      <c r="H95" t="e">
        <f>#REF!</f>
        <v>#REF!</v>
      </c>
    </row>
    <row r="96" spans="1:8">
      <c r="A96" t="e">
        <f>#REF!</f>
        <v>#REF!</v>
      </c>
      <c r="B96" t="e">
        <f>#REF!</f>
        <v>#REF!</v>
      </c>
      <c r="C96" t="e">
        <f>#REF!</f>
        <v>#REF!</v>
      </c>
      <c r="D96" t="e">
        <f>#REF!</f>
        <v>#REF!</v>
      </c>
      <c r="E96" t="e">
        <f>#REF!</f>
        <v>#REF!</v>
      </c>
      <c r="F96" t="e">
        <f>#REF!</f>
        <v>#REF!</v>
      </c>
      <c r="G96" t="e">
        <f>#REF!</f>
        <v>#REF!</v>
      </c>
      <c r="H96" t="e">
        <f>#REF!</f>
        <v>#REF!</v>
      </c>
    </row>
    <row r="97" spans="1:8">
      <c r="A97" t="e">
        <f>#REF!</f>
        <v>#REF!</v>
      </c>
      <c r="B97" t="e">
        <f>#REF!</f>
        <v>#REF!</v>
      </c>
      <c r="C97" t="e">
        <f>#REF!</f>
        <v>#REF!</v>
      </c>
      <c r="D97" t="e">
        <f>#REF!</f>
        <v>#REF!</v>
      </c>
      <c r="E97" t="e">
        <f>#REF!</f>
        <v>#REF!</v>
      </c>
      <c r="F97" t="e">
        <f>#REF!</f>
        <v>#REF!</v>
      </c>
      <c r="G97" t="e">
        <f>#REF!</f>
        <v>#REF!</v>
      </c>
      <c r="H97" t="e">
        <f>#REF!</f>
        <v>#REF!</v>
      </c>
    </row>
    <row r="98" spans="1:8">
      <c r="A98" t="e">
        <f>#REF!</f>
        <v>#REF!</v>
      </c>
      <c r="B98" t="e">
        <f>#REF!</f>
        <v>#REF!</v>
      </c>
      <c r="C98" t="e">
        <f>#REF!</f>
        <v>#REF!</v>
      </c>
      <c r="D98" t="e">
        <f>#REF!</f>
        <v>#REF!</v>
      </c>
      <c r="E98" t="e">
        <f>#REF!</f>
        <v>#REF!</v>
      </c>
      <c r="F98" t="e">
        <f>#REF!</f>
        <v>#REF!</v>
      </c>
      <c r="G98" t="e">
        <f>#REF!</f>
        <v>#REF!</v>
      </c>
      <c r="H98" t="e">
        <f>#REF!</f>
        <v>#REF!</v>
      </c>
    </row>
    <row r="99" spans="1:8">
      <c r="A99" t="e">
        <f>#REF!</f>
        <v>#REF!</v>
      </c>
      <c r="B99" t="e">
        <f>#REF!</f>
        <v>#REF!</v>
      </c>
      <c r="C99" t="e">
        <f>#REF!</f>
        <v>#REF!</v>
      </c>
      <c r="D99" t="e">
        <f>#REF!</f>
        <v>#REF!</v>
      </c>
      <c r="E99" t="e">
        <f>#REF!</f>
        <v>#REF!</v>
      </c>
      <c r="F99" t="e">
        <f>#REF!</f>
        <v>#REF!</v>
      </c>
      <c r="G99" t="e">
        <f>#REF!</f>
        <v>#REF!</v>
      </c>
      <c r="H99" t="e">
        <f>#REF!</f>
        <v>#REF!</v>
      </c>
    </row>
    <row r="100" spans="1:8">
      <c r="A100" t="e">
        <f>#REF!</f>
        <v>#REF!</v>
      </c>
      <c r="B100" t="e">
        <f>#REF!</f>
        <v>#REF!</v>
      </c>
      <c r="C100" t="e">
        <f>#REF!</f>
        <v>#REF!</v>
      </c>
      <c r="D100" t="e">
        <f>#REF!</f>
        <v>#REF!</v>
      </c>
      <c r="E100" t="e">
        <f>#REF!</f>
        <v>#REF!</v>
      </c>
      <c r="F100" t="e">
        <f>#REF!</f>
        <v>#REF!</v>
      </c>
      <c r="G100" t="e">
        <f>#REF!</f>
        <v>#REF!</v>
      </c>
      <c r="H100" t="e">
        <f>#REF!</f>
        <v>#REF!</v>
      </c>
    </row>
    <row r="101" spans="1:8">
      <c r="A101" t="e">
        <f>#REF!</f>
        <v>#REF!</v>
      </c>
      <c r="B101" t="e">
        <f>#REF!</f>
        <v>#REF!</v>
      </c>
      <c r="C101" t="e">
        <f>#REF!</f>
        <v>#REF!</v>
      </c>
      <c r="D101" t="e">
        <f>#REF!</f>
        <v>#REF!</v>
      </c>
      <c r="E101" t="e">
        <f>#REF!</f>
        <v>#REF!</v>
      </c>
      <c r="F101" t="e">
        <f>#REF!</f>
        <v>#REF!</v>
      </c>
      <c r="G101" t="e">
        <f>#REF!</f>
        <v>#REF!</v>
      </c>
      <c r="H101" t="e">
        <f>#REF!</f>
        <v>#REF!</v>
      </c>
    </row>
    <row r="102" spans="1:8">
      <c r="A102" t="e">
        <f>#REF!</f>
        <v>#REF!</v>
      </c>
      <c r="B102" t="e">
        <f>#REF!</f>
        <v>#REF!</v>
      </c>
      <c r="C102" t="e">
        <f>#REF!</f>
        <v>#REF!</v>
      </c>
      <c r="D102" t="e">
        <f>#REF!</f>
        <v>#REF!</v>
      </c>
      <c r="E102" t="e">
        <f>#REF!</f>
        <v>#REF!</v>
      </c>
      <c r="F102" t="e">
        <f>#REF!</f>
        <v>#REF!</v>
      </c>
      <c r="G102" t="e">
        <f>#REF!</f>
        <v>#REF!</v>
      </c>
      <c r="H102" t="e">
        <f>#REF!</f>
        <v>#REF!</v>
      </c>
    </row>
    <row r="103" spans="1:8">
      <c r="A103" t="e">
        <f>#REF!</f>
        <v>#REF!</v>
      </c>
      <c r="B103" t="e">
        <f>#REF!</f>
        <v>#REF!</v>
      </c>
      <c r="C103" t="e">
        <f>#REF!</f>
        <v>#REF!</v>
      </c>
      <c r="D103" t="e">
        <f>#REF!</f>
        <v>#REF!</v>
      </c>
      <c r="E103" t="e">
        <f>#REF!</f>
        <v>#REF!</v>
      </c>
      <c r="F103" t="e">
        <f>#REF!</f>
        <v>#REF!</v>
      </c>
      <c r="G103" t="e">
        <f>#REF!</f>
        <v>#REF!</v>
      </c>
      <c r="H103" t="e">
        <f>#REF!</f>
        <v>#REF!</v>
      </c>
    </row>
    <row r="104" spans="1:8">
      <c r="A104" t="e">
        <f>#REF!</f>
        <v>#REF!</v>
      </c>
      <c r="B104" t="e">
        <f>#REF!</f>
        <v>#REF!</v>
      </c>
      <c r="C104" t="e">
        <f>#REF!</f>
        <v>#REF!</v>
      </c>
      <c r="D104" t="e">
        <f>#REF!</f>
        <v>#REF!</v>
      </c>
      <c r="E104" t="e">
        <f>#REF!</f>
        <v>#REF!</v>
      </c>
      <c r="F104" t="e">
        <f>#REF!</f>
        <v>#REF!</v>
      </c>
      <c r="G104" t="e">
        <f>#REF!</f>
        <v>#REF!</v>
      </c>
      <c r="H104" t="e">
        <f>#REF!</f>
        <v>#REF!</v>
      </c>
    </row>
    <row r="105" spans="1:8">
      <c r="A105" t="e">
        <f>#REF!</f>
        <v>#REF!</v>
      </c>
      <c r="B105" t="e">
        <f>#REF!</f>
        <v>#REF!</v>
      </c>
      <c r="C105" t="e">
        <f>#REF!</f>
        <v>#REF!</v>
      </c>
      <c r="D105" t="e">
        <f>#REF!</f>
        <v>#REF!</v>
      </c>
      <c r="E105" t="e">
        <f>#REF!</f>
        <v>#REF!</v>
      </c>
      <c r="F105" t="e">
        <f>#REF!</f>
        <v>#REF!</v>
      </c>
      <c r="G105" t="e">
        <f>#REF!</f>
        <v>#REF!</v>
      </c>
      <c r="H105" t="e">
        <f>#REF!</f>
        <v>#REF!</v>
      </c>
    </row>
    <row r="106" spans="1:8">
      <c r="A106" t="e">
        <f>#REF!</f>
        <v>#REF!</v>
      </c>
      <c r="B106" t="e">
        <f>#REF!</f>
        <v>#REF!</v>
      </c>
      <c r="C106" t="e">
        <f>#REF!</f>
        <v>#REF!</v>
      </c>
      <c r="D106" t="e">
        <f>#REF!</f>
        <v>#REF!</v>
      </c>
      <c r="E106" t="e">
        <f>#REF!</f>
        <v>#REF!</v>
      </c>
      <c r="F106" t="e">
        <f>#REF!</f>
        <v>#REF!</v>
      </c>
      <c r="G106" t="e">
        <f>#REF!</f>
        <v>#REF!</v>
      </c>
      <c r="H106" t="e">
        <f>#REF!</f>
        <v>#REF!</v>
      </c>
    </row>
    <row r="107" spans="1:8">
      <c r="A107" t="e">
        <f>#REF!</f>
        <v>#REF!</v>
      </c>
      <c r="B107" t="e">
        <f>#REF!</f>
        <v>#REF!</v>
      </c>
      <c r="C107" t="e">
        <f>#REF!</f>
        <v>#REF!</v>
      </c>
      <c r="D107" t="e">
        <f>#REF!</f>
        <v>#REF!</v>
      </c>
      <c r="E107" t="e">
        <f>#REF!</f>
        <v>#REF!</v>
      </c>
      <c r="F107" t="e">
        <f>#REF!</f>
        <v>#REF!</v>
      </c>
      <c r="G107" t="e">
        <f>#REF!</f>
        <v>#REF!</v>
      </c>
      <c r="H107" t="e">
        <f>#REF!</f>
        <v>#REF!</v>
      </c>
    </row>
    <row r="108" spans="1:8">
      <c r="A108" t="e">
        <f>#REF!</f>
        <v>#REF!</v>
      </c>
      <c r="B108" t="e">
        <f>#REF!</f>
        <v>#REF!</v>
      </c>
      <c r="C108" t="e">
        <f>#REF!</f>
        <v>#REF!</v>
      </c>
      <c r="D108" t="e">
        <f>#REF!</f>
        <v>#REF!</v>
      </c>
      <c r="E108" t="e">
        <f>#REF!</f>
        <v>#REF!</v>
      </c>
      <c r="F108" t="e">
        <f>#REF!</f>
        <v>#REF!</v>
      </c>
      <c r="G108" t="e">
        <f>#REF!</f>
        <v>#REF!</v>
      </c>
      <c r="H108" t="e">
        <f>#REF!</f>
        <v>#REF!</v>
      </c>
    </row>
    <row r="109" spans="1:8">
      <c r="A109" t="e">
        <f>#REF!</f>
        <v>#REF!</v>
      </c>
      <c r="B109" t="e">
        <f>#REF!</f>
        <v>#REF!</v>
      </c>
      <c r="C109" t="e">
        <f>#REF!</f>
        <v>#REF!</v>
      </c>
      <c r="D109" t="e">
        <f>#REF!</f>
        <v>#REF!</v>
      </c>
      <c r="E109" t="e">
        <f>#REF!</f>
        <v>#REF!</v>
      </c>
      <c r="F109" t="e">
        <f>#REF!</f>
        <v>#REF!</v>
      </c>
      <c r="G109" t="e">
        <f>#REF!</f>
        <v>#REF!</v>
      </c>
      <c r="H109" t="e">
        <f>#REF!</f>
        <v>#REF!</v>
      </c>
    </row>
    <row r="110" spans="1:8">
      <c r="A110" t="e">
        <f>#REF!</f>
        <v>#REF!</v>
      </c>
      <c r="B110" t="e">
        <f>#REF!</f>
        <v>#REF!</v>
      </c>
      <c r="C110" t="e">
        <f>#REF!</f>
        <v>#REF!</v>
      </c>
      <c r="D110" t="e">
        <f>#REF!</f>
        <v>#REF!</v>
      </c>
      <c r="E110" t="e">
        <f>#REF!</f>
        <v>#REF!</v>
      </c>
      <c r="F110" t="e">
        <f>#REF!</f>
        <v>#REF!</v>
      </c>
      <c r="G110" t="e">
        <f>#REF!</f>
        <v>#REF!</v>
      </c>
      <c r="H110" t="e">
        <f>#REF!</f>
        <v>#REF!</v>
      </c>
    </row>
    <row r="111" spans="1:8">
      <c r="A111" t="e">
        <f>#REF!</f>
        <v>#REF!</v>
      </c>
      <c r="B111" t="e">
        <f>#REF!</f>
        <v>#REF!</v>
      </c>
      <c r="C111" t="e">
        <f>#REF!</f>
        <v>#REF!</v>
      </c>
      <c r="D111" t="e">
        <f>#REF!</f>
        <v>#REF!</v>
      </c>
      <c r="E111" t="e">
        <f>#REF!</f>
        <v>#REF!</v>
      </c>
      <c r="F111" t="e">
        <f>#REF!</f>
        <v>#REF!</v>
      </c>
      <c r="G111" t="e">
        <f>#REF!</f>
        <v>#REF!</v>
      </c>
      <c r="H111" t="e">
        <f>#REF!</f>
        <v>#REF!</v>
      </c>
    </row>
    <row r="112" spans="1:8">
      <c r="A112" t="e">
        <f>#REF!</f>
        <v>#REF!</v>
      </c>
      <c r="B112" t="e">
        <f>#REF!</f>
        <v>#REF!</v>
      </c>
      <c r="C112" t="e">
        <f>#REF!</f>
        <v>#REF!</v>
      </c>
      <c r="D112" t="e">
        <f>#REF!</f>
        <v>#REF!</v>
      </c>
      <c r="E112" t="e">
        <f>#REF!</f>
        <v>#REF!</v>
      </c>
      <c r="F112" t="e">
        <f>#REF!</f>
        <v>#REF!</v>
      </c>
      <c r="G112" t="e">
        <f>#REF!</f>
        <v>#REF!</v>
      </c>
      <c r="H112" t="e">
        <f>#REF!</f>
        <v>#REF!</v>
      </c>
    </row>
    <row r="113" spans="1:8">
      <c r="A113" t="e">
        <f>#REF!</f>
        <v>#REF!</v>
      </c>
      <c r="B113" t="e">
        <f>#REF!</f>
        <v>#REF!</v>
      </c>
      <c r="C113" t="e">
        <f>#REF!</f>
        <v>#REF!</v>
      </c>
      <c r="D113" t="e">
        <f>#REF!</f>
        <v>#REF!</v>
      </c>
      <c r="E113" t="e">
        <f>#REF!</f>
        <v>#REF!</v>
      </c>
      <c r="F113" t="e">
        <f>#REF!</f>
        <v>#REF!</v>
      </c>
      <c r="G113" t="e">
        <f>#REF!</f>
        <v>#REF!</v>
      </c>
      <c r="H113" t="e">
        <f>#REF!</f>
        <v>#REF!</v>
      </c>
    </row>
    <row r="114" spans="1:8">
      <c r="A114" t="e">
        <f>#REF!</f>
        <v>#REF!</v>
      </c>
      <c r="B114" t="e">
        <f>#REF!</f>
        <v>#REF!</v>
      </c>
      <c r="C114" t="e">
        <f>#REF!</f>
        <v>#REF!</v>
      </c>
      <c r="D114" t="e">
        <f>#REF!</f>
        <v>#REF!</v>
      </c>
      <c r="E114" t="e">
        <f>#REF!</f>
        <v>#REF!</v>
      </c>
      <c r="F114" t="e">
        <f>#REF!</f>
        <v>#REF!</v>
      </c>
      <c r="G114" t="e">
        <f>#REF!</f>
        <v>#REF!</v>
      </c>
      <c r="H114" t="e">
        <f>#REF!</f>
        <v>#REF!</v>
      </c>
    </row>
    <row r="115" spans="1:8">
      <c r="A115" t="e">
        <f>#REF!</f>
        <v>#REF!</v>
      </c>
      <c r="B115" t="e">
        <f>#REF!</f>
        <v>#REF!</v>
      </c>
      <c r="C115" t="e">
        <f>#REF!</f>
        <v>#REF!</v>
      </c>
      <c r="D115" t="e">
        <f>#REF!</f>
        <v>#REF!</v>
      </c>
      <c r="E115" t="e">
        <f>#REF!</f>
        <v>#REF!</v>
      </c>
      <c r="F115" t="e">
        <f>#REF!</f>
        <v>#REF!</v>
      </c>
      <c r="G115" t="e">
        <f>#REF!</f>
        <v>#REF!</v>
      </c>
      <c r="H115" t="e">
        <f>#REF!</f>
        <v>#REF!</v>
      </c>
    </row>
    <row r="116" spans="1:8">
      <c r="A116" t="e">
        <f>#REF!</f>
        <v>#REF!</v>
      </c>
      <c r="B116" t="e">
        <f>#REF!</f>
        <v>#REF!</v>
      </c>
      <c r="C116" t="e">
        <f>#REF!</f>
        <v>#REF!</v>
      </c>
      <c r="D116" t="e">
        <f>#REF!</f>
        <v>#REF!</v>
      </c>
      <c r="E116" t="e">
        <f>#REF!</f>
        <v>#REF!</v>
      </c>
      <c r="F116" t="e">
        <f>#REF!</f>
        <v>#REF!</v>
      </c>
      <c r="G116" t="e">
        <f>#REF!</f>
        <v>#REF!</v>
      </c>
      <c r="H116" t="e">
        <f>#REF!</f>
        <v>#REF!</v>
      </c>
    </row>
    <row r="117" spans="1:8">
      <c r="A117" t="e">
        <f>#REF!</f>
        <v>#REF!</v>
      </c>
      <c r="B117" t="e">
        <f>#REF!</f>
        <v>#REF!</v>
      </c>
      <c r="C117" t="e">
        <f>#REF!</f>
        <v>#REF!</v>
      </c>
      <c r="D117" t="e">
        <f>#REF!</f>
        <v>#REF!</v>
      </c>
      <c r="E117" t="e">
        <f>#REF!</f>
        <v>#REF!</v>
      </c>
      <c r="F117" t="e">
        <f>#REF!</f>
        <v>#REF!</v>
      </c>
      <c r="G117" t="e">
        <f>#REF!</f>
        <v>#REF!</v>
      </c>
      <c r="H117" t="e">
        <f>#REF!</f>
        <v>#REF!</v>
      </c>
    </row>
    <row r="118" spans="1:8">
      <c r="A118" t="e">
        <f>#REF!</f>
        <v>#REF!</v>
      </c>
      <c r="B118" t="e">
        <f>#REF!</f>
        <v>#REF!</v>
      </c>
      <c r="C118" t="e">
        <f>#REF!</f>
        <v>#REF!</v>
      </c>
      <c r="D118" t="e">
        <f>#REF!</f>
        <v>#REF!</v>
      </c>
      <c r="E118" t="e">
        <f>#REF!</f>
        <v>#REF!</v>
      </c>
      <c r="F118" t="e">
        <f>#REF!</f>
        <v>#REF!</v>
      </c>
      <c r="G118" t="e">
        <f>#REF!</f>
        <v>#REF!</v>
      </c>
      <c r="H118" t="e">
        <f>#REF!</f>
        <v>#REF!</v>
      </c>
    </row>
    <row r="119" spans="1:8">
      <c r="A119" t="e">
        <f>#REF!</f>
        <v>#REF!</v>
      </c>
      <c r="B119" t="e">
        <f>#REF!</f>
        <v>#REF!</v>
      </c>
      <c r="C119" t="e">
        <f>#REF!</f>
        <v>#REF!</v>
      </c>
      <c r="D119" t="e">
        <f>#REF!</f>
        <v>#REF!</v>
      </c>
      <c r="E119" t="e">
        <f>#REF!</f>
        <v>#REF!</v>
      </c>
      <c r="F119" t="e">
        <f>#REF!</f>
        <v>#REF!</v>
      </c>
      <c r="G119" t="e">
        <f>#REF!</f>
        <v>#REF!</v>
      </c>
      <c r="H119" t="e">
        <f>#REF!</f>
        <v>#REF!</v>
      </c>
    </row>
    <row r="120" spans="1:8">
      <c r="A120" t="e">
        <f>#REF!</f>
        <v>#REF!</v>
      </c>
      <c r="B120" t="e">
        <f>#REF!</f>
        <v>#REF!</v>
      </c>
      <c r="C120" t="e">
        <f>#REF!</f>
        <v>#REF!</v>
      </c>
      <c r="D120" t="e">
        <f>#REF!</f>
        <v>#REF!</v>
      </c>
      <c r="E120" t="e">
        <f>#REF!</f>
        <v>#REF!</v>
      </c>
      <c r="F120" t="e">
        <f>#REF!</f>
        <v>#REF!</v>
      </c>
      <c r="G120" t="e">
        <f>#REF!</f>
        <v>#REF!</v>
      </c>
      <c r="H120" t="e">
        <f>#REF!</f>
        <v>#REF!</v>
      </c>
    </row>
    <row r="121" spans="1:8">
      <c r="A121" t="e">
        <f>#REF!</f>
        <v>#REF!</v>
      </c>
      <c r="B121" t="e">
        <f>#REF!</f>
        <v>#REF!</v>
      </c>
      <c r="C121" t="e">
        <f>#REF!</f>
        <v>#REF!</v>
      </c>
      <c r="D121" t="e">
        <f>#REF!</f>
        <v>#REF!</v>
      </c>
      <c r="E121" t="e">
        <f>#REF!</f>
        <v>#REF!</v>
      </c>
      <c r="F121" t="e">
        <f>#REF!</f>
        <v>#REF!</v>
      </c>
      <c r="G121" t="e">
        <f>#REF!</f>
        <v>#REF!</v>
      </c>
      <c r="H121" t="e">
        <f>#REF!</f>
        <v>#REF!</v>
      </c>
    </row>
    <row r="122" spans="1:8">
      <c r="A122" t="e">
        <f>#REF!</f>
        <v>#REF!</v>
      </c>
      <c r="B122" t="e">
        <f>#REF!</f>
        <v>#REF!</v>
      </c>
      <c r="C122" t="e">
        <f>#REF!</f>
        <v>#REF!</v>
      </c>
      <c r="D122" t="e">
        <f>#REF!</f>
        <v>#REF!</v>
      </c>
      <c r="E122" t="e">
        <f>#REF!</f>
        <v>#REF!</v>
      </c>
      <c r="F122" t="e">
        <f>#REF!</f>
        <v>#REF!</v>
      </c>
      <c r="G122" t="e">
        <f>#REF!</f>
        <v>#REF!</v>
      </c>
      <c r="H122" t="e">
        <f>#REF!</f>
        <v>#REF!</v>
      </c>
    </row>
    <row r="123" spans="1:8">
      <c r="A123" t="e">
        <f>#REF!</f>
        <v>#REF!</v>
      </c>
      <c r="B123" t="e">
        <f>#REF!</f>
        <v>#REF!</v>
      </c>
      <c r="C123" t="e">
        <f>#REF!</f>
        <v>#REF!</v>
      </c>
      <c r="D123" t="e">
        <f>#REF!</f>
        <v>#REF!</v>
      </c>
      <c r="E123" t="e">
        <f>#REF!</f>
        <v>#REF!</v>
      </c>
      <c r="F123" t="e">
        <f>#REF!</f>
        <v>#REF!</v>
      </c>
      <c r="G123" t="e">
        <f>#REF!</f>
        <v>#REF!</v>
      </c>
      <c r="H123" t="e">
        <f>#REF!</f>
        <v>#REF!</v>
      </c>
    </row>
    <row r="124" spans="1:8">
      <c r="A124" t="e">
        <f>#REF!</f>
        <v>#REF!</v>
      </c>
      <c r="B124" t="e">
        <f>#REF!</f>
        <v>#REF!</v>
      </c>
      <c r="C124" t="e">
        <f>#REF!</f>
        <v>#REF!</v>
      </c>
      <c r="D124" t="e">
        <f>#REF!</f>
        <v>#REF!</v>
      </c>
      <c r="E124" t="e">
        <f>#REF!</f>
        <v>#REF!</v>
      </c>
      <c r="F124" t="e">
        <f>#REF!</f>
        <v>#REF!</v>
      </c>
      <c r="G124" t="e">
        <f>#REF!</f>
        <v>#REF!</v>
      </c>
      <c r="H124" t="e">
        <f>#REF!</f>
        <v>#REF!</v>
      </c>
    </row>
    <row r="125" spans="1:8">
      <c r="A125" t="e">
        <f>#REF!</f>
        <v>#REF!</v>
      </c>
      <c r="B125" t="e">
        <f>#REF!</f>
        <v>#REF!</v>
      </c>
      <c r="C125" t="e">
        <f>#REF!</f>
        <v>#REF!</v>
      </c>
      <c r="D125" t="e">
        <f>#REF!</f>
        <v>#REF!</v>
      </c>
      <c r="E125" t="e">
        <f>#REF!</f>
        <v>#REF!</v>
      </c>
      <c r="F125" t="e">
        <f>#REF!</f>
        <v>#REF!</v>
      </c>
      <c r="G125" t="e">
        <f>#REF!</f>
        <v>#REF!</v>
      </c>
      <c r="H125" t="e">
        <f>#REF!</f>
        <v>#REF!</v>
      </c>
    </row>
    <row r="126" spans="1:8">
      <c r="A126" t="e">
        <f>#REF!</f>
        <v>#REF!</v>
      </c>
      <c r="B126" t="e">
        <f>#REF!</f>
        <v>#REF!</v>
      </c>
      <c r="C126" t="e">
        <f>#REF!</f>
        <v>#REF!</v>
      </c>
      <c r="D126" t="e">
        <f>#REF!</f>
        <v>#REF!</v>
      </c>
      <c r="E126" t="e">
        <f>#REF!</f>
        <v>#REF!</v>
      </c>
      <c r="F126" t="e">
        <f>#REF!</f>
        <v>#REF!</v>
      </c>
      <c r="G126" t="e">
        <f>#REF!</f>
        <v>#REF!</v>
      </c>
      <c r="H126" t="e">
        <f>#REF!</f>
        <v>#REF!</v>
      </c>
    </row>
    <row r="127" spans="1:8">
      <c r="A127" t="e">
        <f>#REF!</f>
        <v>#REF!</v>
      </c>
      <c r="B127" t="e">
        <f>#REF!</f>
        <v>#REF!</v>
      </c>
      <c r="C127" t="e">
        <f>#REF!</f>
        <v>#REF!</v>
      </c>
      <c r="D127" t="e">
        <f>#REF!</f>
        <v>#REF!</v>
      </c>
      <c r="E127" t="e">
        <f>#REF!</f>
        <v>#REF!</v>
      </c>
      <c r="F127" t="e">
        <f>#REF!</f>
        <v>#REF!</v>
      </c>
      <c r="G127" t="e">
        <f>#REF!</f>
        <v>#REF!</v>
      </c>
      <c r="H127" t="e">
        <f>#REF!</f>
        <v>#REF!</v>
      </c>
    </row>
    <row r="128" spans="1:8">
      <c r="A128" t="e">
        <f>#REF!</f>
        <v>#REF!</v>
      </c>
      <c r="B128" t="e">
        <f>#REF!</f>
        <v>#REF!</v>
      </c>
      <c r="C128" t="e">
        <f>#REF!</f>
        <v>#REF!</v>
      </c>
      <c r="D128" t="e">
        <f>#REF!</f>
        <v>#REF!</v>
      </c>
      <c r="E128" t="e">
        <f>#REF!</f>
        <v>#REF!</v>
      </c>
      <c r="F128" t="e">
        <f>#REF!</f>
        <v>#REF!</v>
      </c>
      <c r="G128" t="e">
        <f>#REF!</f>
        <v>#REF!</v>
      </c>
      <c r="H128" t="e">
        <f>#REF!</f>
        <v>#REF!</v>
      </c>
    </row>
    <row r="129" spans="1:8">
      <c r="A129" t="e">
        <f>#REF!</f>
        <v>#REF!</v>
      </c>
      <c r="B129" t="e">
        <f>#REF!</f>
        <v>#REF!</v>
      </c>
      <c r="C129" t="e">
        <f>#REF!</f>
        <v>#REF!</v>
      </c>
      <c r="D129" t="e">
        <f>#REF!</f>
        <v>#REF!</v>
      </c>
      <c r="E129" t="e">
        <f>#REF!</f>
        <v>#REF!</v>
      </c>
      <c r="F129" t="e">
        <f>#REF!</f>
        <v>#REF!</v>
      </c>
      <c r="G129" t="e">
        <f>#REF!</f>
        <v>#REF!</v>
      </c>
      <c r="H129" t="e">
        <f>#REF!</f>
        <v>#REF!</v>
      </c>
    </row>
    <row r="130" spans="1:8">
      <c r="A130" t="e">
        <f>#REF!</f>
        <v>#REF!</v>
      </c>
      <c r="B130" t="e">
        <f>#REF!</f>
        <v>#REF!</v>
      </c>
      <c r="C130" t="e">
        <f>#REF!</f>
        <v>#REF!</v>
      </c>
      <c r="D130" t="e">
        <f>#REF!</f>
        <v>#REF!</v>
      </c>
      <c r="E130" t="e">
        <f>#REF!</f>
        <v>#REF!</v>
      </c>
      <c r="F130" t="e">
        <f>#REF!</f>
        <v>#REF!</v>
      </c>
      <c r="G130" t="e">
        <f>#REF!</f>
        <v>#REF!</v>
      </c>
      <c r="H130" t="e">
        <f>#REF!</f>
        <v>#REF!</v>
      </c>
    </row>
    <row r="131" spans="1:8">
      <c r="A131" t="e">
        <f>#REF!</f>
        <v>#REF!</v>
      </c>
      <c r="B131" t="e">
        <f>#REF!</f>
        <v>#REF!</v>
      </c>
      <c r="C131" t="e">
        <f>#REF!</f>
        <v>#REF!</v>
      </c>
      <c r="D131" t="e">
        <f>#REF!</f>
        <v>#REF!</v>
      </c>
      <c r="E131" t="e">
        <f>#REF!</f>
        <v>#REF!</v>
      </c>
      <c r="F131" t="e">
        <f>#REF!</f>
        <v>#REF!</v>
      </c>
      <c r="G131" t="e">
        <f>#REF!</f>
        <v>#REF!</v>
      </c>
      <c r="H131" t="e">
        <f>#REF!</f>
        <v>#REF!</v>
      </c>
    </row>
    <row r="132" spans="1:8">
      <c r="A132" t="e">
        <f>#REF!</f>
        <v>#REF!</v>
      </c>
      <c r="B132" t="e">
        <f>#REF!</f>
        <v>#REF!</v>
      </c>
      <c r="C132" t="e">
        <f>#REF!</f>
        <v>#REF!</v>
      </c>
      <c r="D132" t="e">
        <f>#REF!</f>
        <v>#REF!</v>
      </c>
      <c r="E132" t="e">
        <f>#REF!</f>
        <v>#REF!</v>
      </c>
      <c r="F132" t="e">
        <f>#REF!</f>
        <v>#REF!</v>
      </c>
      <c r="G132" t="e">
        <f>#REF!</f>
        <v>#REF!</v>
      </c>
      <c r="H132" t="e">
        <f>#REF!</f>
        <v>#REF!</v>
      </c>
    </row>
    <row r="133" spans="1:8">
      <c r="A133" t="e">
        <f>#REF!</f>
        <v>#REF!</v>
      </c>
      <c r="B133" t="e">
        <f>#REF!</f>
        <v>#REF!</v>
      </c>
      <c r="C133" t="e">
        <f>#REF!</f>
        <v>#REF!</v>
      </c>
      <c r="D133" t="e">
        <f>#REF!</f>
        <v>#REF!</v>
      </c>
      <c r="E133" t="e">
        <f>#REF!</f>
        <v>#REF!</v>
      </c>
      <c r="F133" t="e">
        <f>#REF!</f>
        <v>#REF!</v>
      </c>
      <c r="G133" t="e">
        <f>#REF!</f>
        <v>#REF!</v>
      </c>
      <c r="H133" t="e">
        <f>#REF!</f>
        <v>#REF!</v>
      </c>
    </row>
    <row r="134" spans="1:8">
      <c r="A134" t="e">
        <f>#REF!</f>
        <v>#REF!</v>
      </c>
      <c r="B134" t="e">
        <f>#REF!</f>
        <v>#REF!</v>
      </c>
      <c r="C134" t="e">
        <f>#REF!</f>
        <v>#REF!</v>
      </c>
      <c r="D134" t="e">
        <f>#REF!</f>
        <v>#REF!</v>
      </c>
      <c r="E134" t="e">
        <f>#REF!</f>
        <v>#REF!</v>
      </c>
      <c r="F134" t="e">
        <f>#REF!</f>
        <v>#REF!</v>
      </c>
      <c r="G134" t="e">
        <f>#REF!</f>
        <v>#REF!</v>
      </c>
      <c r="H134" t="e">
        <f>#REF!</f>
        <v>#REF!</v>
      </c>
    </row>
    <row r="135" spans="1:8">
      <c r="A135" t="e">
        <f>#REF!</f>
        <v>#REF!</v>
      </c>
      <c r="B135" t="e">
        <f>#REF!</f>
        <v>#REF!</v>
      </c>
      <c r="C135" t="e">
        <f>#REF!</f>
        <v>#REF!</v>
      </c>
      <c r="D135" t="e">
        <f>#REF!</f>
        <v>#REF!</v>
      </c>
      <c r="E135" t="e">
        <f>#REF!</f>
        <v>#REF!</v>
      </c>
      <c r="F135" t="e">
        <f>#REF!</f>
        <v>#REF!</v>
      </c>
      <c r="G135" t="e">
        <f>#REF!</f>
        <v>#REF!</v>
      </c>
      <c r="H135" t="e">
        <f>#REF!</f>
        <v>#REF!</v>
      </c>
    </row>
    <row r="136" spans="1:8">
      <c r="A136" t="e">
        <f>#REF!</f>
        <v>#REF!</v>
      </c>
      <c r="B136" t="e">
        <f>#REF!</f>
        <v>#REF!</v>
      </c>
      <c r="C136" t="e">
        <f>#REF!</f>
        <v>#REF!</v>
      </c>
      <c r="D136" t="e">
        <f>#REF!</f>
        <v>#REF!</v>
      </c>
      <c r="E136" t="e">
        <f>#REF!</f>
        <v>#REF!</v>
      </c>
      <c r="F136" t="e">
        <f>#REF!</f>
        <v>#REF!</v>
      </c>
      <c r="G136" t="e">
        <f>#REF!</f>
        <v>#REF!</v>
      </c>
      <c r="H136" t="e">
        <f>#REF!</f>
        <v>#REF!</v>
      </c>
    </row>
    <row r="137" spans="1:8">
      <c r="A137" t="e">
        <f>#REF!</f>
        <v>#REF!</v>
      </c>
      <c r="B137" t="e">
        <f>#REF!</f>
        <v>#REF!</v>
      </c>
      <c r="C137" t="e">
        <f>#REF!</f>
        <v>#REF!</v>
      </c>
      <c r="D137" t="e">
        <f>#REF!</f>
        <v>#REF!</v>
      </c>
      <c r="E137" t="e">
        <f>#REF!</f>
        <v>#REF!</v>
      </c>
      <c r="F137" t="e">
        <f>#REF!</f>
        <v>#REF!</v>
      </c>
      <c r="G137" t="e">
        <f>#REF!</f>
        <v>#REF!</v>
      </c>
      <c r="H137" t="e">
        <f>#REF!</f>
        <v>#REF!</v>
      </c>
    </row>
    <row r="138" spans="1:8">
      <c r="A138" t="e">
        <f>#REF!</f>
        <v>#REF!</v>
      </c>
      <c r="B138" t="e">
        <f>#REF!</f>
        <v>#REF!</v>
      </c>
      <c r="C138" t="e">
        <f>#REF!</f>
        <v>#REF!</v>
      </c>
      <c r="D138" t="e">
        <f>#REF!</f>
        <v>#REF!</v>
      </c>
      <c r="E138" t="e">
        <f>#REF!</f>
        <v>#REF!</v>
      </c>
      <c r="F138" t="e">
        <f>#REF!</f>
        <v>#REF!</v>
      </c>
      <c r="G138" t="e">
        <f>#REF!</f>
        <v>#REF!</v>
      </c>
      <c r="H138" t="e">
        <f>#REF!</f>
        <v>#REF!</v>
      </c>
    </row>
    <row r="139" spans="1:8">
      <c r="A139" t="e">
        <f>#REF!</f>
        <v>#REF!</v>
      </c>
      <c r="B139" t="e">
        <f>#REF!</f>
        <v>#REF!</v>
      </c>
      <c r="C139" t="e">
        <f>#REF!</f>
        <v>#REF!</v>
      </c>
      <c r="D139" t="e">
        <f>#REF!</f>
        <v>#REF!</v>
      </c>
      <c r="E139" t="e">
        <f>#REF!</f>
        <v>#REF!</v>
      </c>
      <c r="F139" t="e">
        <f>#REF!</f>
        <v>#REF!</v>
      </c>
      <c r="G139" t="e">
        <f>#REF!</f>
        <v>#REF!</v>
      </c>
      <c r="H139" t="e">
        <f>#REF!</f>
        <v>#REF!</v>
      </c>
    </row>
    <row r="140" spans="1:8">
      <c r="A140" t="e">
        <f>#REF!</f>
        <v>#REF!</v>
      </c>
      <c r="B140" t="e">
        <f>#REF!</f>
        <v>#REF!</v>
      </c>
      <c r="C140" t="e">
        <f>#REF!</f>
        <v>#REF!</v>
      </c>
      <c r="D140" t="e">
        <f>#REF!</f>
        <v>#REF!</v>
      </c>
      <c r="E140" t="e">
        <f>#REF!</f>
        <v>#REF!</v>
      </c>
      <c r="F140" t="e">
        <f>#REF!</f>
        <v>#REF!</v>
      </c>
      <c r="G140" t="e">
        <f>#REF!</f>
        <v>#REF!</v>
      </c>
      <c r="H140" t="e">
        <f>#REF!</f>
        <v>#REF!</v>
      </c>
    </row>
    <row r="141" spans="1:8">
      <c r="A141" t="e">
        <f>#REF!</f>
        <v>#REF!</v>
      </c>
      <c r="B141" t="e">
        <f>#REF!</f>
        <v>#REF!</v>
      </c>
      <c r="C141" t="e">
        <f>#REF!</f>
        <v>#REF!</v>
      </c>
      <c r="D141" t="e">
        <f>#REF!</f>
        <v>#REF!</v>
      </c>
      <c r="E141" t="e">
        <f>#REF!</f>
        <v>#REF!</v>
      </c>
      <c r="F141" t="e">
        <f>#REF!</f>
        <v>#REF!</v>
      </c>
      <c r="G141" t="e">
        <f>#REF!</f>
        <v>#REF!</v>
      </c>
      <c r="H141" t="e">
        <f>#REF!</f>
        <v>#REF!</v>
      </c>
    </row>
    <row r="142" spans="1:8">
      <c r="A142" t="e">
        <f>#REF!</f>
        <v>#REF!</v>
      </c>
      <c r="B142" t="e">
        <f>#REF!</f>
        <v>#REF!</v>
      </c>
      <c r="C142" t="e">
        <f>#REF!</f>
        <v>#REF!</v>
      </c>
      <c r="D142" t="e">
        <f>#REF!</f>
        <v>#REF!</v>
      </c>
      <c r="E142" t="e">
        <f>#REF!</f>
        <v>#REF!</v>
      </c>
      <c r="F142" t="e">
        <f>#REF!</f>
        <v>#REF!</v>
      </c>
      <c r="G142" t="e">
        <f>#REF!</f>
        <v>#REF!</v>
      </c>
      <c r="H142" t="e">
        <f>#REF!</f>
        <v>#REF!</v>
      </c>
    </row>
    <row r="143" spans="1:8">
      <c r="A143" t="e">
        <f>#REF!</f>
        <v>#REF!</v>
      </c>
      <c r="B143" t="e">
        <f>#REF!</f>
        <v>#REF!</v>
      </c>
      <c r="C143" t="e">
        <f>#REF!</f>
        <v>#REF!</v>
      </c>
      <c r="D143" t="e">
        <f>#REF!</f>
        <v>#REF!</v>
      </c>
      <c r="E143" t="e">
        <f>#REF!</f>
        <v>#REF!</v>
      </c>
      <c r="F143" t="e">
        <f>#REF!</f>
        <v>#REF!</v>
      </c>
      <c r="G143" t="e">
        <f>#REF!</f>
        <v>#REF!</v>
      </c>
      <c r="H143" t="e">
        <f>#REF!</f>
        <v>#REF!</v>
      </c>
    </row>
    <row r="144" spans="1:8">
      <c r="A144" t="e">
        <f>#REF!</f>
        <v>#REF!</v>
      </c>
      <c r="B144" t="e">
        <f>#REF!</f>
        <v>#REF!</v>
      </c>
      <c r="C144" t="e">
        <f>#REF!</f>
        <v>#REF!</v>
      </c>
      <c r="D144" t="e">
        <f>#REF!</f>
        <v>#REF!</v>
      </c>
      <c r="E144" t="e">
        <f>#REF!</f>
        <v>#REF!</v>
      </c>
      <c r="F144" t="e">
        <f>#REF!</f>
        <v>#REF!</v>
      </c>
      <c r="G144" t="e">
        <f>#REF!</f>
        <v>#REF!</v>
      </c>
      <c r="H144" t="e">
        <f>#REF!</f>
        <v>#REF!</v>
      </c>
    </row>
    <row r="145" spans="1:8">
      <c r="A145" t="e">
        <f>#REF!</f>
        <v>#REF!</v>
      </c>
      <c r="B145" t="e">
        <f>#REF!</f>
        <v>#REF!</v>
      </c>
      <c r="C145" t="e">
        <f>#REF!</f>
        <v>#REF!</v>
      </c>
      <c r="D145" t="e">
        <f>#REF!</f>
        <v>#REF!</v>
      </c>
      <c r="E145" t="e">
        <f>#REF!</f>
        <v>#REF!</v>
      </c>
      <c r="F145" t="e">
        <f>#REF!</f>
        <v>#REF!</v>
      </c>
      <c r="G145" t="e">
        <f>#REF!</f>
        <v>#REF!</v>
      </c>
      <c r="H145" t="e">
        <f>#REF!</f>
        <v>#REF!</v>
      </c>
    </row>
    <row r="146" spans="1:8">
      <c r="A146" t="e">
        <f>#REF!</f>
        <v>#REF!</v>
      </c>
      <c r="B146" t="e">
        <f>#REF!</f>
        <v>#REF!</v>
      </c>
      <c r="C146" t="e">
        <f>#REF!</f>
        <v>#REF!</v>
      </c>
      <c r="D146" t="e">
        <f>#REF!</f>
        <v>#REF!</v>
      </c>
      <c r="E146" t="e">
        <f>#REF!</f>
        <v>#REF!</v>
      </c>
      <c r="F146" t="e">
        <f>#REF!</f>
        <v>#REF!</v>
      </c>
      <c r="G146" t="e">
        <f>#REF!</f>
        <v>#REF!</v>
      </c>
      <c r="H146" t="e">
        <f>#REF!</f>
        <v>#REF!</v>
      </c>
    </row>
    <row r="147" spans="1:8">
      <c r="A147" t="e">
        <f>#REF!</f>
        <v>#REF!</v>
      </c>
      <c r="B147" t="e">
        <f>#REF!</f>
        <v>#REF!</v>
      </c>
      <c r="C147" t="e">
        <f>#REF!</f>
        <v>#REF!</v>
      </c>
      <c r="D147" t="e">
        <f>#REF!</f>
        <v>#REF!</v>
      </c>
      <c r="E147" t="e">
        <f>#REF!</f>
        <v>#REF!</v>
      </c>
      <c r="F147" t="e">
        <f>#REF!</f>
        <v>#REF!</v>
      </c>
      <c r="G147" t="e">
        <f>#REF!</f>
        <v>#REF!</v>
      </c>
      <c r="H147" t="e">
        <f>#REF!</f>
        <v>#REF!</v>
      </c>
    </row>
    <row r="148" spans="1:8">
      <c r="A148" t="e">
        <f>#REF!</f>
        <v>#REF!</v>
      </c>
      <c r="B148" t="e">
        <f>#REF!</f>
        <v>#REF!</v>
      </c>
      <c r="C148" t="e">
        <f>#REF!</f>
        <v>#REF!</v>
      </c>
      <c r="D148" t="e">
        <f>#REF!</f>
        <v>#REF!</v>
      </c>
      <c r="E148" t="e">
        <f>#REF!</f>
        <v>#REF!</v>
      </c>
      <c r="F148" t="e">
        <f>#REF!</f>
        <v>#REF!</v>
      </c>
      <c r="G148" t="e">
        <f>#REF!</f>
        <v>#REF!</v>
      </c>
      <c r="H148" t="e">
        <f>#REF!</f>
        <v>#REF!</v>
      </c>
    </row>
    <row r="149" spans="1:8">
      <c r="A149" t="e">
        <f>#REF!</f>
        <v>#REF!</v>
      </c>
      <c r="B149" t="e">
        <f>#REF!</f>
        <v>#REF!</v>
      </c>
      <c r="C149" t="e">
        <f>#REF!</f>
        <v>#REF!</v>
      </c>
      <c r="D149" t="e">
        <f>#REF!</f>
        <v>#REF!</v>
      </c>
      <c r="E149" t="e">
        <f>#REF!</f>
        <v>#REF!</v>
      </c>
      <c r="F149" t="e">
        <f>#REF!</f>
        <v>#REF!</v>
      </c>
      <c r="G149" t="e">
        <f>#REF!</f>
        <v>#REF!</v>
      </c>
      <c r="H149" t="e">
        <f>#REF!</f>
        <v>#REF!</v>
      </c>
    </row>
    <row r="150" spans="1:8">
      <c r="A150" t="e">
        <f>#REF!</f>
        <v>#REF!</v>
      </c>
      <c r="B150" t="e">
        <f>#REF!</f>
        <v>#REF!</v>
      </c>
      <c r="C150" t="e">
        <f>#REF!</f>
        <v>#REF!</v>
      </c>
      <c r="D150" t="e">
        <f>#REF!</f>
        <v>#REF!</v>
      </c>
      <c r="E150" t="e">
        <f>#REF!</f>
        <v>#REF!</v>
      </c>
      <c r="F150" t="e">
        <f>#REF!</f>
        <v>#REF!</v>
      </c>
      <c r="G150" t="e">
        <f>#REF!</f>
        <v>#REF!</v>
      </c>
      <c r="H150" t="e">
        <f>#REF!</f>
        <v>#REF!</v>
      </c>
    </row>
    <row r="151" spans="1:8">
      <c r="A151" t="e">
        <f>#REF!</f>
        <v>#REF!</v>
      </c>
      <c r="B151" t="e">
        <f>#REF!</f>
        <v>#REF!</v>
      </c>
      <c r="C151" t="e">
        <f>#REF!</f>
        <v>#REF!</v>
      </c>
      <c r="D151" t="e">
        <f>#REF!</f>
        <v>#REF!</v>
      </c>
      <c r="E151" t="e">
        <f>#REF!</f>
        <v>#REF!</v>
      </c>
      <c r="F151" t="e">
        <f>#REF!</f>
        <v>#REF!</v>
      </c>
      <c r="G151" t="e">
        <f>#REF!</f>
        <v>#REF!</v>
      </c>
      <c r="H151" t="e">
        <f>#REF!</f>
        <v>#REF!</v>
      </c>
    </row>
    <row r="152" spans="1:8">
      <c r="A152" t="e">
        <f>#REF!</f>
        <v>#REF!</v>
      </c>
      <c r="B152" t="e">
        <f>#REF!</f>
        <v>#REF!</v>
      </c>
      <c r="C152" t="e">
        <f>#REF!</f>
        <v>#REF!</v>
      </c>
      <c r="D152" t="e">
        <f>#REF!</f>
        <v>#REF!</v>
      </c>
      <c r="E152" t="e">
        <f>#REF!</f>
        <v>#REF!</v>
      </c>
      <c r="F152" t="e">
        <f>#REF!</f>
        <v>#REF!</v>
      </c>
      <c r="G152" t="e">
        <f>#REF!</f>
        <v>#REF!</v>
      </c>
      <c r="H152" t="e">
        <f>#REF!</f>
        <v>#REF!</v>
      </c>
    </row>
    <row r="153" spans="1:8">
      <c r="A153" t="e">
        <f>#REF!</f>
        <v>#REF!</v>
      </c>
      <c r="B153" t="e">
        <f>#REF!</f>
        <v>#REF!</v>
      </c>
      <c r="C153" t="e">
        <f>#REF!</f>
        <v>#REF!</v>
      </c>
      <c r="D153" t="e">
        <f>#REF!</f>
        <v>#REF!</v>
      </c>
      <c r="E153" t="e">
        <f>#REF!</f>
        <v>#REF!</v>
      </c>
      <c r="F153" t="e">
        <f>#REF!</f>
        <v>#REF!</v>
      </c>
      <c r="G153" t="e">
        <f>#REF!</f>
        <v>#REF!</v>
      </c>
      <c r="H153" t="e">
        <f>#REF!</f>
        <v>#REF!</v>
      </c>
    </row>
    <row r="154" spans="1:8">
      <c r="A154" t="e">
        <f>#REF!</f>
        <v>#REF!</v>
      </c>
      <c r="B154" t="e">
        <f>#REF!</f>
        <v>#REF!</v>
      </c>
      <c r="C154" t="e">
        <f>#REF!</f>
        <v>#REF!</v>
      </c>
      <c r="D154" t="e">
        <f>#REF!</f>
        <v>#REF!</v>
      </c>
      <c r="E154" t="e">
        <f>#REF!</f>
        <v>#REF!</v>
      </c>
      <c r="F154" t="e">
        <f>#REF!</f>
        <v>#REF!</v>
      </c>
      <c r="G154" t="e">
        <f>#REF!</f>
        <v>#REF!</v>
      </c>
      <c r="H154" t="e">
        <f>#REF!</f>
        <v>#REF!</v>
      </c>
    </row>
    <row r="155" spans="1:8">
      <c r="A155" t="e">
        <f>#REF!</f>
        <v>#REF!</v>
      </c>
      <c r="B155" t="e">
        <f>#REF!</f>
        <v>#REF!</v>
      </c>
      <c r="C155" t="e">
        <f>#REF!</f>
        <v>#REF!</v>
      </c>
      <c r="D155" t="e">
        <f>#REF!</f>
        <v>#REF!</v>
      </c>
      <c r="E155" t="e">
        <f>#REF!</f>
        <v>#REF!</v>
      </c>
      <c r="F155" t="e">
        <f>#REF!</f>
        <v>#REF!</v>
      </c>
      <c r="G155" t="e">
        <f>#REF!</f>
        <v>#REF!</v>
      </c>
      <c r="H155" t="e">
        <f>#REF!</f>
        <v>#REF!</v>
      </c>
    </row>
    <row r="156" spans="1:8">
      <c r="A156" t="e">
        <f>#REF!</f>
        <v>#REF!</v>
      </c>
      <c r="B156" t="e">
        <f>#REF!</f>
        <v>#REF!</v>
      </c>
      <c r="C156" t="e">
        <f>#REF!</f>
        <v>#REF!</v>
      </c>
      <c r="D156" t="e">
        <f>#REF!</f>
        <v>#REF!</v>
      </c>
      <c r="E156" t="e">
        <f>#REF!</f>
        <v>#REF!</v>
      </c>
      <c r="F156" t="e">
        <f>#REF!</f>
        <v>#REF!</v>
      </c>
      <c r="G156" t="e">
        <f>#REF!</f>
        <v>#REF!</v>
      </c>
      <c r="H156" t="e">
        <f>#REF!</f>
        <v>#REF!</v>
      </c>
    </row>
    <row r="157" spans="1:8">
      <c r="A157" t="e">
        <f>#REF!</f>
        <v>#REF!</v>
      </c>
      <c r="B157" t="e">
        <f>#REF!</f>
        <v>#REF!</v>
      </c>
      <c r="C157" t="e">
        <f>#REF!</f>
        <v>#REF!</v>
      </c>
      <c r="D157" t="e">
        <f>#REF!</f>
        <v>#REF!</v>
      </c>
      <c r="E157" t="e">
        <f>#REF!</f>
        <v>#REF!</v>
      </c>
      <c r="F157" t="e">
        <f>#REF!</f>
        <v>#REF!</v>
      </c>
      <c r="G157" t="e">
        <f>#REF!</f>
        <v>#REF!</v>
      </c>
      <c r="H157" t="e">
        <f>#REF!</f>
        <v>#REF!</v>
      </c>
    </row>
    <row r="158" spans="1:8">
      <c r="A158" t="e">
        <f>#REF!</f>
        <v>#REF!</v>
      </c>
      <c r="B158" t="e">
        <f>#REF!</f>
        <v>#REF!</v>
      </c>
      <c r="C158" t="e">
        <f>#REF!</f>
        <v>#REF!</v>
      </c>
      <c r="D158" t="e">
        <f>#REF!</f>
        <v>#REF!</v>
      </c>
      <c r="E158" t="e">
        <f>#REF!</f>
        <v>#REF!</v>
      </c>
      <c r="F158" t="e">
        <f>#REF!</f>
        <v>#REF!</v>
      </c>
      <c r="G158" t="e">
        <f>#REF!</f>
        <v>#REF!</v>
      </c>
      <c r="H158" t="e">
        <f>#REF!</f>
        <v>#REF!</v>
      </c>
    </row>
    <row r="159" spans="1:8">
      <c r="A159" t="e">
        <f>#REF!</f>
        <v>#REF!</v>
      </c>
      <c r="B159" t="e">
        <f>#REF!</f>
        <v>#REF!</v>
      </c>
      <c r="C159" t="e">
        <f>#REF!</f>
        <v>#REF!</v>
      </c>
      <c r="D159" t="e">
        <f>#REF!</f>
        <v>#REF!</v>
      </c>
      <c r="E159" t="e">
        <f>#REF!</f>
        <v>#REF!</v>
      </c>
      <c r="F159" t="e">
        <f>#REF!</f>
        <v>#REF!</v>
      </c>
      <c r="G159" t="e">
        <f>#REF!</f>
        <v>#REF!</v>
      </c>
      <c r="H159" t="e">
        <f>#REF!</f>
        <v>#REF!</v>
      </c>
    </row>
    <row r="160" spans="1:8">
      <c r="A160" t="e">
        <f>#REF!</f>
        <v>#REF!</v>
      </c>
      <c r="B160" t="e">
        <f>#REF!</f>
        <v>#REF!</v>
      </c>
      <c r="C160" t="e">
        <f>#REF!</f>
        <v>#REF!</v>
      </c>
      <c r="D160" t="e">
        <f>#REF!</f>
        <v>#REF!</v>
      </c>
      <c r="E160" t="e">
        <f>#REF!</f>
        <v>#REF!</v>
      </c>
      <c r="F160" t="e">
        <f>#REF!</f>
        <v>#REF!</v>
      </c>
      <c r="G160" t="e">
        <f>#REF!</f>
        <v>#REF!</v>
      </c>
      <c r="H160" t="e">
        <f>#REF!</f>
        <v>#REF!</v>
      </c>
    </row>
    <row r="161" spans="1:8">
      <c r="A161" t="e">
        <f>#REF!</f>
        <v>#REF!</v>
      </c>
      <c r="B161" t="e">
        <f>#REF!</f>
        <v>#REF!</v>
      </c>
      <c r="C161" t="e">
        <f>#REF!</f>
        <v>#REF!</v>
      </c>
      <c r="D161" t="e">
        <f>#REF!</f>
        <v>#REF!</v>
      </c>
      <c r="E161" t="e">
        <f>#REF!</f>
        <v>#REF!</v>
      </c>
      <c r="F161" t="e">
        <f>#REF!</f>
        <v>#REF!</v>
      </c>
      <c r="G161" t="e">
        <f>#REF!</f>
        <v>#REF!</v>
      </c>
      <c r="H161" t="e">
        <f>#REF!</f>
        <v>#REF!</v>
      </c>
    </row>
    <row r="162" spans="1:8">
      <c r="A162" t="e">
        <f>#REF!</f>
        <v>#REF!</v>
      </c>
      <c r="B162" t="e">
        <f>#REF!</f>
        <v>#REF!</v>
      </c>
      <c r="C162" t="e">
        <f>#REF!</f>
        <v>#REF!</v>
      </c>
      <c r="D162" t="e">
        <f>#REF!</f>
        <v>#REF!</v>
      </c>
      <c r="E162" t="e">
        <f>#REF!</f>
        <v>#REF!</v>
      </c>
      <c r="F162" t="e">
        <f>#REF!</f>
        <v>#REF!</v>
      </c>
      <c r="G162" t="e">
        <f>#REF!</f>
        <v>#REF!</v>
      </c>
      <c r="H162" t="e">
        <f>#REF!</f>
        <v>#REF!</v>
      </c>
    </row>
    <row r="163" spans="1:8">
      <c r="A163" t="e">
        <f>#REF!</f>
        <v>#REF!</v>
      </c>
      <c r="B163" t="e">
        <f>#REF!</f>
        <v>#REF!</v>
      </c>
      <c r="C163" t="e">
        <f>#REF!</f>
        <v>#REF!</v>
      </c>
      <c r="D163" t="e">
        <f>#REF!</f>
        <v>#REF!</v>
      </c>
      <c r="E163" t="e">
        <f>#REF!</f>
        <v>#REF!</v>
      </c>
      <c r="F163" t="e">
        <f>#REF!</f>
        <v>#REF!</v>
      </c>
      <c r="G163" t="e">
        <f>#REF!</f>
        <v>#REF!</v>
      </c>
      <c r="H163" t="e">
        <f>#REF!</f>
        <v>#REF!</v>
      </c>
    </row>
    <row r="164" spans="1:8">
      <c r="A164" t="e">
        <f>#REF!</f>
        <v>#REF!</v>
      </c>
      <c r="B164" t="e">
        <f>#REF!</f>
        <v>#REF!</v>
      </c>
      <c r="C164" t="e">
        <f>#REF!</f>
        <v>#REF!</v>
      </c>
      <c r="D164" t="e">
        <f>#REF!</f>
        <v>#REF!</v>
      </c>
      <c r="E164" t="e">
        <f>#REF!</f>
        <v>#REF!</v>
      </c>
      <c r="F164" t="e">
        <f>#REF!</f>
        <v>#REF!</v>
      </c>
      <c r="G164" t="e">
        <f>#REF!</f>
        <v>#REF!</v>
      </c>
      <c r="H164" t="e">
        <f>#REF!</f>
        <v>#REF!</v>
      </c>
    </row>
    <row r="165" spans="1:8">
      <c r="A165" t="e">
        <f>#REF!</f>
        <v>#REF!</v>
      </c>
      <c r="B165" t="e">
        <f>#REF!</f>
        <v>#REF!</v>
      </c>
      <c r="C165" t="e">
        <f>#REF!</f>
        <v>#REF!</v>
      </c>
      <c r="D165" t="e">
        <f>#REF!</f>
        <v>#REF!</v>
      </c>
      <c r="E165" t="e">
        <f>#REF!</f>
        <v>#REF!</v>
      </c>
      <c r="F165" t="e">
        <f>#REF!</f>
        <v>#REF!</v>
      </c>
      <c r="G165" t="e">
        <f>#REF!</f>
        <v>#REF!</v>
      </c>
      <c r="H165" t="e">
        <f>#REF!</f>
        <v>#REF!</v>
      </c>
    </row>
    <row r="166" spans="1:8">
      <c r="A166" t="e">
        <f>#REF!</f>
        <v>#REF!</v>
      </c>
      <c r="B166" t="e">
        <f>#REF!</f>
        <v>#REF!</v>
      </c>
      <c r="C166" t="e">
        <f>#REF!</f>
        <v>#REF!</v>
      </c>
      <c r="D166" t="e">
        <f>#REF!</f>
        <v>#REF!</v>
      </c>
      <c r="E166" t="e">
        <f>#REF!</f>
        <v>#REF!</v>
      </c>
      <c r="F166" t="e">
        <f>#REF!</f>
        <v>#REF!</v>
      </c>
      <c r="G166" t="e">
        <f>#REF!</f>
        <v>#REF!</v>
      </c>
      <c r="H166" t="e">
        <f>#REF!</f>
        <v>#REF!</v>
      </c>
    </row>
    <row r="167" spans="1:8">
      <c r="A167" t="e">
        <f>#REF!</f>
        <v>#REF!</v>
      </c>
      <c r="B167" t="e">
        <f>#REF!</f>
        <v>#REF!</v>
      </c>
      <c r="C167" t="e">
        <f>#REF!</f>
        <v>#REF!</v>
      </c>
      <c r="D167" t="e">
        <f>#REF!</f>
        <v>#REF!</v>
      </c>
      <c r="E167" t="e">
        <f>#REF!</f>
        <v>#REF!</v>
      </c>
      <c r="F167" t="e">
        <f>#REF!</f>
        <v>#REF!</v>
      </c>
      <c r="G167" t="e">
        <f>#REF!</f>
        <v>#REF!</v>
      </c>
      <c r="H167" t="e">
        <f>#REF!</f>
        <v>#REF!</v>
      </c>
    </row>
    <row r="168" spans="1:8">
      <c r="A168" t="e">
        <f>#REF!</f>
        <v>#REF!</v>
      </c>
      <c r="B168" t="e">
        <f>#REF!</f>
        <v>#REF!</v>
      </c>
      <c r="C168" t="e">
        <f>#REF!</f>
        <v>#REF!</v>
      </c>
      <c r="D168" t="e">
        <f>#REF!</f>
        <v>#REF!</v>
      </c>
      <c r="E168" t="e">
        <f>#REF!</f>
        <v>#REF!</v>
      </c>
      <c r="F168" t="e">
        <f>#REF!</f>
        <v>#REF!</v>
      </c>
      <c r="G168" t="e">
        <f>#REF!</f>
        <v>#REF!</v>
      </c>
      <c r="H168" t="e">
        <f>#REF!</f>
        <v>#REF!</v>
      </c>
    </row>
    <row r="169" spans="1:8">
      <c r="A169" t="e">
        <f>#REF!</f>
        <v>#REF!</v>
      </c>
      <c r="B169" t="e">
        <f>#REF!</f>
        <v>#REF!</v>
      </c>
      <c r="C169" t="e">
        <f>#REF!</f>
        <v>#REF!</v>
      </c>
      <c r="D169" t="e">
        <f>#REF!</f>
        <v>#REF!</v>
      </c>
      <c r="E169" t="e">
        <f>#REF!</f>
        <v>#REF!</v>
      </c>
      <c r="F169" t="e">
        <f>#REF!</f>
        <v>#REF!</v>
      </c>
      <c r="G169" t="e">
        <f>#REF!</f>
        <v>#REF!</v>
      </c>
      <c r="H169" t="e">
        <f>#REF!</f>
        <v>#REF!</v>
      </c>
    </row>
    <row r="170" spans="1:8">
      <c r="A170" t="e">
        <f>#REF!</f>
        <v>#REF!</v>
      </c>
      <c r="B170" t="e">
        <f>#REF!</f>
        <v>#REF!</v>
      </c>
      <c r="C170" t="e">
        <f>#REF!</f>
        <v>#REF!</v>
      </c>
      <c r="D170" t="e">
        <f>#REF!</f>
        <v>#REF!</v>
      </c>
      <c r="E170" t="e">
        <f>#REF!</f>
        <v>#REF!</v>
      </c>
      <c r="F170" t="e">
        <f>#REF!</f>
        <v>#REF!</v>
      </c>
      <c r="G170" t="e">
        <f>#REF!</f>
        <v>#REF!</v>
      </c>
      <c r="H170" t="e">
        <f>#REF!</f>
        <v>#REF!</v>
      </c>
    </row>
    <row r="171" spans="1:8">
      <c r="A171" t="e">
        <f>#REF!</f>
        <v>#REF!</v>
      </c>
      <c r="B171" t="e">
        <f>#REF!</f>
        <v>#REF!</v>
      </c>
      <c r="C171" t="e">
        <f>#REF!</f>
        <v>#REF!</v>
      </c>
      <c r="D171" t="e">
        <f>#REF!</f>
        <v>#REF!</v>
      </c>
      <c r="E171" t="e">
        <f>#REF!</f>
        <v>#REF!</v>
      </c>
      <c r="F171" t="e">
        <f>#REF!</f>
        <v>#REF!</v>
      </c>
      <c r="G171" t="e">
        <f>#REF!</f>
        <v>#REF!</v>
      </c>
      <c r="H171" t="e">
        <f>#REF!</f>
        <v>#REF!</v>
      </c>
    </row>
    <row r="172" spans="1:8">
      <c r="A172" t="e">
        <f>#REF!</f>
        <v>#REF!</v>
      </c>
      <c r="B172" t="e">
        <f>#REF!</f>
        <v>#REF!</v>
      </c>
      <c r="C172" t="e">
        <f>#REF!</f>
        <v>#REF!</v>
      </c>
      <c r="D172" t="e">
        <f>#REF!</f>
        <v>#REF!</v>
      </c>
      <c r="E172" t="e">
        <f>#REF!</f>
        <v>#REF!</v>
      </c>
      <c r="F172" t="e">
        <f>#REF!</f>
        <v>#REF!</v>
      </c>
      <c r="G172" t="e">
        <f>#REF!</f>
        <v>#REF!</v>
      </c>
      <c r="H172" t="e">
        <f>#REF!</f>
        <v>#REF!</v>
      </c>
    </row>
    <row r="173" spans="1:8">
      <c r="A173" t="e">
        <f>#REF!</f>
        <v>#REF!</v>
      </c>
      <c r="B173" t="e">
        <f>#REF!</f>
        <v>#REF!</v>
      </c>
      <c r="C173" t="e">
        <f>#REF!</f>
        <v>#REF!</v>
      </c>
      <c r="D173" t="e">
        <f>#REF!</f>
        <v>#REF!</v>
      </c>
      <c r="E173" t="e">
        <f>#REF!</f>
        <v>#REF!</v>
      </c>
      <c r="F173" t="e">
        <f>#REF!</f>
        <v>#REF!</v>
      </c>
      <c r="G173" t="e">
        <f>#REF!</f>
        <v>#REF!</v>
      </c>
      <c r="H173" t="e">
        <f>#REF!</f>
        <v>#REF!</v>
      </c>
    </row>
    <row r="174" spans="1:8">
      <c r="A174" t="e">
        <f>#REF!</f>
        <v>#REF!</v>
      </c>
      <c r="B174" t="e">
        <f>#REF!</f>
        <v>#REF!</v>
      </c>
      <c r="C174" t="e">
        <f>#REF!</f>
        <v>#REF!</v>
      </c>
      <c r="D174" t="e">
        <f>#REF!</f>
        <v>#REF!</v>
      </c>
      <c r="E174" t="e">
        <f>#REF!</f>
        <v>#REF!</v>
      </c>
      <c r="F174" t="e">
        <f>#REF!</f>
        <v>#REF!</v>
      </c>
      <c r="G174" t="e">
        <f>#REF!</f>
        <v>#REF!</v>
      </c>
      <c r="H174" t="e">
        <f>#REF!</f>
        <v>#REF!</v>
      </c>
    </row>
    <row r="175" spans="1:8">
      <c r="A175" t="e">
        <f>#REF!</f>
        <v>#REF!</v>
      </c>
      <c r="B175" t="e">
        <f>#REF!</f>
        <v>#REF!</v>
      </c>
      <c r="C175" t="e">
        <f>#REF!</f>
        <v>#REF!</v>
      </c>
      <c r="D175" t="e">
        <f>#REF!</f>
        <v>#REF!</v>
      </c>
      <c r="E175" t="e">
        <f>#REF!</f>
        <v>#REF!</v>
      </c>
      <c r="F175" t="e">
        <f>#REF!</f>
        <v>#REF!</v>
      </c>
      <c r="G175" t="e">
        <f>#REF!</f>
        <v>#REF!</v>
      </c>
      <c r="H175" t="e">
        <f>#REF!</f>
        <v>#REF!</v>
      </c>
    </row>
    <row r="176" spans="1:8">
      <c r="A176" t="e">
        <f>#REF!</f>
        <v>#REF!</v>
      </c>
      <c r="B176" t="e">
        <f>#REF!</f>
        <v>#REF!</v>
      </c>
      <c r="C176" t="e">
        <f>#REF!</f>
        <v>#REF!</v>
      </c>
      <c r="D176" t="e">
        <f>#REF!</f>
        <v>#REF!</v>
      </c>
      <c r="E176" t="e">
        <f>#REF!</f>
        <v>#REF!</v>
      </c>
      <c r="F176" t="e">
        <f>#REF!</f>
        <v>#REF!</v>
      </c>
      <c r="G176" t="e">
        <f>#REF!</f>
        <v>#REF!</v>
      </c>
      <c r="H176" t="e">
        <f>#REF!</f>
        <v>#REF!</v>
      </c>
    </row>
    <row r="177" spans="1:8">
      <c r="A177" t="e">
        <f>#REF!</f>
        <v>#REF!</v>
      </c>
      <c r="B177" t="e">
        <f>#REF!</f>
        <v>#REF!</v>
      </c>
      <c r="C177" t="e">
        <f>#REF!</f>
        <v>#REF!</v>
      </c>
      <c r="D177" t="e">
        <f>#REF!</f>
        <v>#REF!</v>
      </c>
      <c r="E177" t="e">
        <f>#REF!</f>
        <v>#REF!</v>
      </c>
      <c r="F177" t="e">
        <f>#REF!</f>
        <v>#REF!</v>
      </c>
      <c r="G177" t="e">
        <f>#REF!</f>
        <v>#REF!</v>
      </c>
      <c r="H177" t="e">
        <f>#REF!</f>
        <v>#REF!</v>
      </c>
    </row>
    <row r="178" spans="1:8">
      <c r="A178" t="e">
        <f>#REF!</f>
        <v>#REF!</v>
      </c>
      <c r="B178" t="e">
        <f>#REF!</f>
        <v>#REF!</v>
      </c>
      <c r="C178" t="e">
        <f>#REF!</f>
        <v>#REF!</v>
      </c>
      <c r="D178" t="e">
        <f>#REF!</f>
        <v>#REF!</v>
      </c>
      <c r="E178" t="e">
        <f>#REF!</f>
        <v>#REF!</v>
      </c>
      <c r="F178" t="e">
        <f>#REF!</f>
        <v>#REF!</v>
      </c>
      <c r="G178" t="e">
        <f>#REF!</f>
        <v>#REF!</v>
      </c>
      <c r="H178" t="e">
        <f>#REF!</f>
        <v>#REF!</v>
      </c>
    </row>
    <row r="179" spans="1:8">
      <c r="A179" t="e">
        <f>#REF!</f>
        <v>#REF!</v>
      </c>
      <c r="B179" t="e">
        <f>#REF!</f>
        <v>#REF!</v>
      </c>
      <c r="C179" t="e">
        <f>#REF!</f>
        <v>#REF!</v>
      </c>
      <c r="D179" t="e">
        <f>#REF!</f>
        <v>#REF!</v>
      </c>
      <c r="E179" t="e">
        <f>#REF!</f>
        <v>#REF!</v>
      </c>
      <c r="F179" t="e">
        <f>#REF!</f>
        <v>#REF!</v>
      </c>
      <c r="G179" t="e">
        <f>#REF!</f>
        <v>#REF!</v>
      </c>
      <c r="H179" t="e">
        <f>#REF!</f>
        <v>#REF!</v>
      </c>
    </row>
    <row r="180" spans="1:8">
      <c r="A180" t="e">
        <f>#REF!</f>
        <v>#REF!</v>
      </c>
      <c r="B180" t="e">
        <f>#REF!</f>
        <v>#REF!</v>
      </c>
      <c r="C180" t="e">
        <f>#REF!</f>
        <v>#REF!</v>
      </c>
      <c r="D180" t="e">
        <f>#REF!</f>
        <v>#REF!</v>
      </c>
      <c r="E180" t="e">
        <f>#REF!</f>
        <v>#REF!</v>
      </c>
      <c r="F180" t="e">
        <f>#REF!</f>
        <v>#REF!</v>
      </c>
      <c r="G180" t="e">
        <f>#REF!</f>
        <v>#REF!</v>
      </c>
      <c r="H180" t="e">
        <f>#REF!</f>
        <v>#REF!</v>
      </c>
    </row>
    <row r="181" spans="1:8">
      <c r="A181" t="e">
        <f>#REF!</f>
        <v>#REF!</v>
      </c>
      <c r="B181" t="e">
        <f>#REF!</f>
        <v>#REF!</v>
      </c>
      <c r="C181" t="e">
        <f>#REF!</f>
        <v>#REF!</v>
      </c>
      <c r="D181" t="e">
        <f>#REF!</f>
        <v>#REF!</v>
      </c>
      <c r="E181" t="e">
        <f>#REF!</f>
        <v>#REF!</v>
      </c>
      <c r="F181" t="e">
        <f>#REF!</f>
        <v>#REF!</v>
      </c>
      <c r="G181" t="e">
        <f>#REF!</f>
        <v>#REF!</v>
      </c>
      <c r="H181" t="e">
        <f>#REF!</f>
        <v>#REF!</v>
      </c>
    </row>
    <row r="182" spans="1:8">
      <c r="A182" t="e">
        <f>#REF!</f>
        <v>#REF!</v>
      </c>
      <c r="B182" t="e">
        <f>#REF!</f>
        <v>#REF!</v>
      </c>
      <c r="C182" t="e">
        <f>#REF!</f>
        <v>#REF!</v>
      </c>
      <c r="D182" t="e">
        <f>#REF!</f>
        <v>#REF!</v>
      </c>
      <c r="E182" t="e">
        <f>#REF!</f>
        <v>#REF!</v>
      </c>
      <c r="F182" t="e">
        <f>#REF!</f>
        <v>#REF!</v>
      </c>
      <c r="G182" t="e">
        <f>#REF!</f>
        <v>#REF!</v>
      </c>
      <c r="H182" t="e">
        <f>#REF!</f>
        <v>#REF!</v>
      </c>
    </row>
    <row r="183" spans="1:8">
      <c r="A183" t="e">
        <f>#REF!</f>
        <v>#REF!</v>
      </c>
      <c r="B183" t="e">
        <f>#REF!</f>
        <v>#REF!</v>
      </c>
      <c r="C183" t="e">
        <f>#REF!</f>
        <v>#REF!</v>
      </c>
      <c r="D183" t="e">
        <f>#REF!</f>
        <v>#REF!</v>
      </c>
      <c r="E183" t="e">
        <f>#REF!</f>
        <v>#REF!</v>
      </c>
      <c r="F183" t="e">
        <f>#REF!</f>
        <v>#REF!</v>
      </c>
      <c r="G183" t="e">
        <f>#REF!</f>
        <v>#REF!</v>
      </c>
      <c r="H183" t="e">
        <f>#REF!</f>
        <v>#REF!</v>
      </c>
    </row>
    <row r="184" spans="1:8">
      <c r="A184" t="e">
        <f>#REF!</f>
        <v>#REF!</v>
      </c>
      <c r="B184" t="e">
        <f>#REF!</f>
        <v>#REF!</v>
      </c>
      <c r="C184" t="e">
        <f>#REF!</f>
        <v>#REF!</v>
      </c>
      <c r="D184" t="e">
        <f>#REF!</f>
        <v>#REF!</v>
      </c>
      <c r="E184" t="e">
        <f>#REF!</f>
        <v>#REF!</v>
      </c>
      <c r="F184" t="e">
        <f>#REF!</f>
        <v>#REF!</v>
      </c>
      <c r="G184" t="e">
        <f>#REF!</f>
        <v>#REF!</v>
      </c>
      <c r="H184" t="e">
        <f>#REF!</f>
        <v>#REF!</v>
      </c>
    </row>
    <row r="185" spans="1:8">
      <c r="A185" t="e">
        <f>#REF!</f>
        <v>#REF!</v>
      </c>
      <c r="B185" t="e">
        <f>#REF!</f>
        <v>#REF!</v>
      </c>
      <c r="C185" t="e">
        <f>#REF!</f>
        <v>#REF!</v>
      </c>
      <c r="D185" t="e">
        <f>#REF!</f>
        <v>#REF!</v>
      </c>
      <c r="E185" t="e">
        <f>#REF!</f>
        <v>#REF!</v>
      </c>
      <c r="F185" t="e">
        <f>#REF!</f>
        <v>#REF!</v>
      </c>
      <c r="G185" t="e">
        <f>#REF!</f>
        <v>#REF!</v>
      </c>
      <c r="H185" t="e">
        <f>#REF!</f>
        <v>#REF!</v>
      </c>
    </row>
    <row r="186" spans="1:8">
      <c r="A186" t="e">
        <f>#REF!</f>
        <v>#REF!</v>
      </c>
      <c r="B186" t="e">
        <f>#REF!</f>
        <v>#REF!</v>
      </c>
      <c r="C186" t="e">
        <f>#REF!</f>
        <v>#REF!</v>
      </c>
      <c r="D186" t="e">
        <f>#REF!</f>
        <v>#REF!</v>
      </c>
      <c r="E186" t="e">
        <f>#REF!</f>
        <v>#REF!</v>
      </c>
      <c r="F186" t="e">
        <f>#REF!</f>
        <v>#REF!</v>
      </c>
      <c r="G186" t="e">
        <f>#REF!</f>
        <v>#REF!</v>
      </c>
      <c r="H186" t="e">
        <f>#REF!</f>
        <v>#REF!</v>
      </c>
    </row>
    <row r="187" spans="1:8">
      <c r="A187" t="e">
        <f>#REF!</f>
        <v>#REF!</v>
      </c>
      <c r="B187" t="e">
        <f>#REF!</f>
        <v>#REF!</v>
      </c>
      <c r="C187" t="e">
        <f>#REF!</f>
        <v>#REF!</v>
      </c>
      <c r="D187" t="e">
        <f>#REF!</f>
        <v>#REF!</v>
      </c>
      <c r="E187" t="e">
        <f>#REF!</f>
        <v>#REF!</v>
      </c>
      <c r="F187" t="e">
        <f>#REF!</f>
        <v>#REF!</v>
      </c>
      <c r="G187" t="e">
        <f>#REF!</f>
        <v>#REF!</v>
      </c>
      <c r="H187" t="e">
        <f>#REF!</f>
        <v>#REF!</v>
      </c>
    </row>
    <row r="188" spans="1:8">
      <c r="A188" t="e">
        <f>#REF!</f>
        <v>#REF!</v>
      </c>
      <c r="B188" t="e">
        <f>#REF!</f>
        <v>#REF!</v>
      </c>
      <c r="C188" t="e">
        <f>#REF!</f>
        <v>#REF!</v>
      </c>
      <c r="D188" t="e">
        <f>#REF!</f>
        <v>#REF!</v>
      </c>
      <c r="E188" t="e">
        <f>#REF!</f>
        <v>#REF!</v>
      </c>
      <c r="F188" t="e">
        <f>#REF!</f>
        <v>#REF!</v>
      </c>
      <c r="G188" t="e">
        <f>#REF!</f>
        <v>#REF!</v>
      </c>
      <c r="H188" t="e">
        <f>#REF!</f>
        <v>#REF!</v>
      </c>
    </row>
    <row r="189" spans="1:8">
      <c r="A189" t="e">
        <f>#REF!</f>
        <v>#REF!</v>
      </c>
      <c r="B189" t="e">
        <f>#REF!</f>
        <v>#REF!</v>
      </c>
      <c r="C189" t="e">
        <f>#REF!</f>
        <v>#REF!</v>
      </c>
      <c r="D189" t="e">
        <f>#REF!</f>
        <v>#REF!</v>
      </c>
      <c r="E189" t="e">
        <f>#REF!</f>
        <v>#REF!</v>
      </c>
      <c r="F189" t="e">
        <f>#REF!</f>
        <v>#REF!</v>
      </c>
      <c r="G189" t="e">
        <f>#REF!</f>
        <v>#REF!</v>
      </c>
      <c r="H189" t="e">
        <f>#REF!</f>
        <v>#REF!</v>
      </c>
    </row>
    <row r="190" spans="1:8">
      <c r="A190" t="e">
        <f>#REF!</f>
        <v>#REF!</v>
      </c>
      <c r="B190" t="e">
        <f>#REF!</f>
        <v>#REF!</v>
      </c>
      <c r="C190" t="e">
        <f>#REF!</f>
        <v>#REF!</v>
      </c>
      <c r="D190" t="e">
        <f>#REF!</f>
        <v>#REF!</v>
      </c>
      <c r="E190" t="e">
        <f>#REF!</f>
        <v>#REF!</v>
      </c>
      <c r="F190" t="e">
        <f>#REF!</f>
        <v>#REF!</v>
      </c>
      <c r="G190" t="e">
        <f>#REF!</f>
        <v>#REF!</v>
      </c>
      <c r="H190" t="e">
        <f>#REF!</f>
        <v>#REF!</v>
      </c>
    </row>
    <row r="191" spans="1:8">
      <c r="A191" t="e">
        <f>#REF!</f>
        <v>#REF!</v>
      </c>
      <c r="B191" t="e">
        <f>#REF!</f>
        <v>#REF!</v>
      </c>
      <c r="C191" t="e">
        <f>#REF!</f>
        <v>#REF!</v>
      </c>
      <c r="D191" t="e">
        <f>#REF!</f>
        <v>#REF!</v>
      </c>
      <c r="E191" t="e">
        <f>#REF!</f>
        <v>#REF!</v>
      </c>
      <c r="F191" t="e">
        <f>#REF!</f>
        <v>#REF!</v>
      </c>
      <c r="G191" t="e">
        <f>#REF!</f>
        <v>#REF!</v>
      </c>
      <c r="H191" t="e">
        <f>#REF!</f>
        <v>#REF!</v>
      </c>
    </row>
    <row r="192" spans="1:8">
      <c r="A192" t="e">
        <f>#REF!</f>
        <v>#REF!</v>
      </c>
      <c r="B192" t="e">
        <f>#REF!</f>
        <v>#REF!</v>
      </c>
      <c r="C192" t="e">
        <f>#REF!</f>
        <v>#REF!</v>
      </c>
      <c r="D192" t="e">
        <f>#REF!</f>
        <v>#REF!</v>
      </c>
      <c r="E192" t="e">
        <f>#REF!</f>
        <v>#REF!</v>
      </c>
      <c r="F192" t="e">
        <f>#REF!</f>
        <v>#REF!</v>
      </c>
      <c r="G192" t="e">
        <f>#REF!</f>
        <v>#REF!</v>
      </c>
      <c r="H192" t="e">
        <f>#REF!</f>
        <v>#REF!</v>
      </c>
    </row>
    <row r="193" spans="1:8">
      <c r="A193" t="e">
        <f>#REF!</f>
        <v>#REF!</v>
      </c>
      <c r="B193" t="e">
        <f>#REF!</f>
        <v>#REF!</v>
      </c>
      <c r="C193" t="e">
        <f>#REF!</f>
        <v>#REF!</v>
      </c>
      <c r="D193" t="e">
        <f>#REF!</f>
        <v>#REF!</v>
      </c>
      <c r="E193" t="e">
        <f>#REF!</f>
        <v>#REF!</v>
      </c>
      <c r="F193" t="e">
        <f>#REF!</f>
        <v>#REF!</v>
      </c>
      <c r="G193" t="e">
        <f>#REF!</f>
        <v>#REF!</v>
      </c>
      <c r="H193" t="e">
        <f>#REF!</f>
        <v>#REF!</v>
      </c>
    </row>
    <row r="194" spans="1:8">
      <c r="A194" t="e">
        <f>#REF!</f>
        <v>#REF!</v>
      </c>
      <c r="B194" t="e">
        <f>#REF!</f>
        <v>#REF!</v>
      </c>
      <c r="C194" t="e">
        <f>#REF!</f>
        <v>#REF!</v>
      </c>
      <c r="D194" t="e">
        <f>#REF!</f>
        <v>#REF!</v>
      </c>
      <c r="E194" t="e">
        <f>#REF!</f>
        <v>#REF!</v>
      </c>
      <c r="F194" t="e">
        <f>#REF!</f>
        <v>#REF!</v>
      </c>
      <c r="G194" t="e">
        <f>#REF!</f>
        <v>#REF!</v>
      </c>
      <c r="H194" t="e">
        <f>#REF!</f>
        <v>#REF!</v>
      </c>
    </row>
    <row r="195" spans="1:8">
      <c r="A195" t="e">
        <f>#REF!</f>
        <v>#REF!</v>
      </c>
      <c r="B195" t="e">
        <f>#REF!</f>
        <v>#REF!</v>
      </c>
      <c r="C195" t="e">
        <f>#REF!</f>
        <v>#REF!</v>
      </c>
      <c r="D195" t="e">
        <f>#REF!</f>
        <v>#REF!</v>
      </c>
      <c r="E195" t="e">
        <f>#REF!</f>
        <v>#REF!</v>
      </c>
      <c r="F195" t="e">
        <f>#REF!</f>
        <v>#REF!</v>
      </c>
      <c r="G195" t="e">
        <f>#REF!</f>
        <v>#REF!</v>
      </c>
      <c r="H195" t="e">
        <f>#REF!</f>
        <v>#REF!</v>
      </c>
    </row>
    <row r="196" spans="1:8">
      <c r="A196" t="e">
        <f>#REF!</f>
        <v>#REF!</v>
      </c>
      <c r="B196" t="e">
        <f>#REF!</f>
        <v>#REF!</v>
      </c>
      <c r="C196" t="e">
        <f>#REF!</f>
        <v>#REF!</v>
      </c>
      <c r="D196" t="e">
        <f>#REF!</f>
        <v>#REF!</v>
      </c>
      <c r="E196" t="e">
        <f>#REF!</f>
        <v>#REF!</v>
      </c>
      <c r="F196" t="e">
        <f>#REF!</f>
        <v>#REF!</v>
      </c>
      <c r="G196" t="e">
        <f>#REF!</f>
        <v>#REF!</v>
      </c>
      <c r="H196" t="e">
        <f>#REF!</f>
        <v>#REF!</v>
      </c>
    </row>
    <row r="197" spans="1:8">
      <c r="A197" t="e">
        <f>#REF!</f>
        <v>#REF!</v>
      </c>
      <c r="B197" t="e">
        <f>#REF!</f>
        <v>#REF!</v>
      </c>
      <c r="C197" t="e">
        <f>#REF!</f>
        <v>#REF!</v>
      </c>
      <c r="D197" t="e">
        <f>#REF!</f>
        <v>#REF!</v>
      </c>
      <c r="E197" t="e">
        <f>#REF!</f>
        <v>#REF!</v>
      </c>
      <c r="F197" t="e">
        <f>#REF!</f>
        <v>#REF!</v>
      </c>
      <c r="G197" t="e">
        <f>#REF!</f>
        <v>#REF!</v>
      </c>
      <c r="H197" t="e">
        <f>#REF!</f>
        <v>#REF!</v>
      </c>
    </row>
    <row r="198" spans="1:8">
      <c r="A198" t="e">
        <f>#REF!</f>
        <v>#REF!</v>
      </c>
      <c r="B198" t="e">
        <f>#REF!</f>
        <v>#REF!</v>
      </c>
      <c r="C198" t="e">
        <f>#REF!</f>
        <v>#REF!</v>
      </c>
      <c r="D198" t="e">
        <f>#REF!</f>
        <v>#REF!</v>
      </c>
      <c r="E198" t="e">
        <f>#REF!</f>
        <v>#REF!</v>
      </c>
      <c r="F198" t="e">
        <f>#REF!</f>
        <v>#REF!</v>
      </c>
      <c r="G198" t="e">
        <f>#REF!</f>
        <v>#REF!</v>
      </c>
      <c r="H198" t="e">
        <f>#REF!</f>
        <v>#REF!</v>
      </c>
    </row>
    <row r="199" spans="1:8">
      <c r="A199" t="e">
        <f>#REF!</f>
        <v>#REF!</v>
      </c>
      <c r="B199" t="e">
        <f>#REF!</f>
        <v>#REF!</v>
      </c>
      <c r="C199" t="e">
        <f>#REF!</f>
        <v>#REF!</v>
      </c>
      <c r="D199" t="e">
        <f>#REF!</f>
        <v>#REF!</v>
      </c>
      <c r="E199" t="e">
        <f>#REF!</f>
        <v>#REF!</v>
      </c>
      <c r="F199" t="e">
        <f>#REF!</f>
        <v>#REF!</v>
      </c>
      <c r="G199" t="e">
        <f>#REF!</f>
        <v>#REF!</v>
      </c>
      <c r="H199" t="e">
        <f>#REF!</f>
        <v>#REF!</v>
      </c>
    </row>
    <row r="200" spans="1:8">
      <c r="A200" t="e">
        <f>#REF!</f>
        <v>#REF!</v>
      </c>
      <c r="B200" t="e">
        <f>#REF!</f>
        <v>#REF!</v>
      </c>
      <c r="C200" t="e">
        <f>#REF!</f>
        <v>#REF!</v>
      </c>
      <c r="D200" t="e">
        <f>#REF!</f>
        <v>#REF!</v>
      </c>
      <c r="E200" t="e">
        <f>#REF!</f>
        <v>#REF!</v>
      </c>
      <c r="F200" t="e">
        <f>#REF!</f>
        <v>#REF!</v>
      </c>
      <c r="G200" t="e">
        <f>#REF!</f>
        <v>#REF!</v>
      </c>
      <c r="H200" t="e">
        <f>#REF!</f>
        <v>#REF!</v>
      </c>
    </row>
    <row r="201" spans="1:8">
      <c r="A201" t="e">
        <f>#REF!</f>
        <v>#REF!</v>
      </c>
      <c r="B201" t="e">
        <f>#REF!</f>
        <v>#REF!</v>
      </c>
      <c r="C201" t="e">
        <f>#REF!</f>
        <v>#REF!</v>
      </c>
      <c r="D201" t="e">
        <f>#REF!</f>
        <v>#REF!</v>
      </c>
      <c r="E201" t="e">
        <f>#REF!</f>
        <v>#REF!</v>
      </c>
      <c r="F201" t="e">
        <f>#REF!</f>
        <v>#REF!</v>
      </c>
      <c r="G201" t="e">
        <f>#REF!</f>
        <v>#REF!</v>
      </c>
      <c r="H201" t="e">
        <f>#REF!</f>
        <v>#REF!</v>
      </c>
    </row>
    <row r="202" spans="1:8">
      <c r="A202" t="e">
        <f>#REF!</f>
        <v>#REF!</v>
      </c>
      <c r="B202" t="e">
        <f>#REF!</f>
        <v>#REF!</v>
      </c>
      <c r="C202" t="e">
        <f>#REF!</f>
        <v>#REF!</v>
      </c>
      <c r="D202" t="e">
        <f>#REF!</f>
        <v>#REF!</v>
      </c>
      <c r="E202" t="e">
        <f>#REF!</f>
        <v>#REF!</v>
      </c>
      <c r="F202" t="e">
        <f>#REF!</f>
        <v>#REF!</v>
      </c>
      <c r="G202" t="e">
        <f>#REF!</f>
        <v>#REF!</v>
      </c>
      <c r="H202" t="e">
        <f>#REF!</f>
        <v>#REF!</v>
      </c>
    </row>
    <row r="203" spans="1:8">
      <c r="A203" t="e">
        <f>#REF!</f>
        <v>#REF!</v>
      </c>
      <c r="B203" t="e">
        <f>#REF!</f>
        <v>#REF!</v>
      </c>
      <c r="C203" t="e">
        <f>#REF!</f>
        <v>#REF!</v>
      </c>
      <c r="D203" t="e">
        <f>#REF!</f>
        <v>#REF!</v>
      </c>
      <c r="E203" t="e">
        <f>#REF!</f>
        <v>#REF!</v>
      </c>
      <c r="F203" t="e">
        <f>#REF!</f>
        <v>#REF!</v>
      </c>
      <c r="G203" t="e">
        <f>#REF!</f>
        <v>#REF!</v>
      </c>
      <c r="H203" t="e">
        <f>#REF!</f>
        <v>#REF!</v>
      </c>
    </row>
    <row r="204" spans="1:8">
      <c r="A204" t="e">
        <f>#REF!</f>
        <v>#REF!</v>
      </c>
      <c r="B204" t="e">
        <f>#REF!</f>
        <v>#REF!</v>
      </c>
      <c r="C204" t="e">
        <f>#REF!</f>
        <v>#REF!</v>
      </c>
      <c r="D204" t="e">
        <f>#REF!</f>
        <v>#REF!</v>
      </c>
      <c r="E204" t="e">
        <f>#REF!</f>
        <v>#REF!</v>
      </c>
      <c r="F204" t="e">
        <f>#REF!</f>
        <v>#REF!</v>
      </c>
      <c r="G204" t="e">
        <f>#REF!</f>
        <v>#REF!</v>
      </c>
      <c r="H204" t="e">
        <f>#REF!</f>
        <v>#REF!</v>
      </c>
    </row>
    <row r="205" spans="1:8">
      <c r="A205" t="e">
        <f>#REF!</f>
        <v>#REF!</v>
      </c>
      <c r="B205" t="e">
        <f>#REF!</f>
        <v>#REF!</v>
      </c>
      <c r="C205" t="e">
        <f>#REF!</f>
        <v>#REF!</v>
      </c>
      <c r="D205" t="e">
        <f>#REF!</f>
        <v>#REF!</v>
      </c>
      <c r="E205" t="e">
        <f>#REF!</f>
        <v>#REF!</v>
      </c>
      <c r="F205" t="e">
        <f>#REF!</f>
        <v>#REF!</v>
      </c>
      <c r="G205" t="e">
        <f>#REF!</f>
        <v>#REF!</v>
      </c>
      <c r="H205" t="e">
        <f>#REF!</f>
        <v>#REF!</v>
      </c>
    </row>
    <row r="206" spans="1:8">
      <c r="A206" t="e">
        <f>#REF!</f>
        <v>#REF!</v>
      </c>
      <c r="B206" t="e">
        <f>#REF!</f>
        <v>#REF!</v>
      </c>
      <c r="C206" t="e">
        <f>#REF!</f>
        <v>#REF!</v>
      </c>
      <c r="D206" t="e">
        <f>#REF!</f>
        <v>#REF!</v>
      </c>
      <c r="E206" t="e">
        <f>#REF!</f>
        <v>#REF!</v>
      </c>
      <c r="F206" t="e">
        <f>#REF!</f>
        <v>#REF!</v>
      </c>
      <c r="G206" t="e">
        <f>#REF!</f>
        <v>#REF!</v>
      </c>
      <c r="H206" t="e">
        <f>#REF!</f>
        <v>#REF!</v>
      </c>
    </row>
    <row r="207" spans="1:8">
      <c r="A207" t="e">
        <f>#REF!</f>
        <v>#REF!</v>
      </c>
      <c r="B207" t="e">
        <f>#REF!</f>
        <v>#REF!</v>
      </c>
      <c r="C207" t="e">
        <f>#REF!</f>
        <v>#REF!</v>
      </c>
      <c r="D207" t="e">
        <f>#REF!</f>
        <v>#REF!</v>
      </c>
      <c r="E207" t="e">
        <f>#REF!</f>
        <v>#REF!</v>
      </c>
      <c r="F207" t="e">
        <f>#REF!</f>
        <v>#REF!</v>
      </c>
      <c r="G207" t="e">
        <f>#REF!</f>
        <v>#REF!</v>
      </c>
      <c r="H207" t="e">
        <f>#REF!</f>
        <v>#REF!</v>
      </c>
    </row>
    <row r="208" spans="1:8">
      <c r="A208" t="e">
        <f>#REF!</f>
        <v>#REF!</v>
      </c>
      <c r="B208" t="e">
        <f>#REF!</f>
        <v>#REF!</v>
      </c>
      <c r="C208" t="e">
        <f>#REF!</f>
        <v>#REF!</v>
      </c>
      <c r="D208" t="e">
        <f>#REF!</f>
        <v>#REF!</v>
      </c>
      <c r="E208" t="e">
        <f>#REF!</f>
        <v>#REF!</v>
      </c>
      <c r="F208" t="e">
        <f>#REF!</f>
        <v>#REF!</v>
      </c>
      <c r="G208" t="e">
        <f>#REF!</f>
        <v>#REF!</v>
      </c>
      <c r="H208" t="e">
        <f>#REF!</f>
        <v>#REF!</v>
      </c>
    </row>
    <row r="209" spans="1:8">
      <c r="A209" t="e">
        <f>#REF!</f>
        <v>#REF!</v>
      </c>
      <c r="B209" t="e">
        <f>#REF!</f>
        <v>#REF!</v>
      </c>
      <c r="C209" t="e">
        <f>#REF!</f>
        <v>#REF!</v>
      </c>
      <c r="D209" t="e">
        <f>#REF!</f>
        <v>#REF!</v>
      </c>
      <c r="E209" t="e">
        <f>#REF!</f>
        <v>#REF!</v>
      </c>
      <c r="F209" t="e">
        <f>#REF!</f>
        <v>#REF!</v>
      </c>
      <c r="G209" t="e">
        <f>#REF!</f>
        <v>#REF!</v>
      </c>
      <c r="H209" t="e">
        <f>#REF!</f>
        <v>#REF!</v>
      </c>
    </row>
    <row r="210" spans="1:8">
      <c r="A210" t="e">
        <f>#REF!</f>
        <v>#REF!</v>
      </c>
      <c r="B210" t="e">
        <f>#REF!</f>
        <v>#REF!</v>
      </c>
      <c r="C210" t="e">
        <f>#REF!</f>
        <v>#REF!</v>
      </c>
      <c r="D210" t="e">
        <f>#REF!</f>
        <v>#REF!</v>
      </c>
      <c r="E210" t="e">
        <f>#REF!</f>
        <v>#REF!</v>
      </c>
      <c r="F210" t="e">
        <f>#REF!</f>
        <v>#REF!</v>
      </c>
      <c r="G210" t="e">
        <f>#REF!</f>
        <v>#REF!</v>
      </c>
      <c r="H210" t="e">
        <f>#REF!</f>
        <v>#REF!</v>
      </c>
    </row>
    <row r="211" spans="1:8">
      <c r="A211" t="e">
        <f>#REF!</f>
        <v>#REF!</v>
      </c>
      <c r="B211" t="e">
        <f>#REF!</f>
        <v>#REF!</v>
      </c>
      <c r="C211" t="e">
        <f>#REF!</f>
        <v>#REF!</v>
      </c>
      <c r="D211" t="e">
        <f>#REF!</f>
        <v>#REF!</v>
      </c>
      <c r="E211" t="e">
        <f>#REF!</f>
        <v>#REF!</v>
      </c>
      <c r="F211" t="e">
        <f>#REF!</f>
        <v>#REF!</v>
      </c>
      <c r="G211" t="e">
        <f>#REF!</f>
        <v>#REF!</v>
      </c>
      <c r="H211" t="e">
        <f>#REF!</f>
        <v>#REF!</v>
      </c>
    </row>
    <row r="212" spans="1:8">
      <c r="A212" t="e">
        <f>#REF!</f>
        <v>#REF!</v>
      </c>
      <c r="B212" t="e">
        <f>#REF!</f>
        <v>#REF!</v>
      </c>
      <c r="C212" t="e">
        <f>#REF!</f>
        <v>#REF!</v>
      </c>
      <c r="D212" t="e">
        <f>#REF!</f>
        <v>#REF!</v>
      </c>
      <c r="E212" t="e">
        <f>#REF!</f>
        <v>#REF!</v>
      </c>
      <c r="F212" t="e">
        <f>#REF!</f>
        <v>#REF!</v>
      </c>
      <c r="G212" t="e">
        <f>#REF!</f>
        <v>#REF!</v>
      </c>
      <c r="H212" t="e">
        <f>#REF!</f>
        <v>#REF!</v>
      </c>
    </row>
    <row r="213" spans="1:8">
      <c r="A213" t="e">
        <f>#REF!</f>
        <v>#REF!</v>
      </c>
      <c r="B213" t="e">
        <f>#REF!</f>
        <v>#REF!</v>
      </c>
      <c r="C213" t="e">
        <f>#REF!</f>
        <v>#REF!</v>
      </c>
      <c r="D213" t="e">
        <f>#REF!</f>
        <v>#REF!</v>
      </c>
      <c r="E213" t="e">
        <f>#REF!</f>
        <v>#REF!</v>
      </c>
      <c r="F213" t="e">
        <f>#REF!</f>
        <v>#REF!</v>
      </c>
      <c r="G213" t="e">
        <f>#REF!</f>
        <v>#REF!</v>
      </c>
      <c r="H213" t="e">
        <f>#REF!</f>
        <v>#REF!</v>
      </c>
    </row>
    <row r="214" spans="1:8">
      <c r="A214" t="e">
        <f>#REF!</f>
        <v>#REF!</v>
      </c>
      <c r="B214" t="e">
        <f>#REF!</f>
        <v>#REF!</v>
      </c>
      <c r="C214" t="e">
        <f>#REF!</f>
        <v>#REF!</v>
      </c>
      <c r="D214" t="e">
        <f>#REF!</f>
        <v>#REF!</v>
      </c>
      <c r="E214" t="e">
        <f>#REF!</f>
        <v>#REF!</v>
      </c>
      <c r="F214" t="e">
        <f>#REF!</f>
        <v>#REF!</v>
      </c>
      <c r="G214" t="e">
        <f>#REF!</f>
        <v>#REF!</v>
      </c>
      <c r="H214" t="e">
        <f>#REF!</f>
        <v>#REF!</v>
      </c>
    </row>
    <row r="215" spans="1:8">
      <c r="A215" t="e">
        <f>#REF!</f>
        <v>#REF!</v>
      </c>
      <c r="B215" t="e">
        <f>#REF!</f>
        <v>#REF!</v>
      </c>
      <c r="C215" t="e">
        <f>#REF!</f>
        <v>#REF!</v>
      </c>
      <c r="D215" t="e">
        <f>#REF!</f>
        <v>#REF!</v>
      </c>
      <c r="E215" t="e">
        <f>#REF!</f>
        <v>#REF!</v>
      </c>
      <c r="F215" t="e">
        <f>#REF!</f>
        <v>#REF!</v>
      </c>
      <c r="G215" t="e">
        <f>#REF!</f>
        <v>#REF!</v>
      </c>
      <c r="H215" t="e">
        <f>#REF!</f>
        <v>#REF!</v>
      </c>
    </row>
    <row r="216" spans="1:8">
      <c r="A216" t="e">
        <f>#REF!</f>
        <v>#REF!</v>
      </c>
      <c r="B216" t="e">
        <f>#REF!</f>
        <v>#REF!</v>
      </c>
      <c r="C216" t="e">
        <f>#REF!</f>
        <v>#REF!</v>
      </c>
      <c r="D216" t="e">
        <f>#REF!</f>
        <v>#REF!</v>
      </c>
      <c r="E216" t="e">
        <f>#REF!</f>
        <v>#REF!</v>
      </c>
      <c r="F216" t="e">
        <f>#REF!</f>
        <v>#REF!</v>
      </c>
      <c r="G216" t="e">
        <f>#REF!</f>
        <v>#REF!</v>
      </c>
      <c r="H216" t="e">
        <f>#REF!</f>
        <v>#REF!</v>
      </c>
    </row>
    <row r="217" spans="1:8">
      <c r="A217" t="e">
        <f>#REF!</f>
        <v>#REF!</v>
      </c>
      <c r="B217" t="e">
        <f>#REF!</f>
        <v>#REF!</v>
      </c>
      <c r="C217" t="e">
        <f>#REF!</f>
        <v>#REF!</v>
      </c>
      <c r="D217" t="e">
        <f>#REF!</f>
        <v>#REF!</v>
      </c>
      <c r="E217" t="e">
        <f>#REF!</f>
        <v>#REF!</v>
      </c>
      <c r="F217" t="e">
        <f>#REF!</f>
        <v>#REF!</v>
      </c>
      <c r="G217" t="e">
        <f>#REF!</f>
        <v>#REF!</v>
      </c>
      <c r="H217" t="e">
        <f>#REF!</f>
        <v>#REF!</v>
      </c>
    </row>
    <row r="218" spans="1:8">
      <c r="A218" t="e">
        <f>#REF!</f>
        <v>#REF!</v>
      </c>
      <c r="B218" t="e">
        <f>#REF!</f>
        <v>#REF!</v>
      </c>
      <c r="C218" t="e">
        <f>#REF!</f>
        <v>#REF!</v>
      </c>
      <c r="D218" t="e">
        <f>#REF!</f>
        <v>#REF!</v>
      </c>
      <c r="E218" t="e">
        <f>#REF!</f>
        <v>#REF!</v>
      </c>
      <c r="F218" t="e">
        <f>#REF!</f>
        <v>#REF!</v>
      </c>
      <c r="G218" t="e">
        <f>#REF!</f>
        <v>#REF!</v>
      </c>
      <c r="H218" t="e">
        <f>#REF!</f>
        <v>#REF!</v>
      </c>
    </row>
    <row r="219" spans="1:8">
      <c r="A219" t="e">
        <f>#REF!</f>
        <v>#REF!</v>
      </c>
      <c r="B219" t="e">
        <f>#REF!</f>
        <v>#REF!</v>
      </c>
      <c r="C219" t="e">
        <f>#REF!</f>
        <v>#REF!</v>
      </c>
      <c r="D219" t="e">
        <f>#REF!</f>
        <v>#REF!</v>
      </c>
      <c r="E219" t="e">
        <f>#REF!</f>
        <v>#REF!</v>
      </c>
      <c r="F219" t="e">
        <f>#REF!</f>
        <v>#REF!</v>
      </c>
      <c r="G219" t="e">
        <f>#REF!</f>
        <v>#REF!</v>
      </c>
      <c r="H219" t="e">
        <f>#REF!</f>
        <v>#REF!</v>
      </c>
    </row>
    <row r="220" spans="1:8">
      <c r="A220" t="e">
        <f>#REF!</f>
        <v>#REF!</v>
      </c>
      <c r="B220" t="e">
        <f>#REF!</f>
        <v>#REF!</v>
      </c>
      <c r="C220" t="e">
        <f>#REF!</f>
        <v>#REF!</v>
      </c>
      <c r="D220" t="e">
        <f>#REF!</f>
        <v>#REF!</v>
      </c>
      <c r="E220" t="e">
        <f>#REF!</f>
        <v>#REF!</v>
      </c>
      <c r="F220" t="e">
        <f>#REF!</f>
        <v>#REF!</v>
      </c>
      <c r="G220" t="e">
        <f>#REF!</f>
        <v>#REF!</v>
      </c>
      <c r="H220" t="e">
        <f>#REF!</f>
        <v>#REF!</v>
      </c>
    </row>
    <row r="221" spans="1:8">
      <c r="A221" t="e">
        <f>#REF!</f>
        <v>#REF!</v>
      </c>
      <c r="B221" t="e">
        <f>#REF!</f>
        <v>#REF!</v>
      </c>
      <c r="C221" t="e">
        <f>#REF!</f>
        <v>#REF!</v>
      </c>
      <c r="D221" t="e">
        <f>#REF!</f>
        <v>#REF!</v>
      </c>
      <c r="E221" t="e">
        <f>#REF!</f>
        <v>#REF!</v>
      </c>
      <c r="F221" t="e">
        <f>#REF!</f>
        <v>#REF!</v>
      </c>
      <c r="G221" t="e">
        <f>#REF!</f>
        <v>#REF!</v>
      </c>
      <c r="H221" t="e">
        <f>#REF!</f>
        <v>#REF!</v>
      </c>
    </row>
    <row r="222" spans="1:8">
      <c r="A222" t="e">
        <f>#REF!</f>
        <v>#REF!</v>
      </c>
      <c r="B222" t="e">
        <f>#REF!</f>
        <v>#REF!</v>
      </c>
      <c r="C222" t="e">
        <f>#REF!</f>
        <v>#REF!</v>
      </c>
      <c r="D222" t="e">
        <f>#REF!</f>
        <v>#REF!</v>
      </c>
      <c r="E222" t="e">
        <f>#REF!</f>
        <v>#REF!</v>
      </c>
      <c r="F222" t="e">
        <f>#REF!</f>
        <v>#REF!</v>
      </c>
      <c r="G222" t="e">
        <f>#REF!</f>
        <v>#REF!</v>
      </c>
      <c r="H222" t="e">
        <f>#REF!</f>
        <v>#REF!</v>
      </c>
    </row>
    <row r="223" spans="1:8">
      <c r="A223" t="e">
        <f>#REF!</f>
        <v>#REF!</v>
      </c>
      <c r="B223" t="e">
        <f>#REF!</f>
        <v>#REF!</v>
      </c>
      <c r="C223" t="e">
        <f>#REF!</f>
        <v>#REF!</v>
      </c>
      <c r="D223" t="e">
        <f>#REF!</f>
        <v>#REF!</v>
      </c>
      <c r="E223" t="e">
        <f>#REF!</f>
        <v>#REF!</v>
      </c>
      <c r="F223" t="e">
        <f>#REF!</f>
        <v>#REF!</v>
      </c>
      <c r="G223" t="e">
        <f>#REF!</f>
        <v>#REF!</v>
      </c>
      <c r="H223" t="e">
        <f>#REF!</f>
        <v>#REF!</v>
      </c>
    </row>
    <row r="224" spans="1:8">
      <c r="A224" t="e">
        <f>#REF!</f>
        <v>#REF!</v>
      </c>
      <c r="B224" t="e">
        <f>#REF!</f>
        <v>#REF!</v>
      </c>
      <c r="C224" t="e">
        <f>#REF!</f>
        <v>#REF!</v>
      </c>
      <c r="D224" t="e">
        <f>#REF!</f>
        <v>#REF!</v>
      </c>
      <c r="E224" t="e">
        <f>#REF!</f>
        <v>#REF!</v>
      </c>
      <c r="F224" t="e">
        <f>#REF!</f>
        <v>#REF!</v>
      </c>
      <c r="G224" t="e">
        <f>#REF!</f>
        <v>#REF!</v>
      </c>
      <c r="H224" t="e">
        <f>#REF!</f>
        <v>#REF!</v>
      </c>
    </row>
    <row r="225" spans="1:8">
      <c r="A225" t="e">
        <f>#REF!</f>
        <v>#REF!</v>
      </c>
      <c r="B225" t="e">
        <f>#REF!</f>
        <v>#REF!</v>
      </c>
      <c r="C225" t="e">
        <f>#REF!</f>
        <v>#REF!</v>
      </c>
      <c r="D225" t="e">
        <f>#REF!</f>
        <v>#REF!</v>
      </c>
      <c r="E225" t="e">
        <f>#REF!</f>
        <v>#REF!</v>
      </c>
      <c r="F225" t="e">
        <f>#REF!</f>
        <v>#REF!</v>
      </c>
      <c r="G225" t="e">
        <f>#REF!</f>
        <v>#REF!</v>
      </c>
      <c r="H225" t="e">
        <f>#REF!</f>
        <v>#REF!</v>
      </c>
    </row>
    <row r="226" spans="1:8">
      <c r="A226" t="e">
        <f>#REF!</f>
        <v>#REF!</v>
      </c>
      <c r="B226" t="e">
        <f>#REF!</f>
        <v>#REF!</v>
      </c>
      <c r="C226" t="e">
        <f>#REF!</f>
        <v>#REF!</v>
      </c>
      <c r="D226" t="e">
        <f>#REF!</f>
        <v>#REF!</v>
      </c>
      <c r="E226" t="e">
        <f>#REF!</f>
        <v>#REF!</v>
      </c>
      <c r="F226" t="e">
        <f>#REF!</f>
        <v>#REF!</v>
      </c>
      <c r="G226" t="e">
        <f>#REF!</f>
        <v>#REF!</v>
      </c>
      <c r="H226" t="e">
        <f>#REF!</f>
        <v>#REF!</v>
      </c>
    </row>
    <row r="227" spans="1:8">
      <c r="A227" t="e">
        <f>#REF!</f>
        <v>#REF!</v>
      </c>
      <c r="B227" t="e">
        <f>#REF!</f>
        <v>#REF!</v>
      </c>
      <c r="C227" t="e">
        <f>#REF!</f>
        <v>#REF!</v>
      </c>
      <c r="D227" t="e">
        <f>#REF!</f>
        <v>#REF!</v>
      </c>
      <c r="E227" t="e">
        <f>#REF!</f>
        <v>#REF!</v>
      </c>
      <c r="F227" t="e">
        <f>#REF!</f>
        <v>#REF!</v>
      </c>
      <c r="G227" t="e">
        <f>#REF!</f>
        <v>#REF!</v>
      </c>
      <c r="H227" t="e">
        <f>#REF!</f>
        <v>#REF!</v>
      </c>
    </row>
    <row r="228" spans="1:8">
      <c r="A228" t="e">
        <f>#REF!</f>
        <v>#REF!</v>
      </c>
      <c r="B228" t="e">
        <f>#REF!</f>
        <v>#REF!</v>
      </c>
      <c r="C228" t="e">
        <f>#REF!</f>
        <v>#REF!</v>
      </c>
      <c r="D228" t="e">
        <f>#REF!</f>
        <v>#REF!</v>
      </c>
      <c r="E228" t="e">
        <f>#REF!</f>
        <v>#REF!</v>
      </c>
      <c r="F228" t="e">
        <f>#REF!</f>
        <v>#REF!</v>
      </c>
      <c r="G228" t="e">
        <f>#REF!</f>
        <v>#REF!</v>
      </c>
      <c r="H228" t="e">
        <f>#REF!</f>
        <v>#REF!</v>
      </c>
    </row>
    <row r="229" spans="1:8">
      <c r="A229" t="e">
        <f>#REF!</f>
        <v>#REF!</v>
      </c>
      <c r="B229" t="e">
        <f>#REF!</f>
        <v>#REF!</v>
      </c>
      <c r="C229" t="e">
        <f>#REF!</f>
        <v>#REF!</v>
      </c>
      <c r="D229" t="e">
        <f>#REF!</f>
        <v>#REF!</v>
      </c>
      <c r="E229" t="e">
        <f>#REF!</f>
        <v>#REF!</v>
      </c>
      <c r="F229" t="e">
        <f>#REF!</f>
        <v>#REF!</v>
      </c>
      <c r="G229" t="e">
        <f>#REF!</f>
        <v>#REF!</v>
      </c>
      <c r="H229" t="e">
        <f>#REF!</f>
        <v>#REF!</v>
      </c>
    </row>
    <row r="230" spans="1:8">
      <c r="A230" t="e">
        <f>#REF!</f>
        <v>#REF!</v>
      </c>
      <c r="B230" t="e">
        <f>#REF!</f>
        <v>#REF!</v>
      </c>
      <c r="C230" t="e">
        <f>#REF!</f>
        <v>#REF!</v>
      </c>
      <c r="D230" t="e">
        <f>#REF!</f>
        <v>#REF!</v>
      </c>
      <c r="E230" t="e">
        <f>#REF!</f>
        <v>#REF!</v>
      </c>
      <c r="F230" t="e">
        <f>#REF!</f>
        <v>#REF!</v>
      </c>
      <c r="G230" t="e">
        <f>#REF!</f>
        <v>#REF!</v>
      </c>
      <c r="H230" t="e">
        <f>#REF!</f>
        <v>#REF!</v>
      </c>
    </row>
    <row r="231" spans="1:8">
      <c r="A231" t="e">
        <f>#REF!</f>
        <v>#REF!</v>
      </c>
      <c r="B231" t="e">
        <f>#REF!</f>
        <v>#REF!</v>
      </c>
      <c r="C231" t="e">
        <f>#REF!</f>
        <v>#REF!</v>
      </c>
      <c r="D231" t="e">
        <f>#REF!</f>
        <v>#REF!</v>
      </c>
      <c r="E231" t="e">
        <f>#REF!</f>
        <v>#REF!</v>
      </c>
      <c r="F231" t="e">
        <f>#REF!</f>
        <v>#REF!</v>
      </c>
      <c r="G231" t="e">
        <f>#REF!</f>
        <v>#REF!</v>
      </c>
      <c r="H231" t="e">
        <f>#REF!</f>
        <v>#REF!</v>
      </c>
    </row>
    <row r="232" spans="1:8">
      <c r="A232" t="e">
        <f>#REF!</f>
        <v>#REF!</v>
      </c>
      <c r="B232" t="e">
        <f>#REF!</f>
        <v>#REF!</v>
      </c>
      <c r="C232" t="e">
        <f>#REF!</f>
        <v>#REF!</v>
      </c>
      <c r="D232" t="e">
        <f>#REF!</f>
        <v>#REF!</v>
      </c>
      <c r="E232" t="e">
        <f>#REF!</f>
        <v>#REF!</v>
      </c>
      <c r="F232" t="e">
        <f>#REF!</f>
        <v>#REF!</v>
      </c>
      <c r="G232" t="e">
        <f>#REF!</f>
        <v>#REF!</v>
      </c>
      <c r="H232" t="e">
        <f>#REF!</f>
        <v>#REF!</v>
      </c>
    </row>
    <row r="233" spans="1:8">
      <c r="A233" t="e">
        <f>#REF!</f>
        <v>#REF!</v>
      </c>
      <c r="B233" t="e">
        <f>#REF!</f>
        <v>#REF!</v>
      </c>
      <c r="C233" t="e">
        <f>#REF!</f>
        <v>#REF!</v>
      </c>
      <c r="D233" t="e">
        <f>#REF!</f>
        <v>#REF!</v>
      </c>
      <c r="E233" t="e">
        <f>#REF!</f>
        <v>#REF!</v>
      </c>
      <c r="F233" t="e">
        <f>#REF!</f>
        <v>#REF!</v>
      </c>
      <c r="G233" t="e">
        <f>#REF!</f>
        <v>#REF!</v>
      </c>
      <c r="H233" t="e">
        <f>#REF!</f>
        <v>#REF!</v>
      </c>
    </row>
    <row r="234" spans="1:8">
      <c r="A234" t="e">
        <f>#REF!</f>
        <v>#REF!</v>
      </c>
      <c r="B234" t="e">
        <f>#REF!</f>
        <v>#REF!</v>
      </c>
      <c r="C234" t="e">
        <f>#REF!</f>
        <v>#REF!</v>
      </c>
      <c r="D234" t="e">
        <f>#REF!</f>
        <v>#REF!</v>
      </c>
      <c r="E234" t="e">
        <f>#REF!</f>
        <v>#REF!</v>
      </c>
      <c r="F234" t="e">
        <f>#REF!</f>
        <v>#REF!</v>
      </c>
      <c r="G234" t="e">
        <f>#REF!</f>
        <v>#REF!</v>
      </c>
      <c r="H234" t="e">
        <f>#REF!</f>
        <v>#REF!</v>
      </c>
    </row>
    <row r="235" spans="1:8">
      <c r="A235" t="e">
        <f>#REF!</f>
        <v>#REF!</v>
      </c>
      <c r="B235" t="e">
        <f>#REF!</f>
        <v>#REF!</v>
      </c>
      <c r="C235" t="e">
        <f>#REF!</f>
        <v>#REF!</v>
      </c>
      <c r="D235" t="e">
        <f>#REF!</f>
        <v>#REF!</v>
      </c>
      <c r="E235" t="e">
        <f>#REF!</f>
        <v>#REF!</v>
      </c>
      <c r="F235" t="e">
        <f>#REF!</f>
        <v>#REF!</v>
      </c>
      <c r="G235" t="e">
        <f>#REF!</f>
        <v>#REF!</v>
      </c>
      <c r="H235" t="e">
        <f>#REF!</f>
        <v>#REF!</v>
      </c>
    </row>
    <row r="236" spans="1:8">
      <c r="A236" t="e">
        <f>#REF!</f>
        <v>#REF!</v>
      </c>
      <c r="B236" t="e">
        <f>#REF!</f>
        <v>#REF!</v>
      </c>
      <c r="C236" t="e">
        <f>#REF!</f>
        <v>#REF!</v>
      </c>
      <c r="D236" t="e">
        <f>#REF!</f>
        <v>#REF!</v>
      </c>
      <c r="E236" t="e">
        <f>#REF!</f>
        <v>#REF!</v>
      </c>
      <c r="F236" t="e">
        <f>#REF!</f>
        <v>#REF!</v>
      </c>
      <c r="G236" t="e">
        <f>#REF!</f>
        <v>#REF!</v>
      </c>
      <c r="H236" t="e">
        <f>#REF!</f>
        <v>#REF!</v>
      </c>
    </row>
    <row r="237" spans="1:8">
      <c r="A237" t="e">
        <f>#REF!</f>
        <v>#REF!</v>
      </c>
      <c r="B237" t="e">
        <f>#REF!</f>
        <v>#REF!</v>
      </c>
      <c r="C237" t="e">
        <f>#REF!</f>
        <v>#REF!</v>
      </c>
      <c r="D237" t="e">
        <f>#REF!</f>
        <v>#REF!</v>
      </c>
      <c r="E237" t="e">
        <f>#REF!</f>
        <v>#REF!</v>
      </c>
      <c r="F237" t="e">
        <f>#REF!</f>
        <v>#REF!</v>
      </c>
      <c r="G237" t="e">
        <f>#REF!</f>
        <v>#REF!</v>
      </c>
      <c r="H237" t="e">
        <f>#REF!</f>
        <v>#REF!</v>
      </c>
    </row>
    <row r="238" spans="1:8">
      <c r="A238" t="e">
        <f>#REF!</f>
        <v>#REF!</v>
      </c>
      <c r="B238" t="e">
        <f>#REF!</f>
        <v>#REF!</v>
      </c>
      <c r="C238" t="e">
        <f>#REF!</f>
        <v>#REF!</v>
      </c>
      <c r="D238" t="e">
        <f>#REF!</f>
        <v>#REF!</v>
      </c>
      <c r="E238" t="e">
        <f>#REF!</f>
        <v>#REF!</v>
      </c>
      <c r="F238" t="e">
        <f>#REF!</f>
        <v>#REF!</v>
      </c>
      <c r="G238" t="e">
        <f>#REF!</f>
        <v>#REF!</v>
      </c>
      <c r="H238" t="e">
        <f>#REF!</f>
        <v>#REF!</v>
      </c>
    </row>
    <row r="239" spans="1:8">
      <c r="A239" t="e">
        <f>#REF!</f>
        <v>#REF!</v>
      </c>
      <c r="B239" t="e">
        <f>#REF!</f>
        <v>#REF!</v>
      </c>
      <c r="C239" t="e">
        <f>#REF!</f>
        <v>#REF!</v>
      </c>
      <c r="D239" t="e">
        <f>#REF!</f>
        <v>#REF!</v>
      </c>
      <c r="E239" t="e">
        <f>#REF!</f>
        <v>#REF!</v>
      </c>
      <c r="F239" t="e">
        <f>#REF!</f>
        <v>#REF!</v>
      </c>
      <c r="G239" t="e">
        <f>#REF!</f>
        <v>#REF!</v>
      </c>
      <c r="H239" t="e">
        <f>#REF!</f>
        <v>#REF!</v>
      </c>
    </row>
    <row r="240" spans="1:8">
      <c r="A240" t="e">
        <f>#REF!</f>
        <v>#REF!</v>
      </c>
      <c r="B240" t="e">
        <f>#REF!</f>
        <v>#REF!</v>
      </c>
      <c r="C240" t="e">
        <f>#REF!</f>
        <v>#REF!</v>
      </c>
      <c r="D240" t="e">
        <f>#REF!</f>
        <v>#REF!</v>
      </c>
      <c r="E240" t="e">
        <f>#REF!</f>
        <v>#REF!</v>
      </c>
      <c r="F240" t="e">
        <f>#REF!</f>
        <v>#REF!</v>
      </c>
      <c r="G240" t="e">
        <f>#REF!</f>
        <v>#REF!</v>
      </c>
      <c r="H240" t="e">
        <f>#REF!</f>
        <v>#REF!</v>
      </c>
    </row>
    <row r="241" spans="1:8">
      <c r="A241" t="e">
        <f>#REF!</f>
        <v>#REF!</v>
      </c>
      <c r="B241" t="e">
        <f>#REF!</f>
        <v>#REF!</v>
      </c>
      <c r="C241" t="e">
        <f>#REF!</f>
        <v>#REF!</v>
      </c>
      <c r="D241" t="e">
        <f>#REF!</f>
        <v>#REF!</v>
      </c>
      <c r="E241" t="e">
        <f>#REF!</f>
        <v>#REF!</v>
      </c>
      <c r="F241" t="e">
        <f>#REF!</f>
        <v>#REF!</v>
      </c>
      <c r="G241" t="e">
        <f>#REF!</f>
        <v>#REF!</v>
      </c>
      <c r="H241" t="e">
        <f>#REF!</f>
        <v>#REF!</v>
      </c>
    </row>
    <row r="242" spans="1:8">
      <c r="A242" t="e">
        <f>#REF!</f>
        <v>#REF!</v>
      </c>
      <c r="B242" t="e">
        <f>#REF!</f>
        <v>#REF!</v>
      </c>
      <c r="C242" t="e">
        <f>#REF!</f>
        <v>#REF!</v>
      </c>
      <c r="D242" t="e">
        <f>#REF!</f>
        <v>#REF!</v>
      </c>
      <c r="E242" t="e">
        <f>#REF!</f>
        <v>#REF!</v>
      </c>
      <c r="F242" t="e">
        <f>#REF!</f>
        <v>#REF!</v>
      </c>
      <c r="G242" t="e">
        <f>#REF!</f>
        <v>#REF!</v>
      </c>
      <c r="H242" t="e">
        <f>#REF!</f>
        <v>#REF!</v>
      </c>
    </row>
    <row r="243" spans="1:8">
      <c r="A243" t="e">
        <f>#REF!</f>
        <v>#REF!</v>
      </c>
      <c r="B243" t="e">
        <f>#REF!</f>
        <v>#REF!</v>
      </c>
      <c r="C243" t="e">
        <f>#REF!</f>
        <v>#REF!</v>
      </c>
      <c r="D243" t="e">
        <f>#REF!</f>
        <v>#REF!</v>
      </c>
      <c r="E243" t="e">
        <f>#REF!</f>
        <v>#REF!</v>
      </c>
      <c r="F243" t="e">
        <f>#REF!</f>
        <v>#REF!</v>
      </c>
      <c r="G243" t="e">
        <f>#REF!</f>
        <v>#REF!</v>
      </c>
      <c r="H243" t="e">
        <f>#REF!</f>
        <v>#REF!</v>
      </c>
    </row>
    <row r="244" spans="1:8">
      <c r="A244" t="e">
        <f>#REF!</f>
        <v>#REF!</v>
      </c>
      <c r="B244" t="e">
        <f>#REF!</f>
        <v>#REF!</v>
      </c>
      <c r="C244" t="e">
        <f>#REF!</f>
        <v>#REF!</v>
      </c>
      <c r="D244" t="e">
        <f>#REF!</f>
        <v>#REF!</v>
      </c>
      <c r="E244" t="e">
        <f>#REF!</f>
        <v>#REF!</v>
      </c>
      <c r="F244" t="e">
        <f>#REF!</f>
        <v>#REF!</v>
      </c>
      <c r="G244" t="e">
        <f>#REF!</f>
        <v>#REF!</v>
      </c>
      <c r="H244" t="e">
        <f>#REF!</f>
        <v>#REF!</v>
      </c>
    </row>
    <row r="245" spans="1:8">
      <c r="A245" t="e">
        <f>#REF!</f>
        <v>#REF!</v>
      </c>
      <c r="B245" t="e">
        <f>#REF!</f>
        <v>#REF!</v>
      </c>
      <c r="C245" t="e">
        <f>#REF!</f>
        <v>#REF!</v>
      </c>
      <c r="D245" t="e">
        <f>#REF!</f>
        <v>#REF!</v>
      </c>
      <c r="E245" t="e">
        <f>#REF!</f>
        <v>#REF!</v>
      </c>
      <c r="F245" t="e">
        <f>#REF!</f>
        <v>#REF!</v>
      </c>
      <c r="G245" t="e">
        <f>#REF!</f>
        <v>#REF!</v>
      </c>
      <c r="H245" t="e">
        <f>#REF!</f>
        <v>#REF!</v>
      </c>
    </row>
    <row r="246" spans="1:8">
      <c r="A246" t="e">
        <f>#REF!</f>
        <v>#REF!</v>
      </c>
      <c r="B246" t="e">
        <f>#REF!</f>
        <v>#REF!</v>
      </c>
      <c r="C246" t="e">
        <f>#REF!</f>
        <v>#REF!</v>
      </c>
      <c r="D246" t="e">
        <f>#REF!</f>
        <v>#REF!</v>
      </c>
      <c r="E246" t="e">
        <f>#REF!</f>
        <v>#REF!</v>
      </c>
      <c r="F246" t="e">
        <f>#REF!</f>
        <v>#REF!</v>
      </c>
      <c r="G246" t="e">
        <f>#REF!</f>
        <v>#REF!</v>
      </c>
      <c r="H246" t="e">
        <f>#REF!</f>
        <v>#REF!</v>
      </c>
    </row>
    <row r="247" spans="1:8">
      <c r="A247" t="e">
        <f>#REF!</f>
        <v>#REF!</v>
      </c>
      <c r="B247" t="e">
        <f>#REF!</f>
        <v>#REF!</v>
      </c>
      <c r="C247" t="e">
        <f>#REF!</f>
        <v>#REF!</v>
      </c>
      <c r="D247" t="e">
        <f>#REF!</f>
        <v>#REF!</v>
      </c>
      <c r="E247" t="e">
        <f>#REF!</f>
        <v>#REF!</v>
      </c>
      <c r="F247" t="e">
        <f>#REF!</f>
        <v>#REF!</v>
      </c>
      <c r="G247" t="e">
        <f>#REF!</f>
        <v>#REF!</v>
      </c>
      <c r="H247" t="e">
        <f>#REF!</f>
        <v>#REF!</v>
      </c>
    </row>
    <row r="248" spans="1:8">
      <c r="A248" t="e">
        <f>#REF!</f>
        <v>#REF!</v>
      </c>
      <c r="B248" t="e">
        <f>#REF!</f>
        <v>#REF!</v>
      </c>
      <c r="C248" t="e">
        <f>#REF!</f>
        <v>#REF!</v>
      </c>
      <c r="D248" t="e">
        <f>#REF!</f>
        <v>#REF!</v>
      </c>
      <c r="E248" t="e">
        <f>#REF!</f>
        <v>#REF!</v>
      </c>
      <c r="F248" t="e">
        <f>#REF!</f>
        <v>#REF!</v>
      </c>
      <c r="G248" t="e">
        <f>#REF!</f>
        <v>#REF!</v>
      </c>
      <c r="H248" t="e">
        <f>#REF!</f>
        <v>#REF!</v>
      </c>
    </row>
    <row r="249" spans="1:8">
      <c r="A249" t="e">
        <f>#REF!</f>
        <v>#REF!</v>
      </c>
      <c r="B249" t="e">
        <f>#REF!</f>
        <v>#REF!</v>
      </c>
      <c r="C249" t="e">
        <f>#REF!</f>
        <v>#REF!</v>
      </c>
      <c r="D249" t="e">
        <f>#REF!</f>
        <v>#REF!</v>
      </c>
      <c r="E249" t="e">
        <f>#REF!</f>
        <v>#REF!</v>
      </c>
      <c r="F249" t="e">
        <f>#REF!</f>
        <v>#REF!</v>
      </c>
      <c r="G249" t="e">
        <f>#REF!</f>
        <v>#REF!</v>
      </c>
      <c r="H249" t="e">
        <f>#REF!</f>
        <v>#REF!</v>
      </c>
    </row>
    <row r="250" spans="1:8">
      <c r="A250" t="e">
        <f>#REF!</f>
        <v>#REF!</v>
      </c>
      <c r="B250" t="e">
        <f>#REF!</f>
        <v>#REF!</v>
      </c>
      <c r="C250" t="e">
        <f>#REF!</f>
        <v>#REF!</v>
      </c>
      <c r="D250" t="e">
        <f>#REF!</f>
        <v>#REF!</v>
      </c>
      <c r="E250" t="e">
        <f>#REF!</f>
        <v>#REF!</v>
      </c>
      <c r="F250" t="e">
        <f>#REF!</f>
        <v>#REF!</v>
      </c>
      <c r="G250" t="e">
        <f>#REF!</f>
        <v>#REF!</v>
      </c>
      <c r="H250" t="e">
        <f>#REF!</f>
        <v>#REF!</v>
      </c>
    </row>
    <row r="251" spans="1:8">
      <c r="A251" t="e">
        <f>#REF!</f>
        <v>#REF!</v>
      </c>
      <c r="B251" t="e">
        <f>#REF!</f>
        <v>#REF!</v>
      </c>
      <c r="C251" t="e">
        <f>#REF!</f>
        <v>#REF!</v>
      </c>
      <c r="D251" t="e">
        <f>#REF!</f>
        <v>#REF!</v>
      </c>
      <c r="E251" t="e">
        <f>#REF!</f>
        <v>#REF!</v>
      </c>
      <c r="F251" t="e">
        <f>#REF!</f>
        <v>#REF!</v>
      </c>
      <c r="G251" t="e">
        <f>#REF!</f>
        <v>#REF!</v>
      </c>
      <c r="H251" t="e">
        <f>#REF!</f>
        <v>#REF!</v>
      </c>
    </row>
    <row r="252" spans="1:8">
      <c r="A252" t="e">
        <f>#REF!</f>
        <v>#REF!</v>
      </c>
      <c r="B252" t="e">
        <f>#REF!</f>
        <v>#REF!</v>
      </c>
      <c r="C252" t="e">
        <f>#REF!</f>
        <v>#REF!</v>
      </c>
      <c r="D252" t="e">
        <f>#REF!</f>
        <v>#REF!</v>
      </c>
      <c r="E252" t="e">
        <f>#REF!</f>
        <v>#REF!</v>
      </c>
      <c r="F252" t="e">
        <f>#REF!</f>
        <v>#REF!</v>
      </c>
      <c r="G252" t="e">
        <f>#REF!</f>
        <v>#REF!</v>
      </c>
      <c r="H252" t="e">
        <f>#REF!</f>
        <v>#REF!</v>
      </c>
    </row>
    <row r="253" spans="1:8">
      <c r="A253" t="e">
        <f>#REF!</f>
        <v>#REF!</v>
      </c>
      <c r="B253" t="e">
        <f>#REF!</f>
        <v>#REF!</v>
      </c>
      <c r="C253" t="e">
        <f>#REF!</f>
        <v>#REF!</v>
      </c>
      <c r="D253" t="e">
        <f>#REF!</f>
        <v>#REF!</v>
      </c>
      <c r="E253" t="e">
        <f>#REF!</f>
        <v>#REF!</v>
      </c>
      <c r="F253" t="e">
        <f>#REF!</f>
        <v>#REF!</v>
      </c>
      <c r="G253" t="e">
        <f>#REF!</f>
        <v>#REF!</v>
      </c>
      <c r="H253" t="e">
        <f>#REF!</f>
        <v>#REF!</v>
      </c>
    </row>
    <row r="254" spans="1:8">
      <c r="A254" t="e">
        <f>#REF!</f>
        <v>#REF!</v>
      </c>
      <c r="B254" t="e">
        <f>#REF!</f>
        <v>#REF!</v>
      </c>
      <c r="C254" t="e">
        <f>#REF!</f>
        <v>#REF!</v>
      </c>
      <c r="D254" t="e">
        <f>#REF!</f>
        <v>#REF!</v>
      </c>
      <c r="E254" t="e">
        <f>#REF!</f>
        <v>#REF!</v>
      </c>
      <c r="F254" t="e">
        <f>#REF!</f>
        <v>#REF!</v>
      </c>
      <c r="G254" t="e">
        <f>#REF!</f>
        <v>#REF!</v>
      </c>
      <c r="H254" t="e">
        <f>#REF!</f>
        <v>#REF!</v>
      </c>
    </row>
    <row r="255" spans="1:8">
      <c r="A255" t="e">
        <f>#REF!</f>
        <v>#REF!</v>
      </c>
      <c r="B255" t="e">
        <f>#REF!</f>
        <v>#REF!</v>
      </c>
      <c r="C255" t="e">
        <f>#REF!</f>
        <v>#REF!</v>
      </c>
      <c r="D255" t="e">
        <f>#REF!</f>
        <v>#REF!</v>
      </c>
      <c r="E255" t="e">
        <f>#REF!</f>
        <v>#REF!</v>
      </c>
      <c r="F255" t="e">
        <f>#REF!</f>
        <v>#REF!</v>
      </c>
      <c r="G255" t="e">
        <f>#REF!</f>
        <v>#REF!</v>
      </c>
      <c r="H255" t="e">
        <f>#REF!</f>
        <v>#REF!</v>
      </c>
    </row>
    <row r="256" spans="1:8">
      <c r="A256" t="e">
        <f>#REF!</f>
        <v>#REF!</v>
      </c>
      <c r="B256" t="e">
        <f>#REF!</f>
        <v>#REF!</v>
      </c>
      <c r="C256" t="e">
        <f>#REF!</f>
        <v>#REF!</v>
      </c>
      <c r="D256" t="e">
        <f>#REF!</f>
        <v>#REF!</v>
      </c>
      <c r="E256" t="e">
        <f>#REF!</f>
        <v>#REF!</v>
      </c>
      <c r="F256" t="e">
        <f>#REF!</f>
        <v>#REF!</v>
      </c>
      <c r="G256" t="e">
        <f>#REF!</f>
        <v>#REF!</v>
      </c>
      <c r="H256" t="e">
        <f>#REF!</f>
        <v>#REF!</v>
      </c>
    </row>
    <row r="257" spans="1:8">
      <c r="A257" t="e">
        <f>#REF!</f>
        <v>#REF!</v>
      </c>
      <c r="B257" t="e">
        <f>#REF!</f>
        <v>#REF!</v>
      </c>
      <c r="C257" t="e">
        <f>#REF!</f>
        <v>#REF!</v>
      </c>
      <c r="D257" t="e">
        <f>#REF!</f>
        <v>#REF!</v>
      </c>
      <c r="E257" t="e">
        <f>#REF!</f>
        <v>#REF!</v>
      </c>
      <c r="F257" t="e">
        <f>#REF!</f>
        <v>#REF!</v>
      </c>
      <c r="G257" t="e">
        <f>#REF!</f>
        <v>#REF!</v>
      </c>
      <c r="H257" t="e">
        <f>#REF!</f>
        <v>#REF!</v>
      </c>
    </row>
    <row r="258" spans="1:8">
      <c r="A258" t="e">
        <f>#REF!</f>
        <v>#REF!</v>
      </c>
      <c r="B258" t="e">
        <f>#REF!</f>
        <v>#REF!</v>
      </c>
      <c r="C258" t="e">
        <f>#REF!</f>
        <v>#REF!</v>
      </c>
      <c r="D258" t="e">
        <f>#REF!</f>
        <v>#REF!</v>
      </c>
      <c r="E258" t="e">
        <f>#REF!</f>
        <v>#REF!</v>
      </c>
      <c r="F258" t="e">
        <f>#REF!</f>
        <v>#REF!</v>
      </c>
      <c r="G258" t="e">
        <f>#REF!</f>
        <v>#REF!</v>
      </c>
      <c r="H258" t="e">
        <f>#REF!</f>
        <v>#REF!</v>
      </c>
    </row>
    <row r="259" spans="1:8">
      <c r="A259" t="e">
        <f>#REF!</f>
        <v>#REF!</v>
      </c>
      <c r="B259" t="e">
        <f>#REF!</f>
        <v>#REF!</v>
      </c>
      <c r="C259" t="e">
        <f>#REF!</f>
        <v>#REF!</v>
      </c>
      <c r="D259" t="e">
        <f>#REF!</f>
        <v>#REF!</v>
      </c>
      <c r="E259" t="e">
        <f>#REF!</f>
        <v>#REF!</v>
      </c>
      <c r="F259" t="e">
        <f>#REF!</f>
        <v>#REF!</v>
      </c>
      <c r="G259" t="e">
        <f>#REF!</f>
        <v>#REF!</v>
      </c>
      <c r="H259" t="e">
        <f>#REF!</f>
        <v>#REF!</v>
      </c>
    </row>
    <row r="260" spans="1:8">
      <c r="A260" t="e">
        <f>#REF!</f>
        <v>#REF!</v>
      </c>
      <c r="B260" t="e">
        <f>#REF!</f>
        <v>#REF!</v>
      </c>
      <c r="C260" t="e">
        <f>#REF!</f>
        <v>#REF!</v>
      </c>
      <c r="D260" t="e">
        <f>#REF!</f>
        <v>#REF!</v>
      </c>
      <c r="E260" t="e">
        <f>#REF!</f>
        <v>#REF!</v>
      </c>
      <c r="F260" t="e">
        <f>#REF!</f>
        <v>#REF!</v>
      </c>
      <c r="G260" t="e">
        <f>#REF!</f>
        <v>#REF!</v>
      </c>
      <c r="H260" t="e">
        <f>#REF!</f>
        <v>#REF!</v>
      </c>
    </row>
    <row r="261" spans="1:8">
      <c r="A261" t="e">
        <f>#REF!</f>
        <v>#REF!</v>
      </c>
      <c r="B261" t="e">
        <f>#REF!</f>
        <v>#REF!</v>
      </c>
      <c r="C261" t="e">
        <f>#REF!</f>
        <v>#REF!</v>
      </c>
      <c r="D261" t="e">
        <f>#REF!</f>
        <v>#REF!</v>
      </c>
      <c r="E261" t="e">
        <f>#REF!</f>
        <v>#REF!</v>
      </c>
      <c r="F261" t="e">
        <f>#REF!</f>
        <v>#REF!</v>
      </c>
      <c r="G261" t="e">
        <f>#REF!</f>
        <v>#REF!</v>
      </c>
      <c r="H261" t="e">
        <f>#REF!</f>
        <v>#REF!</v>
      </c>
    </row>
    <row r="262" spans="1:8">
      <c r="A262" t="e">
        <f>#REF!</f>
        <v>#REF!</v>
      </c>
      <c r="B262" t="e">
        <f>#REF!</f>
        <v>#REF!</v>
      </c>
      <c r="C262" t="e">
        <f>#REF!</f>
        <v>#REF!</v>
      </c>
      <c r="D262" t="e">
        <f>#REF!</f>
        <v>#REF!</v>
      </c>
      <c r="E262" t="e">
        <f>#REF!</f>
        <v>#REF!</v>
      </c>
      <c r="F262" t="e">
        <f>#REF!</f>
        <v>#REF!</v>
      </c>
      <c r="G262" t="e">
        <f>#REF!</f>
        <v>#REF!</v>
      </c>
      <c r="H262" t="e">
        <f>#REF!</f>
        <v>#REF!</v>
      </c>
    </row>
    <row r="263" spans="1:8">
      <c r="A263" t="e">
        <f>#REF!</f>
        <v>#REF!</v>
      </c>
      <c r="B263" t="e">
        <f>#REF!</f>
        <v>#REF!</v>
      </c>
      <c r="C263" t="e">
        <f>#REF!</f>
        <v>#REF!</v>
      </c>
      <c r="D263" t="e">
        <f>#REF!</f>
        <v>#REF!</v>
      </c>
      <c r="E263" t="e">
        <f>#REF!</f>
        <v>#REF!</v>
      </c>
      <c r="F263" t="e">
        <f>#REF!</f>
        <v>#REF!</v>
      </c>
      <c r="G263" t="e">
        <f>#REF!</f>
        <v>#REF!</v>
      </c>
      <c r="H263" t="e">
        <f>#REF!</f>
        <v>#REF!</v>
      </c>
    </row>
    <row r="264" spans="1:8">
      <c r="A264" t="e">
        <f>#REF!</f>
        <v>#REF!</v>
      </c>
      <c r="B264" t="e">
        <f>#REF!</f>
        <v>#REF!</v>
      </c>
      <c r="C264" t="e">
        <f>#REF!</f>
        <v>#REF!</v>
      </c>
      <c r="D264" t="e">
        <f>#REF!</f>
        <v>#REF!</v>
      </c>
      <c r="E264" t="e">
        <f>#REF!</f>
        <v>#REF!</v>
      </c>
      <c r="F264" t="e">
        <f>#REF!</f>
        <v>#REF!</v>
      </c>
      <c r="G264" t="e">
        <f>#REF!</f>
        <v>#REF!</v>
      </c>
      <c r="H264" t="e">
        <f>#REF!</f>
        <v>#REF!</v>
      </c>
    </row>
    <row r="265" spans="1:8">
      <c r="A265" t="e">
        <f>#REF!</f>
        <v>#REF!</v>
      </c>
      <c r="B265" t="e">
        <f>#REF!</f>
        <v>#REF!</v>
      </c>
      <c r="C265" t="e">
        <f>#REF!</f>
        <v>#REF!</v>
      </c>
      <c r="D265" t="e">
        <f>#REF!</f>
        <v>#REF!</v>
      </c>
      <c r="E265" t="e">
        <f>#REF!</f>
        <v>#REF!</v>
      </c>
      <c r="F265" t="e">
        <f>#REF!</f>
        <v>#REF!</v>
      </c>
      <c r="G265" t="e">
        <f>#REF!</f>
        <v>#REF!</v>
      </c>
      <c r="H265" t="e">
        <f>#REF!</f>
        <v>#REF!</v>
      </c>
    </row>
    <row r="266" spans="1:8">
      <c r="A266" t="e">
        <f>#REF!</f>
        <v>#REF!</v>
      </c>
      <c r="B266" t="e">
        <f>#REF!</f>
        <v>#REF!</v>
      </c>
      <c r="C266" t="e">
        <f>#REF!</f>
        <v>#REF!</v>
      </c>
      <c r="D266" t="e">
        <f>#REF!</f>
        <v>#REF!</v>
      </c>
      <c r="E266" t="e">
        <f>#REF!</f>
        <v>#REF!</v>
      </c>
      <c r="F266" t="e">
        <f>#REF!</f>
        <v>#REF!</v>
      </c>
      <c r="G266" t="e">
        <f>#REF!</f>
        <v>#REF!</v>
      </c>
      <c r="H266" t="e">
        <f>#REF!</f>
        <v>#REF!</v>
      </c>
    </row>
    <row r="267" spans="1:8">
      <c r="A267" t="e">
        <f>#REF!</f>
        <v>#REF!</v>
      </c>
      <c r="B267" t="e">
        <f>#REF!</f>
        <v>#REF!</v>
      </c>
      <c r="C267" t="e">
        <f>#REF!</f>
        <v>#REF!</v>
      </c>
      <c r="D267" t="e">
        <f>#REF!</f>
        <v>#REF!</v>
      </c>
      <c r="E267" t="e">
        <f>#REF!</f>
        <v>#REF!</v>
      </c>
      <c r="F267" t="e">
        <f>#REF!</f>
        <v>#REF!</v>
      </c>
      <c r="G267" t="e">
        <f>#REF!</f>
        <v>#REF!</v>
      </c>
      <c r="H267" t="e">
        <f>#REF!</f>
        <v>#REF!</v>
      </c>
    </row>
    <row r="268" spans="1:8">
      <c r="A268" t="e">
        <f>#REF!</f>
        <v>#REF!</v>
      </c>
      <c r="B268" t="e">
        <f>#REF!</f>
        <v>#REF!</v>
      </c>
      <c r="C268" t="e">
        <f>#REF!</f>
        <v>#REF!</v>
      </c>
      <c r="D268" t="e">
        <f>#REF!</f>
        <v>#REF!</v>
      </c>
      <c r="E268" t="e">
        <f>#REF!</f>
        <v>#REF!</v>
      </c>
      <c r="F268" t="e">
        <f>#REF!</f>
        <v>#REF!</v>
      </c>
      <c r="G268" t="e">
        <f>#REF!</f>
        <v>#REF!</v>
      </c>
      <c r="H268" t="e">
        <f>#REF!</f>
        <v>#REF!</v>
      </c>
    </row>
    <row r="269" spans="1:8">
      <c r="A269" t="e">
        <f>#REF!</f>
        <v>#REF!</v>
      </c>
      <c r="B269" t="e">
        <f>#REF!</f>
        <v>#REF!</v>
      </c>
      <c r="C269" t="e">
        <f>#REF!</f>
        <v>#REF!</v>
      </c>
      <c r="D269" t="e">
        <f>#REF!</f>
        <v>#REF!</v>
      </c>
      <c r="E269" t="e">
        <f>#REF!</f>
        <v>#REF!</v>
      </c>
      <c r="F269" t="e">
        <f>#REF!</f>
        <v>#REF!</v>
      </c>
      <c r="G269" t="e">
        <f>#REF!</f>
        <v>#REF!</v>
      </c>
      <c r="H269" t="e">
        <f>#REF!</f>
        <v>#REF!</v>
      </c>
    </row>
    <row r="270" spans="1:8">
      <c r="A270" t="e">
        <f>#REF!</f>
        <v>#REF!</v>
      </c>
      <c r="B270" t="e">
        <f>#REF!</f>
        <v>#REF!</v>
      </c>
      <c r="C270" t="e">
        <f>#REF!</f>
        <v>#REF!</v>
      </c>
      <c r="D270" t="e">
        <f>#REF!</f>
        <v>#REF!</v>
      </c>
      <c r="E270" t="e">
        <f>#REF!</f>
        <v>#REF!</v>
      </c>
      <c r="F270" t="e">
        <f>#REF!</f>
        <v>#REF!</v>
      </c>
      <c r="G270" t="e">
        <f>#REF!</f>
        <v>#REF!</v>
      </c>
      <c r="H270" t="e">
        <f>#REF!</f>
        <v>#REF!</v>
      </c>
    </row>
    <row r="271" spans="1:8">
      <c r="A271" t="e">
        <f>#REF!</f>
        <v>#REF!</v>
      </c>
      <c r="B271" t="e">
        <f>#REF!</f>
        <v>#REF!</v>
      </c>
      <c r="C271" t="e">
        <f>#REF!</f>
        <v>#REF!</v>
      </c>
      <c r="D271" t="e">
        <f>#REF!</f>
        <v>#REF!</v>
      </c>
      <c r="E271" t="e">
        <f>#REF!</f>
        <v>#REF!</v>
      </c>
      <c r="F271" t="e">
        <f>#REF!</f>
        <v>#REF!</v>
      </c>
      <c r="G271" t="e">
        <f>#REF!</f>
        <v>#REF!</v>
      </c>
      <c r="H271" t="e">
        <f>#REF!</f>
        <v>#REF!</v>
      </c>
    </row>
    <row r="272" spans="1:8">
      <c r="A272" t="e">
        <f>#REF!</f>
        <v>#REF!</v>
      </c>
      <c r="B272" t="e">
        <f>#REF!</f>
        <v>#REF!</v>
      </c>
      <c r="C272" t="e">
        <f>#REF!</f>
        <v>#REF!</v>
      </c>
      <c r="D272" t="e">
        <f>#REF!</f>
        <v>#REF!</v>
      </c>
      <c r="E272" t="e">
        <f>#REF!</f>
        <v>#REF!</v>
      </c>
      <c r="F272" t="e">
        <f>#REF!</f>
        <v>#REF!</v>
      </c>
      <c r="G272" t="e">
        <f>#REF!</f>
        <v>#REF!</v>
      </c>
      <c r="H272" t="e">
        <f>#REF!</f>
        <v>#REF!</v>
      </c>
    </row>
    <row r="273" spans="1:8">
      <c r="A273" t="e">
        <f>#REF!</f>
        <v>#REF!</v>
      </c>
      <c r="B273" t="e">
        <f>#REF!</f>
        <v>#REF!</v>
      </c>
      <c r="C273" t="e">
        <f>#REF!</f>
        <v>#REF!</v>
      </c>
      <c r="D273" t="e">
        <f>#REF!</f>
        <v>#REF!</v>
      </c>
      <c r="E273" t="e">
        <f>#REF!</f>
        <v>#REF!</v>
      </c>
      <c r="F273" t="e">
        <f>#REF!</f>
        <v>#REF!</v>
      </c>
      <c r="G273" t="e">
        <f>#REF!</f>
        <v>#REF!</v>
      </c>
      <c r="H273" t="e">
        <f>#REF!</f>
        <v>#REF!</v>
      </c>
    </row>
    <row r="274" spans="1:8">
      <c r="A274" t="e">
        <f>#REF!</f>
        <v>#REF!</v>
      </c>
      <c r="B274" t="e">
        <f>#REF!</f>
        <v>#REF!</v>
      </c>
      <c r="C274" t="e">
        <f>#REF!</f>
        <v>#REF!</v>
      </c>
      <c r="D274" t="e">
        <f>#REF!</f>
        <v>#REF!</v>
      </c>
      <c r="E274" t="e">
        <f>#REF!</f>
        <v>#REF!</v>
      </c>
      <c r="F274" t="e">
        <f>#REF!</f>
        <v>#REF!</v>
      </c>
      <c r="G274" t="e">
        <f>#REF!</f>
        <v>#REF!</v>
      </c>
      <c r="H274" t="e">
        <f>#REF!</f>
        <v>#REF!</v>
      </c>
    </row>
    <row r="275" spans="1:8">
      <c r="A275" t="e">
        <f>#REF!</f>
        <v>#REF!</v>
      </c>
      <c r="B275" t="e">
        <f>#REF!</f>
        <v>#REF!</v>
      </c>
      <c r="C275" t="e">
        <f>#REF!</f>
        <v>#REF!</v>
      </c>
      <c r="D275" t="e">
        <f>#REF!</f>
        <v>#REF!</v>
      </c>
      <c r="E275" t="e">
        <f>#REF!</f>
        <v>#REF!</v>
      </c>
      <c r="F275" t="e">
        <f>#REF!</f>
        <v>#REF!</v>
      </c>
      <c r="G275" t="e">
        <f>#REF!</f>
        <v>#REF!</v>
      </c>
      <c r="H275" t="e">
        <f>#REF!</f>
        <v>#REF!</v>
      </c>
    </row>
    <row r="276" spans="1:8">
      <c r="A276" t="e">
        <f>#REF!</f>
        <v>#REF!</v>
      </c>
      <c r="B276" t="e">
        <f>#REF!</f>
        <v>#REF!</v>
      </c>
      <c r="C276" t="e">
        <f>#REF!</f>
        <v>#REF!</v>
      </c>
      <c r="D276" t="e">
        <f>#REF!</f>
        <v>#REF!</v>
      </c>
      <c r="E276" t="e">
        <f>#REF!</f>
        <v>#REF!</v>
      </c>
      <c r="F276" t="e">
        <f>#REF!</f>
        <v>#REF!</v>
      </c>
      <c r="G276" t="e">
        <f>#REF!</f>
        <v>#REF!</v>
      </c>
      <c r="H276" t="e">
        <f>#REF!</f>
        <v>#REF!</v>
      </c>
    </row>
    <row r="277" spans="1:8">
      <c r="A277" t="e">
        <f>#REF!</f>
        <v>#REF!</v>
      </c>
      <c r="B277" t="e">
        <f>#REF!</f>
        <v>#REF!</v>
      </c>
      <c r="C277" t="e">
        <f>#REF!</f>
        <v>#REF!</v>
      </c>
      <c r="D277" t="e">
        <f>#REF!</f>
        <v>#REF!</v>
      </c>
      <c r="E277" t="e">
        <f>#REF!</f>
        <v>#REF!</v>
      </c>
      <c r="F277" t="e">
        <f>#REF!</f>
        <v>#REF!</v>
      </c>
      <c r="G277" t="e">
        <f>#REF!</f>
        <v>#REF!</v>
      </c>
      <c r="H277" t="e">
        <f>#REF!</f>
        <v>#REF!</v>
      </c>
    </row>
    <row r="278" spans="1:8">
      <c r="A278" t="e">
        <f>#REF!</f>
        <v>#REF!</v>
      </c>
      <c r="B278" t="e">
        <f>#REF!</f>
        <v>#REF!</v>
      </c>
      <c r="C278" t="e">
        <f>#REF!</f>
        <v>#REF!</v>
      </c>
      <c r="D278" t="e">
        <f>#REF!</f>
        <v>#REF!</v>
      </c>
      <c r="E278" t="e">
        <f>#REF!</f>
        <v>#REF!</v>
      </c>
      <c r="F278" t="e">
        <f>#REF!</f>
        <v>#REF!</v>
      </c>
      <c r="G278" t="e">
        <f>#REF!</f>
        <v>#REF!</v>
      </c>
      <c r="H278" t="e">
        <f>#REF!</f>
        <v>#REF!</v>
      </c>
    </row>
    <row r="279" spans="1:8">
      <c r="A279" t="e">
        <f>#REF!</f>
        <v>#REF!</v>
      </c>
      <c r="B279" t="e">
        <f>#REF!</f>
        <v>#REF!</v>
      </c>
      <c r="C279" t="e">
        <f>#REF!</f>
        <v>#REF!</v>
      </c>
      <c r="D279" t="e">
        <f>#REF!</f>
        <v>#REF!</v>
      </c>
      <c r="E279" t="e">
        <f>#REF!</f>
        <v>#REF!</v>
      </c>
      <c r="F279" t="e">
        <f>#REF!</f>
        <v>#REF!</v>
      </c>
      <c r="G279" t="e">
        <f>#REF!</f>
        <v>#REF!</v>
      </c>
      <c r="H279" t="e">
        <f>#REF!</f>
        <v>#REF!</v>
      </c>
    </row>
    <row r="280" spans="1:8">
      <c r="A280" t="e">
        <f>#REF!</f>
        <v>#REF!</v>
      </c>
      <c r="B280" t="e">
        <f>#REF!</f>
        <v>#REF!</v>
      </c>
      <c r="C280" t="e">
        <f>#REF!</f>
        <v>#REF!</v>
      </c>
      <c r="D280" t="e">
        <f>#REF!</f>
        <v>#REF!</v>
      </c>
      <c r="E280" t="e">
        <f>#REF!</f>
        <v>#REF!</v>
      </c>
      <c r="F280" t="e">
        <f>#REF!</f>
        <v>#REF!</v>
      </c>
      <c r="G280" t="e">
        <f>#REF!</f>
        <v>#REF!</v>
      </c>
      <c r="H280" t="e">
        <f>#REF!</f>
        <v>#REF!</v>
      </c>
    </row>
    <row r="281" spans="1:8">
      <c r="A281" t="e">
        <f>#REF!</f>
        <v>#REF!</v>
      </c>
      <c r="B281" t="e">
        <f>#REF!</f>
        <v>#REF!</v>
      </c>
      <c r="C281" t="e">
        <f>#REF!</f>
        <v>#REF!</v>
      </c>
      <c r="D281" t="e">
        <f>#REF!</f>
        <v>#REF!</v>
      </c>
      <c r="E281" t="e">
        <f>#REF!</f>
        <v>#REF!</v>
      </c>
      <c r="F281" t="e">
        <f>#REF!</f>
        <v>#REF!</v>
      </c>
      <c r="G281" t="e">
        <f>#REF!</f>
        <v>#REF!</v>
      </c>
      <c r="H281" t="e">
        <f>#REF!</f>
        <v>#REF!</v>
      </c>
    </row>
    <row r="282" spans="1:8">
      <c r="A282" t="e">
        <f>#REF!</f>
        <v>#REF!</v>
      </c>
      <c r="B282" t="e">
        <f>#REF!</f>
        <v>#REF!</v>
      </c>
      <c r="C282" t="e">
        <f>#REF!</f>
        <v>#REF!</v>
      </c>
      <c r="D282" t="e">
        <f>#REF!</f>
        <v>#REF!</v>
      </c>
      <c r="E282" t="e">
        <f>#REF!</f>
        <v>#REF!</v>
      </c>
      <c r="F282" t="e">
        <f>#REF!</f>
        <v>#REF!</v>
      </c>
      <c r="G282" t="e">
        <f>#REF!</f>
        <v>#REF!</v>
      </c>
      <c r="H282" t="e">
        <f>#REF!</f>
        <v>#REF!</v>
      </c>
    </row>
    <row r="283" spans="1:8">
      <c r="A283" t="e">
        <f>#REF!</f>
        <v>#REF!</v>
      </c>
      <c r="B283" t="e">
        <f>#REF!</f>
        <v>#REF!</v>
      </c>
      <c r="C283" t="e">
        <f>#REF!</f>
        <v>#REF!</v>
      </c>
      <c r="D283" t="e">
        <f>#REF!</f>
        <v>#REF!</v>
      </c>
      <c r="E283" t="e">
        <f>#REF!</f>
        <v>#REF!</v>
      </c>
      <c r="F283" t="e">
        <f>#REF!</f>
        <v>#REF!</v>
      </c>
      <c r="G283" t="e">
        <f>#REF!</f>
        <v>#REF!</v>
      </c>
      <c r="H283" t="e">
        <f>#REF!</f>
        <v>#REF!</v>
      </c>
    </row>
    <row r="284" spans="1:8">
      <c r="A284" t="e">
        <f>#REF!</f>
        <v>#REF!</v>
      </c>
      <c r="B284" t="e">
        <f>#REF!</f>
        <v>#REF!</v>
      </c>
      <c r="C284" t="e">
        <f>#REF!</f>
        <v>#REF!</v>
      </c>
      <c r="D284" t="e">
        <f>#REF!</f>
        <v>#REF!</v>
      </c>
      <c r="E284" t="e">
        <f>#REF!</f>
        <v>#REF!</v>
      </c>
      <c r="F284" t="e">
        <f>#REF!</f>
        <v>#REF!</v>
      </c>
      <c r="G284" t="e">
        <f>#REF!</f>
        <v>#REF!</v>
      </c>
      <c r="H284" t="e">
        <f>#REF!</f>
        <v>#REF!</v>
      </c>
    </row>
    <row r="285" spans="1:8">
      <c r="A285" t="e">
        <f>#REF!</f>
        <v>#REF!</v>
      </c>
      <c r="B285" t="e">
        <f>#REF!</f>
        <v>#REF!</v>
      </c>
      <c r="C285" t="e">
        <f>#REF!</f>
        <v>#REF!</v>
      </c>
      <c r="D285" t="e">
        <f>#REF!</f>
        <v>#REF!</v>
      </c>
      <c r="E285" t="e">
        <f>#REF!</f>
        <v>#REF!</v>
      </c>
      <c r="F285" t="e">
        <f>#REF!</f>
        <v>#REF!</v>
      </c>
      <c r="G285" t="e">
        <f>#REF!</f>
        <v>#REF!</v>
      </c>
      <c r="H285" t="e">
        <f>#REF!</f>
        <v>#REF!</v>
      </c>
    </row>
    <row r="286" spans="1:8">
      <c r="A286" t="e">
        <f>#REF!</f>
        <v>#REF!</v>
      </c>
      <c r="B286" t="e">
        <f>#REF!</f>
        <v>#REF!</v>
      </c>
      <c r="C286" t="e">
        <f>#REF!</f>
        <v>#REF!</v>
      </c>
      <c r="D286" t="e">
        <f>#REF!</f>
        <v>#REF!</v>
      </c>
      <c r="E286" t="e">
        <f>#REF!</f>
        <v>#REF!</v>
      </c>
      <c r="F286" t="e">
        <f>#REF!</f>
        <v>#REF!</v>
      </c>
      <c r="G286" t="e">
        <f>#REF!</f>
        <v>#REF!</v>
      </c>
      <c r="H286" t="e">
        <f>#REF!</f>
        <v>#REF!</v>
      </c>
    </row>
    <row r="287" spans="1:8">
      <c r="A287" t="e">
        <f>#REF!</f>
        <v>#REF!</v>
      </c>
      <c r="B287" t="e">
        <f>#REF!</f>
        <v>#REF!</v>
      </c>
      <c r="C287" t="e">
        <f>#REF!</f>
        <v>#REF!</v>
      </c>
      <c r="D287" t="e">
        <f>#REF!</f>
        <v>#REF!</v>
      </c>
      <c r="E287" t="e">
        <f>#REF!</f>
        <v>#REF!</v>
      </c>
      <c r="F287" t="e">
        <f>#REF!</f>
        <v>#REF!</v>
      </c>
      <c r="G287" t="e">
        <f>#REF!</f>
        <v>#REF!</v>
      </c>
      <c r="H287" t="e">
        <f>#REF!</f>
        <v>#REF!</v>
      </c>
    </row>
    <row r="288" spans="1:8">
      <c r="A288" t="e">
        <f>#REF!</f>
        <v>#REF!</v>
      </c>
      <c r="B288" t="e">
        <f>#REF!</f>
        <v>#REF!</v>
      </c>
      <c r="C288" t="e">
        <f>#REF!</f>
        <v>#REF!</v>
      </c>
      <c r="D288" t="e">
        <f>#REF!</f>
        <v>#REF!</v>
      </c>
      <c r="E288" t="e">
        <f>#REF!</f>
        <v>#REF!</v>
      </c>
      <c r="F288" t="e">
        <f>#REF!</f>
        <v>#REF!</v>
      </c>
      <c r="G288" t="e">
        <f>#REF!</f>
        <v>#REF!</v>
      </c>
      <c r="H288" t="e">
        <f>#REF!</f>
        <v>#REF!</v>
      </c>
    </row>
    <row r="289" spans="1:8">
      <c r="A289" t="e">
        <f>#REF!</f>
        <v>#REF!</v>
      </c>
      <c r="B289" t="e">
        <f>#REF!</f>
        <v>#REF!</v>
      </c>
      <c r="C289" t="e">
        <f>#REF!</f>
        <v>#REF!</v>
      </c>
      <c r="D289" t="e">
        <f>#REF!</f>
        <v>#REF!</v>
      </c>
      <c r="E289" t="e">
        <f>#REF!</f>
        <v>#REF!</v>
      </c>
      <c r="F289" t="e">
        <f>#REF!</f>
        <v>#REF!</v>
      </c>
      <c r="G289" t="e">
        <f>#REF!</f>
        <v>#REF!</v>
      </c>
      <c r="H289" t="e">
        <f>#REF!</f>
        <v>#REF!</v>
      </c>
    </row>
    <row r="290" spans="1:8">
      <c r="A290" t="e">
        <f>#REF!</f>
        <v>#REF!</v>
      </c>
      <c r="B290" t="e">
        <f>#REF!</f>
        <v>#REF!</v>
      </c>
      <c r="C290" t="e">
        <f>#REF!</f>
        <v>#REF!</v>
      </c>
      <c r="D290" t="e">
        <f>#REF!</f>
        <v>#REF!</v>
      </c>
      <c r="E290" t="e">
        <f>#REF!</f>
        <v>#REF!</v>
      </c>
      <c r="F290" t="e">
        <f>#REF!</f>
        <v>#REF!</v>
      </c>
      <c r="G290" t="e">
        <f>#REF!</f>
        <v>#REF!</v>
      </c>
      <c r="H290" t="e">
        <f>#REF!</f>
        <v>#REF!</v>
      </c>
    </row>
    <row r="291" spans="1:8">
      <c r="A291" t="e">
        <f>#REF!</f>
        <v>#REF!</v>
      </c>
      <c r="B291" t="e">
        <f>#REF!</f>
        <v>#REF!</v>
      </c>
      <c r="C291" t="e">
        <f>#REF!</f>
        <v>#REF!</v>
      </c>
      <c r="D291" t="e">
        <f>#REF!</f>
        <v>#REF!</v>
      </c>
      <c r="E291" t="e">
        <f>#REF!</f>
        <v>#REF!</v>
      </c>
      <c r="F291" t="e">
        <f>#REF!</f>
        <v>#REF!</v>
      </c>
      <c r="G291" t="e">
        <f>#REF!</f>
        <v>#REF!</v>
      </c>
      <c r="H291" t="e">
        <f>#REF!</f>
        <v>#REF!</v>
      </c>
    </row>
    <row r="292" spans="1:8">
      <c r="A292" t="e">
        <f>#REF!</f>
        <v>#REF!</v>
      </c>
      <c r="B292" t="e">
        <f>#REF!</f>
        <v>#REF!</v>
      </c>
      <c r="C292" t="e">
        <f>#REF!</f>
        <v>#REF!</v>
      </c>
      <c r="D292" t="e">
        <f>#REF!</f>
        <v>#REF!</v>
      </c>
      <c r="E292" t="e">
        <f>#REF!</f>
        <v>#REF!</v>
      </c>
      <c r="F292" t="e">
        <f>#REF!</f>
        <v>#REF!</v>
      </c>
      <c r="G292" t="e">
        <f>#REF!</f>
        <v>#REF!</v>
      </c>
      <c r="H292" t="e">
        <f>#REF!</f>
        <v>#REF!</v>
      </c>
    </row>
    <row r="293" spans="1:8">
      <c r="A293" t="e">
        <f>#REF!</f>
        <v>#REF!</v>
      </c>
      <c r="B293" t="e">
        <f>#REF!</f>
        <v>#REF!</v>
      </c>
      <c r="C293" t="e">
        <f>#REF!</f>
        <v>#REF!</v>
      </c>
      <c r="D293" t="e">
        <f>#REF!</f>
        <v>#REF!</v>
      </c>
      <c r="E293" t="e">
        <f>#REF!</f>
        <v>#REF!</v>
      </c>
      <c r="F293" t="e">
        <f>#REF!</f>
        <v>#REF!</v>
      </c>
      <c r="G293" t="e">
        <f>#REF!</f>
        <v>#REF!</v>
      </c>
      <c r="H293" t="e">
        <f>#REF!</f>
        <v>#REF!</v>
      </c>
    </row>
    <row r="294" spans="1:8">
      <c r="A294" t="e">
        <f>#REF!</f>
        <v>#REF!</v>
      </c>
      <c r="B294" t="e">
        <f>#REF!</f>
        <v>#REF!</v>
      </c>
      <c r="C294" t="e">
        <f>#REF!</f>
        <v>#REF!</v>
      </c>
      <c r="D294" t="e">
        <f>#REF!</f>
        <v>#REF!</v>
      </c>
      <c r="E294" t="e">
        <f>#REF!</f>
        <v>#REF!</v>
      </c>
      <c r="F294" t="e">
        <f>#REF!</f>
        <v>#REF!</v>
      </c>
      <c r="G294" t="e">
        <f>#REF!</f>
        <v>#REF!</v>
      </c>
      <c r="H294" t="e">
        <f>#REF!</f>
        <v>#REF!</v>
      </c>
    </row>
    <row r="295" spans="1:8">
      <c r="A295" t="e">
        <f>#REF!</f>
        <v>#REF!</v>
      </c>
      <c r="B295" t="e">
        <f>#REF!</f>
        <v>#REF!</v>
      </c>
      <c r="C295" t="e">
        <f>#REF!</f>
        <v>#REF!</v>
      </c>
      <c r="D295" t="e">
        <f>#REF!</f>
        <v>#REF!</v>
      </c>
      <c r="E295" t="e">
        <f>#REF!</f>
        <v>#REF!</v>
      </c>
      <c r="F295" t="e">
        <f>#REF!</f>
        <v>#REF!</v>
      </c>
      <c r="G295" t="e">
        <f>#REF!</f>
        <v>#REF!</v>
      </c>
      <c r="H295" t="e">
        <f>#REF!</f>
        <v>#REF!</v>
      </c>
    </row>
    <row r="296" spans="1:8">
      <c r="A296" t="e">
        <f>#REF!</f>
        <v>#REF!</v>
      </c>
      <c r="B296" t="e">
        <f>#REF!</f>
        <v>#REF!</v>
      </c>
      <c r="C296" t="e">
        <f>#REF!</f>
        <v>#REF!</v>
      </c>
      <c r="D296" t="e">
        <f>#REF!</f>
        <v>#REF!</v>
      </c>
      <c r="E296" t="e">
        <f>#REF!</f>
        <v>#REF!</v>
      </c>
      <c r="F296" t="e">
        <f>#REF!</f>
        <v>#REF!</v>
      </c>
      <c r="G296" t="e">
        <f>#REF!</f>
        <v>#REF!</v>
      </c>
      <c r="H296" t="e">
        <f>#REF!</f>
        <v>#REF!</v>
      </c>
    </row>
    <row r="297" spans="1:8">
      <c r="A297" t="e">
        <f>#REF!</f>
        <v>#REF!</v>
      </c>
      <c r="B297" t="e">
        <f>#REF!</f>
        <v>#REF!</v>
      </c>
      <c r="C297" t="e">
        <f>#REF!</f>
        <v>#REF!</v>
      </c>
      <c r="D297" t="e">
        <f>#REF!</f>
        <v>#REF!</v>
      </c>
      <c r="E297" t="e">
        <f>#REF!</f>
        <v>#REF!</v>
      </c>
      <c r="F297" t="e">
        <f>#REF!</f>
        <v>#REF!</v>
      </c>
      <c r="G297" t="e">
        <f>#REF!</f>
        <v>#REF!</v>
      </c>
      <c r="H297" t="e">
        <f>#REF!</f>
        <v>#REF!</v>
      </c>
    </row>
    <row r="298" spans="1:8">
      <c r="A298" t="e">
        <f>#REF!</f>
        <v>#REF!</v>
      </c>
      <c r="B298" t="e">
        <f>#REF!</f>
        <v>#REF!</v>
      </c>
      <c r="C298" t="e">
        <f>#REF!</f>
        <v>#REF!</v>
      </c>
      <c r="D298" t="e">
        <f>#REF!</f>
        <v>#REF!</v>
      </c>
      <c r="E298" t="e">
        <f>#REF!</f>
        <v>#REF!</v>
      </c>
      <c r="F298" t="e">
        <f>#REF!</f>
        <v>#REF!</v>
      </c>
      <c r="G298" t="e">
        <f>#REF!</f>
        <v>#REF!</v>
      </c>
      <c r="H298" t="e">
        <f>#REF!</f>
        <v>#REF!</v>
      </c>
    </row>
    <row r="299" spans="1:8">
      <c r="A299" t="e">
        <f>#REF!</f>
        <v>#REF!</v>
      </c>
      <c r="B299" t="e">
        <f>#REF!</f>
        <v>#REF!</v>
      </c>
      <c r="C299" t="e">
        <f>#REF!</f>
        <v>#REF!</v>
      </c>
      <c r="D299" t="e">
        <f>#REF!</f>
        <v>#REF!</v>
      </c>
      <c r="E299" t="e">
        <f>#REF!</f>
        <v>#REF!</v>
      </c>
      <c r="F299" t="e">
        <f>#REF!</f>
        <v>#REF!</v>
      </c>
      <c r="G299" t="e">
        <f>#REF!</f>
        <v>#REF!</v>
      </c>
      <c r="H299" t="e">
        <f>#REF!</f>
        <v>#REF!</v>
      </c>
    </row>
    <row r="300" spans="1:8">
      <c r="A300" t="e">
        <f>#REF!</f>
        <v>#REF!</v>
      </c>
      <c r="B300" t="e">
        <f>#REF!</f>
        <v>#REF!</v>
      </c>
      <c r="C300" t="e">
        <f>#REF!</f>
        <v>#REF!</v>
      </c>
      <c r="D300" t="e">
        <f>#REF!</f>
        <v>#REF!</v>
      </c>
      <c r="E300" t="e">
        <f>#REF!</f>
        <v>#REF!</v>
      </c>
      <c r="F300" t="e">
        <f>#REF!</f>
        <v>#REF!</v>
      </c>
      <c r="G300" t="e">
        <f>#REF!</f>
        <v>#REF!</v>
      </c>
      <c r="H300" t="e">
        <f>#REF!</f>
        <v>#REF!</v>
      </c>
    </row>
    <row r="301" spans="1:8">
      <c r="A301" t="e">
        <f>#REF!</f>
        <v>#REF!</v>
      </c>
      <c r="B301" t="e">
        <f>#REF!</f>
        <v>#REF!</v>
      </c>
      <c r="C301" t="e">
        <f>#REF!</f>
        <v>#REF!</v>
      </c>
      <c r="D301" t="e">
        <f>#REF!</f>
        <v>#REF!</v>
      </c>
      <c r="E301" t="e">
        <f>#REF!</f>
        <v>#REF!</v>
      </c>
      <c r="F301" t="e">
        <f>#REF!</f>
        <v>#REF!</v>
      </c>
      <c r="G301" t="e">
        <f>#REF!</f>
        <v>#REF!</v>
      </c>
      <c r="H301" t="e">
        <f>#REF!</f>
        <v>#REF!</v>
      </c>
    </row>
    <row r="302" spans="1:8">
      <c r="A302" t="e">
        <f>#REF!</f>
        <v>#REF!</v>
      </c>
      <c r="B302" t="e">
        <f>#REF!</f>
        <v>#REF!</v>
      </c>
      <c r="C302" t="e">
        <f>#REF!</f>
        <v>#REF!</v>
      </c>
      <c r="D302" t="e">
        <f>#REF!</f>
        <v>#REF!</v>
      </c>
      <c r="E302" t="e">
        <f>#REF!</f>
        <v>#REF!</v>
      </c>
      <c r="F302" t="e">
        <f>#REF!</f>
        <v>#REF!</v>
      </c>
      <c r="G302" t="e">
        <f>#REF!</f>
        <v>#REF!</v>
      </c>
      <c r="H302" t="e">
        <f>#REF!</f>
        <v>#REF!</v>
      </c>
    </row>
    <row r="303" spans="1:8">
      <c r="A303" t="e">
        <f>#REF!</f>
        <v>#REF!</v>
      </c>
      <c r="B303" t="e">
        <f>#REF!</f>
        <v>#REF!</v>
      </c>
      <c r="C303" t="e">
        <f>#REF!</f>
        <v>#REF!</v>
      </c>
      <c r="D303" t="e">
        <f>#REF!</f>
        <v>#REF!</v>
      </c>
      <c r="E303" t="e">
        <f>#REF!</f>
        <v>#REF!</v>
      </c>
      <c r="F303" t="e">
        <f>#REF!</f>
        <v>#REF!</v>
      </c>
      <c r="G303" t="e">
        <f>#REF!</f>
        <v>#REF!</v>
      </c>
      <c r="H303" t="e">
        <f>#REF!</f>
        <v>#REF!</v>
      </c>
    </row>
    <row r="304" spans="1:8">
      <c r="A304" t="e">
        <f>#REF!</f>
        <v>#REF!</v>
      </c>
      <c r="B304" t="e">
        <f>#REF!</f>
        <v>#REF!</v>
      </c>
      <c r="C304" t="e">
        <f>#REF!</f>
        <v>#REF!</v>
      </c>
      <c r="D304" t="e">
        <f>#REF!</f>
        <v>#REF!</v>
      </c>
      <c r="E304" t="e">
        <f>#REF!</f>
        <v>#REF!</v>
      </c>
      <c r="F304" t="e">
        <f>#REF!</f>
        <v>#REF!</v>
      </c>
      <c r="G304" t="e">
        <f>#REF!</f>
        <v>#REF!</v>
      </c>
      <c r="H304" t="e">
        <f>#REF!</f>
        <v>#REF!</v>
      </c>
    </row>
    <row r="305" spans="1:8">
      <c r="A305" t="e">
        <f>#REF!</f>
        <v>#REF!</v>
      </c>
      <c r="B305" t="e">
        <f>#REF!</f>
        <v>#REF!</v>
      </c>
      <c r="C305" t="e">
        <f>#REF!</f>
        <v>#REF!</v>
      </c>
      <c r="D305" t="e">
        <f>#REF!</f>
        <v>#REF!</v>
      </c>
      <c r="E305" t="e">
        <f>#REF!</f>
        <v>#REF!</v>
      </c>
      <c r="F305" t="e">
        <f>#REF!</f>
        <v>#REF!</v>
      </c>
      <c r="G305" t="e">
        <f>#REF!</f>
        <v>#REF!</v>
      </c>
      <c r="H305" t="e">
        <f>#REF!</f>
        <v>#REF!</v>
      </c>
    </row>
    <row r="306" spans="1:8">
      <c r="A306" t="e">
        <f>#REF!</f>
        <v>#REF!</v>
      </c>
      <c r="B306" t="e">
        <f>#REF!</f>
        <v>#REF!</v>
      </c>
      <c r="C306" t="e">
        <f>#REF!</f>
        <v>#REF!</v>
      </c>
      <c r="D306" t="e">
        <f>#REF!</f>
        <v>#REF!</v>
      </c>
      <c r="E306" t="e">
        <f>#REF!</f>
        <v>#REF!</v>
      </c>
      <c r="F306" t="e">
        <f>#REF!</f>
        <v>#REF!</v>
      </c>
      <c r="G306" t="e">
        <f>#REF!</f>
        <v>#REF!</v>
      </c>
      <c r="H306" t="e">
        <f>#REF!</f>
        <v>#REF!</v>
      </c>
    </row>
    <row r="307" spans="1:8">
      <c r="A307" t="e">
        <f>#REF!</f>
        <v>#REF!</v>
      </c>
      <c r="B307" t="e">
        <f>#REF!</f>
        <v>#REF!</v>
      </c>
      <c r="C307" t="e">
        <f>#REF!</f>
        <v>#REF!</v>
      </c>
      <c r="D307" t="e">
        <f>#REF!</f>
        <v>#REF!</v>
      </c>
      <c r="E307" t="e">
        <f>#REF!</f>
        <v>#REF!</v>
      </c>
      <c r="F307" t="e">
        <f>#REF!</f>
        <v>#REF!</v>
      </c>
      <c r="G307" t="e">
        <f>#REF!</f>
        <v>#REF!</v>
      </c>
      <c r="H307" t="e">
        <f>#REF!</f>
        <v>#REF!</v>
      </c>
    </row>
    <row r="308" spans="1:8">
      <c r="A308" t="e">
        <f>#REF!</f>
        <v>#REF!</v>
      </c>
      <c r="B308" t="e">
        <f>#REF!</f>
        <v>#REF!</v>
      </c>
      <c r="C308" t="e">
        <f>#REF!</f>
        <v>#REF!</v>
      </c>
      <c r="D308" t="e">
        <f>#REF!</f>
        <v>#REF!</v>
      </c>
      <c r="E308" t="e">
        <f>#REF!</f>
        <v>#REF!</v>
      </c>
      <c r="F308" t="e">
        <f>#REF!</f>
        <v>#REF!</v>
      </c>
      <c r="G308" t="e">
        <f>#REF!</f>
        <v>#REF!</v>
      </c>
      <c r="H308" t="e">
        <f>#REF!</f>
        <v>#REF!</v>
      </c>
    </row>
    <row r="309" spans="1:8">
      <c r="A309" t="e">
        <f>#REF!</f>
        <v>#REF!</v>
      </c>
      <c r="B309" t="e">
        <f>#REF!</f>
        <v>#REF!</v>
      </c>
      <c r="C309" t="e">
        <f>#REF!</f>
        <v>#REF!</v>
      </c>
      <c r="D309" t="e">
        <f>#REF!</f>
        <v>#REF!</v>
      </c>
      <c r="E309" t="e">
        <f>#REF!</f>
        <v>#REF!</v>
      </c>
      <c r="F309" t="e">
        <f>#REF!</f>
        <v>#REF!</v>
      </c>
      <c r="G309" t="e">
        <f>#REF!</f>
        <v>#REF!</v>
      </c>
      <c r="H309" t="e">
        <f>#REF!</f>
        <v>#REF!</v>
      </c>
    </row>
    <row r="310" spans="1:8">
      <c r="A310" t="e">
        <f>#REF!</f>
        <v>#REF!</v>
      </c>
      <c r="B310" t="e">
        <f>#REF!</f>
        <v>#REF!</v>
      </c>
      <c r="C310" t="e">
        <f>#REF!</f>
        <v>#REF!</v>
      </c>
      <c r="D310" t="e">
        <f>#REF!</f>
        <v>#REF!</v>
      </c>
      <c r="E310" t="e">
        <f>#REF!</f>
        <v>#REF!</v>
      </c>
      <c r="F310" t="e">
        <f>#REF!</f>
        <v>#REF!</v>
      </c>
      <c r="G310" t="e">
        <f>#REF!</f>
        <v>#REF!</v>
      </c>
      <c r="H310" t="e">
        <f>#REF!</f>
        <v>#REF!</v>
      </c>
    </row>
    <row r="311" spans="1:8">
      <c r="A311" t="e">
        <f>#REF!</f>
        <v>#REF!</v>
      </c>
      <c r="B311" t="e">
        <f>#REF!</f>
        <v>#REF!</v>
      </c>
      <c r="C311" t="e">
        <f>#REF!</f>
        <v>#REF!</v>
      </c>
      <c r="D311" t="e">
        <f>#REF!</f>
        <v>#REF!</v>
      </c>
      <c r="E311" t="e">
        <f>#REF!</f>
        <v>#REF!</v>
      </c>
      <c r="F311" t="e">
        <f>#REF!</f>
        <v>#REF!</v>
      </c>
      <c r="G311" t="e">
        <f>#REF!</f>
        <v>#REF!</v>
      </c>
      <c r="H311" t="e">
        <f>#REF!</f>
        <v>#REF!</v>
      </c>
    </row>
    <row r="312" spans="1:8">
      <c r="A312" t="e">
        <f>#REF!</f>
        <v>#REF!</v>
      </c>
      <c r="B312" t="e">
        <f>#REF!</f>
        <v>#REF!</v>
      </c>
      <c r="C312" t="e">
        <f>#REF!</f>
        <v>#REF!</v>
      </c>
      <c r="D312" t="e">
        <f>#REF!</f>
        <v>#REF!</v>
      </c>
      <c r="E312" t="e">
        <f>#REF!</f>
        <v>#REF!</v>
      </c>
      <c r="F312" t="e">
        <f>#REF!</f>
        <v>#REF!</v>
      </c>
      <c r="G312" t="e">
        <f>#REF!</f>
        <v>#REF!</v>
      </c>
      <c r="H312" t="e">
        <f>#REF!</f>
        <v>#REF!</v>
      </c>
    </row>
    <row r="313" spans="1:8">
      <c r="A313" t="e">
        <f>#REF!</f>
        <v>#REF!</v>
      </c>
      <c r="B313" t="e">
        <f>#REF!</f>
        <v>#REF!</v>
      </c>
      <c r="C313" t="e">
        <f>#REF!</f>
        <v>#REF!</v>
      </c>
      <c r="D313" t="e">
        <f>#REF!</f>
        <v>#REF!</v>
      </c>
      <c r="E313" t="e">
        <f>#REF!</f>
        <v>#REF!</v>
      </c>
      <c r="F313" t="e">
        <f>#REF!</f>
        <v>#REF!</v>
      </c>
      <c r="G313" t="e">
        <f>#REF!</f>
        <v>#REF!</v>
      </c>
      <c r="H313" t="e">
        <f>#REF!</f>
        <v>#REF!</v>
      </c>
    </row>
    <row r="314" spans="1:8">
      <c r="A314" t="e">
        <f>#REF!</f>
        <v>#REF!</v>
      </c>
      <c r="B314" t="e">
        <f>#REF!</f>
        <v>#REF!</v>
      </c>
      <c r="C314" t="e">
        <f>#REF!</f>
        <v>#REF!</v>
      </c>
      <c r="D314" t="e">
        <f>#REF!</f>
        <v>#REF!</v>
      </c>
      <c r="E314" t="e">
        <f>#REF!</f>
        <v>#REF!</v>
      </c>
      <c r="F314" t="e">
        <f>#REF!</f>
        <v>#REF!</v>
      </c>
      <c r="G314" t="e">
        <f>#REF!</f>
        <v>#REF!</v>
      </c>
      <c r="H314" t="e">
        <f>#REF!</f>
        <v>#REF!</v>
      </c>
    </row>
    <row r="315" spans="1:8">
      <c r="A315" t="e">
        <f>#REF!</f>
        <v>#REF!</v>
      </c>
      <c r="B315" t="e">
        <f>#REF!</f>
        <v>#REF!</v>
      </c>
      <c r="C315" t="e">
        <f>#REF!</f>
        <v>#REF!</v>
      </c>
      <c r="D315" t="e">
        <f>#REF!</f>
        <v>#REF!</v>
      </c>
      <c r="E315" t="e">
        <f>#REF!</f>
        <v>#REF!</v>
      </c>
      <c r="F315" t="e">
        <f>#REF!</f>
        <v>#REF!</v>
      </c>
      <c r="G315" t="e">
        <f>#REF!</f>
        <v>#REF!</v>
      </c>
      <c r="H315" t="e">
        <f>#REF!</f>
        <v>#REF!</v>
      </c>
    </row>
    <row r="316" spans="1:8">
      <c r="A316" t="e">
        <f>#REF!</f>
        <v>#REF!</v>
      </c>
      <c r="B316" t="e">
        <f>#REF!</f>
        <v>#REF!</v>
      </c>
      <c r="C316" t="e">
        <f>#REF!</f>
        <v>#REF!</v>
      </c>
      <c r="D316" t="e">
        <f>#REF!</f>
        <v>#REF!</v>
      </c>
      <c r="E316" t="e">
        <f>#REF!</f>
        <v>#REF!</v>
      </c>
      <c r="F316" t="e">
        <f>#REF!</f>
        <v>#REF!</v>
      </c>
      <c r="G316" t="e">
        <f>#REF!</f>
        <v>#REF!</v>
      </c>
      <c r="H316" t="e">
        <f>#REF!</f>
        <v>#REF!</v>
      </c>
    </row>
    <row r="317" spans="1:8">
      <c r="A317" t="e">
        <f>#REF!</f>
        <v>#REF!</v>
      </c>
      <c r="B317" t="e">
        <f>#REF!</f>
        <v>#REF!</v>
      </c>
      <c r="C317" t="e">
        <f>#REF!</f>
        <v>#REF!</v>
      </c>
      <c r="D317" t="e">
        <f>#REF!</f>
        <v>#REF!</v>
      </c>
      <c r="E317" t="e">
        <f>#REF!</f>
        <v>#REF!</v>
      </c>
      <c r="F317" t="e">
        <f>#REF!</f>
        <v>#REF!</v>
      </c>
      <c r="G317" t="e">
        <f>#REF!</f>
        <v>#REF!</v>
      </c>
      <c r="H317" t="e">
        <f>#REF!</f>
        <v>#REF!</v>
      </c>
    </row>
    <row r="318" spans="1:8">
      <c r="A318" t="e">
        <f>#REF!</f>
        <v>#REF!</v>
      </c>
      <c r="B318" t="e">
        <f>#REF!</f>
        <v>#REF!</v>
      </c>
      <c r="C318" t="e">
        <f>#REF!</f>
        <v>#REF!</v>
      </c>
      <c r="D318" t="e">
        <f>#REF!</f>
        <v>#REF!</v>
      </c>
      <c r="E318" t="e">
        <f>#REF!</f>
        <v>#REF!</v>
      </c>
      <c r="F318" t="e">
        <f>#REF!</f>
        <v>#REF!</v>
      </c>
      <c r="G318" t="e">
        <f>#REF!</f>
        <v>#REF!</v>
      </c>
      <c r="H318" t="e">
        <f>#REF!</f>
        <v>#REF!</v>
      </c>
    </row>
    <row r="319" spans="1:8">
      <c r="A319" t="e">
        <f>#REF!</f>
        <v>#REF!</v>
      </c>
      <c r="B319" t="e">
        <f>#REF!</f>
        <v>#REF!</v>
      </c>
      <c r="C319" t="e">
        <f>#REF!</f>
        <v>#REF!</v>
      </c>
      <c r="D319" t="e">
        <f>#REF!</f>
        <v>#REF!</v>
      </c>
      <c r="E319" t="e">
        <f>#REF!</f>
        <v>#REF!</v>
      </c>
      <c r="F319" t="e">
        <f>#REF!</f>
        <v>#REF!</v>
      </c>
      <c r="G319" t="e">
        <f>#REF!</f>
        <v>#REF!</v>
      </c>
      <c r="H319" t="e">
        <f>#REF!</f>
        <v>#REF!</v>
      </c>
    </row>
    <row r="320" spans="1:8">
      <c r="A320" t="e">
        <f>#REF!</f>
        <v>#REF!</v>
      </c>
      <c r="B320" t="e">
        <f>#REF!</f>
        <v>#REF!</v>
      </c>
      <c r="C320" t="e">
        <f>#REF!</f>
        <v>#REF!</v>
      </c>
      <c r="D320" t="e">
        <f>#REF!</f>
        <v>#REF!</v>
      </c>
      <c r="E320" t="e">
        <f>#REF!</f>
        <v>#REF!</v>
      </c>
      <c r="F320" t="e">
        <f>#REF!</f>
        <v>#REF!</v>
      </c>
      <c r="G320" t="e">
        <f>#REF!</f>
        <v>#REF!</v>
      </c>
      <c r="H320" t="e">
        <f>#REF!</f>
        <v>#REF!</v>
      </c>
    </row>
    <row r="321" spans="1:8">
      <c r="A321" t="e">
        <f>#REF!</f>
        <v>#REF!</v>
      </c>
      <c r="B321" t="e">
        <f>#REF!</f>
        <v>#REF!</v>
      </c>
      <c r="C321" t="e">
        <f>#REF!</f>
        <v>#REF!</v>
      </c>
      <c r="D321" t="e">
        <f>#REF!</f>
        <v>#REF!</v>
      </c>
      <c r="E321" t="e">
        <f>#REF!</f>
        <v>#REF!</v>
      </c>
      <c r="F321" t="e">
        <f>#REF!</f>
        <v>#REF!</v>
      </c>
      <c r="G321" t="e">
        <f>#REF!</f>
        <v>#REF!</v>
      </c>
      <c r="H321" t="e">
        <f>#REF!</f>
        <v>#REF!</v>
      </c>
    </row>
    <row r="322" spans="1:8">
      <c r="A322" t="e">
        <f>#REF!</f>
        <v>#REF!</v>
      </c>
      <c r="B322" t="e">
        <f>#REF!</f>
        <v>#REF!</v>
      </c>
      <c r="C322" t="e">
        <f>#REF!</f>
        <v>#REF!</v>
      </c>
      <c r="D322" t="e">
        <f>#REF!</f>
        <v>#REF!</v>
      </c>
      <c r="E322" t="e">
        <f>#REF!</f>
        <v>#REF!</v>
      </c>
      <c r="F322" t="e">
        <f>#REF!</f>
        <v>#REF!</v>
      </c>
      <c r="G322" t="e">
        <f>#REF!</f>
        <v>#REF!</v>
      </c>
      <c r="H322" t="e">
        <f>#REF!</f>
        <v>#REF!</v>
      </c>
    </row>
    <row r="323" spans="1:8">
      <c r="A323" t="e">
        <f>#REF!</f>
        <v>#REF!</v>
      </c>
      <c r="B323" t="e">
        <f>#REF!</f>
        <v>#REF!</v>
      </c>
      <c r="C323" t="e">
        <f>#REF!</f>
        <v>#REF!</v>
      </c>
      <c r="D323" t="e">
        <f>#REF!</f>
        <v>#REF!</v>
      </c>
      <c r="E323" t="e">
        <f>#REF!</f>
        <v>#REF!</v>
      </c>
      <c r="F323" t="e">
        <f>#REF!</f>
        <v>#REF!</v>
      </c>
      <c r="G323" t="e">
        <f>#REF!</f>
        <v>#REF!</v>
      </c>
      <c r="H323" t="e">
        <f>#REF!</f>
        <v>#REF!</v>
      </c>
    </row>
    <row r="324" spans="1:8">
      <c r="A324" t="e">
        <f>#REF!</f>
        <v>#REF!</v>
      </c>
      <c r="B324" t="e">
        <f>#REF!</f>
        <v>#REF!</v>
      </c>
      <c r="C324" t="e">
        <f>#REF!</f>
        <v>#REF!</v>
      </c>
      <c r="D324" t="e">
        <f>#REF!</f>
        <v>#REF!</v>
      </c>
      <c r="E324" t="e">
        <f>#REF!</f>
        <v>#REF!</v>
      </c>
      <c r="F324" t="e">
        <f>#REF!</f>
        <v>#REF!</v>
      </c>
      <c r="G324" t="e">
        <f>#REF!</f>
        <v>#REF!</v>
      </c>
      <c r="H324" t="e">
        <f>#REF!</f>
        <v>#REF!</v>
      </c>
    </row>
    <row r="325" spans="1:8">
      <c r="A325" t="e">
        <f>#REF!</f>
        <v>#REF!</v>
      </c>
      <c r="B325" t="e">
        <f>#REF!</f>
        <v>#REF!</v>
      </c>
      <c r="C325" t="e">
        <f>#REF!</f>
        <v>#REF!</v>
      </c>
      <c r="D325" t="e">
        <f>#REF!</f>
        <v>#REF!</v>
      </c>
      <c r="E325" t="e">
        <f>#REF!</f>
        <v>#REF!</v>
      </c>
      <c r="F325" t="e">
        <f>#REF!</f>
        <v>#REF!</v>
      </c>
      <c r="G325" t="e">
        <f>#REF!</f>
        <v>#REF!</v>
      </c>
      <c r="H325" t="e">
        <f>#REF!</f>
        <v>#REF!</v>
      </c>
    </row>
    <row r="326" spans="1:8">
      <c r="A326" t="e">
        <f>#REF!</f>
        <v>#REF!</v>
      </c>
      <c r="B326" t="e">
        <f>#REF!</f>
        <v>#REF!</v>
      </c>
      <c r="C326" t="e">
        <f>#REF!</f>
        <v>#REF!</v>
      </c>
      <c r="D326" t="e">
        <f>#REF!</f>
        <v>#REF!</v>
      </c>
      <c r="E326" t="e">
        <f>#REF!</f>
        <v>#REF!</v>
      </c>
      <c r="F326" t="e">
        <f>#REF!</f>
        <v>#REF!</v>
      </c>
      <c r="G326" t="e">
        <f>#REF!</f>
        <v>#REF!</v>
      </c>
      <c r="H326" t="e">
        <f>#REF!</f>
        <v>#REF!</v>
      </c>
    </row>
    <row r="327" spans="1:8">
      <c r="A327" t="e">
        <f>#REF!</f>
        <v>#REF!</v>
      </c>
      <c r="B327" t="e">
        <f>#REF!</f>
        <v>#REF!</v>
      </c>
      <c r="C327" t="e">
        <f>#REF!</f>
        <v>#REF!</v>
      </c>
      <c r="D327" t="e">
        <f>#REF!</f>
        <v>#REF!</v>
      </c>
      <c r="E327" t="e">
        <f>#REF!</f>
        <v>#REF!</v>
      </c>
      <c r="F327" t="e">
        <f>#REF!</f>
        <v>#REF!</v>
      </c>
      <c r="G327" t="e">
        <f>#REF!</f>
        <v>#REF!</v>
      </c>
      <c r="H327" t="e">
        <f>#REF!</f>
        <v>#REF!</v>
      </c>
    </row>
    <row r="328" spans="1:8">
      <c r="A328" t="e">
        <f>#REF!</f>
        <v>#REF!</v>
      </c>
      <c r="B328" t="e">
        <f>#REF!</f>
        <v>#REF!</v>
      </c>
      <c r="C328" t="e">
        <f>#REF!</f>
        <v>#REF!</v>
      </c>
      <c r="D328" t="e">
        <f>#REF!</f>
        <v>#REF!</v>
      </c>
      <c r="E328" t="e">
        <f>#REF!</f>
        <v>#REF!</v>
      </c>
      <c r="F328" t="e">
        <f>#REF!</f>
        <v>#REF!</v>
      </c>
      <c r="G328" t="e">
        <f>#REF!</f>
        <v>#REF!</v>
      </c>
      <c r="H328" t="e">
        <f>#REF!</f>
        <v>#REF!</v>
      </c>
    </row>
    <row r="329" spans="1:8">
      <c r="A329" t="e">
        <f>#REF!</f>
        <v>#REF!</v>
      </c>
      <c r="B329" t="e">
        <f>#REF!</f>
        <v>#REF!</v>
      </c>
      <c r="C329" t="e">
        <f>#REF!</f>
        <v>#REF!</v>
      </c>
      <c r="D329" t="e">
        <f>#REF!</f>
        <v>#REF!</v>
      </c>
      <c r="E329" t="e">
        <f>#REF!</f>
        <v>#REF!</v>
      </c>
      <c r="F329" t="e">
        <f>#REF!</f>
        <v>#REF!</v>
      </c>
      <c r="G329" t="e">
        <f>#REF!</f>
        <v>#REF!</v>
      </c>
      <c r="H329" t="e">
        <f>#REF!</f>
        <v>#REF!</v>
      </c>
    </row>
    <row r="330" spans="1:8">
      <c r="A330" t="e">
        <f>#REF!</f>
        <v>#REF!</v>
      </c>
      <c r="B330" t="e">
        <f>#REF!</f>
        <v>#REF!</v>
      </c>
      <c r="C330" t="e">
        <f>#REF!</f>
        <v>#REF!</v>
      </c>
      <c r="D330" t="e">
        <f>#REF!</f>
        <v>#REF!</v>
      </c>
      <c r="E330" t="e">
        <f>#REF!</f>
        <v>#REF!</v>
      </c>
      <c r="F330" t="e">
        <f>#REF!</f>
        <v>#REF!</v>
      </c>
      <c r="G330" t="e">
        <f>#REF!</f>
        <v>#REF!</v>
      </c>
      <c r="H330" t="e">
        <f>#REF!</f>
        <v>#REF!</v>
      </c>
    </row>
    <row r="331" spans="1:8">
      <c r="A331" t="e">
        <f>#REF!</f>
        <v>#REF!</v>
      </c>
      <c r="B331" t="e">
        <f>#REF!</f>
        <v>#REF!</v>
      </c>
      <c r="C331" t="e">
        <f>#REF!</f>
        <v>#REF!</v>
      </c>
      <c r="D331" t="e">
        <f>#REF!</f>
        <v>#REF!</v>
      </c>
      <c r="E331" t="e">
        <f>#REF!</f>
        <v>#REF!</v>
      </c>
      <c r="F331" t="e">
        <f>#REF!</f>
        <v>#REF!</v>
      </c>
      <c r="G331" t="e">
        <f>#REF!</f>
        <v>#REF!</v>
      </c>
      <c r="H331" t="e">
        <f>#REF!</f>
        <v>#REF!</v>
      </c>
    </row>
    <row r="332" spans="1:8">
      <c r="A332" t="e">
        <f>#REF!</f>
        <v>#REF!</v>
      </c>
      <c r="B332" t="e">
        <f>#REF!</f>
        <v>#REF!</v>
      </c>
      <c r="C332" t="e">
        <f>#REF!</f>
        <v>#REF!</v>
      </c>
      <c r="D332" t="e">
        <f>#REF!</f>
        <v>#REF!</v>
      </c>
      <c r="E332" t="e">
        <f>#REF!</f>
        <v>#REF!</v>
      </c>
      <c r="F332" t="e">
        <f>#REF!</f>
        <v>#REF!</v>
      </c>
      <c r="G332" t="e">
        <f>#REF!</f>
        <v>#REF!</v>
      </c>
      <c r="H332" t="e">
        <f>#REF!</f>
        <v>#REF!</v>
      </c>
    </row>
    <row r="333" spans="1:8">
      <c r="A333" t="e">
        <f>#REF!</f>
        <v>#REF!</v>
      </c>
      <c r="B333" t="e">
        <f>#REF!</f>
        <v>#REF!</v>
      </c>
      <c r="C333" t="e">
        <f>#REF!</f>
        <v>#REF!</v>
      </c>
      <c r="D333" t="e">
        <f>#REF!</f>
        <v>#REF!</v>
      </c>
      <c r="E333" t="e">
        <f>#REF!</f>
        <v>#REF!</v>
      </c>
      <c r="F333" t="e">
        <f>#REF!</f>
        <v>#REF!</v>
      </c>
      <c r="G333" t="e">
        <f>#REF!</f>
        <v>#REF!</v>
      </c>
      <c r="H333" t="e">
        <f>#REF!</f>
        <v>#REF!</v>
      </c>
    </row>
    <row r="334" spans="1:8">
      <c r="A334" t="e">
        <f>#REF!</f>
        <v>#REF!</v>
      </c>
      <c r="B334" t="e">
        <f>#REF!</f>
        <v>#REF!</v>
      </c>
      <c r="C334" t="e">
        <f>#REF!</f>
        <v>#REF!</v>
      </c>
      <c r="D334" t="e">
        <f>#REF!</f>
        <v>#REF!</v>
      </c>
      <c r="E334" t="e">
        <f>#REF!</f>
        <v>#REF!</v>
      </c>
      <c r="F334" t="e">
        <f>#REF!</f>
        <v>#REF!</v>
      </c>
      <c r="G334" t="e">
        <f>#REF!</f>
        <v>#REF!</v>
      </c>
      <c r="H334" t="e">
        <f>#REF!</f>
        <v>#REF!</v>
      </c>
    </row>
    <row r="335" spans="1:8">
      <c r="A335" t="e">
        <f>#REF!</f>
        <v>#REF!</v>
      </c>
      <c r="B335" t="e">
        <f>#REF!</f>
        <v>#REF!</v>
      </c>
      <c r="C335" t="e">
        <f>#REF!</f>
        <v>#REF!</v>
      </c>
      <c r="D335" t="e">
        <f>#REF!</f>
        <v>#REF!</v>
      </c>
      <c r="E335" t="e">
        <f>#REF!</f>
        <v>#REF!</v>
      </c>
      <c r="F335" t="e">
        <f>#REF!</f>
        <v>#REF!</v>
      </c>
      <c r="G335" t="e">
        <f>#REF!</f>
        <v>#REF!</v>
      </c>
      <c r="H335" t="e">
        <f>#REF!</f>
        <v>#REF!</v>
      </c>
    </row>
    <row r="336" spans="1:8">
      <c r="A336" t="e">
        <f>#REF!</f>
        <v>#REF!</v>
      </c>
      <c r="B336" t="e">
        <f>#REF!</f>
        <v>#REF!</v>
      </c>
      <c r="C336" t="e">
        <f>#REF!</f>
        <v>#REF!</v>
      </c>
      <c r="D336" t="e">
        <f>#REF!</f>
        <v>#REF!</v>
      </c>
      <c r="E336" t="e">
        <f>#REF!</f>
        <v>#REF!</v>
      </c>
      <c r="F336" t="e">
        <f>#REF!</f>
        <v>#REF!</v>
      </c>
      <c r="G336" t="e">
        <f>#REF!</f>
        <v>#REF!</v>
      </c>
      <c r="H336" t="e">
        <f>#REF!</f>
        <v>#REF!</v>
      </c>
    </row>
    <row r="337" spans="1:8">
      <c r="A337" t="e">
        <f>#REF!</f>
        <v>#REF!</v>
      </c>
      <c r="B337" t="e">
        <f>#REF!</f>
        <v>#REF!</v>
      </c>
      <c r="C337" t="e">
        <f>#REF!</f>
        <v>#REF!</v>
      </c>
      <c r="D337" t="e">
        <f>#REF!</f>
        <v>#REF!</v>
      </c>
      <c r="E337" t="e">
        <f>#REF!</f>
        <v>#REF!</v>
      </c>
      <c r="F337" t="e">
        <f>#REF!</f>
        <v>#REF!</v>
      </c>
      <c r="G337" t="e">
        <f>#REF!</f>
        <v>#REF!</v>
      </c>
      <c r="H337" t="e">
        <f>#REF!</f>
        <v>#REF!</v>
      </c>
    </row>
    <row r="338" spans="1:8">
      <c r="A338" t="e">
        <f>#REF!</f>
        <v>#REF!</v>
      </c>
      <c r="B338" t="e">
        <f>#REF!</f>
        <v>#REF!</v>
      </c>
      <c r="C338" t="e">
        <f>#REF!</f>
        <v>#REF!</v>
      </c>
      <c r="D338" t="e">
        <f>#REF!</f>
        <v>#REF!</v>
      </c>
      <c r="E338" t="e">
        <f>#REF!</f>
        <v>#REF!</v>
      </c>
      <c r="F338" t="e">
        <f>#REF!</f>
        <v>#REF!</v>
      </c>
      <c r="G338" t="e">
        <f>#REF!</f>
        <v>#REF!</v>
      </c>
      <c r="H338" t="e">
        <f>#REF!</f>
        <v>#REF!</v>
      </c>
    </row>
    <row r="339" spans="1:8">
      <c r="A339" t="e">
        <f>#REF!</f>
        <v>#REF!</v>
      </c>
      <c r="B339" t="e">
        <f>#REF!</f>
        <v>#REF!</v>
      </c>
      <c r="C339" t="e">
        <f>#REF!</f>
        <v>#REF!</v>
      </c>
      <c r="D339" t="e">
        <f>#REF!</f>
        <v>#REF!</v>
      </c>
      <c r="E339" t="e">
        <f>#REF!</f>
        <v>#REF!</v>
      </c>
      <c r="F339" t="e">
        <f>#REF!</f>
        <v>#REF!</v>
      </c>
      <c r="G339" t="e">
        <f>#REF!</f>
        <v>#REF!</v>
      </c>
      <c r="H339" t="e">
        <f>#REF!</f>
        <v>#REF!</v>
      </c>
    </row>
    <row r="340" spans="1:8">
      <c r="A340" t="e">
        <f>#REF!</f>
        <v>#REF!</v>
      </c>
      <c r="B340" t="e">
        <f>#REF!</f>
        <v>#REF!</v>
      </c>
      <c r="C340" t="e">
        <f>#REF!</f>
        <v>#REF!</v>
      </c>
      <c r="D340" t="e">
        <f>#REF!</f>
        <v>#REF!</v>
      </c>
      <c r="E340" t="e">
        <f>#REF!</f>
        <v>#REF!</v>
      </c>
      <c r="F340" t="e">
        <f>#REF!</f>
        <v>#REF!</v>
      </c>
      <c r="G340" t="e">
        <f>#REF!</f>
        <v>#REF!</v>
      </c>
      <c r="H340" t="e">
        <f>#REF!</f>
        <v>#REF!</v>
      </c>
    </row>
    <row r="341" spans="1:8">
      <c r="A341" t="e">
        <f>#REF!</f>
        <v>#REF!</v>
      </c>
      <c r="B341" t="e">
        <f>#REF!</f>
        <v>#REF!</v>
      </c>
      <c r="C341" t="e">
        <f>#REF!</f>
        <v>#REF!</v>
      </c>
      <c r="D341" t="e">
        <f>#REF!</f>
        <v>#REF!</v>
      </c>
      <c r="E341" t="e">
        <f>#REF!</f>
        <v>#REF!</v>
      </c>
      <c r="F341" t="e">
        <f>#REF!</f>
        <v>#REF!</v>
      </c>
      <c r="G341" t="e">
        <f>#REF!</f>
        <v>#REF!</v>
      </c>
      <c r="H341" t="e">
        <f>#REF!</f>
        <v>#REF!</v>
      </c>
    </row>
    <row r="342" spans="1:8">
      <c r="A342" t="e">
        <f>#REF!</f>
        <v>#REF!</v>
      </c>
      <c r="B342" t="e">
        <f>#REF!</f>
        <v>#REF!</v>
      </c>
      <c r="C342" t="e">
        <f>#REF!</f>
        <v>#REF!</v>
      </c>
      <c r="D342" t="e">
        <f>#REF!</f>
        <v>#REF!</v>
      </c>
      <c r="E342" t="e">
        <f>#REF!</f>
        <v>#REF!</v>
      </c>
      <c r="F342" t="e">
        <f>#REF!</f>
        <v>#REF!</v>
      </c>
      <c r="G342" t="e">
        <f>#REF!</f>
        <v>#REF!</v>
      </c>
      <c r="H342" t="e">
        <f>#REF!</f>
        <v>#REF!</v>
      </c>
    </row>
    <row r="343" spans="1:8">
      <c r="A343" t="e">
        <f>#REF!</f>
        <v>#REF!</v>
      </c>
      <c r="B343" t="e">
        <f>#REF!</f>
        <v>#REF!</v>
      </c>
      <c r="C343" t="e">
        <f>#REF!</f>
        <v>#REF!</v>
      </c>
      <c r="D343" t="e">
        <f>#REF!</f>
        <v>#REF!</v>
      </c>
      <c r="E343" t="e">
        <f>#REF!</f>
        <v>#REF!</v>
      </c>
      <c r="F343" t="e">
        <f>#REF!</f>
        <v>#REF!</v>
      </c>
      <c r="G343" t="e">
        <f>#REF!</f>
        <v>#REF!</v>
      </c>
      <c r="H343" t="e">
        <f>#REF!</f>
        <v>#REF!</v>
      </c>
    </row>
    <row r="344" spans="1:8">
      <c r="A344" t="e">
        <f>#REF!</f>
        <v>#REF!</v>
      </c>
      <c r="B344" t="e">
        <f>#REF!</f>
        <v>#REF!</v>
      </c>
      <c r="C344" t="e">
        <f>#REF!</f>
        <v>#REF!</v>
      </c>
      <c r="D344" t="e">
        <f>#REF!</f>
        <v>#REF!</v>
      </c>
      <c r="E344" t="e">
        <f>#REF!</f>
        <v>#REF!</v>
      </c>
      <c r="F344" t="e">
        <f>#REF!</f>
        <v>#REF!</v>
      </c>
      <c r="G344" t="e">
        <f>#REF!</f>
        <v>#REF!</v>
      </c>
      <c r="H344" t="e">
        <f>#REF!</f>
        <v>#REF!</v>
      </c>
    </row>
    <row r="345" spans="1:8">
      <c r="A345" t="e">
        <f>#REF!</f>
        <v>#REF!</v>
      </c>
      <c r="B345" t="e">
        <f>#REF!</f>
        <v>#REF!</v>
      </c>
      <c r="C345" t="e">
        <f>#REF!</f>
        <v>#REF!</v>
      </c>
      <c r="D345" t="e">
        <f>#REF!</f>
        <v>#REF!</v>
      </c>
      <c r="E345" t="e">
        <f>#REF!</f>
        <v>#REF!</v>
      </c>
      <c r="F345" t="e">
        <f>#REF!</f>
        <v>#REF!</v>
      </c>
      <c r="G345" t="e">
        <f>#REF!</f>
        <v>#REF!</v>
      </c>
      <c r="H345" t="e">
        <f>#REF!</f>
        <v>#REF!</v>
      </c>
    </row>
    <row r="346" spans="1:8">
      <c r="A346" t="e">
        <f>#REF!</f>
        <v>#REF!</v>
      </c>
      <c r="B346" t="e">
        <f>#REF!</f>
        <v>#REF!</v>
      </c>
      <c r="C346" t="e">
        <f>#REF!</f>
        <v>#REF!</v>
      </c>
      <c r="D346" t="e">
        <f>#REF!</f>
        <v>#REF!</v>
      </c>
      <c r="E346" t="e">
        <f>#REF!</f>
        <v>#REF!</v>
      </c>
      <c r="F346" t="e">
        <f>#REF!</f>
        <v>#REF!</v>
      </c>
      <c r="G346" t="e">
        <f>#REF!</f>
        <v>#REF!</v>
      </c>
      <c r="H346" t="e">
        <f>#REF!</f>
        <v>#REF!</v>
      </c>
    </row>
    <row r="347" spans="1:8">
      <c r="A347" t="e">
        <f>#REF!</f>
        <v>#REF!</v>
      </c>
      <c r="B347" t="e">
        <f>#REF!</f>
        <v>#REF!</v>
      </c>
      <c r="C347" t="e">
        <f>#REF!</f>
        <v>#REF!</v>
      </c>
      <c r="D347" t="e">
        <f>#REF!</f>
        <v>#REF!</v>
      </c>
      <c r="E347" t="e">
        <f>#REF!</f>
        <v>#REF!</v>
      </c>
      <c r="F347" t="e">
        <f>#REF!</f>
        <v>#REF!</v>
      </c>
      <c r="G347" t="e">
        <f>#REF!</f>
        <v>#REF!</v>
      </c>
      <c r="H347" t="e">
        <f>#REF!</f>
        <v>#REF!</v>
      </c>
    </row>
    <row r="348" spans="1:8">
      <c r="A348" t="e">
        <f>#REF!</f>
        <v>#REF!</v>
      </c>
      <c r="B348" t="e">
        <f>#REF!</f>
        <v>#REF!</v>
      </c>
      <c r="C348" t="e">
        <f>#REF!</f>
        <v>#REF!</v>
      </c>
      <c r="D348" t="e">
        <f>#REF!</f>
        <v>#REF!</v>
      </c>
      <c r="E348" t="e">
        <f>#REF!</f>
        <v>#REF!</v>
      </c>
      <c r="F348" t="e">
        <f>#REF!</f>
        <v>#REF!</v>
      </c>
      <c r="G348" t="e">
        <f>#REF!</f>
        <v>#REF!</v>
      </c>
      <c r="H348" t="e">
        <f>#REF!</f>
        <v>#REF!</v>
      </c>
    </row>
    <row r="349" spans="1:8">
      <c r="A349" t="e">
        <f>#REF!</f>
        <v>#REF!</v>
      </c>
      <c r="B349" t="e">
        <f>#REF!</f>
        <v>#REF!</v>
      </c>
      <c r="C349" t="e">
        <f>#REF!</f>
        <v>#REF!</v>
      </c>
      <c r="D349" t="e">
        <f>#REF!</f>
        <v>#REF!</v>
      </c>
      <c r="E349" t="e">
        <f>#REF!</f>
        <v>#REF!</v>
      </c>
      <c r="F349" t="e">
        <f>#REF!</f>
        <v>#REF!</v>
      </c>
      <c r="G349" t="e">
        <f>#REF!</f>
        <v>#REF!</v>
      </c>
      <c r="H349" t="e">
        <f>#REF!</f>
        <v>#REF!</v>
      </c>
    </row>
    <row r="350" spans="1:8">
      <c r="A350" t="e">
        <f>#REF!</f>
        <v>#REF!</v>
      </c>
      <c r="B350" t="e">
        <f>#REF!</f>
        <v>#REF!</v>
      </c>
      <c r="C350" t="e">
        <f>#REF!</f>
        <v>#REF!</v>
      </c>
      <c r="D350" t="e">
        <f>#REF!</f>
        <v>#REF!</v>
      </c>
      <c r="E350" t="e">
        <f>#REF!</f>
        <v>#REF!</v>
      </c>
      <c r="F350" t="e">
        <f>#REF!</f>
        <v>#REF!</v>
      </c>
      <c r="G350" t="e">
        <f>#REF!</f>
        <v>#REF!</v>
      </c>
      <c r="H350" t="e">
        <f>#REF!</f>
        <v>#REF!</v>
      </c>
    </row>
    <row r="351" spans="1:8">
      <c r="A351" t="e">
        <f>#REF!</f>
        <v>#REF!</v>
      </c>
      <c r="B351" t="e">
        <f>#REF!</f>
        <v>#REF!</v>
      </c>
      <c r="C351" t="e">
        <f>#REF!</f>
        <v>#REF!</v>
      </c>
      <c r="D351" t="e">
        <f>#REF!</f>
        <v>#REF!</v>
      </c>
      <c r="E351" t="e">
        <f>#REF!</f>
        <v>#REF!</v>
      </c>
      <c r="F351" t="e">
        <f>#REF!</f>
        <v>#REF!</v>
      </c>
      <c r="G351" t="e">
        <f>#REF!</f>
        <v>#REF!</v>
      </c>
      <c r="H351" t="e">
        <f>#REF!</f>
        <v>#REF!</v>
      </c>
    </row>
    <row r="352" spans="1:8">
      <c r="A352" t="e">
        <f>#REF!</f>
        <v>#REF!</v>
      </c>
      <c r="B352" t="e">
        <f>#REF!</f>
        <v>#REF!</v>
      </c>
      <c r="C352" t="e">
        <f>#REF!</f>
        <v>#REF!</v>
      </c>
      <c r="D352" t="e">
        <f>#REF!</f>
        <v>#REF!</v>
      </c>
      <c r="E352" t="e">
        <f>#REF!</f>
        <v>#REF!</v>
      </c>
      <c r="F352" t="e">
        <f>#REF!</f>
        <v>#REF!</v>
      </c>
      <c r="G352" t="e">
        <f>#REF!</f>
        <v>#REF!</v>
      </c>
      <c r="H352" t="e">
        <f>#REF!</f>
        <v>#REF!</v>
      </c>
    </row>
    <row r="353" spans="1:8">
      <c r="A353" t="e">
        <f>#REF!</f>
        <v>#REF!</v>
      </c>
      <c r="B353" t="e">
        <f>#REF!</f>
        <v>#REF!</v>
      </c>
      <c r="C353" t="e">
        <f>#REF!</f>
        <v>#REF!</v>
      </c>
      <c r="D353" t="e">
        <f>#REF!</f>
        <v>#REF!</v>
      </c>
      <c r="E353" t="e">
        <f>#REF!</f>
        <v>#REF!</v>
      </c>
      <c r="F353" t="e">
        <f>#REF!</f>
        <v>#REF!</v>
      </c>
      <c r="G353" t="e">
        <f>#REF!</f>
        <v>#REF!</v>
      </c>
      <c r="H353" t="e">
        <f>#REF!</f>
        <v>#REF!</v>
      </c>
    </row>
    <row r="354" spans="1:8">
      <c r="A354" t="e">
        <f>#REF!</f>
        <v>#REF!</v>
      </c>
      <c r="B354" t="e">
        <f>#REF!</f>
        <v>#REF!</v>
      </c>
      <c r="C354" t="e">
        <f>#REF!</f>
        <v>#REF!</v>
      </c>
      <c r="D354" t="e">
        <f>#REF!</f>
        <v>#REF!</v>
      </c>
      <c r="E354" t="e">
        <f>#REF!</f>
        <v>#REF!</v>
      </c>
      <c r="F354" t="e">
        <f>#REF!</f>
        <v>#REF!</v>
      </c>
      <c r="G354" t="e">
        <f>#REF!</f>
        <v>#REF!</v>
      </c>
      <c r="H354" t="e">
        <f>#REF!</f>
        <v>#REF!</v>
      </c>
    </row>
    <row r="355" spans="1:8">
      <c r="A355" t="e">
        <f>#REF!</f>
        <v>#REF!</v>
      </c>
      <c r="B355" t="e">
        <f>#REF!</f>
        <v>#REF!</v>
      </c>
      <c r="C355" t="e">
        <f>#REF!</f>
        <v>#REF!</v>
      </c>
      <c r="D355" t="e">
        <f>#REF!</f>
        <v>#REF!</v>
      </c>
      <c r="E355" t="e">
        <f>#REF!</f>
        <v>#REF!</v>
      </c>
      <c r="F355" t="e">
        <f>#REF!</f>
        <v>#REF!</v>
      </c>
      <c r="G355" t="e">
        <f>#REF!</f>
        <v>#REF!</v>
      </c>
      <c r="H355" t="e">
        <f>#REF!</f>
        <v>#REF!</v>
      </c>
    </row>
    <row r="356" spans="1:8">
      <c r="A356" t="e">
        <f>#REF!</f>
        <v>#REF!</v>
      </c>
      <c r="B356" t="e">
        <f>#REF!</f>
        <v>#REF!</v>
      </c>
      <c r="C356" t="e">
        <f>#REF!</f>
        <v>#REF!</v>
      </c>
      <c r="D356" t="e">
        <f>#REF!</f>
        <v>#REF!</v>
      </c>
      <c r="E356" t="e">
        <f>#REF!</f>
        <v>#REF!</v>
      </c>
      <c r="F356" t="e">
        <f>#REF!</f>
        <v>#REF!</v>
      </c>
      <c r="G356" t="e">
        <f>#REF!</f>
        <v>#REF!</v>
      </c>
      <c r="H356" t="e">
        <f>#REF!</f>
        <v>#REF!</v>
      </c>
    </row>
    <row r="357" spans="1:8">
      <c r="A357" t="e">
        <f>#REF!</f>
        <v>#REF!</v>
      </c>
      <c r="B357" t="e">
        <f>#REF!</f>
        <v>#REF!</v>
      </c>
      <c r="C357" t="e">
        <f>#REF!</f>
        <v>#REF!</v>
      </c>
      <c r="D357" t="e">
        <f>#REF!</f>
        <v>#REF!</v>
      </c>
      <c r="E357" t="e">
        <f>#REF!</f>
        <v>#REF!</v>
      </c>
      <c r="F357" t="e">
        <f>#REF!</f>
        <v>#REF!</v>
      </c>
      <c r="G357" t="e">
        <f>#REF!</f>
        <v>#REF!</v>
      </c>
      <c r="H357" t="e">
        <f>#REF!</f>
        <v>#REF!</v>
      </c>
    </row>
    <row r="358" spans="1:8">
      <c r="A358" t="e">
        <f>#REF!</f>
        <v>#REF!</v>
      </c>
      <c r="B358" t="e">
        <f>#REF!</f>
        <v>#REF!</v>
      </c>
      <c r="C358" t="e">
        <f>#REF!</f>
        <v>#REF!</v>
      </c>
      <c r="D358" t="e">
        <f>#REF!</f>
        <v>#REF!</v>
      </c>
      <c r="E358" t="e">
        <f>#REF!</f>
        <v>#REF!</v>
      </c>
      <c r="F358" t="e">
        <f>#REF!</f>
        <v>#REF!</v>
      </c>
      <c r="G358" t="e">
        <f>#REF!</f>
        <v>#REF!</v>
      </c>
      <c r="H358" t="e">
        <f>#REF!</f>
        <v>#REF!</v>
      </c>
    </row>
    <row r="359" spans="1:8">
      <c r="A359" t="e">
        <f>#REF!</f>
        <v>#REF!</v>
      </c>
      <c r="B359" t="e">
        <f>#REF!</f>
        <v>#REF!</v>
      </c>
      <c r="C359" t="e">
        <f>#REF!</f>
        <v>#REF!</v>
      </c>
      <c r="D359" t="e">
        <f>#REF!</f>
        <v>#REF!</v>
      </c>
      <c r="E359" t="e">
        <f>#REF!</f>
        <v>#REF!</v>
      </c>
      <c r="F359" t="e">
        <f>#REF!</f>
        <v>#REF!</v>
      </c>
      <c r="G359" t="e">
        <f>#REF!</f>
        <v>#REF!</v>
      </c>
      <c r="H359" t="e">
        <f>#REF!</f>
        <v>#REF!</v>
      </c>
    </row>
    <row r="360" spans="1:8">
      <c r="A360" t="e">
        <f>#REF!</f>
        <v>#REF!</v>
      </c>
      <c r="B360" t="e">
        <f>#REF!</f>
        <v>#REF!</v>
      </c>
      <c r="C360" t="e">
        <f>#REF!</f>
        <v>#REF!</v>
      </c>
      <c r="D360" t="e">
        <f>#REF!</f>
        <v>#REF!</v>
      </c>
      <c r="E360" t="e">
        <f>#REF!</f>
        <v>#REF!</v>
      </c>
      <c r="F360" t="e">
        <f>#REF!</f>
        <v>#REF!</v>
      </c>
      <c r="G360" t="e">
        <f>#REF!</f>
        <v>#REF!</v>
      </c>
      <c r="H360" t="e">
        <f>#REF!</f>
        <v>#REF!</v>
      </c>
    </row>
    <row r="361" spans="1:8">
      <c r="A361" t="e">
        <f>#REF!</f>
        <v>#REF!</v>
      </c>
      <c r="B361" t="e">
        <f>#REF!</f>
        <v>#REF!</v>
      </c>
      <c r="C361" t="e">
        <f>#REF!</f>
        <v>#REF!</v>
      </c>
      <c r="D361" t="e">
        <f>#REF!</f>
        <v>#REF!</v>
      </c>
      <c r="E361" t="e">
        <f>#REF!</f>
        <v>#REF!</v>
      </c>
      <c r="F361" t="e">
        <f>#REF!</f>
        <v>#REF!</v>
      </c>
      <c r="G361" t="e">
        <f>#REF!</f>
        <v>#REF!</v>
      </c>
      <c r="H361" t="e">
        <f>#REF!</f>
        <v>#REF!</v>
      </c>
    </row>
    <row r="362" spans="1:8">
      <c r="A362" t="e">
        <f>#REF!</f>
        <v>#REF!</v>
      </c>
      <c r="B362" t="e">
        <f>#REF!</f>
        <v>#REF!</v>
      </c>
      <c r="C362" t="e">
        <f>#REF!</f>
        <v>#REF!</v>
      </c>
      <c r="D362" t="e">
        <f>#REF!</f>
        <v>#REF!</v>
      </c>
      <c r="E362" t="e">
        <f>#REF!</f>
        <v>#REF!</v>
      </c>
      <c r="F362" t="e">
        <f>#REF!</f>
        <v>#REF!</v>
      </c>
      <c r="G362" t="e">
        <f>#REF!</f>
        <v>#REF!</v>
      </c>
      <c r="H362" t="e">
        <f>#REF!</f>
        <v>#REF!</v>
      </c>
    </row>
    <row r="363" spans="1:8">
      <c r="A363" t="e">
        <f>#REF!</f>
        <v>#REF!</v>
      </c>
      <c r="B363" t="e">
        <f>#REF!</f>
        <v>#REF!</v>
      </c>
      <c r="C363" t="e">
        <f>#REF!</f>
        <v>#REF!</v>
      </c>
      <c r="D363" t="e">
        <f>#REF!</f>
        <v>#REF!</v>
      </c>
      <c r="E363" t="e">
        <f>#REF!</f>
        <v>#REF!</v>
      </c>
      <c r="F363" t="e">
        <f>#REF!</f>
        <v>#REF!</v>
      </c>
      <c r="G363" t="e">
        <f>#REF!</f>
        <v>#REF!</v>
      </c>
      <c r="H363" t="e">
        <f>#REF!</f>
        <v>#REF!</v>
      </c>
    </row>
    <row r="364" spans="1:8">
      <c r="A364" t="e">
        <f>#REF!</f>
        <v>#REF!</v>
      </c>
      <c r="B364" t="e">
        <f>#REF!</f>
        <v>#REF!</v>
      </c>
      <c r="C364" t="e">
        <f>#REF!</f>
        <v>#REF!</v>
      </c>
      <c r="D364" t="e">
        <f>#REF!</f>
        <v>#REF!</v>
      </c>
      <c r="E364" t="e">
        <f>#REF!</f>
        <v>#REF!</v>
      </c>
      <c r="F364" t="e">
        <f>#REF!</f>
        <v>#REF!</v>
      </c>
      <c r="G364" t="e">
        <f>#REF!</f>
        <v>#REF!</v>
      </c>
      <c r="H364" t="e">
        <f>#REF!</f>
        <v>#REF!</v>
      </c>
    </row>
    <row r="365" spans="1:8">
      <c r="A365" t="e">
        <f>#REF!</f>
        <v>#REF!</v>
      </c>
      <c r="B365" t="e">
        <f>#REF!</f>
        <v>#REF!</v>
      </c>
      <c r="C365" t="e">
        <f>#REF!</f>
        <v>#REF!</v>
      </c>
      <c r="D365" t="e">
        <f>#REF!</f>
        <v>#REF!</v>
      </c>
      <c r="E365" t="e">
        <f>#REF!</f>
        <v>#REF!</v>
      </c>
      <c r="F365" t="e">
        <f>#REF!</f>
        <v>#REF!</v>
      </c>
      <c r="G365" t="e">
        <f>#REF!</f>
        <v>#REF!</v>
      </c>
      <c r="H365" t="e">
        <f>#REF!</f>
        <v>#REF!</v>
      </c>
    </row>
    <row r="366" spans="1:8">
      <c r="A366" t="e">
        <f>#REF!</f>
        <v>#REF!</v>
      </c>
      <c r="B366" t="e">
        <f>#REF!</f>
        <v>#REF!</v>
      </c>
      <c r="C366" t="e">
        <f>#REF!</f>
        <v>#REF!</v>
      </c>
      <c r="D366" t="e">
        <f>#REF!</f>
        <v>#REF!</v>
      </c>
      <c r="E366" t="e">
        <f>#REF!</f>
        <v>#REF!</v>
      </c>
      <c r="F366" t="e">
        <f>#REF!</f>
        <v>#REF!</v>
      </c>
      <c r="G366" t="e">
        <f>#REF!</f>
        <v>#REF!</v>
      </c>
      <c r="H366" t="e">
        <f>#REF!</f>
        <v>#REF!</v>
      </c>
    </row>
    <row r="367" spans="1:8">
      <c r="A367" t="e">
        <f>#REF!</f>
        <v>#REF!</v>
      </c>
      <c r="B367" t="e">
        <f>#REF!</f>
        <v>#REF!</v>
      </c>
      <c r="C367" t="e">
        <f>#REF!</f>
        <v>#REF!</v>
      </c>
      <c r="D367" t="e">
        <f>#REF!</f>
        <v>#REF!</v>
      </c>
      <c r="E367" t="e">
        <f>#REF!</f>
        <v>#REF!</v>
      </c>
      <c r="F367" t="e">
        <f>#REF!</f>
        <v>#REF!</v>
      </c>
      <c r="G367" t="e">
        <f>#REF!</f>
        <v>#REF!</v>
      </c>
      <c r="H367" t="e">
        <f>#REF!</f>
        <v>#REF!</v>
      </c>
    </row>
    <row r="368" spans="1:8">
      <c r="A368" t="e">
        <f>#REF!</f>
        <v>#REF!</v>
      </c>
      <c r="B368" t="e">
        <f>#REF!</f>
        <v>#REF!</v>
      </c>
      <c r="C368" t="e">
        <f>#REF!</f>
        <v>#REF!</v>
      </c>
      <c r="D368" t="e">
        <f>#REF!</f>
        <v>#REF!</v>
      </c>
      <c r="E368" t="e">
        <f>#REF!</f>
        <v>#REF!</v>
      </c>
      <c r="F368" t="e">
        <f>#REF!</f>
        <v>#REF!</v>
      </c>
      <c r="G368" t="e">
        <f>#REF!</f>
        <v>#REF!</v>
      </c>
      <c r="H368" t="e">
        <f>#REF!</f>
        <v>#REF!</v>
      </c>
    </row>
    <row r="369" spans="1:8">
      <c r="A369" t="e">
        <f>#REF!</f>
        <v>#REF!</v>
      </c>
      <c r="B369" t="e">
        <f>#REF!</f>
        <v>#REF!</v>
      </c>
      <c r="C369" t="e">
        <f>#REF!</f>
        <v>#REF!</v>
      </c>
      <c r="D369" t="e">
        <f>#REF!</f>
        <v>#REF!</v>
      </c>
      <c r="E369" t="e">
        <f>#REF!</f>
        <v>#REF!</v>
      </c>
      <c r="F369" t="e">
        <f>#REF!</f>
        <v>#REF!</v>
      </c>
      <c r="G369" t="e">
        <f>#REF!</f>
        <v>#REF!</v>
      </c>
      <c r="H369" t="e">
        <f>#REF!</f>
        <v>#REF!</v>
      </c>
    </row>
    <row r="370" spans="1:8">
      <c r="A370" t="e">
        <f>#REF!</f>
        <v>#REF!</v>
      </c>
      <c r="B370" t="e">
        <f>#REF!</f>
        <v>#REF!</v>
      </c>
      <c r="C370" t="e">
        <f>#REF!</f>
        <v>#REF!</v>
      </c>
      <c r="D370" t="e">
        <f>#REF!</f>
        <v>#REF!</v>
      </c>
      <c r="E370" t="e">
        <f>#REF!</f>
        <v>#REF!</v>
      </c>
      <c r="F370" t="e">
        <f>#REF!</f>
        <v>#REF!</v>
      </c>
      <c r="G370" t="e">
        <f>#REF!</f>
        <v>#REF!</v>
      </c>
      <c r="H370" t="e">
        <f>#REF!</f>
        <v>#REF!</v>
      </c>
    </row>
    <row r="371" spans="1:8">
      <c r="A371" t="e">
        <f>#REF!</f>
        <v>#REF!</v>
      </c>
      <c r="B371" t="e">
        <f>#REF!</f>
        <v>#REF!</v>
      </c>
      <c r="C371" t="e">
        <f>#REF!</f>
        <v>#REF!</v>
      </c>
      <c r="D371" t="e">
        <f>#REF!</f>
        <v>#REF!</v>
      </c>
      <c r="E371" t="e">
        <f>#REF!</f>
        <v>#REF!</v>
      </c>
      <c r="F371" t="e">
        <f>#REF!</f>
        <v>#REF!</v>
      </c>
      <c r="G371" t="e">
        <f>#REF!</f>
        <v>#REF!</v>
      </c>
      <c r="H371" t="e">
        <f>#REF!</f>
        <v>#REF!</v>
      </c>
    </row>
    <row r="372" spans="1:8">
      <c r="A372" t="e">
        <f>#REF!</f>
        <v>#REF!</v>
      </c>
      <c r="B372" t="e">
        <f>#REF!</f>
        <v>#REF!</v>
      </c>
      <c r="C372" t="e">
        <f>#REF!</f>
        <v>#REF!</v>
      </c>
      <c r="D372" t="e">
        <f>#REF!</f>
        <v>#REF!</v>
      </c>
      <c r="E372" t="e">
        <f>#REF!</f>
        <v>#REF!</v>
      </c>
      <c r="F372" t="e">
        <f>#REF!</f>
        <v>#REF!</v>
      </c>
      <c r="G372" t="e">
        <f>#REF!</f>
        <v>#REF!</v>
      </c>
      <c r="H372" t="e">
        <f>#REF!</f>
        <v>#REF!</v>
      </c>
    </row>
    <row r="373" spans="1:8">
      <c r="A373" t="e">
        <f>#REF!</f>
        <v>#REF!</v>
      </c>
      <c r="B373" t="e">
        <f>#REF!</f>
        <v>#REF!</v>
      </c>
      <c r="C373" t="e">
        <f>#REF!</f>
        <v>#REF!</v>
      </c>
      <c r="D373" t="e">
        <f>#REF!</f>
        <v>#REF!</v>
      </c>
      <c r="E373" t="e">
        <f>#REF!</f>
        <v>#REF!</v>
      </c>
      <c r="F373" t="e">
        <f>#REF!</f>
        <v>#REF!</v>
      </c>
      <c r="G373" t="e">
        <f>#REF!</f>
        <v>#REF!</v>
      </c>
      <c r="H373" t="e">
        <f>#REF!</f>
        <v>#REF!</v>
      </c>
    </row>
    <row r="374" spans="1:8">
      <c r="A374" t="e">
        <f>#REF!</f>
        <v>#REF!</v>
      </c>
      <c r="B374" t="e">
        <f>#REF!</f>
        <v>#REF!</v>
      </c>
      <c r="C374" t="e">
        <f>#REF!</f>
        <v>#REF!</v>
      </c>
      <c r="D374" t="e">
        <f>#REF!</f>
        <v>#REF!</v>
      </c>
      <c r="E374" t="e">
        <f>#REF!</f>
        <v>#REF!</v>
      </c>
      <c r="F374" t="e">
        <f>#REF!</f>
        <v>#REF!</v>
      </c>
      <c r="G374" t="e">
        <f>#REF!</f>
        <v>#REF!</v>
      </c>
      <c r="H374" t="e">
        <f>#REF!</f>
        <v>#REF!</v>
      </c>
    </row>
    <row r="375" spans="1:8">
      <c r="A375" t="e">
        <f>#REF!</f>
        <v>#REF!</v>
      </c>
      <c r="B375" t="e">
        <f>#REF!</f>
        <v>#REF!</v>
      </c>
      <c r="C375" t="e">
        <f>#REF!</f>
        <v>#REF!</v>
      </c>
      <c r="D375" t="e">
        <f>#REF!</f>
        <v>#REF!</v>
      </c>
      <c r="E375" t="e">
        <f>#REF!</f>
        <v>#REF!</v>
      </c>
      <c r="F375" t="e">
        <f>#REF!</f>
        <v>#REF!</v>
      </c>
      <c r="G375" t="e">
        <f>#REF!</f>
        <v>#REF!</v>
      </c>
      <c r="H375" t="e">
        <f>#REF!</f>
        <v>#REF!</v>
      </c>
    </row>
    <row r="376" spans="1:8">
      <c r="A376" t="e">
        <f>#REF!</f>
        <v>#REF!</v>
      </c>
      <c r="B376" t="e">
        <f>#REF!</f>
        <v>#REF!</v>
      </c>
      <c r="C376" t="e">
        <f>#REF!</f>
        <v>#REF!</v>
      </c>
      <c r="D376" t="e">
        <f>#REF!</f>
        <v>#REF!</v>
      </c>
      <c r="E376" t="e">
        <f>#REF!</f>
        <v>#REF!</v>
      </c>
      <c r="F376" t="e">
        <f>#REF!</f>
        <v>#REF!</v>
      </c>
      <c r="G376" t="e">
        <f>#REF!</f>
        <v>#REF!</v>
      </c>
      <c r="H376" t="e">
        <f>#REF!</f>
        <v>#REF!</v>
      </c>
    </row>
    <row r="377" spans="1:8">
      <c r="A377" t="e">
        <f>#REF!</f>
        <v>#REF!</v>
      </c>
      <c r="B377" t="e">
        <f>#REF!</f>
        <v>#REF!</v>
      </c>
      <c r="C377" t="e">
        <f>#REF!</f>
        <v>#REF!</v>
      </c>
      <c r="D377" t="e">
        <f>#REF!</f>
        <v>#REF!</v>
      </c>
      <c r="E377" t="e">
        <f>#REF!</f>
        <v>#REF!</v>
      </c>
      <c r="F377" t="e">
        <f>#REF!</f>
        <v>#REF!</v>
      </c>
      <c r="G377" t="e">
        <f>#REF!</f>
        <v>#REF!</v>
      </c>
      <c r="H377" t="e">
        <f>#REF!</f>
        <v>#REF!</v>
      </c>
    </row>
    <row r="378" spans="1:8">
      <c r="A378" t="e">
        <f>#REF!</f>
        <v>#REF!</v>
      </c>
      <c r="B378" t="e">
        <f>#REF!</f>
        <v>#REF!</v>
      </c>
      <c r="C378" t="e">
        <f>#REF!</f>
        <v>#REF!</v>
      </c>
      <c r="D378" t="e">
        <f>#REF!</f>
        <v>#REF!</v>
      </c>
      <c r="E378" t="e">
        <f>#REF!</f>
        <v>#REF!</v>
      </c>
      <c r="F378" t="e">
        <f>#REF!</f>
        <v>#REF!</v>
      </c>
      <c r="G378" t="e">
        <f>#REF!</f>
        <v>#REF!</v>
      </c>
      <c r="H378" t="e">
        <f>#REF!</f>
        <v>#REF!</v>
      </c>
    </row>
    <row r="379" spans="1:8">
      <c r="A379" t="e">
        <f>#REF!</f>
        <v>#REF!</v>
      </c>
      <c r="B379" t="e">
        <f>#REF!</f>
        <v>#REF!</v>
      </c>
      <c r="C379" t="e">
        <f>#REF!</f>
        <v>#REF!</v>
      </c>
      <c r="D379" t="e">
        <f>#REF!</f>
        <v>#REF!</v>
      </c>
      <c r="E379" t="e">
        <f>#REF!</f>
        <v>#REF!</v>
      </c>
      <c r="F379" t="e">
        <f>#REF!</f>
        <v>#REF!</v>
      </c>
      <c r="G379" t="e">
        <f>#REF!</f>
        <v>#REF!</v>
      </c>
      <c r="H379" t="e">
        <f>#REF!</f>
        <v>#REF!</v>
      </c>
    </row>
    <row r="380" spans="1:8">
      <c r="A380" t="e">
        <f>#REF!</f>
        <v>#REF!</v>
      </c>
      <c r="B380" t="e">
        <f>#REF!</f>
        <v>#REF!</v>
      </c>
      <c r="C380" t="e">
        <f>#REF!</f>
        <v>#REF!</v>
      </c>
      <c r="D380" t="e">
        <f>#REF!</f>
        <v>#REF!</v>
      </c>
      <c r="E380" t="e">
        <f>#REF!</f>
        <v>#REF!</v>
      </c>
      <c r="F380" t="e">
        <f>#REF!</f>
        <v>#REF!</v>
      </c>
      <c r="G380" t="e">
        <f>#REF!</f>
        <v>#REF!</v>
      </c>
      <c r="H380" t="e">
        <f>#REF!</f>
        <v>#REF!</v>
      </c>
    </row>
    <row r="381" spans="1:8">
      <c r="A381" t="e">
        <f>#REF!</f>
        <v>#REF!</v>
      </c>
      <c r="B381" t="e">
        <f>#REF!</f>
        <v>#REF!</v>
      </c>
      <c r="C381" t="e">
        <f>#REF!</f>
        <v>#REF!</v>
      </c>
      <c r="D381" t="e">
        <f>#REF!</f>
        <v>#REF!</v>
      </c>
      <c r="E381" t="e">
        <f>#REF!</f>
        <v>#REF!</v>
      </c>
      <c r="F381" t="e">
        <f>#REF!</f>
        <v>#REF!</v>
      </c>
      <c r="G381" t="e">
        <f>#REF!</f>
        <v>#REF!</v>
      </c>
      <c r="H381" t="e">
        <f>#REF!</f>
        <v>#REF!</v>
      </c>
    </row>
    <row r="382" spans="1:8">
      <c r="A382" t="e">
        <f>#REF!</f>
        <v>#REF!</v>
      </c>
      <c r="B382" t="e">
        <f>#REF!</f>
        <v>#REF!</v>
      </c>
      <c r="C382" t="e">
        <f>#REF!</f>
        <v>#REF!</v>
      </c>
      <c r="D382" t="e">
        <f>#REF!</f>
        <v>#REF!</v>
      </c>
      <c r="E382" t="e">
        <f>#REF!</f>
        <v>#REF!</v>
      </c>
      <c r="F382" t="e">
        <f>#REF!</f>
        <v>#REF!</v>
      </c>
      <c r="G382" t="e">
        <f>#REF!</f>
        <v>#REF!</v>
      </c>
      <c r="H382" t="e">
        <f>#REF!</f>
        <v>#REF!</v>
      </c>
    </row>
    <row r="383" spans="1:8">
      <c r="A383" t="e">
        <f>#REF!</f>
        <v>#REF!</v>
      </c>
      <c r="B383" t="e">
        <f>#REF!</f>
        <v>#REF!</v>
      </c>
      <c r="C383" t="e">
        <f>#REF!</f>
        <v>#REF!</v>
      </c>
      <c r="D383" t="e">
        <f>#REF!</f>
        <v>#REF!</v>
      </c>
      <c r="E383" t="e">
        <f>#REF!</f>
        <v>#REF!</v>
      </c>
      <c r="F383" t="e">
        <f>#REF!</f>
        <v>#REF!</v>
      </c>
      <c r="G383" t="e">
        <f>#REF!</f>
        <v>#REF!</v>
      </c>
      <c r="H383" t="e">
        <f>#REF!</f>
        <v>#REF!</v>
      </c>
    </row>
    <row r="384" spans="1:8">
      <c r="A384" t="e">
        <f>#REF!</f>
        <v>#REF!</v>
      </c>
      <c r="B384" t="e">
        <f>#REF!</f>
        <v>#REF!</v>
      </c>
      <c r="C384" t="e">
        <f>#REF!</f>
        <v>#REF!</v>
      </c>
      <c r="D384" t="e">
        <f>#REF!</f>
        <v>#REF!</v>
      </c>
      <c r="E384" t="e">
        <f>#REF!</f>
        <v>#REF!</v>
      </c>
      <c r="F384" t="e">
        <f>#REF!</f>
        <v>#REF!</v>
      </c>
      <c r="G384" t="e">
        <f>#REF!</f>
        <v>#REF!</v>
      </c>
      <c r="H384" t="e">
        <f>#REF!</f>
        <v>#REF!</v>
      </c>
    </row>
    <row r="385" spans="1:8">
      <c r="A385" t="e">
        <f>#REF!</f>
        <v>#REF!</v>
      </c>
      <c r="B385" t="e">
        <f>#REF!</f>
        <v>#REF!</v>
      </c>
      <c r="C385" t="e">
        <f>#REF!</f>
        <v>#REF!</v>
      </c>
      <c r="D385" t="e">
        <f>#REF!</f>
        <v>#REF!</v>
      </c>
      <c r="E385" t="e">
        <f>#REF!</f>
        <v>#REF!</v>
      </c>
      <c r="F385" t="e">
        <f>#REF!</f>
        <v>#REF!</v>
      </c>
      <c r="G385" t="e">
        <f>#REF!</f>
        <v>#REF!</v>
      </c>
      <c r="H385" t="e">
        <f>#REF!</f>
        <v>#REF!</v>
      </c>
    </row>
    <row r="386" spans="1:8">
      <c r="A386" t="e">
        <f>#REF!</f>
        <v>#REF!</v>
      </c>
      <c r="B386" t="e">
        <f>#REF!</f>
        <v>#REF!</v>
      </c>
      <c r="C386" t="e">
        <f>#REF!</f>
        <v>#REF!</v>
      </c>
      <c r="D386" t="e">
        <f>#REF!</f>
        <v>#REF!</v>
      </c>
      <c r="E386" t="e">
        <f>#REF!</f>
        <v>#REF!</v>
      </c>
      <c r="F386" t="e">
        <f>#REF!</f>
        <v>#REF!</v>
      </c>
      <c r="G386" t="e">
        <f>#REF!</f>
        <v>#REF!</v>
      </c>
      <c r="H386" t="e">
        <f>#REF!</f>
        <v>#REF!</v>
      </c>
    </row>
    <row r="387" spans="1:8">
      <c r="A387" t="e">
        <f>#REF!</f>
        <v>#REF!</v>
      </c>
      <c r="B387" t="e">
        <f>#REF!</f>
        <v>#REF!</v>
      </c>
      <c r="C387" t="e">
        <f>#REF!</f>
        <v>#REF!</v>
      </c>
      <c r="D387" t="e">
        <f>#REF!</f>
        <v>#REF!</v>
      </c>
      <c r="E387" t="e">
        <f>#REF!</f>
        <v>#REF!</v>
      </c>
      <c r="F387" t="e">
        <f>#REF!</f>
        <v>#REF!</v>
      </c>
      <c r="G387" t="e">
        <f>#REF!</f>
        <v>#REF!</v>
      </c>
      <c r="H387" t="e">
        <f>#REF!</f>
        <v>#REF!</v>
      </c>
    </row>
    <row r="388" spans="1:8">
      <c r="A388" t="e">
        <f>#REF!</f>
        <v>#REF!</v>
      </c>
      <c r="B388" t="e">
        <f>#REF!</f>
        <v>#REF!</v>
      </c>
      <c r="C388" t="e">
        <f>#REF!</f>
        <v>#REF!</v>
      </c>
      <c r="D388" t="e">
        <f>#REF!</f>
        <v>#REF!</v>
      </c>
      <c r="E388" t="e">
        <f>#REF!</f>
        <v>#REF!</v>
      </c>
      <c r="F388" t="e">
        <f>#REF!</f>
        <v>#REF!</v>
      </c>
      <c r="G388" t="e">
        <f>#REF!</f>
        <v>#REF!</v>
      </c>
      <c r="H388" t="e">
        <f>#REF!</f>
        <v>#REF!</v>
      </c>
    </row>
    <row r="389" spans="1:8">
      <c r="A389" t="e">
        <f>#REF!</f>
        <v>#REF!</v>
      </c>
      <c r="B389" t="e">
        <f>#REF!</f>
        <v>#REF!</v>
      </c>
      <c r="C389" t="e">
        <f>#REF!</f>
        <v>#REF!</v>
      </c>
      <c r="D389" t="e">
        <f>#REF!</f>
        <v>#REF!</v>
      </c>
      <c r="E389" t="e">
        <f>#REF!</f>
        <v>#REF!</v>
      </c>
      <c r="F389" t="e">
        <f>#REF!</f>
        <v>#REF!</v>
      </c>
      <c r="G389" t="e">
        <f>#REF!</f>
        <v>#REF!</v>
      </c>
      <c r="H389" t="e">
        <f>#REF!</f>
        <v>#REF!</v>
      </c>
    </row>
    <row r="390" spans="1:8">
      <c r="A390" t="e">
        <f>#REF!</f>
        <v>#REF!</v>
      </c>
      <c r="B390" t="e">
        <f>#REF!</f>
        <v>#REF!</v>
      </c>
      <c r="C390" t="e">
        <f>#REF!</f>
        <v>#REF!</v>
      </c>
      <c r="D390" t="e">
        <f>#REF!</f>
        <v>#REF!</v>
      </c>
      <c r="E390" t="e">
        <f>#REF!</f>
        <v>#REF!</v>
      </c>
      <c r="F390" t="e">
        <f>#REF!</f>
        <v>#REF!</v>
      </c>
      <c r="G390" t="e">
        <f>#REF!</f>
        <v>#REF!</v>
      </c>
      <c r="H390" t="e">
        <f>#REF!</f>
        <v>#REF!</v>
      </c>
    </row>
    <row r="391" spans="1:8">
      <c r="A391" t="e">
        <f>#REF!</f>
        <v>#REF!</v>
      </c>
      <c r="B391" t="e">
        <f>#REF!</f>
        <v>#REF!</v>
      </c>
      <c r="C391" t="e">
        <f>#REF!</f>
        <v>#REF!</v>
      </c>
      <c r="D391" t="e">
        <f>#REF!</f>
        <v>#REF!</v>
      </c>
      <c r="E391" t="e">
        <f>#REF!</f>
        <v>#REF!</v>
      </c>
      <c r="F391" t="e">
        <f>#REF!</f>
        <v>#REF!</v>
      </c>
      <c r="G391" t="e">
        <f>#REF!</f>
        <v>#REF!</v>
      </c>
      <c r="H391" t="e">
        <f>#REF!</f>
        <v>#REF!</v>
      </c>
    </row>
    <row r="392" spans="1:8">
      <c r="A392" t="e">
        <f>#REF!</f>
        <v>#REF!</v>
      </c>
      <c r="B392" t="e">
        <f>#REF!</f>
        <v>#REF!</v>
      </c>
      <c r="C392" t="e">
        <f>#REF!</f>
        <v>#REF!</v>
      </c>
      <c r="D392" t="e">
        <f>#REF!</f>
        <v>#REF!</v>
      </c>
      <c r="E392" t="e">
        <f>#REF!</f>
        <v>#REF!</v>
      </c>
      <c r="F392" t="e">
        <f>#REF!</f>
        <v>#REF!</v>
      </c>
      <c r="G392" t="e">
        <f>#REF!</f>
        <v>#REF!</v>
      </c>
      <c r="H392" t="e">
        <f>#REF!</f>
        <v>#REF!</v>
      </c>
    </row>
    <row r="393" spans="1:8">
      <c r="A393" t="e">
        <f>#REF!</f>
        <v>#REF!</v>
      </c>
      <c r="B393" t="e">
        <f>#REF!</f>
        <v>#REF!</v>
      </c>
      <c r="C393" t="e">
        <f>#REF!</f>
        <v>#REF!</v>
      </c>
      <c r="D393" t="e">
        <f>#REF!</f>
        <v>#REF!</v>
      </c>
      <c r="E393" t="e">
        <f>#REF!</f>
        <v>#REF!</v>
      </c>
      <c r="F393" t="e">
        <f>#REF!</f>
        <v>#REF!</v>
      </c>
      <c r="G393" t="e">
        <f>#REF!</f>
        <v>#REF!</v>
      </c>
      <c r="H393" t="e">
        <f>#REF!</f>
        <v>#REF!</v>
      </c>
    </row>
    <row r="394" spans="1:8">
      <c r="A394" t="e">
        <f>#REF!</f>
        <v>#REF!</v>
      </c>
      <c r="B394" t="e">
        <f>#REF!</f>
        <v>#REF!</v>
      </c>
      <c r="C394" t="e">
        <f>#REF!</f>
        <v>#REF!</v>
      </c>
      <c r="D394" t="e">
        <f>#REF!</f>
        <v>#REF!</v>
      </c>
      <c r="E394" t="e">
        <f>#REF!</f>
        <v>#REF!</v>
      </c>
      <c r="F394" t="e">
        <f>#REF!</f>
        <v>#REF!</v>
      </c>
      <c r="G394" t="e">
        <f>#REF!</f>
        <v>#REF!</v>
      </c>
      <c r="H394" t="e">
        <f>#REF!</f>
        <v>#REF!</v>
      </c>
    </row>
    <row r="395" spans="1:8">
      <c r="A395" t="e">
        <f>#REF!</f>
        <v>#REF!</v>
      </c>
      <c r="B395" t="e">
        <f>#REF!</f>
        <v>#REF!</v>
      </c>
      <c r="C395" t="e">
        <f>#REF!</f>
        <v>#REF!</v>
      </c>
      <c r="D395" t="e">
        <f>#REF!</f>
        <v>#REF!</v>
      </c>
      <c r="E395" t="e">
        <f>#REF!</f>
        <v>#REF!</v>
      </c>
      <c r="F395" t="e">
        <f>#REF!</f>
        <v>#REF!</v>
      </c>
      <c r="G395" t="e">
        <f>#REF!</f>
        <v>#REF!</v>
      </c>
      <c r="H395" t="e">
        <f>#REF!</f>
        <v>#REF!</v>
      </c>
    </row>
    <row r="396" spans="1:8">
      <c r="A396" t="e">
        <f>#REF!</f>
        <v>#REF!</v>
      </c>
      <c r="B396" t="e">
        <f>#REF!</f>
        <v>#REF!</v>
      </c>
      <c r="C396" t="e">
        <f>#REF!</f>
        <v>#REF!</v>
      </c>
      <c r="D396" t="e">
        <f>#REF!</f>
        <v>#REF!</v>
      </c>
      <c r="E396" t="e">
        <f>#REF!</f>
        <v>#REF!</v>
      </c>
      <c r="F396" t="e">
        <f>#REF!</f>
        <v>#REF!</v>
      </c>
      <c r="G396" t="e">
        <f>#REF!</f>
        <v>#REF!</v>
      </c>
      <c r="H396" t="e">
        <f>#REF!</f>
        <v>#REF!</v>
      </c>
    </row>
    <row r="397" spans="1:8">
      <c r="A397" t="e">
        <f>#REF!</f>
        <v>#REF!</v>
      </c>
      <c r="B397" t="e">
        <f>#REF!</f>
        <v>#REF!</v>
      </c>
      <c r="C397" t="e">
        <f>#REF!</f>
        <v>#REF!</v>
      </c>
      <c r="D397" t="e">
        <f>#REF!</f>
        <v>#REF!</v>
      </c>
      <c r="E397" t="e">
        <f>#REF!</f>
        <v>#REF!</v>
      </c>
      <c r="F397" t="e">
        <f>#REF!</f>
        <v>#REF!</v>
      </c>
      <c r="G397" t="e">
        <f>#REF!</f>
        <v>#REF!</v>
      </c>
      <c r="H397" t="e">
        <f>#REF!</f>
        <v>#REF!</v>
      </c>
    </row>
    <row r="398" spans="1:8">
      <c r="A398" t="e">
        <f>#REF!</f>
        <v>#REF!</v>
      </c>
      <c r="B398" t="e">
        <f>#REF!</f>
        <v>#REF!</v>
      </c>
      <c r="C398" t="e">
        <f>#REF!</f>
        <v>#REF!</v>
      </c>
      <c r="D398" t="e">
        <f>#REF!</f>
        <v>#REF!</v>
      </c>
      <c r="E398" t="e">
        <f>#REF!</f>
        <v>#REF!</v>
      </c>
      <c r="F398" t="e">
        <f>#REF!</f>
        <v>#REF!</v>
      </c>
      <c r="G398" t="e">
        <f>#REF!</f>
        <v>#REF!</v>
      </c>
      <c r="H398" t="e">
        <f>#REF!</f>
        <v>#REF!</v>
      </c>
    </row>
    <row r="399" spans="1:8">
      <c r="A399" t="e">
        <f>#REF!</f>
        <v>#REF!</v>
      </c>
      <c r="B399" t="e">
        <f>#REF!</f>
        <v>#REF!</v>
      </c>
      <c r="C399" t="e">
        <f>#REF!</f>
        <v>#REF!</v>
      </c>
      <c r="D399" t="e">
        <f>#REF!</f>
        <v>#REF!</v>
      </c>
      <c r="E399" t="e">
        <f>#REF!</f>
        <v>#REF!</v>
      </c>
      <c r="F399" t="e">
        <f>#REF!</f>
        <v>#REF!</v>
      </c>
      <c r="G399" t="e">
        <f>#REF!</f>
        <v>#REF!</v>
      </c>
      <c r="H399" t="e">
        <f>#REF!</f>
        <v>#REF!</v>
      </c>
    </row>
    <row r="400" spans="1:8">
      <c r="A400" t="e">
        <f>#REF!</f>
        <v>#REF!</v>
      </c>
      <c r="B400" t="e">
        <f>#REF!</f>
        <v>#REF!</v>
      </c>
      <c r="C400" t="e">
        <f>#REF!</f>
        <v>#REF!</v>
      </c>
      <c r="D400" t="e">
        <f>#REF!</f>
        <v>#REF!</v>
      </c>
      <c r="E400" t="e">
        <f>#REF!</f>
        <v>#REF!</v>
      </c>
      <c r="F400" t="e">
        <f>#REF!</f>
        <v>#REF!</v>
      </c>
      <c r="G400" t="e">
        <f>#REF!</f>
        <v>#REF!</v>
      </c>
      <c r="H400" t="e">
        <f>#REF!</f>
        <v>#REF!</v>
      </c>
    </row>
    <row r="401" spans="1:8">
      <c r="A401" t="e">
        <f>#REF!</f>
        <v>#REF!</v>
      </c>
      <c r="B401" t="e">
        <f>#REF!</f>
        <v>#REF!</v>
      </c>
      <c r="C401" t="e">
        <f>#REF!</f>
        <v>#REF!</v>
      </c>
      <c r="D401" t="e">
        <f>#REF!</f>
        <v>#REF!</v>
      </c>
      <c r="E401" t="e">
        <f>#REF!</f>
        <v>#REF!</v>
      </c>
      <c r="F401" t="e">
        <f>#REF!</f>
        <v>#REF!</v>
      </c>
      <c r="G401" t="e">
        <f>#REF!</f>
        <v>#REF!</v>
      </c>
      <c r="H401" t="e">
        <f>#REF!</f>
        <v>#REF!</v>
      </c>
    </row>
    <row r="402" spans="1:8">
      <c r="A402" t="e">
        <f>#REF!</f>
        <v>#REF!</v>
      </c>
      <c r="B402" t="e">
        <f>#REF!</f>
        <v>#REF!</v>
      </c>
      <c r="C402" t="e">
        <f>#REF!</f>
        <v>#REF!</v>
      </c>
      <c r="D402" t="e">
        <f>#REF!</f>
        <v>#REF!</v>
      </c>
      <c r="E402" t="e">
        <f>#REF!</f>
        <v>#REF!</v>
      </c>
      <c r="F402" t="e">
        <f>#REF!</f>
        <v>#REF!</v>
      </c>
      <c r="G402" t="e">
        <f>#REF!</f>
        <v>#REF!</v>
      </c>
      <c r="H402" t="e">
        <f>#REF!</f>
        <v>#REF!</v>
      </c>
    </row>
    <row r="403" spans="1:8">
      <c r="A403" t="e">
        <f>#REF!</f>
        <v>#REF!</v>
      </c>
      <c r="B403" t="e">
        <f>#REF!</f>
        <v>#REF!</v>
      </c>
      <c r="C403" t="e">
        <f>#REF!</f>
        <v>#REF!</v>
      </c>
      <c r="D403" t="e">
        <f>#REF!</f>
        <v>#REF!</v>
      </c>
      <c r="E403" t="e">
        <f>#REF!</f>
        <v>#REF!</v>
      </c>
      <c r="F403" t="e">
        <f>#REF!</f>
        <v>#REF!</v>
      </c>
      <c r="G403" t="e">
        <f>#REF!</f>
        <v>#REF!</v>
      </c>
      <c r="H403" t="e">
        <f>#REF!</f>
        <v>#REF!</v>
      </c>
    </row>
    <row r="404" spans="1:8">
      <c r="A404" t="e">
        <f>#REF!</f>
        <v>#REF!</v>
      </c>
      <c r="B404" t="e">
        <f>#REF!</f>
        <v>#REF!</v>
      </c>
      <c r="C404" t="e">
        <f>#REF!</f>
        <v>#REF!</v>
      </c>
      <c r="D404" t="e">
        <f>#REF!</f>
        <v>#REF!</v>
      </c>
      <c r="E404" t="e">
        <f>#REF!</f>
        <v>#REF!</v>
      </c>
      <c r="F404" t="e">
        <f>#REF!</f>
        <v>#REF!</v>
      </c>
      <c r="G404" t="e">
        <f>#REF!</f>
        <v>#REF!</v>
      </c>
      <c r="H404" t="e">
        <f>#REF!</f>
        <v>#REF!</v>
      </c>
    </row>
    <row r="405" spans="1:8">
      <c r="A405" t="e">
        <f>#REF!</f>
        <v>#REF!</v>
      </c>
      <c r="B405" t="e">
        <f>#REF!</f>
        <v>#REF!</v>
      </c>
      <c r="C405" t="e">
        <f>#REF!</f>
        <v>#REF!</v>
      </c>
      <c r="D405" t="e">
        <f>#REF!</f>
        <v>#REF!</v>
      </c>
      <c r="E405" t="e">
        <f>#REF!</f>
        <v>#REF!</v>
      </c>
      <c r="F405" t="e">
        <f>#REF!</f>
        <v>#REF!</v>
      </c>
      <c r="G405" t="e">
        <f>#REF!</f>
        <v>#REF!</v>
      </c>
      <c r="H405" t="e">
        <f>#REF!</f>
        <v>#REF!</v>
      </c>
    </row>
    <row r="406" spans="1:8">
      <c r="A406" t="e">
        <f>#REF!</f>
        <v>#REF!</v>
      </c>
      <c r="B406" t="e">
        <f>#REF!</f>
        <v>#REF!</v>
      </c>
      <c r="C406" t="e">
        <f>#REF!</f>
        <v>#REF!</v>
      </c>
      <c r="D406" t="e">
        <f>#REF!</f>
        <v>#REF!</v>
      </c>
      <c r="E406" t="e">
        <f>#REF!</f>
        <v>#REF!</v>
      </c>
      <c r="F406" t="e">
        <f>#REF!</f>
        <v>#REF!</v>
      </c>
      <c r="G406" t="e">
        <f>#REF!</f>
        <v>#REF!</v>
      </c>
      <c r="H406" t="e">
        <f>#REF!</f>
        <v>#REF!</v>
      </c>
    </row>
    <row r="407" spans="1:8">
      <c r="A407" t="e">
        <f>#REF!</f>
        <v>#REF!</v>
      </c>
      <c r="B407" t="e">
        <f>#REF!</f>
        <v>#REF!</v>
      </c>
      <c r="C407" t="e">
        <f>#REF!</f>
        <v>#REF!</v>
      </c>
      <c r="D407" t="e">
        <f>#REF!</f>
        <v>#REF!</v>
      </c>
      <c r="E407" t="e">
        <f>#REF!</f>
        <v>#REF!</v>
      </c>
      <c r="F407" t="e">
        <f>#REF!</f>
        <v>#REF!</v>
      </c>
      <c r="G407" t="e">
        <f>#REF!</f>
        <v>#REF!</v>
      </c>
      <c r="H407" t="e">
        <f>#REF!</f>
        <v>#REF!</v>
      </c>
    </row>
    <row r="408" spans="1:8">
      <c r="A408" t="e">
        <f>#REF!</f>
        <v>#REF!</v>
      </c>
      <c r="B408" t="e">
        <f>#REF!</f>
        <v>#REF!</v>
      </c>
      <c r="C408" t="e">
        <f>#REF!</f>
        <v>#REF!</v>
      </c>
      <c r="D408" t="e">
        <f>#REF!</f>
        <v>#REF!</v>
      </c>
      <c r="E408" t="e">
        <f>#REF!</f>
        <v>#REF!</v>
      </c>
      <c r="F408" t="e">
        <f>#REF!</f>
        <v>#REF!</v>
      </c>
      <c r="G408" t="e">
        <f>#REF!</f>
        <v>#REF!</v>
      </c>
      <c r="H408" t="e">
        <f>#REF!</f>
        <v>#REF!</v>
      </c>
    </row>
    <row r="409" spans="1:8">
      <c r="A409" t="e">
        <f>#REF!</f>
        <v>#REF!</v>
      </c>
      <c r="B409" t="e">
        <f>#REF!</f>
        <v>#REF!</v>
      </c>
      <c r="C409" t="e">
        <f>#REF!</f>
        <v>#REF!</v>
      </c>
      <c r="D409" t="e">
        <f>#REF!</f>
        <v>#REF!</v>
      </c>
      <c r="E409" t="e">
        <f>#REF!</f>
        <v>#REF!</v>
      </c>
      <c r="F409" t="e">
        <f>#REF!</f>
        <v>#REF!</v>
      </c>
      <c r="G409" t="e">
        <f>#REF!</f>
        <v>#REF!</v>
      </c>
      <c r="H409" t="e">
        <f>#REF!</f>
        <v>#REF!</v>
      </c>
    </row>
    <row r="410" spans="1:8">
      <c r="A410" t="e">
        <f>#REF!</f>
        <v>#REF!</v>
      </c>
      <c r="B410" t="e">
        <f>#REF!</f>
        <v>#REF!</v>
      </c>
      <c r="C410" t="e">
        <f>#REF!</f>
        <v>#REF!</v>
      </c>
      <c r="D410" t="e">
        <f>#REF!</f>
        <v>#REF!</v>
      </c>
      <c r="E410" t="e">
        <f>#REF!</f>
        <v>#REF!</v>
      </c>
      <c r="F410" t="e">
        <f>#REF!</f>
        <v>#REF!</v>
      </c>
      <c r="G410" t="e">
        <f>#REF!</f>
        <v>#REF!</v>
      </c>
      <c r="H410" t="e">
        <f>#REF!</f>
        <v>#REF!</v>
      </c>
    </row>
    <row r="411" spans="1:8">
      <c r="A411" t="e">
        <f>#REF!</f>
        <v>#REF!</v>
      </c>
      <c r="B411" t="e">
        <f>#REF!</f>
        <v>#REF!</v>
      </c>
      <c r="C411" t="e">
        <f>#REF!</f>
        <v>#REF!</v>
      </c>
      <c r="D411" t="e">
        <f>#REF!</f>
        <v>#REF!</v>
      </c>
      <c r="E411" t="e">
        <f>#REF!</f>
        <v>#REF!</v>
      </c>
      <c r="F411" t="e">
        <f>#REF!</f>
        <v>#REF!</v>
      </c>
      <c r="G411" t="e">
        <f>#REF!</f>
        <v>#REF!</v>
      </c>
      <c r="H411" t="e">
        <f>#REF!</f>
        <v>#REF!</v>
      </c>
    </row>
    <row r="412" spans="1:8">
      <c r="A412" t="e">
        <f>#REF!</f>
        <v>#REF!</v>
      </c>
      <c r="B412" t="e">
        <f>#REF!</f>
        <v>#REF!</v>
      </c>
      <c r="C412" t="e">
        <f>#REF!</f>
        <v>#REF!</v>
      </c>
      <c r="D412" t="e">
        <f>#REF!</f>
        <v>#REF!</v>
      </c>
      <c r="E412" t="e">
        <f>#REF!</f>
        <v>#REF!</v>
      </c>
      <c r="F412" t="e">
        <f>#REF!</f>
        <v>#REF!</v>
      </c>
      <c r="G412" t="e">
        <f>#REF!</f>
        <v>#REF!</v>
      </c>
      <c r="H412" t="e">
        <f>#REF!</f>
        <v>#REF!</v>
      </c>
    </row>
    <row r="413" spans="1:8">
      <c r="A413" t="e">
        <f>#REF!</f>
        <v>#REF!</v>
      </c>
      <c r="B413" t="e">
        <f>#REF!</f>
        <v>#REF!</v>
      </c>
      <c r="C413" t="e">
        <f>#REF!</f>
        <v>#REF!</v>
      </c>
      <c r="D413" t="e">
        <f>#REF!</f>
        <v>#REF!</v>
      </c>
      <c r="E413" t="e">
        <f>#REF!</f>
        <v>#REF!</v>
      </c>
      <c r="F413" t="e">
        <f>#REF!</f>
        <v>#REF!</v>
      </c>
      <c r="G413" t="e">
        <f>#REF!</f>
        <v>#REF!</v>
      </c>
      <c r="H413" t="e">
        <f>#REF!</f>
        <v>#REF!</v>
      </c>
    </row>
    <row r="414" spans="1:8">
      <c r="A414" t="e">
        <f>#REF!</f>
        <v>#REF!</v>
      </c>
      <c r="B414" t="e">
        <f>#REF!</f>
        <v>#REF!</v>
      </c>
      <c r="C414" t="e">
        <f>#REF!</f>
        <v>#REF!</v>
      </c>
      <c r="D414" t="e">
        <f>#REF!</f>
        <v>#REF!</v>
      </c>
      <c r="E414" t="e">
        <f>#REF!</f>
        <v>#REF!</v>
      </c>
      <c r="F414" t="e">
        <f>#REF!</f>
        <v>#REF!</v>
      </c>
      <c r="G414" t="e">
        <f>#REF!</f>
        <v>#REF!</v>
      </c>
      <c r="H414" t="e">
        <f>#REF!</f>
        <v>#REF!</v>
      </c>
    </row>
    <row r="415" spans="1:8">
      <c r="A415" t="e">
        <f>#REF!</f>
        <v>#REF!</v>
      </c>
      <c r="B415" t="e">
        <f>#REF!</f>
        <v>#REF!</v>
      </c>
      <c r="C415" t="e">
        <f>#REF!</f>
        <v>#REF!</v>
      </c>
      <c r="D415" t="e">
        <f>#REF!</f>
        <v>#REF!</v>
      </c>
      <c r="E415" t="e">
        <f>#REF!</f>
        <v>#REF!</v>
      </c>
      <c r="F415" t="e">
        <f>#REF!</f>
        <v>#REF!</v>
      </c>
      <c r="G415" t="e">
        <f>#REF!</f>
        <v>#REF!</v>
      </c>
      <c r="H415" t="e">
        <f>#REF!</f>
        <v>#REF!</v>
      </c>
    </row>
    <row r="416" spans="1:8">
      <c r="A416" t="e">
        <f>#REF!</f>
        <v>#REF!</v>
      </c>
      <c r="B416" t="e">
        <f>#REF!</f>
        <v>#REF!</v>
      </c>
      <c r="C416" t="e">
        <f>#REF!</f>
        <v>#REF!</v>
      </c>
      <c r="D416" t="e">
        <f>#REF!</f>
        <v>#REF!</v>
      </c>
      <c r="E416" t="e">
        <f>#REF!</f>
        <v>#REF!</v>
      </c>
      <c r="F416" t="e">
        <f>#REF!</f>
        <v>#REF!</v>
      </c>
      <c r="G416" t="e">
        <f>#REF!</f>
        <v>#REF!</v>
      </c>
      <c r="H416" t="e">
        <f>#REF!</f>
        <v>#REF!</v>
      </c>
    </row>
    <row r="417" spans="1:8">
      <c r="A417" t="e">
        <f>#REF!</f>
        <v>#REF!</v>
      </c>
      <c r="B417" t="e">
        <f>#REF!</f>
        <v>#REF!</v>
      </c>
      <c r="C417" t="e">
        <f>#REF!</f>
        <v>#REF!</v>
      </c>
      <c r="D417" t="e">
        <f>#REF!</f>
        <v>#REF!</v>
      </c>
      <c r="E417" t="e">
        <f>#REF!</f>
        <v>#REF!</v>
      </c>
      <c r="F417" t="e">
        <f>#REF!</f>
        <v>#REF!</v>
      </c>
      <c r="G417" t="e">
        <f>#REF!</f>
        <v>#REF!</v>
      </c>
      <c r="H417" t="e">
        <f>#REF!</f>
        <v>#REF!</v>
      </c>
    </row>
    <row r="418" spans="1:8">
      <c r="A418" t="e">
        <f>#REF!</f>
        <v>#REF!</v>
      </c>
      <c r="B418" t="e">
        <f>#REF!</f>
        <v>#REF!</v>
      </c>
      <c r="C418" t="e">
        <f>#REF!</f>
        <v>#REF!</v>
      </c>
      <c r="D418" t="e">
        <f>#REF!</f>
        <v>#REF!</v>
      </c>
      <c r="E418" t="e">
        <f>#REF!</f>
        <v>#REF!</v>
      </c>
      <c r="F418" t="e">
        <f>#REF!</f>
        <v>#REF!</v>
      </c>
      <c r="G418" t="e">
        <f>#REF!</f>
        <v>#REF!</v>
      </c>
      <c r="H418" t="e">
        <f>#REF!</f>
        <v>#REF!</v>
      </c>
    </row>
    <row r="419" spans="1:8">
      <c r="A419" t="e">
        <f>#REF!</f>
        <v>#REF!</v>
      </c>
      <c r="B419" t="e">
        <f>#REF!</f>
        <v>#REF!</v>
      </c>
      <c r="C419" t="e">
        <f>#REF!</f>
        <v>#REF!</v>
      </c>
      <c r="D419" t="e">
        <f>#REF!</f>
        <v>#REF!</v>
      </c>
      <c r="E419" t="e">
        <f>#REF!</f>
        <v>#REF!</v>
      </c>
      <c r="F419" t="e">
        <f>#REF!</f>
        <v>#REF!</v>
      </c>
      <c r="G419" t="e">
        <f>#REF!</f>
        <v>#REF!</v>
      </c>
      <c r="H419" t="e">
        <f>#REF!</f>
        <v>#REF!</v>
      </c>
    </row>
    <row r="420" spans="1:8">
      <c r="A420" t="e">
        <f>#REF!</f>
        <v>#REF!</v>
      </c>
      <c r="B420" t="e">
        <f>#REF!</f>
        <v>#REF!</v>
      </c>
      <c r="C420" t="e">
        <f>#REF!</f>
        <v>#REF!</v>
      </c>
      <c r="D420" t="e">
        <f>#REF!</f>
        <v>#REF!</v>
      </c>
      <c r="E420" t="e">
        <f>#REF!</f>
        <v>#REF!</v>
      </c>
      <c r="F420" t="e">
        <f>#REF!</f>
        <v>#REF!</v>
      </c>
      <c r="G420" t="e">
        <f>#REF!</f>
        <v>#REF!</v>
      </c>
      <c r="H420" t="e">
        <f>#REF!</f>
        <v>#REF!</v>
      </c>
    </row>
    <row r="421" spans="1:8">
      <c r="A421" t="e">
        <f>#REF!</f>
        <v>#REF!</v>
      </c>
      <c r="B421" t="e">
        <f>#REF!</f>
        <v>#REF!</v>
      </c>
      <c r="C421" t="e">
        <f>#REF!</f>
        <v>#REF!</v>
      </c>
      <c r="D421" t="e">
        <f>#REF!</f>
        <v>#REF!</v>
      </c>
      <c r="E421" t="e">
        <f>#REF!</f>
        <v>#REF!</v>
      </c>
      <c r="F421" t="e">
        <f>#REF!</f>
        <v>#REF!</v>
      </c>
      <c r="G421" t="e">
        <f>#REF!</f>
        <v>#REF!</v>
      </c>
      <c r="H421" t="e">
        <f>#REF!</f>
        <v>#REF!</v>
      </c>
    </row>
    <row r="422" spans="1:8">
      <c r="A422" t="e">
        <f>#REF!</f>
        <v>#REF!</v>
      </c>
      <c r="B422" t="e">
        <f>#REF!</f>
        <v>#REF!</v>
      </c>
      <c r="C422" t="e">
        <f>#REF!</f>
        <v>#REF!</v>
      </c>
      <c r="D422" t="e">
        <f>#REF!</f>
        <v>#REF!</v>
      </c>
      <c r="E422" t="e">
        <f>#REF!</f>
        <v>#REF!</v>
      </c>
      <c r="F422" t="e">
        <f>#REF!</f>
        <v>#REF!</v>
      </c>
      <c r="G422" t="e">
        <f>#REF!</f>
        <v>#REF!</v>
      </c>
      <c r="H422" t="e">
        <f>#REF!</f>
        <v>#REF!</v>
      </c>
    </row>
    <row r="423" spans="1:8">
      <c r="A423" t="e">
        <f>#REF!</f>
        <v>#REF!</v>
      </c>
      <c r="B423" t="e">
        <f>#REF!</f>
        <v>#REF!</v>
      </c>
      <c r="C423" t="e">
        <f>#REF!</f>
        <v>#REF!</v>
      </c>
      <c r="D423" t="e">
        <f>#REF!</f>
        <v>#REF!</v>
      </c>
      <c r="E423" t="e">
        <f>#REF!</f>
        <v>#REF!</v>
      </c>
      <c r="F423" t="e">
        <f>#REF!</f>
        <v>#REF!</v>
      </c>
      <c r="G423" t="e">
        <f>#REF!</f>
        <v>#REF!</v>
      </c>
      <c r="H423" t="e">
        <f>#REF!</f>
        <v>#REF!</v>
      </c>
    </row>
    <row r="424" spans="1:8">
      <c r="A424" t="e">
        <f>#REF!</f>
        <v>#REF!</v>
      </c>
      <c r="B424" t="e">
        <f>#REF!</f>
        <v>#REF!</v>
      </c>
      <c r="C424" t="e">
        <f>#REF!</f>
        <v>#REF!</v>
      </c>
      <c r="D424" t="e">
        <f>#REF!</f>
        <v>#REF!</v>
      </c>
      <c r="E424" t="e">
        <f>#REF!</f>
        <v>#REF!</v>
      </c>
      <c r="F424" t="e">
        <f>#REF!</f>
        <v>#REF!</v>
      </c>
      <c r="G424" t="e">
        <f>#REF!</f>
        <v>#REF!</v>
      </c>
      <c r="H424" t="e">
        <f>#REF!</f>
        <v>#REF!</v>
      </c>
    </row>
    <row r="425" spans="1:8">
      <c r="A425" t="e">
        <f>#REF!</f>
        <v>#REF!</v>
      </c>
      <c r="B425" t="e">
        <f>#REF!</f>
        <v>#REF!</v>
      </c>
      <c r="C425" t="e">
        <f>#REF!</f>
        <v>#REF!</v>
      </c>
      <c r="D425" t="e">
        <f>#REF!</f>
        <v>#REF!</v>
      </c>
      <c r="E425" t="e">
        <f>#REF!</f>
        <v>#REF!</v>
      </c>
      <c r="F425" t="e">
        <f>#REF!</f>
        <v>#REF!</v>
      </c>
      <c r="G425" t="e">
        <f>#REF!</f>
        <v>#REF!</v>
      </c>
      <c r="H425" t="e">
        <f>#REF!</f>
        <v>#REF!</v>
      </c>
    </row>
    <row r="426" spans="1:8">
      <c r="A426" t="e">
        <f>#REF!</f>
        <v>#REF!</v>
      </c>
      <c r="B426" t="e">
        <f>#REF!</f>
        <v>#REF!</v>
      </c>
      <c r="C426" t="e">
        <f>#REF!</f>
        <v>#REF!</v>
      </c>
      <c r="D426" t="e">
        <f>#REF!</f>
        <v>#REF!</v>
      </c>
      <c r="E426" t="e">
        <f>#REF!</f>
        <v>#REF!</v>
      </c>
      <c r="F426" t="e">
        <f>#REF!</f>
        <v>#REF!</v>
      </c>
      <c r="G426" t="e">
        <f>#REF!</f>
        <v>#REF!</v>
      </c>
      <c r="H426" t="e">
        <f>#REF!</f>
        <v>#REF!</v>
      </c>
    </row>
    <row r="427" spans="1:8">
      <c r="A427" t="e">
        <f>#REF!</f>
        <v>#REF!</v>
      </c>
      <c r="B427" t="e">
        <f>#REF!</f>
        <v>#REF!</v>
      </c>
      <c r="C427" t="e">
        <f>#REF!</f>
        <v>#REF!</v>
      </c>
      <c r="D427" t="e">
        <f>#REF!</f>
        <v>#REF!</v>
      </c>
      <c r="E427" t="e">
        <f>#REF!</f>
        <v>#REF!</v>
      </c>
      <c r="F427" t="e">
        <f>#REF!</f>
        <v>#REF!</v>
      </c>
      <c r="G427" t="e">
        <f>#REF!</f>
        <v>#REF!</v>
      </c>
      <c r="H427" t="e">
        <f>#REF!</f>
        <v>#REF!</v>
      </c>
    </row>
    <row r="428" spans="1:8">
      <c r="A428" t="e">
        <f>#REF!</f>
        <v>#REF!</v>
      </c>
      <c r="B428" t="e">
        <f>#REF!</f>
        <v>#REF!</v>
      </c>
      <c r="C428" t="e">
        <f>#REF!</f>
        <v>#REF!</v>
      </c>
      <c r="D428" t="e">
        <f>#REF!</f>
        <v>#REF!</v>
      </c>
      <c r="E428" t="e">
        <f>#REF!</f>
        <v>#REF!</v>
      </c>
      <c r="F428" t="e">
        <f>#REF!</f>
        <v>#REF!</v>
      </c>
      <c r="G428" t="e">
        <f>#REF!</f>
        <v>#REF!</v>
      </c>
      <c r="H428" t="e">
        <f>#REF!</f>
        <v>#REF!</v>
      </c>
    </row>
    <row r="429" spans="1:8">
      <c r="A429" t="e">
        <f>#REF!</f>
        <v>#REF!</v>
      </c>
      <c r="B429" t="e">
        <f>#REF!</f>
        <v>#REF!</v>
      </c>
      <c r="C429" t="e">
        <f>#REF!</f>
        <v>#REF!</v>
      </c>
      <c r="D429" t="e">
        <f>#REF!</f>
        <v>#REF!</v>
      </c>
      <c r="E429" t="e">
        <f>#REF!</f>
        <v>#REF!</v>
      </c>
      <c r="F429" t="e">
        <f>#REF!</f>
        <v>#REF!</v>
      </c>
      <c r="G429" t="e">
        <f>#REF!</f>
        <v>#REF!</v>
      </c>
      <c r="H429" t="e">
        <f>#REF!</f>
        <v>#REF!</v>
      </c>
    </row>
    <row r="430" spans="1:8">
      <c r="A430" t="e">
        <f>#REF!</f>
        <v>#REF!</v>
      </c>
      <c r="B430" t="e">
        <f>#REF!</f>
        <v>#REF!</v>
      </c>
      <c r="C430" t="e">
        <f>#REF!</f>
        <v>#REF!</v>
      </c>
      <c r="D430" t="e">
        <f>#REF!</f>
        <v>#REF!</v>
      </c>
      <c r="E430" t="e">
        <f>#REF!</f>
        <v>#REF!</v>
      </c>
      <c r="F430" t="e">
        <f>#REF!</f>
        <v>#REF!</v>
      </c>
      <c r="G430" t="e">
        <f>#REF!</f>
        <v>#REF!</v>
      </c>
      <c r="H430" t="e">
        <f>#REF!</f>
        <v>#REF!</v>
      </c>
    </row>
    <row r="431" spans="1:8">
      <c r="A431" t="e">
        <f>#REF!</f>
        <v>#REF!</v>
      </c>
      <c r="B431" t="e">
        <f>#REF!</f>
        <v>#REF!</v>
      </c>
      <c r="C431" t="e">
        <f>#REF!</f>
        <v>#REF!</v>
      </c>
      <c r="D431" t="e">
        <f>#REF!</f>
        <v>#REF!</v>
      </c>
      <c r="E431" t="e">
        <f>#REF!</f>
        <v>#REF!</v>
      </c>
      <c r="F431" t="e">
        <f>#REF!</f>
        <v>#REF!</v>
      </c>
      <c r="G431" t="e">
        <f>#REF!</f>
        <v>#REF!</v>
      </c>
      <c r="H431" t="e">
        <f>#REF!</f>
        <v>#REF!</v>
      </c>
    </row>
    <row r="432" spans="1:8">
      <c r="A432" t="e">
        <f>#REF!</f>
        <v>#REF!</v>
      </c>
      <c r="B432" t="e">
        <f>#REF!</f>
        <v>#REF!</v>
      </c>
      <c r="C432" t="e">
        <f>#REF!</f>
        <v>#REF!</v>
      </c>
      <c r="D432" t="e">
        <f>#REF!</f>
        <v>#REF!</v>
      </c>
      <c r="E432" t="e">
        <f>#REF!</f>
        <v>#REF!</v>
      </c>
      <c r="F432" t="e">
        <f>#REF!</f>
        <v>#REF!</v>
      </c>
      <c r="G432" t="e">
        <f>#REF!</f>
        <v>#REF!</v>
      </c>
      <c r="H432" t="e">
        <f>#REF!</f>
        <v>#REF!</v>
      </c>
    </row>
    <row r="433" spans="1:8">
      <c r="A433" t="e">
        <f>#REF!</f>
        <v>#REF!</v>
      </c>
      <c r="B433" t="e">
        <f>#REF!</f>
        <v>#REF!</v>
      </c>
      <c r="C433" t="e">
        <f>#REF!</f>
        <v>#REF!</v>
      </c>
      <c r="D433" t="e">
        <f>#REF!</f>
        <v>#REF!</v>
      </c>
      <c r="E433" t="e">
        <f>#REF!</f>
        <v>#REF!</v>
      </c>
      <c r="F433" t="e">
        <f>#REF!</f>
        <v>#REF!</v>
      </c>
      <c r="G433" t="e">
        <f>#REF!</f>
        <v>#REF!</v>
      </c>
      <c r="H433" t="e">
        <f>#REF!</f>
        <v>#REF!</v>
      </c>
    </row>
    <row r="434" spans="1:8">
      <c r="A434" t="e">
        <f>#REF!</f>
        <v>#REF!</v>
      </c>
      <c r="B434" t="e">
        <f>#REF!</f>
        <v>#REF!</v>
      </c>
      <c r="C434" t="e">
        <f>#REF!</f>
        <v>#REF!</v>
      </c>
      <c r="D434" t="e">
        <f>#REF!</f>
        <v>#REF!</v>
      </c>
      <c r="E434" t="e">
        <f>#REF!</f>
        <v>#REF!</v>
      </c>
      <c r="F434" t="e">
        <f>#REF!</f>
        <v>#REF!</v>
      </c>
      <c r="G434" t="e">
        <f>#REF!</f>
        <v>#REF!</v>
      </c>
      <c r="H434" t="e">
        <f>#REF!</f>
        <v>#REF!</v>
      </c>
    </row>
    <row r="435" spans="1:8">
      <c r="A435" t="e">
        <f>#REF!</f>
        <v>#REF!</v>
      </c>
      <c r="B435" t="e">
        <f>#REF!</f>
        <v>#REF!</v>
      </c>
      <c r="C435" t="e">
        <f>#REF!</f>
        <v>#REF!</v>
      </c>
      <c r="D435" t="e">
        <f>#REF!</f>
        <v>#REF!</v>
      </c>
      <c r="E435" t="e">
        <f>#REF!</f>
        <v>#REF!</v>
      </c>
      <c r="F435" t="e">
        <f>#REF!</f>
        <v>#REF!</v>
      </c>
      <c r="G435" t="e">
        <f>#REF!</f>
        <v>#REF!</v>
      </c>
      <c r="H435" t="e">
        <f>#REF!</f>
        <v>#REF!</v>
      </c>
    </row>
    <row r="436" spans="1:8">
      <c r="A436" t="e">
        <f>#REF!</f>
        <v>#REF!</v>
      </c>
      <c r="B436" t="e">
        <f>#REF!</f>
        <v>#REF!</v>
      </c>
      <c r="C436" t="e">
        <f>#REF!</f>
        <v>#REF!</v>
      </c>
      <c r="D436" t="e">
        <f>#REF!</f>
        <v>#REF!</v>
      </c>
      <c r="E436" t="e">
        <f>#REF!</f>
        <v>#REF!</v>
      </c>
      <c r="F436" t="e">
        <f>#REF!</f>
        <v>#REF!</v>
      </c>
      <c r="G436" t="e">
        <f>#REF!</f>
        <v>#REF!</v>
      </c>
      <c r="H436" t="e">
        <f>#REF!</f>
        <v>#REF!</v>
      </c>
    </row>
    <row r="437" spans="1:8">
      <c r="A437" t="e">
        <f>#REF!</f>
        <v>#REF!</v>
      </c>
      <c r="B437" t="e">
        <f>#REF!</f>
        <v>#REF!</v>
      </c>
      <c r="C437" t="e">
        <f>#REF!</f>
        <v>#REF!</v>
      </c>
      <c r="D437" t="e">
        <f>#REF!</f>
        <v>#REF!</v>
      </c>
      <c r="E437" t="e">
        <f>#REF!</f>
        <v>#REF!</v>
      </c>
      <c r="F437" t="e">
        <f>#REF!</f>
        <v>#REF!</v>
      </c>
      <c r="G437" t="e">
        <f>#REF!</f>
        <v>#REF!</v>
      </c>
      <c r="H437" t="e">
        <f>#REF!</f>
        <v>#REF!</v>
      </c>
    </row>
    <row r="438" spans="1:8">
      <c r="A438" t="e">
        <f>#REF!</f>
        <v>#REF!</v>
      </c>
      <c r="B438" t="e">
        <f>#REF!</f>
        <v>#REF!</v>
      </c>
      <c r="C438" t="e">
        <f>#REF!</f>
        <v>#REF!</v>
      </c>
      <c r="D438" t="e">
        <f>#REF!</f>
        <v>#REF!</v>
      </c>
      <c r="E438" t="e">
        <f>#REF!</f>
        <v>#REF!</v>
      </c>
      <c r="F438" t="e">
        <f>#REF!</f>
        <v>#REF!</v>
      </c>
      <c r="G438" t="e">
        <f>#REF!</f>
        <v>#REF!</v>
      </c>
      <c r="H438" t="e">
        <f>#REF!</f>
        <v>#REF!</v>
      </c>
    </row>
    <row r="439" spans="1:8">
      <c r="A439" t="e">
        <f>#REF!</f>
        <v>#REF!</v>
      </c>
      <c r="B439" t="e">
        <f>#REF!</f>
        <v>#REF!</v>
      </c>
      <c r="C439" t="e">
        <f>#REF!</f>
        <v>#REF!</v>
      </c>
      <c r="D439" t="e">
        <f>#REF!</f>
        <v>#REF!</v>
      </c>
      <c r="E439" t="e">
        <f>#REF!</f>
        <v>#REF!</v>
      </c>
      <c r="F439" t="e">
        <f>#REF!</f>
        <v>#REF!</v>
      </c>
      <c r="G439" t="e">
        <f>#REF!</f>
        <v>#REF!</v>
      </c>
      <c r="H439" t="e">
        <f>#REF!</f>
        <v>#REF!</v>
      </c>
    </row>
    <row r="440" spans="1:8">
      <c r="A440" t="e">
        <f>#REF!</f>
        <v>#REF!</v>
      </c>
      <c r="B440" t="e">
        <f>#REF!</f>
        <v>#REF!</v>
      </c>
      <c r="C440" t="e">
        <f>#REF!</f>
        <v>#REF!</v>
      </c>
      <c r="D440" t="e">
        <f>#REF!</f>
        <v>#REF!</v>
      </c>
      <c r="E440" t="e">
        <f>#REF!</f>
        <v>#REF!</v>
      </c>
      <c r="F440" t="e">
        <f>#REF!</f>
        <v>#REF!</v>
      </c>
      <c r="G440" t="e">
        <f>#REF!</f>
        <v>#REF!</v>
      </c>
      <c r="H440" t="e">
        <f>#REF!</f>
        <v>#REF!</v>
      </c>
    </row>
    <row r="441" spans="1:8">
      <c r="A441" t="e">
        <f>#REF!</f>
        <v>#REF!</v>
      </c>
      <c r="B441" t="e">
        <f>#REF!</f>
        <v>#REF!</v>
      </c>
      <c r="C441" t="e">
        <f>#REF!</f>
        <v>#REF!</v>
      </c>
      <c r="D441" t="e">
        <f>#REF!</f>
        <v>#REF!</v>
      </c>
      <c r="E441" t="e">
        <f>#REF!</f>
        <v>#REF!</v>
      </c>
      <c r="F441" t="e">
        <f>#REF!</f>
        <v>#REF!</v>
      </c>
      <c r="G441" t="e">
        <f>#REF!</f>
        <v>#REF!</v>
      </c>
      <c r="H441" t="e">
        <f>#REF!</f>
        <v>#REF!</v>
      </c>
    </row>
    <row r="442" spans="1:8">
      <c r="A442" t="e">
        <f>#REF!</f>
        <v>#REF!</v>
      </c>
      <c r="B442" t="e">
        <f>#REF!</f>
        <v>#REF!</v>
      </c>
      <c r="C442" t="e">
        <f>#REF!</f>
        <v>#REF!</v>
      </c>
      <c r="D442" t="e">
        <f>#REF!</f>
        <v>#REF!</v>
      </c>
      <c r="E442" t="e">
        <f>#REF!</f>
        <v>#REF!</v>
      </c>
      <c r="F442" t="e">
        <f>#REF!</f>
        <v>#REF!</v>
      </c>
      <c r="G442" t="e">
        <f>#REF!</f>
        <v>#REF!</v>
      </c>
      <c r="H442" t="e">
        <f>#REF!</f>
        <v>#REF!</v>
      </c>
    </row>
    <row r="443" spans="1:8">
      <c r="A443" t="e">
        <f>#REF!</f>
        <v>#REF!</v>
      </c>
      <c r="B443" t="e">
        <f>#REF!</f>
        <v>#REF!</v>
      </c>
      <c r="C443" t="e">
        <f>#REF!</f>
        <v>#REF!</v>
      </c>
      <c r="D443" t="e">
        <f>#REF!</f>
        <v>#REF!</v>
      </c>
      <c r="E443" t="e">
        <f>#REF!</f>
        <v>#REF!</v>
      </c>
      <c r="F443" t="e">
        <f>#REF!</f>
        <v>#REF!</v>
      </c>
      <c r="G443" t="e">
        <f>#REF!</f>
        <v>#REF!</v>
      </c>
      <c r="H443" t="e">
        <f>#REF!</f>
        <v>#REF!</v>
      </c>
    </row>
    <row r="444" spans="1:8">
      <c r="A444" t="e">
        <f>#REF!</f>
        <v>#REF!</v>
      </c>
      <c r="B444" t="e">
        <f>#REF!</f>
        <v>#REF!</v>
      </c>
      <c r="C444" t="e">
        <f>#REF!</f>
        <v>#REF!</v>
      </c>
      <c r="D444" t="e">
        <f>#REF!</f>
        <v>#REF!</v>
      </c>
      <c r="E444" t="e">
        <f>#REF!</f>
        <v>#REF!</v>
      </c>
      <c r="F444" t="e">
        <f>#REF!</f>
        <v>#REF!</v>
      </c>
      <c r="G444" t="e">
        <f>#REF!</f>
        <v>#REF!</v>
      </c>
      <c r="H444" t="e">
        <f>#REF!</f>
        <v>#REF!</v>
      </c>
    </row>
    <row r="445" spans="1:8">
      <c r="A445" t="e">
        <f>#REF!</f>
        <v>#REF!</v>
      </c>
      <c r="B445" t="e">
        <f>#REF!</f>
        <v>#REF!</v>
      </c>
      <c r="C445" t="e">
        <f>#REF!</f>
        <v>#REF!</v>
      </c>
      <c r="D445" t="e">
        <f>#REF!</f>
        <v>#REF!</v>
      </c>
      <c r="E445" t="e">
        <f>#REF!</f>
        <v>#REF!</v>
      </c>
      <c r="F445" t="e">
        <f>#REF!</f>
        <v>#REF!</v>
      </c>
      <c r="G445" t="e">
        <f>#REF!</f>
        <v>#REF!</v>
      </c>
      <c r="H445" t="e">
        <f>#REF!</f>
        <v>#REF!</v>
      </c>
    </row>
    <row r="446" spans="1:8">
      <c r="A446" t="e">
        <f>#REF!</f>
        <v>#REF!</v>
      </c>
      <c r="B446" t="e">
        <f>#REF!</f>
        <v>#REF!</v>
      </c>
      <c r="C446" t="e">
        <f>#REF!</f>
        <v>#REF!</v>
      </c>
      <c r="D446" t="e">
        <f>#REF!</f>
        <v>#REF!</v>
      </c>
      <c r="E446" t="e">
        <f>#REF!</f>
        <v>#REF!</v>
      </c>
      <c r="F446" t="e">
        <f>#REF!</f>
        <v>#REF!</v>
      </c>
      <c r="G446" t="e">
        <f>#REF!</f>
        <v>#REF!</v>
      </c>
      <c r="H446" t="e">
        <f>#REF!</f>
        <v>#REF!</v>
      </c>
    </row>
    <row r="447" spans="1:8">
      <c r="A447" t="e">
        <f>#REF!</f>
        <v>#REF!</v>
      </c>
      <c r="B447" t="e">
        <f>#REF!</f>
        <v>#REF!</v>
      </c>
      <c r="C447" t="e">
        <f>#REF!</f>
        <v>#REF!</v>
      </c>
      <c r="D447" t="e">
        <f>#REF!</f>
        <v>#REF!</v>
      </c>
      <c r="E447" t="e">
        <f>#REF!</f>
        <v>#REF!</v>
      </c>
      <c r="F447" t="e">
        <f>#REF!</f>
        <v>#REF!</v>
      </c>
      <c r="G447" t="e">
        <f>#REF!</f>
        <v>#REF!</v>
      </c>
      <c r="H447" t="e">
        <f>#REF!</f>
        <v>#REF!</v>
      </c>
    </row>
    <row r="448" spans="1:8">
      <c r="A448" t="e">
        <f>#REF!</f>
        <v>#REF!</v>
      </c>
      <c r="B448" t="e">
        <f>#REF!</f>
        <v>#REF!</v>
      </c>
      <c r="C448" t="e">
        <f>#REF!</f>
        <v>#REF!</v>
      </c>
      <c r="D448" t="e">
        <f>#REF!</f>
        <v>#REF!</v>
      </c>
      <c r="E448" t="e">
        <f>#REF!</f>
        <v>#REF!</v>
      </c>
      <c r="F448" t="e">
        <f>#REF!</f>
        <v>#REF!</v>
      </c>
      <c r="G448" t="e">
        <f>#REF!</f>
        <v>#REF!</v>
      </c>
      <c r="H448" t="e">
        <f>#REF!</f>
        <v>#REF!</v>
      </c>
    </row>
    <row r="449" spans="1:8">
      <c r="A449" t="e">
        <f>#REF!</f>
        <v>#REF!</v>
      </c>
      <c r="B449" t="e">
        <f>#REF!</f>
        <v>#REF!</v>
      </c>
      <c r="C449" t="e">
        <f>#REF!</f>
        <v>#REF!</v>
      </c>
      <c r="D449" t="e">
        <f>#REF!</f>
        <v>#REF!</v>
      </c>
      <c r="E449" t="e">
        <f>#REF!</f>
        <v>#REF!</v>
      </c>
      <c r="F449" t="e">
        <f>#REF!</f>
        <v>#REF!</v>
      </c>
      <c r="G449" t="e">
        <f>#REF!</f>
        <v>#REF!</v>
      </c>
      <c r="H449" t="e">
        <f>#REF!</f>
        <v>#REF!</v>
      </c>
    </row>
    <row r="450" spans="1:8">
      <c r="A450" t="e">
        <f>#REF!</f>
        <v>#REF!</v>
      </c>
      <c r="B450" t="e">
        <f>#REF!</f>
        <v>#REF!</v>
      </c>
      <c r="C450" t="e">
        <f>#REF!</f>
        <v>#REF!</v>
      </c>
      <c r="D450" t="e">
        <f>#REF!</f>
        <v>#REF!</v>
      </c>
      <c r="E450" t="e">
        <f>#REF!</f>
        <v>#REF!</v>
      </c>
      <c r="F450" t="e">
        <f>#REF!</f>
        <v>#REF!</v>
      </c>
      <c r="G450" t="e">
        <f>#REF!</f>
        <v>#REF!</v>
      </c>
      <c r="H450" t="e">
        <f>#REF!</f>
        <v>#REF!</v>
      </c>
    </row>
    <row r="451" spans="1:8">
      <c r="A451" t="e">
        <f>#REF!</f>
        <v>#REF!</v>
      </c>
      <c r="B451" t="e">
        <f>#REF!</f>
        <v>#REF!</v>
      </c>
      <c r="C451" t="e">
        <f>#REF!</f>
        <v>#REF!</v>
      </c>
      <c r="D451" t="e">
        <f>#REF!</f>
        <v>#REF!</v>
      </c>
      <c r="E451" t="e">
        <f>#REF!</f>
        <v>#REF!</v>
      </c>
      <c r="F451" t="e">
        <f>#REF!</f>
        <v>#REF!</v>
      </c>
      <c r="G451" t="e">
        <f>#REF!</f>
        <v>#REF!</v>
      </c>
      <c r="H451" t="e">
        <f>#REF!</f>
        <v>#REF!</v>
      </c>
    </row>
    <row r="452" spans="1:8">
      <c r="A452" t="e">
        <f>#REF!</f>
        <v>#REF!</v>
      </c>
      <c r="B452" t="e">
        <f>#REF!</f>
        <v>#REF!</v>
      </c>
      <c r="C452" t="e">
        <f>#REF!</f>
        <v>#REF!</v>
      </c>
      <c r="D452" t="e">
        <f>#REF!</f>
        <v>#REF!</v>
      </c>
      <c r="E452" t="e">
        <f>#REF!</f>
        <v>#REF!</v>
      </c>
      <c r="F452" t="e">
        <f>#REF!</f>
        <v>#REF!</v>
      </c>
      <c r="G452" t="e">
        <f>#REF!</f>
        <v>#REF!</v>
      </c>
      <c r="H452" t="e">
        <f>#REF!</f>
        <v>#REF!</v>
      </c>
    </row>
    <row r="453" spans="1:8">
      <c r="A453" t="e">
        <f>#REF!</f>
        <v>#REF!</v>
      </c>
      <c r="B453" t="e">
        <f>#REF!</f>
        <v>#REF!</v>
      </c>
      <c r="C453" t="e">
        <f>#REF!</f>
        <v>#REF!</v>
      </c>
      <c r="D453" t="e">
        <f>#REF!</f>
        <v>#REF!</v>
      </c>
      <c r="E453" t="e">
        <f>#REF!</f>
        <v>#REF!</v>
      </c>
      <c r="F453" t="e">
        <f>#REF!</f>
        <v>#REF!</v>
      </c>
      <c r="G453" t="e">
        <f>#REF!</f>
        <v>#REF!</v>
      </c>
      <c r="H453" t="e">
        <f>#REF!</f>
        <v>#REF!</v>
      </c>
    </row>
    <row r="454" spans="1:8">
      <c r="A454" t="e">
        <f>#REF!</f>
        <v>#REF!</v>
      </c>
      <c r="B454" t="e">
        <f>#REF!</f>
        <v>#REF!</v>
      </c>
      <c r="C454" t="e">
        <f>#REF!</f>
        <v>#REF!</v>
      </c>
      <c r="D454" t="e">
        <f>#REF!</f>
        <v>#REF!</v>
      </c>
      <c r="E454" t="e">
        <f>#REF!</f>
        <v>#REF!</v>
      </c>
      <c r="F454" t="e">
        <f>#REF!</f>
        <v>#REF!</v>
      </c>
      <c r="G454" t="e">
        <f>#REF!</f>
        <v>#REF!</v>
      </c>
      <c r="H454" t="e">
        <f>#REF!</f>
        <v>#REF!</v>
      </c>
    </row>
    <row r="455" spans="1:8">
      <c r="A455" t="e">
        <f>#REF!</f>
        <v>#REF!</v>
      </c>
      <c r="B455" t="e">
        <f>#REF!</f>
        <v>#REF!</v>
      </c>
      <c r="C455" t="e">
        <f>#REF!</f>
        <v>#REF!</v>
      </c>
      <c r="D455" t="e">
        <f>#REF!</f>
        <v>#REF!</v>
      </c>
      <c r="E455" t="e">
        <f>#REF!</f>
        <v>#REF!</v>
      </c>
      <c r="F455" t="e">
        <f>#REF!</f>
        <v>#REF!</v>
      </c>
      <c r="G455" t="e">
        <f>#REF!</f>
        <v>#REF!</v>
      </c>
      <c r="H455" t="e">
        <f>#REF!</f>
        <v>#REF!</v>
      </c>
    </row>
    <row r="456" spans="1:8">
      <c r="A456" t="e">
        <f>#REF!</f>
        <v>#REF!</v>
      </c>
      <c r="B456" t="e">
        <f>#REF!</f>
        <v>#REF!</v>
      </c>
      <c r="C456" t="e">
        <f>#REF!</f>
        <v>#REF!</v>
      </c>
      <c r="D456" t="e">
        <f>#REF!</f>
        <v>#REF!</v>
      </c>
      <c r="E456" t="e">
        <f>#REF!</f>
        <v>#REF!</v>
      </c>
      <c r="F456" t="e">
        <f>#REF!</f>
        <v>#REF!</v>
      </c>
      <c r="G456" t="e">
        <f>#REF!</f>
        <v>#REF!</v>
      </c>
      <c r="H456" t="e">
        <f>#REF!</f>
        <v>#REF!</v>
      </c>
    </row>
    <row r="457" spans="1:8">
      <c r="A457" t="e">
        <f>#REF!</f>
        <v>#REF!</v>
      </c>
      <c r="B457" t="e">
        <f>#REF!</f>
        <v>#REF!</v>
      </c>
      <c r="C457" t="e">
        <f>#REF!</f>
        <v>#REF!</v>
      </c>
      <c r="D457" t="e">
        <f>#REF!</f>
        <v>#REF!</v>
      </c>
      <c r="E457" t="e">
        <f>#REF!</f>
        <v>#REF!</v>
      </c>
      <c r="F457" t="e">
        <f>#REF!</f>
        <v>#REF!</v>
      </c>
      <c r="G457" t="e">
        <f>#REF!</f>
        <v>#REF!</v>
      </c>
      <c r="H457" t="e">
        <f>#REF!</f>
        <v>#REF!</v>
      </c>
    </row>
    <row r="458" spans="1:8">
      <c r="A458" t="e">
        <f>#REF!</f>
        <v>#REF!</v>
      </c>
      <c r="B458" t="e">
        <f>#REF!</f>
        <v>#REF!</v>
      </c>
      <c r="C458" t="e">
        <f>#REF!</f>
        <v>#REF!</v>
      </c>
      <c r="D458" t="e">
        <f>#REF!</f>
        <v>#REF!</v>
      </c>
      <c r="E458" t="e">
        <f>#REF!</f>
        <v>#REF!</v>
      </c>
      <c r="F458" t="e">
        <f>#REF!</f>
        <v>#REF!</v>
      </c>
      <c r="G458" t="e">
        <f>#REF!</f>
        <v>#REF!</v>
      </c>
      <c r="H458" t="e">
        <f>#REF!</f>
        <v>#REF!</v>
      </c>
    </row>
    <row r="459" spans="1:8">
      <c r="A459" t="e">
        <f>#REF!</f>
        <v>#REF!</v>
      </c>
      <c r="B459" t="e">
        <f>#REF!</f>
        <v>#REF!</v>
      </c>
      <c r="C459" t="e">
        <f>#REF!</f>
        <v>#REF!</v>
      </c>
      <c r="D459" t="e">
        <f>#REF!</f>
        <v>#REF!</v>
      </c>
      <c r="E459" t="e">
        <f>#REF!</f>
        <v>#REF!</v>
      </c>
      <c r="F459" t="e">
        <f>#REF!</f>
        <v>#REF!</v>
      </c>
      <c r="G459" t="e">
        <f>#REF!</f>
        <v>#REF!</v>
      </c>
      <c r="H459" t="e">
        <f>#REF!</f>
        <v>#REF!</v>
      </c>
    </row>
    <row r="460" spans="1:8">
      <c r="A460" t="e">
        <f>#REF!</f>
        <v>#REF!</v>
      </c>
      <c r="B460" t="e">
        <f>#REF!</f>
        <v>#REF!</v>
      </c>
      <c r="C460" t="e">
        <f>#REF!</f>
        <v>#REF!</v>
      </c>
      <c r="D460" t="e">
        <f>#REF!</f>
        <v>#REF!</v>
      </c>
      <c r="E460" t="e">
        <f>#REF!</f>
        <v>#REF!</v>
      </c>
      <c r="F460" t="e">
        <f>#REF!</f>
        <v>#REF!</v>
      </c>
      <c r="G460" t="e">
        <f>#REF!</f>
        <v>#REF!</v>
      </c>
      <c r="H460" t="e">
        <f>#REF!</f>
        <v>#REF!</v>
      </c>
    </row>
    <row r="461" spans="1:8">
      <c r="A461" t="e">
        <f>#REF!</f>
        <v>#REF!</v>
      </c>
      <c r="B461" t="e">
        <f>#REF!</f>
        <v>#REF!</v>
      </c>
      <c r="C461" t="e">
        <f>#REF!</f>
        <v>#REF!</v>
      </c>
      <c r="D461" t="e">
        <f>#REF!</f>
        <v>#REF!</v>
      </c>
      <c r="E461" t="e">
        <f>#REF!</f>
        <v>#REF!</v>
      </c>
      <c r="F461" t="e">
        <f>#REF!</f>
        <v>#REF!</v>
      </c>
      <c r="G461" t="e">
        <f>#REF!</f>
        <v>#REF!</v>
      </c>
      <c r="H461" t="e">
        <f>#REF!</f>
        <v>#REF!</v>
      </c>
    </row>
    <row r="462" spans="1:8">
      <c r="A462" t="e">
        <f>#REF!</f>
        <v>#REF!</v>
      </c>
      <c r="B462" t="e">
        <f>#REF!</f>
        <v>#REF!</v>
      </c>
      <c r="C462" t="e">
        <f>#REF!</f>
        <v>#REF!</v>
      </c>
      <c r="D462" t="e">
        <f>#REF!</f>
        <v>#REF!</v>
      </c>
      <c r="E462" t="e">
        <f>#REF!</f>
        <v>#REF!</v>
      </c>
      <c r="F462" t="e">
        <f>#REF!</f>
        <v>#REF!</v>
      </c>
      <c r="G462" t="e">
        <f>#REF!</f>
        <v>#REF!</v>
      </c>
      <c r="H462" t="e">
        <f>#REF!</f>
        <v>#REF!</v>
      </c>
    </row>
    <row r="463" spans="1:8">
      <c r="A463" t="e">
        <f>#REF!</f>
        <v>#REF!</v>
      </c>
      <c r="B463" t="e">
        <f>#REF!</f>
        <v>#REF!</v>
      </c>
      <c r="C463" t="e">
        <f>#REF!</f>
        <v>#REF!</v>
      </c>
      <c r="D463" t="e">
        <f>#REF!</f>
        <v>#REF!</v>
      </c>
      <c r="E463" t="e">
        <f>#REF!</f>
        <v>#REF!</v>
      </c>
      <c r="F463" t="e">
        <f>#REF!</f>
        <v>#REF!</v>
      </c>
      <c r="G463" t="e">
        <f>#REF!</f>
        <v>#REF!</v>
      </c>
      <c r="H463" t="e">
        <f>#REF!</f>
        <v>#REF!</v>
      </c>
    </row>
    <row r="464" spans="1:8">
      <c r="A464" t="e">
        <f>#REF!</f>
        <v>#REF!</v>
      </c>
      <c r="B464" t="e">
        <f>#REF!</f>
        <v>#REF!</v>
      </c>
      <c r="C464" t="e">
        <f>#REF!</f>
        <v>#REF!</v>
      </c>
      <c r="D464" t="e">
        <f>#REF!</f>
        <v>#REF!</v>
      </c>
      <c r="E464" t="e">
        <f>#REF!</f>
        <v>#REF!</v>
      </c>
      <c r="F464" t="e">
        <f>#REF!</f>
        <v>#REF!</v>
      </c>
      <c r="G464" t="e">
        <f>#REF!</f>
        <v>#REF!</v>
      </c>
      <c r="H464" t="e">
        <f>#REF!</f>
        <v>#REF!</v>
      </c>
    </row>
    <row r="465" spans="1:8">
      <c r="A465" t="e">
        <f>#REF!</f>
        <v>#REF!</v>
      </c>
      <c r="B465" t="e">
        <f>#REF!</f>
        <v>#REF!</v>
      </c>
      <c r="C465" t="e">
        <f>#REF!</f>
        <v>#REF!</v>
      </c>
      <c r="D465" t="e">
        <f>#REF!</f>
        <v>#REF!</v>
      </c>
      <c r="E465" t="e">
        <f>#REF!</f>
        <v>#REF!</v>
      </c>
      <c r="F465" t="e">
        <f>#REF!</f>
        <v>#REF!</v>
      </c>
      <c r="G465" t="e">
        <f>#REF!</f>
        <v>#REF!</v>
      </c>
      <c r="H465" t="e">
        <f>#REF!</f>
        <v>#REF!</v>
      </c>
    </row>
    <row r="466" spans="1:8">
      <c r="A466" t="e">
        <f>#REF!</f>
        <v>#REF!</v>
      </c>
      <c r="B466" t="e">
        <f>#REF!</f>
        <v>#REF!</v>
      </c>
      <c r="C466" t="e">
        <f>#REF!</f>
        <v>#REF!</v>
      </c>
      <c r="D466" t="e">
        <f>#REF!</f>
        <v>#REF!</v>
      </c>
      <c r="E466" t="e">
        <f>#REF!</f>
        <v>#REF!</v>
      </c>
      <c r="F466" t="e">
        <f>#REF!</f>
        <v>#REF!</v>
      </c>
      <c r="G466" t="e">
        <f>#REF!</f>
        <v>#REF!</v>
      </c>
      <c r="H466" t="e">
        <f>#REF!</f>
        <v>#REF!</v>
      </c>
    </row>
    <row r="467" spans="1:8">
      <c r="A467" t="e">
        <f>#REF!</f>
        <v>#REF!</v>
      </c>
      <c r="B467" t="e">
        <f>#REF!</f>
        <v>#REF!</v>
      </c>
      <c r="C467" t="e">
        <f>#REF!</f>
        <v>#REF!</v>
      </c>
      <c r="D467" t="e">
        <f>#REF!</f>
        <v>#REF!</v>
      </c>
      <c r="E467" t="e">
        <f>#REF!</f>
        <v>#REF!</v>
      </c>
      <c r="F467" t="e">
        <f>#REF!</f>
        <v>#REF!</v>
      </c>
      <c r="G467" t="e">
        <f>#REF!</f>
        <v>#REF!</v>
      </c>
      <c r="H467" t="e">
        <f>#REF!</f>
        <v>#REF!</v>
      </c>
    </row>
    <row r="468" spans="1:8">
      <c r="A468" t="e">
        <f>#REF!</f>
        <v>#REF!</v>
      </c>
      <c r="B468" t="e">
        <f>#REF!</f>
        <v>#REF!</v>
      </c>
      <c r="C468" t="e">
        <f>#REF!</f>
        <v>#REF!</v>
      </c>
      <c r="D468" t="e">
        <f>#REF!</f>
        <v>#REF!</v>
      </c>
      <c r="E468" t="e">
        <f>#REF!</f>
        <v>#REF!</v>
      </c>
      <c r="F468" t="e">
        <f>#REF!</f>
        <v>#REF!</v>
      </c>
      <c r="G468" t="e">
        <f>#REF!</f>
        <v>#REF!</v>
      </c>
      <c r="H468" t="e">
        <f>#REF!</f>
        <v>#REF!</v>
      </c>
    </row>
    <row r="469" spans="1:8">
      <c r="A469" t="e">
        <f>#REF!</f>
        <v>#REF!</v>
      </c>
      <c r="B469" t="e">
        <f>#REF!</f>
        <v>#REF!</v>
      </c>
      <c r="C469" t="e">
        <f>#REF!</f>
        <v>#REF!</v>
      </c>
      <c r="D469" t="e">
        <f>#REF!</f>
        <v>#REF!</v>
      </c>
      <c r="E469" t="e">
        <f>#REF!</f>
        <v>#REF!</v>
      </c>
      <c r="F469" t="e">
        <f>#REF!</f>
        <v>#REF!</v>
      </c>
      <c r="G469" t="e">
        <f>#REF!</f>
        <v>#REF!</v>
      </c>
      <c r="H469" t="e">
        <f>#REF!</f>
        <v>#REF!</v>
      </c>
    </row>
    <row r="470" spans="1:8">
      <c r="A470" t="e">
        <f>#REF!</f>
        <v>#REF!</v>
      </c>
      <c r="B470" t="e">
        <f>#REF!</f>
        <v>#REF!</v>
      </c>
      <c r="C470" t="e">
        <f>#REF!</f>
        <v>#REF!</v>
      </c>
      <c r="D470" t="e">
        <f>#REF!</f>
        <v>#REF!</v>
      </c>
      <c r="E470" t="e">
        <f>#REF!</f>
        <v>#REF!</v>
      </c>
      <c r="F470" t="e">
        <f>#REF!</f>
        <v>#REF!</v>
      </c>
      <c r="G470" t="e">
        <f>#REF!</f>
        <v>#REF!</v>
      </c>
      <c r="H470" t="e">
        <f>#REF!</f>
        <v>#REF!</v>
      </c>
    </row>
    <row r="471" spans="1:8">
      <c r="A471" t="e">
        <f>#REF!</f>
        <v>#REF!</v>
      </c>
      <c r="B471" t="e">
        <f>#REF!</f>
        <v>#REF!</v>
      </c>
      <c r="C471" t="e">
        <f>#REF!</f>
        <v>#REF!</v>
      </c>
      <c r="D471" t="e">
        <f>#REF!</f>
        <v>#REF!</v>
      </c>
      <c r="E471" t="e">
        <f>#REF!</f>
        <v>#REF!</v>
      </c>
      <c r="F471" t="e">
        <f>#REF!</f>
        <v>#REF!</v>
      </c>
      <c r="G471" t="e">
        <f>#REF!</f>
        <v>#REF!</v>
      </c>
      <c r="H471" t="e">
        <f>#REF!</f>
        <v>#REF!</v>
      </c>
    </row>
    <row r="472" spans="1:8">
      <c r="A472" t="e">
        <f>#REF!</f>
        <v>#REF!</v>
      </c>
      <c r="B472" t="e">
        <f>#REF!</f>
        <v>#REF!</v>
      </c>
      <c r="C472" t="e">
        <f>#REF!</f>
        <v>#REF!</v>
      </c>
      <c r="D472" t="e">
        <f>#REF!</f>
        <v>#REF!</v>
      </c>
      <c r="E472" t="e">
        <f>#REF!</f>
        <v>#REF!</v>
      </c>
      <c r="F472" t="e">
        <f>#REF!</f>
        <v>#REF!</v>
      </c>
      <c r="G472" t="e">
        <f>#REF!</f>
        <v>#REF!</v>
      </c>
      <c r="H472" t="e">
        <f>#REF!</f>
        <v>#REF!</v>
      </c>
    </row>
    <row r="473" spans="1:8">
      <c r="A473" t="e">
        <f>#REF!</f>
        <v>#REF!</v>
      </c>
      <c r="B473" t="e">
        <f>#REF!</f>
        <v>#REF!</v>
      </c>
      <c r="C473" t="e">
        <f>#REF!</f>
        <v>#REF!</v>
      </c>
      <c r="D473" t="e">
        <f>#REF!</f>
        <v>#REF!</v>
      </c>
      <c r="E473" t="e">
        <f>#REF!</f>
        <v>#REF!</v>
      </c>
      <c r="F473" t="e">
        <f>#REF!</f>
        <v>#REF!</v>
      </c>
      <c r="G473" t="e">
        <f>#REF!</f>
        <v>#REF!</v>
      </c>
      <c r="H473" t="e">
        <f>#REF!</f>
        <v>#REF!</v>
      </c>
    </row>
    <row r="474" spans="1:8">
      <c r="A474" t="e">
        <f>#REF!</f>
        <v>#REF!</v>
      </c>
      <c r="B474" t="e">
        <f>#REF!</f>
        <v>#REF!</v>
      </c>
      <c r="C474" t="e">
        <f>#REF!</f>
        <v>#REF!</v>
      </c>
      <c r="D474" t="e">
        <f>#REF!</f>
        <v>#REF!</v>
      </c>
      <c r="E474" t="e">
        <f>#REF!</f>
        <v>#REF!</v>
      </c>
      <c r="F474" t="e">
        <f>#REF!</f>
        <v>#REF!</v>
      </c>
      <c r="G474" t="e">
        <f>#REF!</f>
        <v>#REF!</v>
      </c>
      <c r="H474" t="e">
        <f>#REF!</f>
        <v>#REF!</v>
      </c>
    </row>
    <row r="475" spans="1:8">
      <c r="A475" t="e">
        <f>#REF!</f>
        <v>#REF!</v>
      </c>
      <c r="B475" t="e">
        <f>#REF!</f>
        <v>#REF!</v>
      </c>
      <c r="C475" t="e">
        <f>#REF!</f>
        <v>#REF!</v>
      </c>
      <c r="D475" t="e">
        <f>#REF!</f>
        <v>#REF!</v>
      </c>
      <c r="E475" t="e">
        <f>#REF!</f>
        <v>#REF!</v>
      </c>
      <c r="F475" t="e">
        <f>#REF!</f>
        <v>#REF!</v>
      </c>
      <c r="G475" t="e">
        <f>#REF!</f>
        <v>#REF!</v>
      </c>
      <c r="H475" t="e">
        <f>#REF!</f>
        <v>#REF!</v>
      </c>
    </row>
    <row r="476" spans="1:8">
      <c r="A476" t="e">
        <f>#REF!</f>
        <v>#REF!</v>
      </c>
      <c r="B476" t="e">
        <f>#REF!</f>
        <v>#REF!</v>
      </c>
      <c r="C476" t="e">
        <f>#REF!</f>
        <v>#REF!</v>
      </c>
      <c r="D476" t="e">
        <f>#REF!</f>
        <v>#REF!</v>
      </c>
      <c r="E476" t="e">
        <f>#REF!</f>
        <v>#REF!</v>
      </c>
      <c r="F476" t="e">
        <f>#REF!</f>
        <v>#REF!</v>
      </c>
      <c r="G476" t="e">
        <f>#REF!</f>
        <v>#REF!</v>
      </c>
      <c r="H476" t="e">
        <f>#REF!</f>
        <v>#REF!</v>
      </c>
    </row>
    <row r="477" spans="1:8">
      <c r="A477" t="e">
        <f>#REF!</f>
        <v>#REF!</v>
      </c>
      <c r="B477" t="e">
        <f>#REF!</f>
        <v>#REF!</v>
      </c>
      <c r="C477" t="e">
        <f>#REF!</f>
        <v>#REF!</v>
      </c>
      <c r="D477" t="e">
        <f>#REF!</f>
        <v>#REF!</v>
      </c>
      <c r="E477" t="e">
        <f>#REF!</f>
        <v>#REF!</v>
      </c>
      <c r="F477" t="e">
        <f>#REF!</f>
        <v>#REF!</v>
      </c>
      <c r="G477" t="e">
        <f>#REF!</f>
        <v>#REF!</v>
      </c>
      <c r="H477" t="e">
        <f>#REF!</f>
        <v>#REF!</v>
      </c>
    </row>
    <row r="478" spans="1:8">
      <c r="A478" t="e">
        <f>#REF!</f>
        <v>#REF!</v>
      </c>
      <c r="B478" t="e">
        <f>#REF!</f>
        <v>#REF!</v>
      </c>
      <c r="C478" t="e">
        <f>#REF!</f>
        <v>#REF!</v>
      </c>
      <c r="D478" t="e">
        <f>#REF!</f>
        <v>#REF!</v>
      </c>
      <c r="E478" t="e">
        <f>#REF!</f>
        <v>#REF!</v>
      </c>
      <c r="F478" t="e">
        <f>#REF!</f>
        <v>#REF!</v>
      </c>
      <c r="G478" t="e">
        <f>#REF!</f>
        <v>#REF!</v>
      </c>
      <c r="H478" t="e">
        <f>#REF!</f>
        <v>#REF!</v>
      </c>
    </row>
    <row r="479" spans="1:8">
      <c r="A479" t="e">
        <f>#REF!</f>
        <v>#REF!</v>
      </c>
      <c r="B479" t="e">
        <f>#REF!</f>
        <v>#REF!</v>
      </c>
      <c r="C479" t="e">
        <f>#REF!</f>
        <v>#REF!</v>
      </c>
      <c r="D479" t="e">
        <f>#REF!</f>
        <v>#REF!</v>
      </c>
      <c r="E479" t="e">
        <f>#REF!</f>
        <v>#REF!</v>
      </c>
      <c r="F479" t="e">
        <f>#REF!</f>
        <v>#REF!</v>
      </c>
      <c r="G479" t="e">
        <f>#REF!</f>
        <v>#REF!</v>
      </c>
      <c r="H479" t="e">
        <f>#REF!</f>
        <v>#REF!</v>
      </c>
    </row>
    <row r="480" spans="1:8">
      <c r="A480" t="e">
        <f>#REF!</f>
        <v>#REF!</v>
      </c>
      <c r="B480" t="e">
        <f>#REF!</f>
        <v>#REF!</v>
      </c>
      <c r="C480" t="e">
        <f>#REF!</f>
        <v>#REF!</v>
      </c>
      <c r="D480" t="e">
        <f>#REF!</f>
        <v>#REF!</v>
      </c>
      <c r="E480" t="e">
        <f>#REF!</f>
        <v>#REF!</v>
      </c>
      <c r="F480" t="e">
        <f>#REF!</f>
        <v>#REF!</v>
      </c>
      <c r="G480" t="e">
        <f>#REF!</f>
        <v>#REF!</v>
      </c>
      <c r="H480" t="e">
        <f>#REF!</f>
        <v>#REF!</v>
      </c>
    </row>
    <row r="481" spans="1:8">
      <c r="A481" t="e">
        <f>#REF!</f>
        <v>#REF!</v>
      </c>
      <c r="B481" t="e">
        <f>#REF!</f>
        <v>#REF!</v>
      </c>
      <c r="C481" t="e">
        <f>#REF!</f>
        <v>#REF!</v>
      </c>
      <c r="D481" t="e">
        <f>#REF!</f>
        <v>#REF!</v>
      </c>
      <c r="E481" t="e">
        <f>#REF!</f>
        <v>#REF!</v>
      </c>
      <c r="F481" t="e">
        <f>#REF!</f>
        <v>#REF!</v>
      </c>
      <c r="G481" t="e">
        <f>#REF!</f>
        <v>#REF!</v>
      </c>
      <c r="H481" t="e">
        <f>#REF!</f>
        <v>#REF!</v>
      </c>
    </row>
    <row r="482" spans="1:8">
      <c r="A482" t="e">
        <f>#REF!</f>
        <v>#REF!</v>
      </c>
      <c r="B482" t="e">
        <f>#REF!</f>
        <v>#REF!</v>
      </c>
      <c r="C482" t="e">
        <f>#REF!</f>
        <v>#REF!</v>
      </c>
      <c r="D482" t="e">
        <f>#REF!</f>
        <v>#REF!</v>
      </c>
      <c r="E482" t="e">
        <f>#REF!</f>
        <v>#REF!</v>
      </c>
      <c r="F482" t="e">
        <f>#REF!</f>
        <v>#REF!</v>
      </c>
      <c r="G482" t="e">
        <f>#REF!</f>
        <v>#REF!</v>
      </c>
      <c r="H482" t="e">
        <f>#REF!</f>
        <v>#REF!</v>
      </c>
    </row>
    <row r="483" spans="1:8">
      <c r="A483" t="e">
        <f>#REF!</f>
        <v>#REF!</v>
      </c>
      <c r="B483" t="e">
        <f>#REF!</f>
        <v>#REF!</v>
      </c>
      <c r="C483" t="e">
        <f>#REF!</f>
        <v>#REF!</v>
      </c>
      <c r="D483" t="e">
        <f>#REF!</f>
        <v>#REF!</v>
      </c>
      <c r="E483" t="e">
        <f>#REF!</f>
        <v>#REF!</v>
      </c>
      <c r="F483" t="e">
        <f>#REF!</f>
        <v>#REF!</v>
      </c>
      <c r="G483" t="e">
        <f>#REF!</f>
        <v>#REF!</v>
      </c>
      <c r="H483" t="e">
        <f>#REF!</f>
        <v>#REF!</v>
      </c>
    </row>
    <row r="484" spans="1:8">
      <c r="A484" t="e">
        <f>#REF!</f>
        <v>#REF!</v>
      </c>
      <c r="B484" t="e">
        <f>#REF!</f>
        <v>#REF!</v>
      </c>
      <c r="C484" t="e">
        <f>#REF!</f>
        <v>#REF!</v>
      </c>
      <c r="D484" t="e">
        <f>#REF!</f>
        <v>#REF!</v>
      </c>
      <c r="E484" t="e">
        <f>#REF!</f>
        <v>#REF!</v>
      </c>
      <c r="F484" t="e">
        <f>#REF!</f>
        <v>#REF!</v>
      </c>
      <c r="G484" t="e">
        <f>#REF!</f>
        <v>#REF!</v>
      </c>
      <c r="H484" t="e">
        <f>#REF!</f>
        <v>#REF!</v>
      </c>
    </row>
    <row r="485" spans="1:8">
      <c r="A485" t="e">
        <f>#REF!</f>
        <v>#REF!</v>
      </c>
      <c r="B485" t="e">
        <f>#REF!</f>
        <v>#REF!</v>
      </c>
      <c r="C485" t="e">
        <f>#REF!</f>
        <v>#REF!</v>
      </c>
      <c r="D485" t="e">
        <f>#REF!</f>
        <v>#REF!</v>
      </c>
      <c r="E485" t="e">
        <f>#REF!</f>
        <v>#REF!</v>
      </c>
      <c r="F485" t="e">
        <f>#REF!</f>
        <v>#REF!</v>
      </c>
      <c r="G485" t="e">
        <f>#REF!</f>
        <v>#REF!</v>
      </c>
      <c r="H485" t="e">
        <f>#REF!</f>
        <v>#REF!</v>
      </c>
    </row>
    <row r="486" spans="1:8">
      <c r="A486" t="e">
        <f>#REF!</f>
        <v>#REF!</v>
      </c>
      <c r="B486" t="e">
        <f>#REF!</f>
        <v>#REF!</v>
      </c>
      <c r="C486" t="e">
        <f>#REF!</f>
        <v>#REF!</v>
      </c>
      <c r="D486" t="e">
        <f>#REF!</f>
        <v>#REF!</v>
      </c>
      <c r="E486" t="e">
        <f>#REF!</f>
        <v>#REF!</v>
      </c>
      <c r="F486" t="e">
        <f>#REF!</f>
        <v>#REF!</v>
      </c>
      <c r="G486" t="e">
        <f>#REF!</f>
        <v>#REF!</v>
      </c>
      <c r="H486" t="e">
        <f>#REF!</f>
        <v>#REF!</v>
      </c>
    </row>
    <row r="487" spans="1:8">
      <c r="A487" t="e">
        <f>#REF!</f>
        <v>#REF!</v>
      </c>
      <c r="B487" t="e">
        <f>#REF!</f>
        <v>#REF!</v>
      </c>
      <c r="C487" t="e">
        <f>#REF!</f>
        <v>#REF!</v>
      </c>
      <c r="D487" t="e">
        <f>#REF!</f>
        <v>#REF!</v>
      </c>
      <c r="E487" t="e">
        <f>#REF!</f>
        <v>#REF!</v>
      </c>
      <c r="F487" t="e">
        <f>#REF!</f>
        <v>#REF!</v>
      </c>
      <c r="G487" t="e">
        <f>#REF!</f>
        <v>#REF!</v>
      </c>
      <c r="H487" t="e">
        <f>#REF!</f>
        <v>#REF!</v>
      </c>
    </row>
    <row r="488" spans="1:8">
      <c r="A488" t="e">
        <f>#REF!</f>
        <v>#REF!</v>
      </c>
      <c r="B488" t="e">
        <f>#REF!</f>
        <v>#REF!</v>
      </c>
      <c r="C488" t="e">
        <f>#REF!</f>
        <v>#REF!</v>
      </c>
      <c r="D488" t="e">
        <f>#REF!</f>
        <v>#REF!</v>
      </c>
      <c r="E488" t="e">
        <f>#REF!</f>
        <v>#REF!</v>
      </c>
      <c r="F488" t="e">
        <f>#REF!</f>
        <v>#REF!</v>
      </c>
      <c r="G488" t="e">
        <f>#REF!</f>
        <v>#REF!</v>
      </c>
      <c r="H488" t="e">
        <f>#REF!</f>
        <v>#REF!</v>
      </c>
    </row>
    <row r="489" spans="1:8">
      <c r="A489" t="e">
        <f>#REF!</f>
        <v>#REF!</v>
      </c>
      <c r="B489" t="e">
        <f>#REF!</f>
        <v>#REF!</v>
      </c>
      <c r="C489" t="e">
        <f>#REF!</f>
        <v>#REF!</v>
      </c>
      <c r="D489" t="e">
        <f>#REF!</f>
        <v>#REF!</v>
      </c>
      <c r="E489" t="e">
        <f>#REF!</f>
        <v>#REF!</v>
      </c>
      <c r="F489" t="e">
        <f>#REF!</f>
        <v>#REF!</v>
      </c>
      <c r="G489" t="e">
        <f>#REF!</f>
        <v>#REF!</v>
      </c>
      <c r="H489" t="e">
        <f>#REF!</f>
        <v>#REF!</v>
      </c>
    </row>
    <row r="490" spans="1:8">
      <c r="A490" t="e">
        <f>#REF!</f>
        <v>#REF!</v>
      </c>
      <c r="B490" t="e">
        <f>#REF!</f>
        <v>#REF!</v>
      </c>
      <c r="C490" t="e">
        <f>#REF!</f>
        <v>#REF!</v>
      </c>
      <c r="D490" t="e">
        <f>#REF!</f>
        <v>#REF!</v>
      </c>
      <c r="E490" t="e">
        <f>#REF!</f>
        <v>#REF!</v>
      </c>
      <c r="F490" t="e">
        <f>#REF!</f>
        <v>#REF!</v>
      </c>
      <c r="G490" t="e">
        <f>#REF!</f>
        <v>#REF!</v>
      </c>
      <c r="H490" t="e">
        <f>#REF!</f>
        <v>#REF!</v>
      </c>
    </row>
    <row r="491" spans="1:8">
      <c r="A491" t="e">
        <f>#REF!</f>
        <v>#REF!</v>
      </c>
      <c r="B491" t="e">
        <f>#REF!</f>
        <v>#REF!</v>
      </c>
      <c r="C491" t="e">
        <f>#REF!</f>
        <v>#REF!</v>
      </c>
      <c r="D491" t="e">
        <f>#REF!</f>
        <v>#REF!</v>
      </c>
      <c r="E491" t="e">
        <f>#REF!</f>
        <v>#REF!</v>
      </c>
      <c r="F491" t="e">
        <f>#REF!</f>
        <v>#REF!</v>
      </c>
      <c r="G491" t="e">
        <f>#REF!</f>
        <v>#REF!</v>
      </c>
      <c r="H491" t="e">
        <f>#REF!</f>
        <v>#REF!</v>
      </c>
    </row>
    <row r="492" spans="1:8">
      <c r="A492" t="e">
        <f>#REF!</f>
        <v>#REF!</v>
      </c>
      <c r="B492" t="e">
        <f>#REF!</f>
        <v>#REF!</v>
      </c>
      <c r="C492" t="e">
        <f>#REF!</f>
        <v>#REF!</v>
      </c>
      <c r="D492" t="e">
        <f>#REF!</f>
        <v>#REF!</v>
      </c>
      <c r="E492" t="e">
        <f>#REF!</f>
        <v>#REF!</v>
      </c>
      <c r="F492" t="e">
        <f>#REF!</f>
        <v>#REF!</v>
      </c>
      <c r="G492" t="e">
        <f>#REF!</f>
        <v>#REF!</v>
      </c>
      <c r="H492" t="e">
        <f>#REF!</f>
        <v>#REF!</v>
      </c>
    </row>
    <row r="493" spans="1:8">
      <c r="A493" t="e">
        <f>#REF!</f>
        <v>#REF!</v>
      </c>
      <c r="B493" t="e">
        <f>#REF!</f>
        <v>#REF!</v>
      </c>
      <c r="C493" t="e">
        <f>#REF!</f>
        <v>#REF!</v>
      </c>
      <c r="D493" t="e">
        <f>#REF!</f>
        <v>#REF!</v>
      </c>
      <c r="E493" t="e">
        <f>#REF!</f>
        <v>#REF!</v>
      </c>
      <c r="F493" t="e">
        <f>#REF!</f>
        <v>#REF!</v>
      </c>
      <c r="G493" t="e">
        <f>#REF!</f>
        <v>#REF!</v>
      </c>
      <c r="H493" t="e">
        <f>#REF!</f>
        <v>#REF!</v>
      </c>
    </row>
    <row r="494" spans="1:8">
      <c r="A494" t="e">
        <f>#REF!</f>
        <v>#REF!</v>
      </c>
      <c r="B494" t="e">
        <f>#REF!</f>
        <v>#REF!</v>
      </c>
      <c r="C494" t="e">
        <f>#REF!</f>
        <v>#REF!</v>
      </c>
      <c r="D494" t="e">
        <f>#REF!</f>
        <v>#REF!</v>
      </c>
      <c r="E494" t="e">
        <f>#REF!</f>
        <v>#REF!</v>
      </c>
      <c r="F494" t="e">
        <f>#REF!</f>
        <v>#REF!</v>
      </c>
      <c r="G494" t="e">
        <f>#REF!</f>
        <v>#REF!</v>
      </c>
      <c r="H494" t="e">
        <f>#REF!</f>
        <v>#REF!</v>
      </c>
    </row>
    <row r="495" spans="1:8">
      <c r="A495" t="e">
        <f>#REF!</f>
        <v>#REF!</v>
      </c>
      <c r="B495" t="e">
        <f>#REF!</f>
        <v>#REF!</v>
      </c>
      <c r="C495" t="e">
        <f>#REF!</f>
        <v>#REF!</v>
      </c>
      <c r="D495" t="e">
        <f>#REF!</f>
        <v>#REF!</v>
      </c>
      <c r="E495" t="e">
        <f>#REF!</f>
        <v>#REF!</v>
      </c>
      <c r="F495" t="e">
        <f>#REF!</f>
        <v>#REF!</v>
      </c>
      <c r="G495" t="e">
        <f>#REF!</f>
        <v>#REF!</v>
      </c>
      <c r="H495" t="e">
        <f>#REF!</f>
        <v>#REF!</v>
      </c>
    </row>
    <row r="496" spans="1:8">
      <c r="A496" t="e">
        <f>#REF!</f>
        <v>#REF!</v>
      </c>
      <c r="B496" t="e">
        <f>#REF!</f>
        <v>#REF!</v>
      </c>
      <c r="C496" t="e">
        <f>#REF!</f>
        <v>#REF!</v>
      </c>
      <c r="D496" t="e">
        <f>#REF!</f>
        <v>#REF!</v>
      </c>
      <c r="E496" t="e">
        <f>#REF!</f>
        <v>#REF!</v>
      </c>
      <c r="F496" t="e">
        <f>#REF!</f>
        <v>#REF!</v>
      </c>
      <c r="G496" t="e">
        <f>#REF!</f>
        <v>#REF!</v>
      </c>
      <c r="H496" t="e">
        <f>#REF!</f>
        <v>#REF!</v>
      </c>
    </row>
    <row r="497" spans="1:8">
      <c r="A497" t="e">
        <f>#REF!</f>
        <v>#REF!</v>
      </c>
      <c r="B497" t="e">
        <f>#REF!</f>
        <v>#REF!</v>
      </c>
      <c r="C497" t="e">
        <f>#REF!</f>
        <v>#REF!</v>
      </c>
      <c r="D497" t="e">
        <f>#REF!</f>
        <v>#REF!</v>
      </c>
      <c r="E497" t="e">
        <f>#REF!</f>
        <v>#REF!</v>
      </c>
      <c r="F497" t="e">
        <f>#REF!</f>
        <v>#REF!</v>
      </c>
      <c r="G497" t="e">
        <f>#REF!</f>
        <v>#REF!</v>
      </c>
      <c r="H497" t="e">
        <f>#REF!</f>
        <v>#REF!</v>
      </c>
    </row>
    <row r="498" spans="1:8">
      <c r="A498" t="e">
        <f>#REF!</f>
        <v>#REF!</v>
      </c>
      <c r="B498" t="e">
        <f>#REF!</f>
        <v>#REF!</v>
      </c>
      <c r="C498" t="e">
        <f>#REF!</f>
        <v>#REF!</v>
      </c>
      <c r="D498" t="e">
        <f>#REF!</f>
        <v>#REF!</v>
      </c>
      <c r="E498" t="e">
        <f>#REF!</f>
        <v>#REF!</v>
      </c>
      <c r="F498" t="e">
        <f>#REF!</f>
        <v>#REF!</v>
      </c>
      <c r="G498" t="e">
        <f>#REF!</f>
        <v>#REF!</v>
      </c>
      <c r="H498" t="e">
        <f>#REF!</f>
        <v>#REF!</v>
      </c>
    </row>
    <row r="499" spans="1:8">
      <c r="A499" t="e">
        <f>#REF!</f>
        <v>#REF!</v>
      </c>
      <c r="B499" t="e">
        <f>#REF!</f>
        <v>#REF!</v>
      </c>
      <c r="C499" t="e">
        <f>#REF!</f>
        <v>#REF!</v>
      </c>
      <c r="D499" t="e">
        <f>#REF!</f>
        <v>#REF!</v>
      </c>
      <c r="E499" t="e">
        <f>#REF!</f>
        <v>#REF!</v>
      </c>
      <c r="F499" t="e">
        <f>#REF!</f>
        <v>#REF!</v>
      </c>
      <c r="G499" t="e">
        <f>#REF!</f>
        <v>#REF!</v>
      </c>
      <c r="H499" t="e">
        <f>#REF!</f>
        <v>#REF!</v>
      </c>
    </row>
    <row r="500" spans="1:8">
      <c r="A500" t="e">
        <f>#REF!</f>
        <v>#REF!</v>
      </c>
      <c r="B500" t="e">
        <f>#REF!</f>
        <v>#REF!</v>
      </c>
      <c r="C500" t="e">
        <f>#REF!</f>
        <v>#REF!</v>
      </c>
      <c r="D500" t="e">
        <f>#REF!</f>
        <v>#REF!</v>
      </c>
      <c r="E500" t="e">
        <f>#REF!</f>
        <v>#REF!</v>
      </c>
      <c r="F500" t="e">
        <f>#REF!</f>
        <v>#REF!</v>
      </c>
      <c r="G500" t="e">
        <f>#REF!</f>
        <v>#REF!</v>
      </c>
      <c r="H500" t="e">
        <f>#REF!</f>
        <v>#REF!</v>
      </c>
    </row>
    <row r="501" spans="1:8">
      <c r="A501" t="e">
        <f>#REF!</f>
        <v>#REF!</v>
      </c>
      <c r="B501" t="e">
        <f>#REF!</f>
        <v>#REF!</v>
      </c>
      <c r="C501" t="e">
        <f>#REF!</f>
        <v>#REF!</v>
      </c>
      <c r="D501" t="e">
        <f>#REF!</f>
        <v>#REF!</v>
      </c>
      <c r="E501" t="e">
        <f>#REF!</f>
        <v>#REF!</v>
      </c>
      <c r="F501" t="e">
        <f>#REF!</f>
        <v>#REF!</v>
      </c>
      <c r="G501" t="e">
        <f>#REF!</f>
        <v>#REF!</v>
      </c>
      <c r="H501" t="e">
        <f>#REF!</f>
        <v>#REF!</v>
      </c>
    </row>
    <row r="502" spans="1:8">
      <c r="A502" t="e">
        <f>#REF!</f>
        <v>#REF!</v>
      </c>
      <c r="B502" t="e">
        <f>#REF!</f>
        <v>#REF!</v>
      </c>
      <c r="C502" t="e">
        <f>#REF!</f>
        <v>#REF!</v>
      </c>
      <c r="D502" t="e">
        <f>#REF!</f>
        <v>#REF!</v>
      </c>
      <c r="E502" t="e">
        <f>#REF!</f>
        <v>#REF!</v>
      </c>
      <c r="F502" t="e">
        <f>#REF!</f>
        <v>#REF!</v>
      </c>
      <c r="G502" t="e">
        <f>#REF!</f>
        <v>#REF!</v>
      </c>
      <c r="H502" t="e">
        <f>#REF!</f>
        <v>#REF!</v>
      </c>
    </row>
    <row r="503" spans="1:8">
      <c r="A503" t="e">
        <f>#REF!</f>
        <v>#REF!</v>
      </c>
      <c r="B503" t="e">
        <f>#REF!</f>
        <v>#REF!</v>
      </c>
      <c r="C503" t="e">
        <f>#REF!</f>
        <v>#REF!</v>
      </c>
      <c r="D503" t="e">
        <f>#REF!</f>
        <v>#REF!</v>
      </c>
      <c r="E503" t="e">
        <f>#REF!</f>
        <v>#REF!</v>
      </c>
      <c r="F503" t="e">
        <f>#REF!</f>
        <v>#REF!</v>
      </c>
      <c r="G503" t="e">
        <f>#REF!</f>
        <v>#REF!</v>
      </c>
      <c r="H503" t="e">
        <f>#REF!</f>
        <v>#REF!</v>
      </c>
    </row>
    <row r="504" spans="1:8">
      <c r="A504" t="e">
        <f>#REF!</f>
        <v>#REF!</v>
      </c>
      <c r="B504" t="e">
        <f>#REF!</f>
        <v>#REF!</v>
      </c>
      <c r="C504" t="e">
        <f>#REF!</f>
        <v>#REF!</v>
      </c>
      <c r="D504" t="e">
        <f>#REF!</f>
        <v>#REF!</v>
      </c>
      <c r="E504" t="e">
        <f>#REF!</f>
        <v>#REF!</v>
      </c>
      <c r="F504" t="e">
        <f>#REF!</f>
        <v>#REF!</v>
      </c>
      <c r="G504" t="e">
        <f>#REF!</f>
        <v>#REF!</v>
      </c>
      <c r="H504" t="e">
        <f>#REF!</f>
        <v>#REF!</v>
      </c>
    </row>
    <row r="505" spans="1:8">
      <c r="A505" t="e">
        <f>#REF!</f>
        <v>#REF!</v>
      </c>
      <c r="B505" t="e">
        <f>#REF!</f>
        <v>#REF!</v>
      </c>
      <c r="C505" t="e">
        <f>#REF!</f>
        <v>#REF!</v>
      </c>
      <c r="D505" t="e">
        <f>#REF!</f>
        <v>#REF!</v>
      </c>
      <c r="E505" t="e">
        <f>#REF!</f>
        <v>#REF!</v>
      </c>
      <c r="F505" t="e">
        <f>#REF!</f>
        <v>#REF!</v>
      </c>
      <c r="G505" t="e">
        <f>#REF!</f>
        <v>#REF!</v>
      </c>
      <c r="H505" t="e">
        <f>#REF!</f>
        <v>#REF!</v>
      </c>
    </row>
    <row r="506" spans="1:8">
      <c r="A506" t="e">
        <f>#REF!</f>
        <v>#REF!</v>
      </c>
      <c r="B506" t="e">
        <f>#REF!</f>
        <v>#REF!</v>
      </c>
      <c r="C506" t="e">
        <f>#REF!</f>
        <v>#REF!</v>
      </c>
      <c r="D506" t="e">
        <f>#REF!</f>
        <v>#REF!</v>
      </c>
      <c r="E506" t="e">
        <f>#REF!</f>
        <v>#REF!</v>
      </c>
      <c r="F506" t="e">
        <f>#REF!</f>
        <v>#REF!</v>
      </c>
      <c r="G506" t="e">
        <f>#REF!</f>
        <v>#REF!</v>
      </c>
      <c r="H506" t="e">
        <f>#REF!</f>
        <v>#REF!</v>
      </c>
    </row>
    <row r="507" spans="1:8">
      <c r="A507" t="e">
        <f>#REF!</f>
        <v>#REF!</v>
      </c>
      <c r="B507" t="e">
        <f>#REF!</f>
        <v>#REF!</v>
      </c>
      <c r="C507" t="e">
        <f>#REF!</f>
        <v>#REF!</v>
      </c>
      <c r="D507" t="e">
        <f>#REF!</f>
        <v>#REF!</v>
      </c>
      <c r="E507" t="e">
        <f>#REF!</f>
        <v>#REF!</v>
      </c>
      <c r="F507" t="e">
        <f>#REF!</f>
        <v>#REF!</v>
      </c>
      <c r="G507" t="e">
        <f>#REF!</f>
        <v>#REF!</v>
      </c>
      <c r="H507" t="e">
        <f>#REF!</f>
        <v>#REF!</v>
      </c>
    </row>
    <row r="508" spans="1:8">
      <c r="A508" t="e">
        <f>#REF!</f>
        <v>#REF!</v>
      </c>
      <c r="B508" t="e">
        <f>#REF!</f>
        <v>#REF!</v>
      </c>
      <c r="C508" t="e">
        <f>#REF!</f>
        <v>#REF!</v>
      </c>
      <c r="D508" t="e">
        <f>#REF!</f>
        <v>#REF!</v>
      </c>
      <c r="E508" t="e">
        <f>#REF!</f>
        <v>#REF!</v>
      </c>
      <c r="F508" t="e">
        <f>#REF!</f>
        <v>#REF!</v>
      </c>
      <c r="G508" t="e">
        <f>#REF!</f>
        <v>#REF!</v>
      </c>
      <c r="H508" t="e">
        <f>#REF!</f>
        <v>#REF!</v>
      </c>
    </row>
    <row r="509" spans="1:8">
      <c r="A509" t="e">
        <f>#REF!</f>
        <v>#REF!</v>
      </c>
      <c r="B509" t="e">
        <f>#REF!</f>
        <v>#REF!</v>
      </c>
      <c r="C509" t="e">
        <f>#REF!</f>
        <v>#REF!</v>
      </c>
      <c r="D509" t="e">
        <f>#REF!</f>
        <v>#REF!</v>
      </c>
      <c r="E509" t="e">
        <f>#REF!</f>
        <v>#REF!</v>
      </c>
      <c r="F509" t="e">
        <f>#REF!</f>
        <v>#REF!</v>
      </c>
      <c r="G509" t="e">
        <f>#REF!</f>
        <v>#REF!</v>
      </c>
      <c r="H509" t="e">
        <f>#REF!</f>
        <v>#REF!</v>
      </c>
    </row>
    <row r="510" spans="1:8">
      <c r="A510" t="e">
        <f>#REF!</f>
        <v>#REF!</v>
      </c>
      <c r="B510" t="e">
        <f>#REF!</f>
        <v>#REF!</v>
      </c>
      <c r="C510" t="e">
        <f>#REF!</f>
        <v>#REF!</v>
      </c>
      <c r="D510" t="e">
        <f>#REF!</f>
        <v>#REF!</v>
      </c>
      <c r="E510" t="e">
        <f>#REF!</f>
        <v>#REF!</v>
      </c>
      <c r="F510" t="e">
        <f>#REF!</f>
        <v>#REF!</v>
      </c>
      <c r="G510" t="e">
        <f>#REF!</f>
        <v>#REF!</v>
      </c>
      <c r="H510" t="e">
        <f>#REF!</f>
        <v>#REF!</v>
      </c>
    </row>
    <row r="511" spans="1:8">
      <c r="A511" t="e">
        <f>#REF!</f>
        <v>#REF!</v>
      </c>
      <c r="B511" t="e">
        <f>#REF!</f>
        <v>#REF!</v>
      </c>
      <c r="C511" t="e">
        <f>#REF!</f>
        <v>#REF!</v>
      </c>
      <c r="D511" t="e">
        <f>#REF!</f>
        <v>#REF!</v>
      </c>
      <c r="E511" t="e">
        <f>#REF!</f>
        <v>#REF!</v>
      </c>
      <c r="F511" t="e">
        <f>#REF!</f>
        <v>#REF!</v>
      </c>
      <c r="G511" t="e">
        <f>#REF!</f>
        <v>#REF!</v>
      </c>
      <c r="H511" t="e">
        <f>#REF!</f>
        <v>#REF!</v>
      </c>
    </row>
    <row r="512" spans="1:8">
      <c r="A512" t="e">
        <f>#REF!</f>
        <v>#REF!</v>
      </c>
      <c r="B512" t="e">
        <f>#REF!</f>
        <v>#REF!</v>
      </c>
      <c r="C512" t="e">
        <f>#REF!</f>
        <v>#REF!</v>
      </c>
      <c r="D512" t="e">
        <f>#REF!</f>
        <v>#REF!</v>
      </c>
      <c r="E512" t="e">
        <f>#REF!</f>
        <v>#REF!</v>
      </c>
      <c r="F512" t="e">
        <f>#REF!</f>
        <v>#REF!</v>
      </c>
      <c r="G512" t="e">
        <f>#REF!</f>
        <v>#REF!</v>
      </c>
      <c r="H512" t="e">
        <f>#REF!</f>
        <v>#REF!</v>
      </c>
    </row>
    <row r="513" spans="1:8">
      <c r="A513" t="e">
        <f>#REF!</f>
        <v>#REF!</v>
      </c>
      <c r="B513" t="e">
        <f>#REF!</f>
        <v>#REF!</v>
      </c>
      <c r="C513" t="e">
        <f>#REF!</f>
        <v>#REF!</v>
      </c>
      <c r="D513" t="e">
        <f>#REF!</f>
        <v>#REF!</v>
      </c>
      <c r="E513" t="e">
        <f>#REF!</f>
        <v>#REF!</v>
      </c>
      <c r="F513" t="e">
        <f>#REF!</f>
        <v>#REF!</v>
      </c>
      <c r="G513" t="e">
        <f>#REF!</f>
        <v>#REF!</v>
      </c>
      <c r="H513" t="e">
        <f>#REF!</f>
        <v>#REF!</v>
      </c>
    </row>
    <row r="514" spans="1:8">
      <c r="A514" t="e">
        <f>#REF!</f>
        <v>#REF!</v>
      </c>
      <c r="B514" t="e">
        <f>#REF!</f>
        <v>#REF!</v>
      </c>
      <c r="C514" t="e">
        <f>#REF!</f>
        <v>#REF!</v>
      </c>
      <c r="D514" t="e">
        <f>#REF!</f>
        <v>#REF!</v>
      </c>
      <c r="E514" t="e">
        <f>#REF!</f>
        <v>#REF!</v>
      </c>
      <c r="F514" t="e">
        <f>#REF!</f>
        <v>#REF!</v>
      </c>
      <c r="G514" t="e">
        <f>#REF!</f>
        <v>#REF!</v>
      </c>
      <c r="H514" t="e">
        <f>#REF!</f>
        <v>#REF!</v>
      </c>
    </row>
    <row r="515" spans="1:8">
      <c r="A515" t="e">
        <f>#REF!</f>
        <v>#REF!</v>
      </c>
      <c r="B515" t="e">
        <f>#REF!</f>
        <v>#REF!</v>
      </c>
      <c r="C515" t="e">
        <f>#REF!</f>
        <v>#REF!</v>
      </c>
      <c r="D515" t="e">
        <f>#REF!</f>
        <v>#REF!</v>
      </c>
      <c r="E515" t="e">
        <f>#REF!</f>
        <v>#REF!</v>
      </c>
      <c r="F515" t="e">
        <f>#REF!</f>
        <v>#REF!</v>
      </c>
      <c r="G515" t="e">
        <f>#REF!</f>
        <v>#REF!</v>
      </c>
      <c r="H515" t="e">
        <f>#REF!</f>
        <v>#REF!</v>
      </c>
    </row>
    <row r="516" spans="1:8">
      <c r="A516" t="e">
        <f>#REF!</f>
        <v>#REF!</v>
      </c>
      <c r="B516" t="e">
        <f>#REF!</f>
        <v>#REF!</v>
      </c>
      <c r="C516" t="e">
        <f>#REF!</f>
        <v>#REF!</v>
      </c>
      <c r="D516" t="e">
        <f>#REF!</f>
        <v>#REF!</v>
      </c>
      <c r="E516" t="e">
        <f>#REF!</f>
        <v>#REF!</v>
      </c>
      <c r="F516" t="e">
        <f>#REF!</f>
        <v>#REF!</v>
      </c>
      <c r="G516" t="e">
        <f>#REF!</f>
        <v>#REF!</v>
      </c>
      <c r="H516" t="e">
        <f>#REF!</f>
        <v>#REF!</v>
      </c>
    </row>
    <row r="517" spans="1:8">
      <c r="A517" t="e">
        <f>#REF!</f>
        <v>#REF!</v>
      </c>
      <c r="B517" t="e">
        <f>#REF!</f>
        <v>#REF!</v>
      </c>
      <c r="C517" t="e">
        <f>#REF!</f>
        <v>#REF!</v>
      </c>
      <c r="D517" t="e">
        <f>#REF!</f>
        <v>#REF!</v>
      </c>
      <c r="E517" t="e">
        <f>#REF!</f>
        <v>#REF!</v>
      </c>
      <c r="F517" t="e">
        <f>#REF!</f>
        <v>#REF!</v>
      </c>
      <c r="G517" t="e">
        <f>#REF!</f>
        <v>#REF!</v>
      </c>
      <c r="H517" t="e">
        <f>#REF!</f>
        <v>#REF!</v>
      </c>
    </row>
    <row r="518" spans="1:8">
      <c r="A518" t="e">
        <f>#REF!</f>
        <v>#REF!</v>
      </c>
      <c r="B518" t="e">
        <f>#REF!</f>
        <v>#REF!</v>
      </c>
      <c r="C518" t="e">
        <f>#REF!</f>
        <v>#REF!</v>
      </c>
      <c r="D518" t="e">
        <f>#REF!</f>
        <v>#REF!</v>
      </c>
      <c r="E518" t="e">
        <f>#REF!</f>
        <v>#REF!</v>
      </c>
      <c r="F518" t="e">
        <f>#REF!</f>
        <v>#REF!</v>
      </c>
      <c r="G518" t="e">
        <f>#REF!</f>
        <v>#REF!</v>
      </c>
      <c r="H518" t="e">
        <f>#REF!</f>
        <v>#REF!</v>
      </c>
    </row>
    <row r="519" spans="1:8">
      <c r="A519" t="e">
        <f>#REF!</f>
        <v>#REF!</v>
      </c>
      <c r="B519" t="e">
        <f>#REF!</f>
        <v>#REF!</v>
      </c>
      <c r="C519" t="e">
        <f>#REF!</f>
        <v>#REF!</v>
      </c>
      <c r="D519" t="e">
        <f>#REF!</f>
        <v>#REF!</v>
      </c>
      <c r="E519" t="e">
        <f>#REF!</f>
        <v>#REF!</v>
      </c>
      <c r="F519" t="e">
        <f>#REF!</f>
        <v>#REF!</v>
      </c>
      <c r="G519" t="e">
        <f>#REF!</f>
        <v>#REF!</v>
      </c>
      <c r="H519" t="e">
        <f>#REF!</f>
        <v>#REF!</v>
      </c>
    </row>
    <row r="520" spans="1:8">
      <c r="A520" t="e">
        <f>#REF!</f>
        <v>#REF!</v>
      </c>
      <c r="B520" t="e">
        <f>#REF!</f>
        <v>#REF!</v>
      </c>
      <c r="C520" t="e">
        <f>#REF!</f>
        <v>#REF!</v>
      </c>
      <c r="D520" t="e">
        <f>#REF!</f>
        <v>#REF!</v>
      </c>
      <c r="E520" t="e">
        <f>#REF!</f>
        <v>#REF!</v>
      </c>
      <c r="F520" t="e">
        <f>#REF!</f>
        <v>#REF!</v>
      </c>
      <c r="G520" t="e">
        <f>#REF!</f>
        <v>#REF!</v>
      </c>
      <c r="H520" t="e">
        <f>#REF!</f>
        <v>#REF!</v>
      </c>
    </row>
    <row r="521" spans="1:8">
      <c r="A521" t="e">
        <f>#REF!</f>
        <v>#REF!</v>
      </c>
      <c r="B521" t="e">
        <f>#REF!</f>
        <v>#REF!</v>
      </c>
      <c r="C521" t="e">
        <f>#REF!</f>
        <v>#REF!</v>
      </c>
      <c r="D521" t="e">
        <f>#REF!</f>
        <v>#REF!</v>
      </c>
      <c r="E521" t="e">
        <f>#REF!</f>
        <v>#REF!</v>
      </c>
      <c r="F521" t="e">
        <f>#REF!</f>
        <v>#REF!</v>
      </c>
      <c r="G521" t="e">
        <f>#REF!</f>
        <v>#REF!</v>
      </c>
      <c r="H521" t="e">
        <f>#REF!</f>
        <v>#REF!</v>
      </c>
    </row>
    <row r="522" spans="1:8">
      <c r="A522" t="e">
        <f>#REF!</f>
        <v>#REF!</v>
      </c>
      <c r="B522" t="e">
        <f>#REF!</f>
        <v>#REF!</v>
      </c>
      <c r="C522" t="e">
        <f>#REF!</f>
        <v>#REF!</v>
      </c>
      <c r="D522" t="e">
        <f>#REF!</f>
        <v>#REF!</v>
      </c>
      <c r="E522" t="e">
        <f>#REF!</f>
        <v>#REF!</v>
      </c>
      <c r="F522" t="e">
        <f>#REF!</f>
        <v>#REF!</v>
      </c>
      <c r="G522" t="e">
        <f>#REF!</f>
        <v>#REF!</v>
      </c>
      <c r="H522" t="e">
        <f>#REF!</f>
        <v>#REF!</v>
      </c>
    </row>
    <row r="523" spans="1:8">
      <c r="A523" t="e">
        <f>#REF!</f>
        <v>#REF!</v>
      </c>
      <c r="B523" t="e">
        <f>#REF!</f>
        <v>#REF!</v>
      </c>
      <c r="C523" t="e">
        <f>#REF!</f>
        <v>#REF!</v>
      </c>
      <c r="D523" t="e">
        <f>#REF!</f>
        <v>#REF!</v>
      </c>
      <c r="E523" t="e">
        <f>#REF!</f>
        <v>#REF!</v>
      </c>
      <c r="F523" t="e">
        <f>#REF!</f>
        <v>#REF!</v>
      </c>
      <c r="G523" t="e">
        <f>#REF!</f>
        <v>#REF!</v>
      </c>
      <c r="H523" t="e">
        <f>#REF!</f>
        <v>#REF!</v>
      </c>
    </row>
    <row r="524" spans="1:8">
      <c r="A524" t="e">
        <f>#REF!</f>
        <v>#REF!</v>
      </c>
      <c r="B524" t="e">
        <f>#REF!</f>
        <v>#REF!</v>
      </c>
      <c r="C524" t="e">
        <f>#REF!</f>
        <v>#REF!</v>
      </c>
      <c r="D524" t="e">
        <f>#REF!</f>
        <v>#REF!</v>
      </c>
      <c r="E524" t="e">
        <f>#REF!</f>
        <v>#REF!</v>
      </c>
      <c r="F524" t="e">
        <f>#REF!</f>
        <v>#REF!</v>
      </c>
      <c r="G524" t="e">
        <f>#REF!</f>
        <v>#REF!</v>
      </c>
      <c r="H524" t="e">
        <f>#REF!</f>
        <v>#REF!</v>
      </c>
    </row>
    <row r="525" spans="1:8">
      <c r="A525" t="e">
        <f>#REF!</f>
        <v>#REF!</v>
      </c>
      <c r="B525" t="e">
        <f>#REF!</f>
        <v>#REF!</v>
      </c>
      <c r="C525" t="e">
        <f>#REF!</f>
        <v>#REF!</v>
      </c>
      <c r="D525" t="e">
        <f>#REF!</f>
        <v>#REF!</v>
      </c>
      <c r="E525" t="e">
        <f>#REF!</f>
        <v>#REF!</v>
      </c>
      <c r="F525" t="e">
        <f>#REF!</f>
        <v>#REF!</v>
      </c>
      <c r="G525" t="e">
        <f>#REF!</f>
        <v>#REF!</v>
      </c>
      <c r="H525" t="e">
        <f>#REF!</f>
        <v>#REF!</v>
      </c>
    </row>
    <row r="526" spans="1:8">
      <c r="A526" t="e">
        <f>#REF!</f>
        <v>#REF!</v>
      </c>
      <c r="B526" t="e">
        <f>#REF!</f>
        <v>#REF!</v>
      </c>
      <c r="C526" t="e">
        <f>#REF!</f>
        <v>#REF!</v>
      </c>
      <c r="D526" t="e">
        <f>#REF!</f>
        <v>#REF!</v>
      </c>
      <c r="E526" t="e">
        <f>#REF!</f>
        <v>#REF!</v>
      </c>
      <c r="F526" t="e">
        <f>#REF!</f>
        <v>#REF!</v>
      </c>
      <c r="G526" t="e">
        <f>#REF!</f>
        <v>#REF!</v>
      </c>
      <c r="H526" t="e">
        <f>#REF!</f>
        <v>#REF!</v>
      </c>
    </row>
    <row r="527" spans="1:8">
      <c r="A527" t="e">
        <f>#REF!</f>
        <v>#REF!</v>
      </c>
      <c r="B527" t="e">
        <f>#REF!</f>
        <v>#REF!</v>
      </c>
      <c r="C527" t="e">
        <f>#REF!</f>
        <v>#REF!</v>
      </c>
      <c r="D527" t="e">
        <f>#REF!</f>
        <v>#REF!</v>
      </c>
      <c r="E527" t="e">
        <f>#REF!</f>
        <v>#REF!</v>
      </c>
      <c r="F527" t="e">
        <f>#REF!</f>
        <v>#REF!</v>
      </c>
      <c r="G527" t="e">
        <f>#REF!</f>
        <v>#REF!</v>
      </c>
      <c r="H527" t="e">
        <f>#REF!</f>
        <v>#REF!</v>
      </c>
    </row>
    <row r="528" spans="1:8">
      <c r="A528" t="e">
        <f>#REF!</f>
        <v>#REF!</v>
      </c>
      <c r="B528" t="e">
        <f>#REF!</f>
        <v>#REF!</v>
      </c>
      <c r="C528" t="e">
        <f>#REF!</f>
        <v>#REF!</v>
      </c>
      <c r="D528" t="e">
        <f>#REF!</f>
        <v>#REF!</v>
      </c>
      <c r="E528" t="e">
        <f>#REF!</f>
        <v>#REF!</v>
      </c>
      <c r="F528" t="e">
        <f>#REF!</f>
        <v>#REF!</v>
      </c>
      <c r="G528" t="e">
        <f>#REF!</f>
        <v>#REF!</v>
      </c>
      <c r="H528" t="e">
        <f>#REF!</f>
        <v>#REF!</v>
      </c>
    </row>
    <row r="529" spans="1:8">
      <c r="A529" t="e">
        <f>#REF!</f>
        <v>#REF!</v>
      </c>
      <c r="B529" t="e">
        <f>#REF!</f>
        <v>#REF!</v>
      </c>
      <c r="C529" t="e">
        <f>#REF!</f>
        <v>#REF!</v>
      </c>
      <c r="D529" t="e">
        <f>#REF!</f>
        <v>#REF!</v>
      </c>
      <c r="E529" t="e">
        <f>#REF!</f>
        <v>#REF!</v>
      </c>
      <c r="F529" t="e">
        <f>#REF!</f>
        <v>#REF!</v>
      </c>
      <c r="G529" t="e">
        <f>#REF!</f>
        <v>#REF!</v>
      </c>
      <c r="H529" t="e">
        <f>#REF!</f>
        <v>#REF!</v>
      </c>
    </row>
    <row r="530" spans="1:8">
      <c r="A530" t="e">
        <f>#REF!</f>
        <v>#REF!</v>
      </c>
      <c r="B530" t="e">
        <f>#REF!</f>
        <v>#REF!</v>
      </c>
      <c r="C530" t="e">
        <f>#REF!</f>
        <v>#REF!</v>
      </c>
      <c r="D530" t="e">
        <f>#REF!</f>
        <v>#REF!</v>
      </c>
      <c r="E530" t="e">
        <f>#REF!</f>
        <v>#REF!</v>
      </c>
      <c r="F530" t="e">
        <f>#REF!</f>
        <v>#REF!</v>
      </c>
      <c r="G530" t="e">
        <f>#REF!</f>
        <v>#REF!</v>
      </c>
      <c r="H530" t="e">
        <f>#REF!</f>
        <v>#REF!</v>
      </c>
    </row>
    <row r="531" spans="1:8">
      <c r="A531" t="e">
        <f>#REF!</f>
        <v>#REF!</v>
      </c>
      <c r="B531" t="e">
        <f>#REF!</f>
        <v>#REF!</v>
      </c>
      <c r="C531" t="e">
        <f>#REF!</f>
        <v>#REF!</v>
      </c>
      <c r="D531" t="e">
        <f>#REF!</f>
        <v>#REF!</v>
      </c>
      <c r="E531" t="e">
        <f>#REF!</f>
        <v>#REF!</v>
      </c>
      <c r="F531" t="e">
        <f>#REF!</f>
        <v>#REF!</v>
      </c>
      <c r="G531" t="e">
        <f>#REF!</f>
        <v>#REF!</v>
      </c>
      <c r="H531" t="e">
        <f>#REF!</f>
        <v>#REF!</v>
      </c>
    </row>
    <row r="532" spans="1:8">
      <c r="A532" t="e">
        <f>#REF!</f>
        <v>#REF!</v>
      </c>
      <c r="B532" t="e">
        <f>#REF!</f>
        <v>#REF!</v>
      </c>
      <c r="C532" t="e">
        <f>#REF!</f>
        <v>#REF!</v>
      </c>
      <c r="D532" t="e">
        <f>#REF!</f>
        <v>#REF!</v>
      </c>
      <c r="E532" t="e">
        <f>#REF!</f>
        <v>#REF!</v>
      </c>
      <c r="F532" t="e">
        <f>#REF!</f>
        <v>#REF!</v>
      </c>
      <c r="G532" t="e">
        <f>#REF!</f>
        <v>#REF!</v>
      </c>
      <c r="H532" t="e">
        <f>#REF!</f>
        <v>#REF!</v>
      </c>
    </row>
    <row r="533" spans="1:8">
      <c r="A533" t="e">
        <f>#REF!</f>
        <v>#REF!</v>
      </c>
      <c r="B533" t="e">
        <f>#REF!</f>
        <v>#REF!</v>
      </c>
      <c r="C533" t="e">
        <f>#REF!</f>
        <v>#REF!</v>
      </c>
      <c r="D533" t="e">
        <f>#REF!</f>
        <v>#REF!</v>
      </c>
      <c r="E533" t="e">
        <f>#REF!</f>
        <v>#REF!</v>
      </c>
      <c r="F533" t="e">
        <f>#REF!</f>
        <v>#REF!</v>
      </c>
      <c r="G533" t="e">
        <f>#REF!</f>
        <v>#REF!</v>
      </c>
      <c r="H533" t="e">
        <f>#REF!</f>
        <v>#REF!</v>
      </c>
    </row>
    <row r="534" spans="1:8">
      <c r="A534" t="e">
        <f>#REF!</f>
        <v>#REF!</v>
      </c>
      <c r="B534" t="e">
        <f>#REF!</f>
        <v>#REF!</v>
      </c>
      <c r="C534" t="e">
        <f>#REF!</f>
        <v>#REF!</v>
      </c>
      <c r="D534" t="e">
        <f>#REF!</f>
        <v>#REF!</v>
      </c>
      <c r="E534" t="e">
        <f>#REF!</f>
        <v>#REF!</v>
      </c>
      <c r="F534" t="e">
        <f>#REF!</f>
        <v>#REF!</v>
      </c>
      <c r="G534" t="e">
        <f>#REF!</f>
        <v>#REF!</v>
      </c>
      <c r="H534" t="e">
        <f>#REF!</f>
        <v>#REF!</v>
      </c>
    </row>
    <row r="535" spans="1:8">
      <c r="A535" t="e">
        <f>#REF!</f>
        <v>#REF!</v>
      </c>
      <c r="B535" t="e">
        <f>#REF!</f>
        <v>#REF!</v>
      </c>
      <c r="C535" t="e">
        <f>#REF!</f>
        <v>#REF!</v>
      </c>
      <c r="D535" t="e">
        <f>#REF!</f>
        <v>#REF!</v>
      </c>
      <c r="E535" t="e">
        <f>#REF!</f>
        <v>#REF!</v>
      </c>
      <c r="F535" t="e">
        <f>#REF!</f>
        <v>#REF!</v>
      </c>
      <c r="G535" t="e">
        <f>#REF!</f>
        <v>#REF!</v>
      </c>
      <c r="H535" t="e">
        <f>#REF!</f>
        <v>#REF!</v>
      </c>
    </row>
    <row r="536" spans="1:8">
      <c r="A536" t="e">
        <f>#REF!</f>
        <v>#REF!</v>
      </c>
      <c r="B536" t="e">
        <f>#REF!</f>
        <v>#REF!</v>
      </c>
      <c r="C536" t="e">
        <f>#REF!</f>
        <v>#REF!</v>
      </c>
      <c r="D536" t="e">
        <f>#REF!</f>
        <v>#REF!</v>
      </c>
      <c r="E536" t="e">
        <f>#REF!</f>
        <v>#REF!</v>
      </c>
      <c r="F536" t="e">
        <f>#REF!</f>
        <v>#REF!</v>
      </c>
      <c r="G536" t="e">
        <f>#REF!</f>
        <v>#REF!</v>
      </c>
      <c r="H536" t="e">
        <f>#REF!</f>
        <v>#REF!</v>
      </c>
    </row>
    <row r="537" spans="1:8">
      <c r="A537" t="e">
        <f>#REF!</f>
        <v>#REF!</v>
      </c>
      <c r="B537" t="e">
        <f>#REF!</f>
        <v>#REF!</v>
      </c>
      <c r="C537" t="e">
        <f>#REF!</f>
        <v>#REF!</v>
      </c>
      <c r="D537" t="e">
        <f>#REF!</f>
        <v>#REF!</v>
      </c>
      <c r="E537" t="e">
        <f>#REF!</f>
        <v>#REF!</v>
      </c>
      <c r="F537" t="e">
        <f>#REF!</f>
        <v>#REF!</v>
      </c>
      <c r="G537" t="e">
        <f>#REF!</f>
        <v>#REF!</v>
      </c>
      <c r="H537" t="e">
        <f>#REF!</f>
        <v>#REF!</v>
      </c>
    </row>
    <row r="538" spans="1:8">
      <c r="A538" t="e">
        <f>#REF!</f>
        <v>#REF!</v>
      </c>
      <c r="B538" t="e">
        <f>#REF!</f>
        <v>#REF!</v>
      </c>
      <c r="C538" t="e">
        <f>#REF!</f>
        <v>#REF!</v>
      </c>
      <c r="D538" t="e">
        <f>#REF!</f>
        <v>#REF!</v>
      </c>
      <c r="E538" t="e">
        <f>#REF!</f>
        <v>#REF!</v>
      </c>
      <c r="F538" t="e">
        <f>#REF!</f>
        <v>#REF!</v>
      </c>
      <c r="G538" t="e">
        <f>#REF!</f>
        <v>#REF!</v>
      </c>
      <c r="H538" t="e">
        <f>#REF!</f>
        <v>#REF!</v>
      </c>
    </row>
    <row r="539" spans="1:8">
      <c r="A539" t="e">
        <f>#REF!</f>
        <v>#REF!</v>
      </c>
      <c r="B539" t="e">
        <f>#REF!</f>
        <v>#REF!</v>
      </c>
      <c r="C539" t="e">
        <f>#REF!</f>
        <v>#REF!</v>
      </c>
      <c r="D539" t="e">
        <f>#REF!</f>
        <v>#REF!</v>
      </c>
      <c r="E539" t="e">
        <f>#REF!</f>
        <v>#REF!</v>
      </c>
      <c r="F539" t="e">
        <f>#REF!</f>
        <v>#REF!</v>
      </c>
      <c r="G539" t="e">
        <f>#REF!</f>
        <v>#REF!</v>
      </c>
      <c r="H539" t="e">
        <f>#REF!</f>
        <v>#REF!</v>
      </c>
    </row>
    <row r="540" spans="1:8">
      <c r="A540" t="e">
        <f>#REF!</f>
        <v>#REF!</v>
      </c>
      <c r="B540" t="e">
        <f>#REF!</f>
        <v>#REF!</v>
      </c>
      <c r="C540" t="e">
        <f>#REF!</f>
        <v>#REF!</v>
      </c>
      <c r="D540" t="e">
        <f>#REF!</f>
        <v>#REF!</v>
      </c>
      <c r="E540" t="e">
        <f>#REF!</f>
        <v>#REF!</v>
      </c>
      <c r="F540" t="e">
        <f>#REF!</f>
        <v>#REF!</v>
      </c>
      <c r="G540" t="e">
        <f>#REF!</f>
        <v>#REF!</v>
      </c>
      <c r="H540" t="e">
        <f>#REF!</f>
        <v>#REF!</v>
      </c>
    </row>
    <row r="541" spans="1:8">
      <c r="A541" t="e">
        <f>#REF!</f>
        <v>#REF!</v>
      </c>
      <c r="B541" t="e">
        <f>#REF!</f>
        <v>#REF!</v>
      </c>
      <c r="C541" t="e">
        <f>#REF!</f>
        <v>#REF!</v>
      </c>
      <c r="D541" t="e">
        <f>#REF!</f>
        <v>#REF!</v>
      </c>
      <c r="E541" t="e">
        <f>#REF!</f>
        <v>#REF!</v>
      </c>
      <c r="F541" t="e">
        <f>#REF!</f>
        <v>#REF!</v>
      </c>
      <c r="G541" t="e">
        <f>#REF!</f>
        <v>#REF!</v>
      </c>
      <c r="H541" t="e">
        <f>#REF!</f>
        <v>#REF!</v>
      </c>
    </row>
    <row r="542" spans="1:8">
      <c r="A542" t="e">
        <f>#REF!</f>
        <v>#REF!</v>
      </c>
      <c r="B542" t="e">
        <f>#REF!</f>
        <v>#REF!</v>
      </c>
      <c r="C542" t="e">
        <f>#REF!</f>
        <v>#REF!</v>
      </c>
      <c r="D542" t="e">
        <f>#REF!</f>
        <v>#REF!</v>
      </c>
      <c r="E542" t="e">
        <f>#REF!</f>
        <v>#REF!</v>
      </c>
      <c r="F542" t="e">
        <f>#REF!</f>
        <v>#REF!</v>
      </c>
      <c r="G542" t="e">
        <f>#REF!</f>
        <v>#REF!</v>
      </c>
      <c r="H542" t="e">
        <f>#REF!</f>
        <v>#REF!</v>
      </c>
    </row>
    <row r="543" spans="1:8">
      <c r="A543" t="e">
        <f>#REF!</f>
        <v>#REF!</v>
      </c>
      <c r="B543" t="e">
        <f>#REF!</f>
        <v>#REF!</v>
      </c>
      <c r="C543" t="e">
        <f>#REF!</f>
        <v>#REF!</v>
      </c>
      <c r="D543" t="e">
        <f>#REF!</f>
        <v>#REF!</v>
      </c>
      <c r="E543" t="e">
        <f>#REF!</f>
        <v>#REF!</v>
      </c>
      <c r="F543" t="e">
        <f>#REF!</f>
        <v>#REF!</v>
      </c>
      <c r="G543" t="e">
        <f>#REF!</f>
        <v>#REF!</v>
      </c>
      <c r="H543" t="e">
        <f>#REF!</f>
        <v>#REF!</v>
      </c>
    </row>
    <row r="544" spans="1:8">
      <c r="A544" t="e">
        <f>#REF!</f>
        <v>#REF!</v>
      </c>
      <c r="B544" t="e">
        <f>#REF!</f>
        <v>#REF!</v>
      </c>
      <c r="C544" t="e">
        <f>#REF!</f>
        <v>#REF!</v>
      </c>
      <c r="D544" t="e">
        <f>#REF!</f>
        <v>#REF!</v>
      </c>
      <c r="E544" t="e">
        <f>#REF!</f>
        <v>#REF!</v>
      </c>
      <c r="F544" t="e">
        <f>#REF!</f>
        <v>#REF!</v>
      </c>
      <c r="G544" t="e">
        <f>#REF!</f>
        <v>#REF!</v>
      </c>
      <c r="H544" t="e">
        <f>#REF!</f>
        <v>#REF!</v>
      </c>
    </row>
    <row r="545" spans="1:8">
      <c r="A545" t="e">
        <f>#REF!</f>
        <v>#REF!</v>
      </c>
      <c r="B545" t="e">
        <f>#REF!</f>
        <v>#REF!</v>
      </c>
      <c r="C545" t="e">
        <f>#REF!</f>
        <v>#REF!</v>
      </c>
      <c r="D545" t="e">
        <f>#REF!</f>
        <v>#REF!</v>
      </c>
      <c r="E545" t="e">
        <f>#REF!</f>
        <v>#REF!</v>
      </c>
      <c r="F545" t="e">
        <f>#REF!</f>
        <v>#REF!</v>
      </c>
      <c r="G545" t="e">
        <f>#REF!</f>
        <v>#REF!</v>
      </c>
      <c r="H545" t="e">
        <f>#REF!</f>
        <v>#REF!</v>
      </c>
    </row>
    <row r="546" spans="1:8">
      <c r="A546" t="e">
        <f>#REF!</f>
        <v>#REF!</v>
      </c>
      <c r="B546" t="e">
        <f>#REF!</f>
        <v>#REF!</v>
      </c>
      <c r="C546" t="e">
        <f>#REF!</f>
        <v>#REF!</v>
      </c>
      <c r="D546" t="e">
        <f>#REF!</f>
        <v>#REF!</v>
      </c>
      <c r="E546" t="e">
        <f>#REF!</f>
        <v>#REF!</v>
      </c>
      <c r="F546" t="e">
        <f>#REF!</f>
        <v>#REF!</v>
      </c>
      <c r="G546" t="e">
        <f>#REF!</f>
        <v>#REF!</v>
      </c>
      <c r="H546" t="e">
        <f>#REF!</f>
        <v>#REF!</v>
      </c>
    </row>
    <row r="547" spans="1:8">
      <c r="A547" t="e">
        <f>#REF!</f>
        <v>#REF!</v>
      </c>
      <c r="B547" t="e">
        <f>#REF!</f>
        <v>#REF!</v>
      </c>
      <c r="C547" t="e">
        <f>#REF!</f>
        <v>#REF!</v>
      </c>
      <c r="D547" t="e">
        <f>#REF!</f>
        <v>#REF!</v>
      </c>
      <c r="E547" t="e">
        <f>#REF!</f>
        <v>#REF!</v>
      </c>
      <c r="F547" t="e">
        <f>#REF!</f>
        <v>#REF!</v>
      </c>
      <c r="G547" t="e">
        <f>#REF!</f>
        <v>#REF!</v>
      </c>
      <c r="H547" t="e">
        <f>#REF!</f>
        <v>#REF!</v>
      </c>
    </row>
    <row r="548" spans="1:8">
      <c r="A548" t="e">
        <f>#REF!</f>
        <v>#REF!</v>
      </c>
      <c r="B548" t="e">
        <f>#REF!</f>
        <v>#REF!</v>
      </c>
      <c r="C548" t="e">
        <f>#REF!</f>
        <v>#REF!</v>
      </c>
      <c r="D548" t="e">
        <f>#REF!</f>
        <v>#REF!</v>
      </c>
      <c r="E548" t="e">
        <f>#REF!</f>
        <v>#REF!</v>
      </c>
      <c r="F548" t="e">
        <f>#REF!</f>
        <v>#REF!</v>
      </c>
      <c r="G548" t="e">
        <f>#REF!</f>
        <v>#REF!</v>
      </c>
      <c r="H548" t="e">
        <f>#REF!</f>
        <v>#REF!</v>
      </c>
    </row>
    <row r="549" spans="1:8">
      <c r="A549" t="e">
        <f>#REF!</f>
        <v>#REF!</v>
      </c>
      <c r="B549" t="e">
        <f>#REF!</f>
        <v>#REF!</v>
      </c>
      <c r="C549" t="e">
        <f>#REF!</f>
        <v>#REF!</v>
      </c>
      <c r="D549" t="e">
        <f>#REF!</f>
        <v>#REF!</v>
      </c>
      <c r="E549" t="e">
        <f>#REF!</f>
        <v>#REF!</v>
      </c>
      <c r="F549" t="e">
        <f>#REF!</f>
        <v>#REF!</v>
      </c>
      <c r="G549" t="e">
        <f>#REF!</f>
        <v>#REF!</v>
      </c>
      <c r="H549" t="e">
        <f>#REF!</f>
        <v>#REF!</v>
      </c>
    </row>
    <row r="550" spans="1:8">
      <c r="A550" t="e">
        <f>#REF!</f>
        <v>#REF!</v>
      </c>
      <c r="B550" t="e">
        <f>#REF!</f>
        <v>#REF!</v>
      </c>
      <c r="C550" t="e">
        <f>#REF!</f>
        <v>#REF!</v>
      </c>
      <c r="D550" t="e">
        <f>#REF!</f>
        <v>#REF!</v>
      </c>
      <c r="E550" t="e">
        <f>#REF!</f>
        <v>#REF!</v>
      </c>
      <c r="F550" t="e">
        <f>#REF!</f>
        <v>#REF!</v>
      </c>
      <c r="G550" t="e">
        <f>#REF!</f>
        <v>#REF!</v>
      </c>
      <c r="H550" t="e">
        <f>#REF!</f>
        <v>#REF!</v>
      </c>
    </row>
    <row r="551" spans="1:8">
      <c r="A551" t="e">
        <f>#REF!</f>
        <v>#REF!</v>
      </c>
      <c r="B551" t="e">
        <f>#REF!</f>
        <v>#REF!</v>
      </c>
      <c r="C551" t="e">
        <f>#REF!</f>
        <v>#REF!</v>
      </c>
      <c r="D551" t="e">
        <f>#REF!</f>
        <v>#REF!</v>
      </c>
      <c r="E551" t="e">
        <f>#REF!</f>
        <v>#REF!</v>
      </c>
      <c r="F551" t="e">
        <f>#REF!</f>
        <v>#REF!</v>
      </c>
      <c r="G551" t="e">
        <f>#REF!</f>
        <v>#REF!</v>
      </c>
      <c r="H551" t="e">
        <f>#REF!</f>
        <v>#REF!</v>
      </c>
    </row>
    <row r="552" spans="1:8">
      <c r="A552" t="e">
        <f>#REF!</f>
        <v>#REF!</v>
      </c>
      <c r="B552" t="e">
        <f>#REF!</f>
        <v>#REF!</v>
      </c>
      <c r="C552" t="e">
        <f>#REF!</f>
        <v>#REF!</v>
      </c>
      <c r="D552" t="e">
        <f>#REF!</f>
        <v>#REF!</v>
      </c>
      <c r="E552" t="e">
        <f>#REF!</f>
        <v>#REF!</v>
      </c>
      <c r="F552" t="e">
        <f>#REF!</f>
        <v>#REF!</v>
      </c>
      <c r="G552" t="e">
        <f>#REF!</f>
        <v>#REF!</v>
      </c>
      <c r="H552" t="e">
        <f>#REF!</f>
        <v>#REF!</v>
      </c>
    </row>
    <row r="553" spans="1:8">
      <c r="A553" t="e">
        <f>#REF!</f>
        <v>#REF!</v>
      </c>
      <c r="B553" t="e">
        <f>#REF!</f>
        <v>#REF!</v>
      </c>
      <c r="C553" t="e">
        <f>#REF!</f>
        <v>#REF!</v>
      </c>
      <c r="D553" t="e">
        <f>#REF!</f>
        <v>#REF!</v>
      </c>
      <c r="E553" t="e">
        <f>#REF!</f>
        <v>#REF!</v>
      </c>
      <c r="F553" t="e">
        <f>#REF!</f>
        <v>#REF!</v>
      </c>
      <c r="G553" t="e">
        <f>#REF!</f>
        <v>#REF!</v>
      </c>
      <c r="H553" t="e">
        <f>#REF!</f>
        <v>#REF!</v>
      </c>
    </row>
    <row r="554" spans="1:8">
      <c r="A554" t="e">
        <f>#REF!</f>
        <v>#REF!</v>
      </c>
      <c r="B554" t="e">
        <f>#REF!</f>
        <v>#REF!</v>
      </c>
      <c r="C554" t="e">
        <f>#REF!</f>
        <v>#REF!</v>
      </c>
      <c r="D554" t="e">
        <f>#REF!</f>
        <v>#REF!</v>
      </c>
      <c r="E554" t="e">
        <f>#REF!</f>
        <v>#REF!</v>
      </c>
      <c r="F554" t="e">
        <f>#REF!</f>
        <v>#REF!</v>
      </c>
      <c r="G554" t="e">
        <f>#REF!</f>
        <v>#REF!</v>
      </c>
      <c r="H554" t="e">
        <f>#REF!</f>
        <v>#REF!</v>
      </c>
    </row>
    <row r="555" spans="1:8">
      <c r="A555" t="e">
        <f>#REF!</f>
        <v>#REF!</v>
      </c>
      <c r="B555" t="e">
        <f>#REF!</f>
        <v>#REF!</v>
      </c>
      <c r="C555" t="e">
        <f>#REF!</f>
        <v>#REF!</v>
      </c>
      <c r="D555" t="e">
        <f>#REF!</f>
        <v>#REF!</v>
      </c>
      <c r="E555" t="e">
        <f>#REF!</f>
        <v>#REF!</v>
      </c>
      <c r="F555" t="e">
        <f>#REF!</f>
        <v>#REF!</v>
      </c>
      <c r="G555" t="e">
        <f>#REF!</f>
        <v>#REF!</v>
      </c>
      <c r="H555" t="e">
        <f>#REF!</f>
        <v>#REF!</v>
      </c>
    </row>
    <row r="556" spans="1:8">
      <c r="A556" t="e">
        <f>#REF!</f>
        <v>#REF!</v>
      </c>
      <c r="B556" t="e">
        <f>#REF!</f>
        <v>#REF!</v>
      </c>
      <c r="C556" t="e">
        <f>#REF!</f>
        <v>#REF!</v>
      </c>
      <c r="D556" t="e">
        <f>#REF!</f>
        <v>#REF!</v>
      </c>
      <c r="E556" t="e">
        <f>#REF!</f>
        <v>#REF!</v>
      </c>
      <c r="F556" t="e">
        <f>#REF!</f>
        <v>#REF!</v>
      </c>
      <c r="G556" t="e">
        <f>#REF!</f>
        <v>#REF!</v>
      </c>
      <c r="H556" t="e">
        <f>#REF!</f>
        <v>#REF!</v>
      </c>
    </row>
    <row r="557" spans="1:8">
      <c r="A557" t="e">
        <f>#REF!</f>
        <v>#REF!</v>
      </c>
      <c r="B557" t="e">
        <f>#REF!</f>
        <v>#REF!</v>
      </c>
      <c r="C557" t="e">
        <f>#REF!</f>
        <v>#REF!</v>
      </c>
      <c r="D557" t="e">
        <f>#REF!</f>
        <v>#REF!</v>
      </c>
      <c r="E557" t="e">
        <f>#REF!</f>
        <v>#REF!</v>
      </c>
      <c r="F557" t="e">
        <f>#REF!</f>
        <v>#REF!</v>
      </c>
      <c r="G557" t="e">
        <f>#REF!</f>
        <v>#REF!</v>
      </c>
      <c r="H557" t="e">
        <f>#REF!</f>
        <v>#REF!</v>
      </c>
    </row>
    <row r="558" spans="1:8">
      <c r="A558" t="e">
        <f>#REF!</f>
        <v>#REF!</v>
      </c>
      <c r="B558" t="e">
        <f>#REF!</f>
        <v>#REF!</v>
      </c>
      <c r="C558" t="e">
        <f>#REF!</f>
        <v>#REF!</v>
      </c>
      <c r="D558" t="e">
        <f>#REF!</f>
        <v>#REF!</v>
      </c>
      <c r="E558" t="e">
        <f>#REF!</f>
        <v>#REF!</v>
      </c>
      <c r="F558" t="e">
        <f>#REF!</f>
        <v>#REF!</v>
      </c>
      <c r="G558" t="e">
        <f>#REF!</f>
        <v>#REF!</v>
      </c>
      <c r="H558" t="e">
        <f>#REF!</f>
        <v>#REF!</v>
      </c>
    </row>
    <row r="559" spans="1:8">
      <c r="A559" t="e">
        <f>#REF!</f>
        <v>#REF!</v>
      </c>
      <c r="B559" t="e">
        <f>#REF!</f>
        <v>#REF!</v>
      </c>
      <c r="C559" t="e">
        <f>#REF!</f>
        <v>#REF!</v>
      </c>
      <c r="D559" t="e">
        <f>#REF!</f>
        <v>#REF!</v>
      </c>
      <c r="E559" t="e">
        <f>#REF!</f>
        <v>#REF!</v>
      </c>
      <c r="F559" t="e">
        <f>#REF!</f>
        <v>#REF!</v>
      </c>
      <c r="G559" t="e">
        <f>#REF!</f>
        <v>#REF!</v>
      </c>
      <c r="H559" t="e">
        <f>#REF!</f>
        <v>#REF!</v>
      </c>
    </row>
    <row r="560" spans="1:8">
      <c r="A560" t="e">
        <f>#REF!</f>
        <v>#REF!</v>
      </c>
      <c r="B560" t="e">
        <f>#REF!</f>
        <v>#REF!</v>
      </c>
      <c r="C560" t="e">
        <f>#REF!</f>
        <v>#REF!</v>
      </c>
      <c r="D560" t="e">
        <f>#REF!</f>
        <v>#REF!</v>
      </c>
      <c r="E560" t="e">
        <f>#REF!</f>
        <v>#REF!</v>
      </c>
      <c r="F560" t="e">
        <f>#REF!</f>
        <v>#REF!</v>
      </c>
      <c r="G560" t="e">
        <f>#REF!</f>
        <v>#REF!</v>
      </c>
      <c r="H560" t="e">
        <f>#REF!</f>
        <v>#REF!</v>
      </c>
    </row>
    <row r="561" spans="1:8">
      <c r="A561" t="e">
        <f>#REF!</f>
        <v>#REF!</v>
      </c>
      <c r="B561" t="e">
        <f>#REF!</f>
        <v>#REF!</v>
      </c>
      <c r="C561" t="e">
        <f>#REF!</f>
        <v>#REF!</v>
      </c>
      <c r="D561" t="e">
        <f>#REF!</f>
        <v>#REF!</v>
      </c>
      <c r="E561" t="e">
        <f>#REF!</f>
        <v>#REF!</v>
      </c>
      <c r="F561" t="e">
        <f>#REF!</f>
        <v>#REF!</v>
      </c>
      <c r="G561" t="e">
        <f>#REF!</f>
        <v>#REF!</v>
      </c>
      <c r="H561" t="e">
        <f>#REF!</f>
        <v>#REF!</v>
      </c>
    </row>
    <row r="562" spans="1:8">
      <c r="A562" t="e">
        <f>#REF!</f>
        <v>#REF!</v>
      </c>
      <c r="B562" t="e">
        <f>#REF!</f>
        <v>#REF!</v>
      </c>
      <c r="C562" t="e">
        <f>#REF!</f>
        <v>#REF!</v>
      </c>
      <c r="D562" t="e">
        <f>#REF!</f>
        <v>#REF!</v>
      </c>
      <c r="E562" t="e">
        <f>#REF!</f>
        <v>#REF!</v>
      </c>
      <c r="F562" t="e">
        <f>#REF!</f>
        <v>#REF!</v>
      </c>
      <c r="G562" t="e">
        <f>#REF!</f>
        <v>#REF!</v>
      </c>
      <c r="H562" t="e">
        <f>#REF!</f>
        <v>#REF!</v>
      </c>
    </row>
    <row r="563" spans="1:8">
      <c r="A563" t="e">
        <f>#REF!</f>
        <v>#REF!</v>
      </c>
      <c r="B563" t="e">
        <f>#REF!</f>
        <v>#REF!</v>
      </c>
      <c r="C563" t="e">
        <f>#REF!</f>
        <v>#REF!</v>
      </c>
      <c r="D563" t="e">
        <f>#REF!</f>
        <v>#REF!</v>
      </c>
      <c r="E563" t="e">
        <f>#REF!</f>
        <v>#REF!</v>
      </c>
      <c r="F563" t="e">
        <f>#REF!</f>
        <v>#REF!</v>
      </c>
      <c r="G563" t="e">
        <f>#REF!</f>
        <v>#REF!</v>
      </c>
      <c r="H563" t="e">
        <f>#REF!</f>
        <v>#REF!</v>
      </c>
    </row>
    <row r="564" spans="1:8">
      <c r="A564" t="e">
        <f>#REF!</f>
        <v>#REF!</v>
      </c>
      <c r="B564" t="e">
        <f>#REF!</f>
        <v>#REF!</v>
      </c>
      <c r="C564" t="e">
        <f>#REF!</f>
        <v>#REF!</v>
      </c>
      <c r="D564" t="e">
        <f>#REF!</f>
        <v>#REF!</v>
      </c>
      <c r="E564" t="e">
        <f>#REF!</f>
        <v>#REF!</v>
      </c>
      <c r="F564" t="e">
        <f>#REF!</f>
        <v>#REF!</v>
      </c>
      <c r="G564" t="e">
        <f>#REF!</f>
        <v>#REF!</v>
      </c>
      <c r="H564" t="e">
        <f>#REF!</f>
        <v>#REF!</v>
      </c>
    </row>
    <row r="565" spans="1:8">
      <c r="A565" t="e">
        <f>#REF!</f>
        <v>#REF!</v>
      </c>
      <c r="B565" t="e">
        <f>#REF!</f>
        <v>#REF!</v>
      </c>
      <c r="C565" t="e">
        <f>#REF!</f>
        <v>#REF!</v>
      </c>
      <c r="D565" t="e">
        <f>#REF!</f>
        <v>#REF!</v>
      </c>
      <c r="E565" t="e">
        <f>#REF!</f>
        <v>#REF!</v>
      </c>
      <c r="F565" t="e">
        <f>#REF!</f>
        <v>#REF!</v>
      </c>
      <c r="G565" t="e">
        <f>#REF!</f>
        <v>#REF!</v>
      </c>
      <c r="H565" t="e">
        <f>#REF!</f>
        <v>#REF!</v>
      </c>
    </row>
    <row r="566" spans="1:8">
      <c r="A566" t="e">
        <f>#REF!</f>
        <v>#REF!</v>
      </c>
      <c r="B566" t="e">
        <f>#REF!</f>
        <v>#REF!</v>
      </c>
      <c r="C566" t="e">
        <f>#REF!</f>
        <v>#REF!</v>
      </c>
      <c r="D566" t="e">
        <f>#REF!</f>
        <v>#REF!</v>
      </c>
      <c r="E566" t="e">
        <f>#REF!</f>
        <v>#REF!</v>
      </c>
      <c r="F566" t="e">
        <f>#REF!</f>
        <v>#REF!</v>
      </c>
      <c r="G566" t="e">
        <f>#REF!</f>
        <v>#REF!</v>
      </c>
      <c r="H566" t="e">
        <f>#REF!</f>
        <v>#REF!</v>
      </c>
    </row>
    <row r="567" spans="1:8">
      <c r="A567" t="e">
        <f>#REF!</f>
        <v>#REF!</v>
      </c>
      <c r="B567" t="e">
        <f>#REF!</f>
        <v>#REF!</v>
      </c>
      <c r="C567" t="e">
        <f>#REF!</f>
        <v>#REF!</v>
      </c>
      <c r="D567" t="e">
        <f>#REF!</f>
        <v>#REF!</v>
      </c>
      <c r="E567" t="e">
        <f>#REF!</f>
        <v>#REF!</v>
      </c>
      <c r="F567" t="e">
        <f>#REF!</f>
        <v>#REF!</v>
      </c>
      <c r="G567" t="e">
        <f>#REF!</f>
        <v>#REF!</v>
      </c>
      <c r="H567" t="e">
        <f>#REF!</f>
        <v>#REF!</v>
      </c>
    </row>
    <row r="568" spans="1:8">
      <c r="A568" t="e">
        <f>#REF!</f>
        <v>#REF!</v>
      </c>
      <c r="B568" t="e">
        <f>#REF!</f>
        <v>#REF!</v>
      </c>
      <c r="C568" t="e">
        <f>#REF!</f>
        <v>#REF!</v>
      </c>
      <c r="D568" t="e">
        <f>#REF!</f>
        <v>#REF!</v>
      </c>
      <c r="E568" t="e">
        <f>#REF!</f>
        <v>#REF!</v>
      </c>
      <c r="F568" t="e">
        <f>#REF!</f>
        <v>#REF!</v>
      </c>
      <c r="G568" t="e">
        <f>#REF!</f>
        <v>#REF!</v>
      </c>
      <c r="H568" t="e">
        <f>#REF!</f>
        <v>#REF!</v>
      </c>
    </row>
    <row r="569" spans="1:8">
      <c r="A569" t="e">
        <f>#REF!</f>
        <v>#REF!</v>
      </c>
      <c r="B569" t="e">
        <f>#REF!</f>
        <v>#REF!</v>
      </c>
      <c r="C569" t="e">
        <f>#REF!</f>
        <v>#REF!</v>
      </c>
      <c r="D569" t="e">
        <f>#REF!</f>
        <v>#REF!</v>
      </c>
      <c r="E569" t="e">
        <f>#REF!</f>
        <v>#REF!</v>
      </c>
      <c r="F569" t="e">
        <f>#REF!</f>
        <v>#REF!</v>
      </c>
      <c r="G569" t="e">
        <f>#REF!</f>
        <v>#REF!</v>
      </c>
      <c r="H569" t="e">
        <f>#REF!</f>
        <v>#REF!</v>
      </c>
    </row>
    <row r="570" spans="1:8">
      <c r="A570" t="e">
        <f>#REF!</f>
        <v>#REF!</v>
      </c>
      <c r="B570" t="e">
        <f>#REF!</f>
        <v>#REF!</v>
      </c>
      <c r="C570" t="e">
        <f>#REF!</f>
        <v>#REF!</v>
      </c>
      <c r="D570" t="e">
        <f>#REF!</f>
        <v>#REF!</v>
      </c>
      <c r="E570" t="e">
        <f>#REF!</f>
        <v>#REF!</v>
      </c>
      <c r="F570" t="e">
        <f>#REF!</f>
        <v>#REF!</v>
      </c>
      <c r="G570" t="e">
        <f>#REF!</f>
        <v>#REF!</v>
      </c>
      <c r="H570" t="e">
        <f>#REF!</f>
        <v>#REF!</v>
      </c>
    </row>
    <row r="571" spans="1:8">
      <c r="A571" t="e">
        <f>#REF!</f>
        <v>#REF!</v>
      </c>
      <c r="B571" t="e">
        <f>#REF!</f>
        <v>#REF!</v>
      </c>
      <c r="C571" t="e">
        <f>#REF!</f>
        <v>#REF!</v>
      </c>
      <c r="D571" t="e">
        <f>#REF!</f>
        <v>#REF!</v>
      </c>
      <c r="E571" t="e">
        <f>#REF!</f>
        <v>#REF!</v>
      </c>
      <c r="F571" t="e">
        <f>#REF!</f>
        <v>#REF!</v>
      </c>
      <c r="G571" t="e">
        <f>#REF!</f>
        <v>#REF!</v>
      </c>
      <c r="H571" t="e">
        <f>#REF!</f>
        <v>#REF!</v>
      </c>
    </row>
    <row r="572" spans="1:8">
      <c r="A572" t="e">
        <f>#REF!</f>
        <v>#REF!</v>
      </c>
      <c r="B572" t="e">
        <f>#REF!</f>
        <v>#REF!</v>
      </c>
      <c r="C572" t="e">
        <f>#REF!</f>
        <v>#REF!</v>
      </c>
      <c r="D572" t="e">
        <f>#REF!</f>
        <v>#REF!</v>
      </c>
      <c r="E572" t="e">
        <f>#REF!</f>
        <v>#REF!</v>
      </c>
      <c r="F572" t="e">
        <f>#REF!</f>
        <v>#REF!</v>
      </c>
      <c r="G572" t="e">
        <f>#REF!</f>
        <v>#REF!</v>
      </c>
      <c r="H572" t="e">
        <f>#REF!</f>
        <v>#REF!</v>
      </c>
    </row>
    <row r="573" spans="1:8">
      <c r="A573" t="e">
        <f>#REF!</f>
        <v>#REF!</v>
      </c>
      <c r="B573" t="e">
        <f>#REF!</f>
        <v>#REF!</v>
      </c>
      <c r="C573" t="e">
        <f>#REF!</f>
        <v>#REF!</v>
      </c>
      <c r="D573" t="e">
        <f>#REF!</f>
        <v>#REF!</v>
      </c>
      <c r="E573" t="e">
        <f>#REF!</f>
        <v>#REF!</v>
      </c>
      <c r="F573" t="e">
        <f>#REF!</f>
        <v>#REF!</v>
      </c>
      <c r="G573" t="e">
        <f>#REF!</f>
        <v>#REF!</v>
      </c>
      <c r="H573" t="e">
        <f>#REF!</f>
        <v>#REF!</v>
      </c>
    </row>
    <row r="574" spans="1:8">
      <c r="A574" t="e">
        <f>#REF!</f>
        <v>#REF!</v>
      </c>
      <c r="B574" t="e">
        <f>#REF!</f>
        <v>#REF!</v>
      </c>
      <c r="C574" t="e">
        <f>#REF!</f>
        <v>#REF!</v>
      </c>
      <c r="D574" t="e">
        <f>#REF!</f>
        <v>#REF!</v>
      </c>
      <c r="E574" t="e">
        <f>#REF!</f>
        <v>#REF!</v>
      </c>
      <c r="F574" t="e">
        <f>#REF!</f>
        <v>#REF!</v>
      </c>
      <c r="G574" t="e">
        <f>#REF!</f>
        <v>#REF!</v>
      </c>
      <c r="H574" t="e">
        <f>#REF!</f>
        <v>#REF!</v>
      </c>
    </row>
    <row r="575" spans="1:8">
      <c r="A575" t="e">
        <f>#REF!</f>
        <v>#REF!</v>
      </c>
      <c r="B575" t="e">
        <f>#REF!</f>
        <v>#REF!</v>
      </c>
      <c r="C575" t="e">
        <f>#REF!</f>
        <v>#REF!</v>
      </c>
      <c r="D575" t="e">
        <f>#REF!</f>
        <v>#REF!</v>
      </c>
      <c r="E575" t="e">
        <f>#REF!</f>
        <v>#REF!</v>
      </c>
      <c r="F575" t="e">
        <f>#REF!</f>
        <v>#REF!</v>
      </c>
      <c r="G575" t="e">
        <f>#REF!</f>
        <v>#REF!</v>
      </c>
      <c r="H575" t="e">
        <f>#REF!</f>
        <v>#REF!</v>
      </c>
    </row>
    <row r="576" spans="1:8">
      <c r="A576" t="e">
        <f>#REF!</f>
        <v>#REF!</v>
      </c>
      <c r="B576" t="e">
        <f>#REF!</f>
        <v>#REF!</v>
      </c>
      <c r="C576" t="e">
        <f>#REF!</f>
        <v>#REF!</v>
      </c>
      <c r="D576" t="e">
        <f>#REF!</f>
        <v>#REF!</v>
      </c>
      <c r="E576" t="e">
        <f>#REF!</f>
        <v>#REF!</v>
      </c>
      <c r="F576" t="e">
        <f>#REF!</f>
        <v>#REF!</v>
      </c>
      <c r="G576" t="e">
        <f>#REF!</f>
        <v>#REF!</v>
      </c>
      <c r="H576" t="e">
        <f>#REF!</f>
        <v>#REF!</v>
      </c>
    </row>
    <row r="577" spans="1:8">
      <c r="A577" t="e">
        <f>#REF!</f>
        <v>#REF!</v>
      </c>
      <c r="B577" t="e">
        <f>#REF!</f>
        <v>#REF!</v>
      </c>
      <c r="C577" t="e">
        <f>#REF!</f>
        <v>#REF!</v>
      </c>
      <c r="D577" t="e">
        <f>#REF!</f>
        <v>#REF!</v>
      </c>
      <c r="E577" t="e">
        <f>#REF!</f>
        <v>#REF!</v>
      </c>
      <c r="F577" t="e">
        <f>#REF!</f>
        <v>#REF!</v>
      </c>
      <c r="G577" t="e">
        <f>#REF!</f>
        <v>#REF!</v>
      </c>
      <c r="H577" t="e">
        <f>#REF!</f>
        <v>#REF!</v>
      </c>
    </row>
    <row r="578" spans="1:8">
      <c r="A578" t="e">
        <f>#REF!</f>
        <v>#REF!</v>
      </c>
      <c r="B578" t="e">
        <f>#REF!</f>
        <v>#REF!</v>
      </c>
      <c r="C578" t="e">
        <f>#REF!</f>
        <v>#REF!</v>
      </c>
      <c r="D578" t="e">
        <f>#REF!</f>
        <v>#REF!</v>
      </c>
      <c r="E578" t="e">
        <f>#REF!</f>
        <v>#REF!</v>
      </c>
      <c r="F578" t="e">
        <f>#REF!</f>
        <v>#REF!</v>
      </c>
      <c r="G578" t="e">
        <f>#REF!</f>
        <v>#REF!</v>
      </c>
      <c r="H578" t="e">
        <f>#REF!</f>
        <v>#REF!</v>
      </c>
    </row>
    <row r="579" spans="1:8">
      <c r="A579" t="e">
        <f>#REF!</f>
        <v>#REF!</v>
      </c>
      <c r="B579" t="e">
        <f>#REF!</f>
        <v>#REF!</v>
      </c>
      <c r="C579" t="e">
        <f>#REF!</f>
        <v>#REF!</v>
      </c>
      <c r="D579" t="e">
        <f>#REF!</f>
        <v>#REF!</v>
      </c>
      <c r="E579" t="e">
        <f>#REF!</f>
        <v>#REF!</v>
      </c>
      <c r="F579" t="e">
        <f>#REF!</f>
        <v>#REF!</v>
      </c>
      <c r="G579" t="e">
        <f>#REF!</f>
        <v>#REF!</v>
      </c>
      <c r="H579" t="e">
        <f>#REF!</f>
        <v>#REF!</v>
      </c>
    </row>
    <row r="580" spans="1:8">
      <c r="A580" t="e">
        <f>#REF!</f>
        <v>#REF!</v>
      </c>
      <c r="B580" t="e">
        <f>#REF!</f>
        <v>#REF!</v>
      </c>
      <c r="C580" t="e">
        <f>#REF!</f>
        <v>#REF!</v>
      </c>
      <c r="D580" t="e">
        <f>#REF!</f>
        <v>#REF!</v>
      </c>
      <c r="E580" t="e">
        <f>#REF!</f>
        <v>#REF!</v>
      </c>
      <c r="F580" t="e">
        <f>#REF!</f>
        <v>#REF!</v>
      </c>
      <c r="G580" t="e">
        <f>#REF!</f>
        <v>#REF!</v>
      </c>
      <c r="H580" t="e">
        <f>#REF!</f>
        <v>#REF!</v>
      </c>
    </row>
    <row r="581" spans="1:8">
      <c r="A581" t="e">
        <f>#REF!</f>
        <v>#REF!</v>
      </c>
      <c r="B581" t="e">
        <f>#REF!</f>
        <v>#REF!</v>
      </c>
      <c r="C581" t="e">
        <f>#REF!</f>
        <v>#REF!</v>
      </c>
      <c r="D581" t="e">
        <f>#REF!</f>
        <v>#REF!</v>
      </c>
      <c r="E581" t="e">
        <f>#REF!</f>
        <v>#REF!</v>
      </c>
      <c r="F581" t="e">
        <f>#REF!</f>
        <v>#REF!</v>
      </c>
      <c r="G581" t="e">
        <f>#REF!</f>
        <v>#REF!</v>
      </c>
      <c r="H581" t="e">
        <f>#REF!</f>
        <v>#REF!</v>
      </c>
    </row>
    <row r="582" spans="1:8">
      <c r="A582" t="e">
        <f>#REF!</f>
        <v>#REF!</v>
      </c>
      <c r="B582" t="e">
        <f>#REF!</f>
        <v>#REF!</v>
      </c>
      <c r="C582" t="e">
        <f>#REF!</f>
        <v>#REF!</v>
      </c>
      <c r="D582" t="e">
        <f>#REF!</f>
        <v>#REF!</v>
      </c>
      <c r="E582" t="e">
        <f>#REF!</f>
        <v>#REF!</v>
      </c>
      <c r="F582" t="e">
        <f>#REF!</f>
        <v>#REF!</v>
      </c>
      <c r="G582" t="e">
        <f>#REF!</f>
        <v>#REF!</v>
      </c>
      <c r="H582" t="e">
        <f>#REF!</f>
        <v>#REF!</v>
      </c>
    </row>
    <row r="583" spans="1:8">
      <c r="A583" t="e">
        <f>#REF!</f>
        <v>#REF!</v>
      </c>
      <c r="B583" t="e">
        <f>#REF!</f>
        <v>#REF!</v>
      </c>
      <c r="C583" t="e">
        <f>#REF!</f>
        <v>#REF!</v>
      </c>
      <c r="D583" t="e">
        <f>#REF!</f>
        <v>#REF!</v>
      </c>
      <c r="E583" t="e">
        <f>#REF!</f>
        <v>#REF!</v>
      </c>
      <c r="F583" t="e">
        <f>#REF!</f>
        <v>#REF!</v>
      </c>
      <c r="G583" t="e">
        <f>#REF!</f>
        <v>#REF!</v>
      </c>
      <c r="H583" t="e">
        <f>#REF!</f>
        <v>#REF!</v>
      </c>
    </row>
    <row r="584" spans="1:8">
      <c r="A584" t="e">
        <f>#REF!</f>
        <v>#REF!</v>
      </c>
      <c r="B584" t="e">
        <f>#REF!</f>
        <v>#REF!</v>
      </c>
      <c r="C584" t="e">
        <f>#REF!</f>
        <v>#REF!</v>
      </c>
      <c r="D584" t="e">
        <f>#REF!</f>
        <v>#REF!</v>
      </c>
      <c r="E584" t="e">
        <f>#REF!</f>
        <v>#REF!</v>
      </c>
      <c r="F584" t="e">
        <f>#REF!</f>
        <v>#REF!</v>
      </c>
      <c r="G584" t="e">
        <f>#REF!</f>
        <v>#REF!</v>
      </c>
      <c r="H584" t="e">
        <f>#REF!</f>
        <v>#REF!</v>
      </c>
    </row>
    <row r="585" spans="1:8">
      <c r="A585" t="e">
        <f>#REF!</f>
        <v>#REF!</v>
      </c>
      <c r="B585" t="e">
        <f>#REF!</f>
        <v>#REF!</v>
      </c>
      <c r="C585" t="e">
        <f>#REF!</f>
        <v>#REF!</v>
      </c>
      <c r="D585" t="e">
        <f>#REF!</f>
        <v>#REF!</v>
      </c>
      <c r="E585" t="e">
        <f>#REF!</f>
        <v>#REF!</v>
      </c>
      <c r="F585" t="e">
        <f>#REF!</f>
        <v>#REF!</v>
      </c>
      <c r="G585" t="e">
        <f>#REF!</f>
        <v>#REF!</v>
      </c>
      <c r="H585" t="e">
        <f>#REF!</f>
        <v>#REF!</v>
      </c>
    </row>
    <row r="586" spans="1:8">
      <c r="A586" t="e">
        <f>#REF!</f>
        <v>#REF!</v>
      </c>
      <c r="B586" t="e">
        <f>#REF!</f>
        <v>#REF!</v>
      </c>
      <c r="C586" t="e">
        <f>#REF!</f>
        <v>#REF!</v>
      </c>
      <c r="D586" t="e">
        <f>#REF!</f>
        <v>#REF!</v>
      </c>
      <c r="E586" t="e">
        <f>#REF!</f>
        <v>#REF!</v>
      </c>
      <c r="F586" t="e">
        <f>#REF!</f>
        <v>#REF!</v>
      </c>
      <c r="G586" t="e">
        <f>#REF!</f>
        <v>#REF!</v>
      </c>
      <c r="H586" t="e">
        <f>#REF!</f>
        <v>#REF!</v>
      </c>
    </row>
    <row r="587" spans="1:8">
      <c r="A587" t="e">
        <f>#REF!</f>
        <v>#REF!</v>
      </c>
      <c r="B587" t="e">
        <f>#REF!</f>
        <v>#REF!</v>
      </c>
      <c r="C587" t="e">
        <f>#REF!</f>
        <v>#REF!</v>
      </c>
      <c r="D587" t="e">
        <f>#REF!</f>
        <v>#REF!</v>
      </c>
      <c r="E587" t="e">
        <f>#REF!</f>
        <v>#REF!</v>
      </c>
      <c r="F587" t="e">
        <f>#REF!</f>
        <v>#REF!</v>
      </c>
      <c r="G587" t="e">
        <f>#REF!</f>
        <v>#REF!</v>
      </c>
      <c r="H587" t="e">
        <f>#REF!</f>
        <v>#REF!</v>
      </c>
    </row>
    <row r="588" spans="1:8">
      <c r="A588" t="e">
        <f>#REF!</f>
        <v>#REF!</v>
      </c>
      <c r="B588" t="e">
        <f>#REF!</f>
        <v>#REF!</v>
      </c>
      <c r="C588" t="e">
        <f>#REF!</f>
        <v>#REF!</v>
      </c>
      <c r="D588" t="e">
        <f>#REF!</f>
        <v>#REF!</v>
      </c>
      <c r="E588" t="e">
        <f>#REF!</f>
        <v>#REF!</v>
      </c>
      <c r="F588" t="e">
        <f>#REF!</f>
        <v>#REF!</v>
      </c>
      <c r="G588" t="e">
        <f>#REF!</f>
        <v>#REF!</v>
      </c>
      <c r="H588" t="e">
        <f>#REF!</f>
        <v>#REF!</v>
      </c>
    </row>
    <row r="589" spans="1:8">
      <c r="A589" t="e">
        <f>#REF!</f>
        <v>#REF!</v>
      </c>
      <c r="B589" t="e">
        <f>#REF!</f>
        <v>#REF!</v>
      </c>
      <c r="C589" t="e">
        <f>#REF!</f>
        <v>#REF!</v>
      </c>
      <c r="D589" t="e">
        <f>#REF!</f>
        <v>#REF!</v>
      </c>
      <c r="E589" t="e">
        <f>#REF!</f>
        <v>#REF!</v>
      </c>
      <c r="F589" t="e">
        <f>#REF!</f>
        <v>#REF!</v>
      </c>
      <c r="G589" t="e">
        <f>#REF!</f>
        <v>#REF!</v>
      </c>
      <c r="H589" t="e">
        <f>#REF!</f>
        <v>#REF!</v>
      </c>
    </row>
    <row r="590" spans="1:8">
      <c r="A590" t="e">
        <f>#REF!</f>
        <v>#REF!</v>
      </c>
      <c r="B590" t="e">
        <f>#REF!</f>
        <v>#REF!</v>
      </c>
      <c r="C590" t="e">
        <f>#REF!</f>
        <v>#REF!</v>
      </c>
      <c r="D590" t="e">
        <f>#REF!</f>
        <v>#REF!</v>
      </c>
      <c r="E590" t="e">
        <f>#REF!</f>
        <v>#REF!</v>
      </c>
      <c r="F590" t="e">
        <f>#REF!</f>
        <v>#REF!</v>
      </c>
      <c r="G590" t="e">
        <f>#REF!</f>
        <v>#REF!</v>
      </c>
      <c r="H590" t="e">
        <f>#REF!</f>
        <v>#REF!</v>
      </c>
    </row>
    <row r="591" spans="1:8">
      <c r="A591" t="e">
        <f>#REF!</f>
        <v>#REF!</v>
      </c>
      <c r="B591" t="e">
        <f>#REF!</f>
        <v>#REF!</v>
      </c>
      <c r="C591" t="e">
        <f>#REF!</f>
        <v>#REF!</v>
      </c>
      <c r="D591" t="e">
        <f>#REF!</f>
        <v>#REF!</v>
      </c>
      <c r="E591" t="e">
        <f>#REF!</f>
        <v>#REF!</v>
      </c>
      <c r="F591" t="e">
        <f>#REF!</f>
        <v>#REF!</v>
      </c>
      <c r="G591" t="e">
        <f>#REF!</f>
        <v>#REF!</v>
      </c>
      <c r="H591" t="e">
        <f>#REF!</f>
        <v>#REF!</v>
      </c>
    </row>
    <row r="592" spans="1:8">
      <c r="A592" t="e">
        <f>#REF!</f>
        <v>#REF!</v>
      </c>
      <c r="B592" t="e">
        <f>#REF!</f>
        <v>#REF!</v>
      </c>
      <c r="C592" t="e">
        <f>#REF!</f>
        <v>#REF!</v>
      </c>
      <c r="D592" t="e">
        <f>#REF!</f>
        <v>#REF!</v>
      </c>
      <c r="E592" t="e">
        <f>#REF!</f>
        <v>#REF!</v>
      </c>
      <c r="F592" t="e">
        <f>#REF!</f>
        <v>#REF!</v>
      </c>
      <c r="G592" t="e">
        <f>#REF!</f>
        <v>#REF!</v>
      </c>
      <c r="H592" t="e">
        <f>#REF!</f>
        <v>#REF!</v>
      </c>
    </row>
    <row r="593" spans="1:8">
      <c r="A593" t="e">
        <f>#REF!</f>
        <v>#REF!</v>
      </c>
      <c r="B593" t="e">
        <f>#REF!</f>
        <v>#REF!</v>
      </c>
      <c r="C593" t="e">
        <f>#REF!</f>
        <v>#REF!</v>
      </c>
      <c r="D593" t="e">
        <f>#REF!</f>
        <v>#REF!</v>
      </c>
      <c r="E593" t="e">
        <f>#REF!</f>
        <v>#REF!</v>
      </c>
      <c r="F593" t="e">
        <f>#REF!</f>
        <v>#REF!</v>
      </c>
      <c r="G593" t="e">
        <f>#REF!</f>
        <v>#REF!</v>
      </c>
      <c r="H593" t="e">
        <f>#REF!</f>
        <v>#REF!</v>
      </c>
    </row>
    <row r="594" spans="1:8">
      <c r="A594" t="e">
        <f>#REF!</f>
        <v>#REF!</v>
      </c>
      <c r="B594" t="e">
        <f>#REF!</f>
        <v>#REF!</v>
      </c>
      <c r="C594" t="e">
        <f>#REF!</f>
        <v>#REF!</v>
      </c>
      <c r="D594" t="e">
        <f>#REF!</f>
        <v>#REF!</v>
      </c>
      <c r="E594" t="e">
        <f>#REF!</f>
        <v>#REF!</v>
      </c>
      <c r="F594" t="e">
        <f>#REF!</f>
        <v>#REF!</v>
      </c>
      <c r="G594" t="e">
        <f>#REF!</f>
        <v>#REF!</v>
      </c>
      <c r="H594" t="e">
        <f>#REF!</f>
        <v>#REF!</v>
      </c>
    </row>
    <row r="595" spans="1:8">
      <c r="A595" t="e">
        <f>#REF!</f>
        <v>#REF!</v>
      </c>
      <c r="B595" t="e">
        <f>#REF!</f>
        <v>#REF!</v>
      </c>
      <c r="C595" t="e">
        <f>#REF!</f>
        <v>#REF!</v>
      </c>
      <c r="D595" t="e">
        <f>#REF!</f>
        <v>#REF!</v>
      </c>
      <c r="E595" t="e">
        <f>#REF!</f>
        <v>#REF!</v>
      </c>
      <c r="F595" t="e">
        <f>#REF!</f>
        <v>#REF!</v>
      </c>
      <c r="G595" t="e">
        <f>#REF!</f>
        <v>#REF!</v>
      </c>
      <c r="H595" t="e">
        <f>#REF!</f>
        <v>#REF!</v>
      </c>
    </row>
    <row r="596" spans="1:8">
      <c r="A596" t="e">
        <f>#REF!</f>
        <v>#REF!</v>
      </c>
      <c r="B596" t="e">
        <f>#REF!</f>
        <v>#REF!</v>
      </c>
      <c r="C596" t="e">
        <f>#REF!</f>
        <v>#REF!</v>
      </c>
      <c r="D596" t="e">
        <f>#REF!</f>
        <v>#REF!</v>
      </c>
      <c r="E596" t="e">
        <f>#REF!</f>
        <v>#REF!</v>
      </c>
      <c r="F596" t="e">
        <f>#REF!</f>
        <v>#REF!</v>
      </c>
      <c r="G596" t="e">
        <f>#REF!</f>
        <v>#REF!</v>
      </c>
      <c r="H596" t="e">
        <f>#REF!</f>
        <v>#REF!</v>
      </c>
    </row>
    <row r="597" spans="1:8">
      <c r="A597" t="e">
        <f>#REF!</f>
        <v>#REF!</v>
      </c>
      <c r="B597" t="e">
        <f>#REF!</f>
        <v>#REF!</v>
      </c>
      <c r="C597" t="e">
        <f>#REF!</f>
        <v>#REF!</v>
      </c>
      <c r="D597" t="e">
        <f>#REF!</f>
        <v>#REF!</v>
      </c>
      <c r="E597" t="e">
        <f>#REF!</f>
        <v>#REF!</v>
      </c>
      <c r="F597" t="e">
        <f>#REF!</f>
        <v>#REF!</v>
      </c>
      <c r="G597" t="e">
        <f>#REF!</f>
        <v>#REF!</v>
      </c>
      <c r="H597" t="e">
        <f>#REF!</f>
        <v>#REF!</v>
      </c>
    </row>
    <row r="598" spans="1:8">
      <c r="A598" t="e">
        <f>#REF!</f>
        <v>#REF!</v>
      </c>
      <c r="B598" t="e">
        <f>#REF!</f>
        <v>#REF!</v>
      </c>
      <c r="C598" t="e">
        <f>#REF!</f>
        <v>#REF!</v>
      </c>
      <c r="D598" t="e">
        <f>#REF!</f>
        <v>#REF!</v>
      </c>
      <c r="E598" t="e">
        <f>#REF!</f>
        <v>#REF!</v>
      </c>
      <c r="F598" t="e">
        <f>#REF!</f>
        <v>#REF!</v>
      </c>
      <c r="G598" t="e">
        <f>#REF!</f>
        <v>#REF!</v>
      </c>
      <c r="H598" t="e">
        <f>#REF!</f>
        <v>#REF!</v>
      </c>
    </row>
    <row r="599" spans="1:8">
      <c r="A599" t="e">
        <f>#REF!</f>
        <v>#REF!</v>
      </c>
      <c r="B599" t="e">
        <f>#REF!</f>
        <v>#REF!</v>
      </c>
      <c r="C599" t="e">
        <f>#REF!</f>
        <v>#REF!</v>
      </c>
      <c r="D599" t="e">
        <f>#REF!</f>
        <v>#REF!</v>
      </c>
      <c r="E599" t="e">
        <f>#REF!</f>
        <v>#REF!</v>
      </c>
      <c r="F599" t="e">
        <f>#REF!</f>
        <v>#REF!</v>
      </c>
      <c r="G599" t="e">
        <f>#REF!</f>
        <v>#REF!</v>
      </c>
      <c r="H599" t="e">
        <f>#REF!</f>
        <v>#REF!</v>
      </c>
    </row>
    <row r="600" spans="1:8">
      <c r="A600" t="e">
        <f>#REF!</f>
        <v>#REF!</v>
      </c>
      <c r="B600" t="e">
        <f>#REF!</f>
        <v>#REF!</v>
      </c>
      <c r="C600" t="e">
        <f>#REF!</f>
        <v>#REF!</v>
      </c>
      <c r="D600" t="e">
        <f>#REF!</f>
        <v>#REF!</v>
      </c>
      <c r="E600" t="e">
        <f>#REF!</f>
        <v>#REF!</v>
      </c>
      <c r="F600" t="e">
        <f>#REF!</f>
        <v>#REF!</v>
      </c>
      <c r="G600" t="e">
        <f>#REF!</f>
        <v>#REF!</v>
      </c>
      <c r="H600" t="e">
        <f>#REF!</f>
        <v>#REF!</v>
      </c>
    </row>
    <row r="601" spans="1:8">
      <c r="A601" t="e">
        <f>#REF!</f>
        <v>#REF!</v>
      </c>
      <c r="B601" t="e">
        <f>#REF!</f>
        <v>#REF!</v>
      </c>
      <c r="C601" t="e">
        <f>#REF!</f>
        <v>#REF!</v>
      </c>
      <c r="D601" t="e">
        <f>#REF!</f>
        <v>#REF!</v>
      </c>
      <c r="E601" t="e">
        <f>#REF!</f>
        <v>#REF!</v>
      </c>
      <c r="F601" t="e">
        <f>#REF!</f>
        <v>#REF!</v>
      </c>
      <c r="G601" t="e">
        <f>#REF!</f>
        <v>#REF!</v>
      </c>
      <c r="H601" t="e">
        <f>#REF!</f>
        <v>#REF!</v>
      </c>
    </row>
    <row r="602" spans="1:8">
      <c r="A602" t="e">
        <f>#REF!</f>
        <v>#REF!</v>
      </c>
      <c r="B602" t="e">
        <f>#REF!</f>
        <v>#REF!</v>
      </c>
      <c r="C602" t="e">
        <f>#REF!</f>
        <v>#REF!</v>
      </c>
      <c r="D602" t="e">
        <f>#REF!</f>
        <v>#REF!</v>
      </c>
      <c r="E602" t="e">
        <f>#REF!</f>
        <v>#REF!</v>
      </c>
      <c r="F602" t="e">
        <f>#REF!</f>
        <v>#REF!</v>
      </c>
      <c r="G602" t="e">
        <f>#REF!</f>
        <v>#REF!</v>
      </c>
      <c r="H602" t="e">
        <f>#REF!</f>
        <v>#REF!</v>
      </c>
    </row>
    <row r="603" spans="1:8">
      <c r="A603" t="e">
        <f>#REF!</f>
        <v>#REF!</v>
      </c>
      <c r="B603" t="e">
        <f>#REF!</f>
        <v>#REF!</v>
      </c>
      <c r="C603" t="e">
        <f>#REF!</f>
        <v>#REF!</v>
      </c>
      <c r="D603" t="e">
        <f>#REF!</f>
        <v>#REF!</v>
      </c>
      <c r="E603" t="e">
        <f>#REF!</f>
        <v>#REF!</v>
      </c>
      <c r="F603" t="e">
        <f>#REF!</f>
        <v>#REF!</v>
      </c>
      <c r="G603" t="e">
        <f>#REF!</f>
        <v>#REF!</v>
      </c>
      <c r="H603" t="e">
        <f>#REF!</f>
        <v>#REF!</v>
      </c>
    </row>
    <row r="604" spans="1:8">
      <c r="A604" t="e">
        <f>#REF!</f>
        <v>#REF!</v>
      </c>
      <c r="B604" t="e">
        <f>#REF!</f>
        <v>#REF!</v>
      </c>
      <c r="C604" t="e">
        <f>#REF!</f>
        <v>#REF!</v>
      </c>
      <c r="D604" t="e">
        <f>#REF!</f>
        <v>#REF!</v>
      </c>
      <c r="E604" t="e">
        <f>#REF!</f>
        <v>#REF!</v>
      </c>
      <c r="F604" t="e">
        <f>#REF!</f>
        <v>#REF!</v>
      </c>
      <c r="G604" t="e">
        <f>#REF!</f>
        <v>#REF!</v>
      </c>
      <c r="H604" t="e">
        <f>#REF!</f>
        <v>#REF!</v>
      </c>
    </row>
    <row r="605" spans="1:8">
      <c r="A605" t="e">
        <f>#REF!</f>
        <v>#REF!</v>
      </c>
      <c r="B605" t="e">
        <f>#REF!</f>
        <v>#REF!</v>
      </c>
      <c r="C605" t="e">
        <f>#REF!</f>
        <v>#REF!</v>
      </c>
      <c r="D605" t="e">
        <f>#REF!</f>
        <v>#REF!</v>
      </c>
      <c r="E605" t="e">
        <f>#REF!</f>
        <v>#REF!</v>
      </c>
      <c r="F605" t="e">
        <f>#REF!</f>
        <v>#REF!</v>
      </c>
      <c r="G605" t="e">
        <f>#REF!</f>
        <v>#REF!</v>
      </c>
      <c r="H605" t="e">
        <f>#REF!</f>
        <v>#REF!</v>
      </c>
    </row>
    <row r="606" spans="1:8">
      <c r="A606" t="e">
        <f>#REF!</f>
        <v>#REF!</v>
      </c>
      <c r="B606" t="e">
        <f>#REF!</f>
        <v>#REF!</v>
      </c>
      <c r="C606" t="e">
        <f>#REF!</f>
        <v>#REF!</v>
      </c>
      <c r="D606" t="e">
        <f>#REF!</f>
        <v>#REF!</v>
      </c>
      <c r="E606" t="e">
        <f>#REF!</f>
        <v>#REF!</v>
      </c>
      <c r="F606" t="e">
        <f>#REF!</f>
        <v>#REF!</v>
      </c>
      <c r="G606" t="e">
        <f>#REF!</f>
        <v>#REF!</v>
      </c>
      <c r="H606" t="e">
        <f>#REF!</f>
        <v>#REF!</v>
      </c>
    </row>
    <row r="607" spans="1:8">
      <c r="A607" t="e">
        <f>#REF!</f>
        <v>#REF!</v>
      </c>
      <c r="B607" t="e">
        <f>#REF!</f>
        <v>#REF!</v>
      </c>
      <c r="C607" t="e">
        <f>#REF!</f>
        <v>#REF!</v>
      </c>
      <c r="D607" t="e">
        <f>#REF!</f>
        <v>#REF!</v>
      </c>
      <c r="E607" t="e">
        <f>#REF!</f>
        <v>#REF!</v>
      </c>
      <c r="F607" t="e">
        <f>#REF!</f>
        <v>#REF!</v>
      </c>
      <c r="G607" t="e">
        <f>#REF!</f>
        <v>#REF!</v>
      </c>
      <c r="H607" t="e">
        <f>#REF!</f>
        <v>#REF!</v>
      </c>
    </row>
    <row r="608" spans="1:8">
      <c r="A608" t="e">
        <f>#REF!</f>
        <v>#REF!</v>
      </c>
      <c r="B608" t="e">
        <f>#REF!</f>
        <v>#REF!</v>
      </c>
      <c r="C608" t="e">
        <f>#REF!</f>
        <v>#REF!</v>
      </c>
      <c r="D608" t="e">
        <f>#REF!</f>
        <v>#REF!</v>
      </c>
      <c r="E608" t="e">
        <f>#REF!</f>
        <v>#REF!</v>
      </c>
      <c r="F608" t="e">
        <f>#REF!</f>
        <v>#REF!</v>
      </c>
      <c r="G608" t="e">
        <f>#REF!</f>
        <v>#REF!</v>
      </c>
      <c r="H608" t="e">
        <f>#REF!</f>
        <v>#REF!</v>
      </c>
    </row>
    <row r="609" spans="1:8">
      <c r="A609" t="e">
        <f>#REF!</f>
        <v>#REF!</v>
      </c>
      <c r="B609" t="e">
        <f>#REF!</f>
        <v>#REF!</v>
      </c>
      <c r="C609" t="e">
        <f>#REF!</f>
        <v>#REF!</v>
      </c>
      <c r="D609" t="e">
        <f>#REF!</f>
        <v>#REF!</v>
      </c>
      <c r="E609" t="e">
        <f>#REF!</f>
        <v>#REF!</v>
      </c>
      <c r="F609" t="e">
        <f>#REF!</f>
        <v>#REF!</v>
      </c>
      <c r="G609" t="e">
        <f>#REF!</f>
        <v>#REF!</v>
      </c>
      <c r="H609" t="e">
        <f>#REF!</f>
        <v>#REF!</v>
      </c>
    </row>
    <row r="610" spans="1:8">
      <c r="A610" t="e">
        <f>#REF!</f>
        <v>#REF!</v>
      </c>
      <c r="B610" t="e">
        <f>#REF!</f>
        <v>#REF!</v>
      </c>
      <c r="C610" t="e">
        <f>#REF!</f>
        <v>#REF!</v>
      </c>
      <c r="D610" t="e">
        <f>#REF!</f>
        <v>#REF!</v>
      </c>
      <c r="E610" t="e">
        <f>#REF!</f>
        <v>#REF!</v>
      </c>
      <c r="F610" t="e">
        <f>#REF!</f>
        <v>#REF!</v>
      </c>
      <c r="G610" t="e">
        <f>#REF!</f>
        <v>#REF!</v>
      </c>
      <c r="H610" t="e">
        <f>#REF!</f>
        <v>#REF!</v>
      </c>
    </row>
    <row r="611" spans="1:8">
      <c r="A611" t="e">
        <f>#REF!</f>
        <v>#REF!</v>
      </c>
      <c r="B611" t="e">
        <f>#REF!</f>
        <v>#REF!</v>
      </c>
      <c r="C611" t="e">
        <f>#REF!</f>
        <v>#REF!</v>
      </c>
      <c r="D611" t="e">
        <f>#REF!</f>
        <v>#REF!</v>
      </c>
      <c r="E611" t="e">
        <f>#REF!</f>
        <v>#REF!</v>
      </c>
      <c r="F611" t="e">
        <f>#REF!</f>
        <v>#REF!</v>
      </c>
      <c r="G611" t="e">
        <f>#REF!</f>
        <v>#REF!</v>
      </c>
      <c r="H611" t="e">
        <f>#REF!</f>
        <v>#REF!</v>
      </c>
    </row>
    <row r="612" spans="1:8">
      <c r="A612" t="e">
        <f>#REF!</f>
        <v>#REF!</v>
      </c>
      <c r="B612" t="e">
        <f>#REF!</f>
        <v>#REF!</v>
      </c>
      <c r="C612" t="e">
        <f>#REF!</f>
        <v>#REF!</v>
      </c>
      <c r="D612" t="e">
        <f>#REF!</f>
        <v>#REF!</v>
      </c>
      <c r="E612" t="e">
        <f>#REF!</f>
        <v>#REF!</v>
      </c>
      <c r="F612" t="e">
        <f>#REF!</f>
        <v>#REF!</v>
      </c>
      <c r="G612" t="e">
        <f>#REF!</f>
        <v>#REF!</v>
      </c>
      <c r="H612" t="e">
        <f>#REF!</f>
        <v>#REF!</v>
      </c>
    </row>
    <row r="613" spans="1:8">
      <c r="A613" t="e">
        <f>#REF!</f>
        <v>#REF!</v>
      </c>
      <c r="B613" t="e">
        <f>#REF!</f>
        <v>#REF!</v>
      </c>
      <c r="C613" t="e">
        <f>#REF!</f>
        <v>#REF!</v>
      </c>
      <c r="D613" t="e">
        <f>#REF!</f>
        <v>#REF!</v>
      </c>
      <c r="E613" t="e">
        <f>#REF!</f>
        <v>#REF!</v>
      </c>
      <c r="F613" t="e">
        <f>#REF!</f>
        <v>#REF!</v>
      </c>
      <c r="G613" t="e">
        <f>#REF!</f>
        <v>#REF!</v>
      </c>
      <c r="H613" t="e">
        <f>#REF!</f>
        <v>#REF!</v>
      </c>
    </row>
    <row r="614" spans="1:8">
      <c r="A614" t="e">
        <f>#REF!</f>
        <v>#REF!</v>
      </c>
      <c r="B614" t="e">
        <f>#REF!</f>
        <v>#REF!</v>
      </c>
      <c r="C614" t="e">
        <f>#REF!</f>
        <v>#REF!</v>
      </c>
      <c r="D614" t="e">
        <f>#REF!</f>
        <v>#REF!</v>
      </c>
      <c r="E614" t="e">
        <f>#REF!</f>
        <v>#REF!</v>
      </c>
      <c r="F614" t="e">
        <f>#REF!</f>
        <v>#REF!</v>
      </c>
      <c r="G614" t="e">
        <f>#REF!</f>
        <v>#REF!</v>
      </c>
      <c r="H614" t="e">
        <f>#REF!</f>
        <v>#REF!</v>
      </c>
    </row>
    <row r="615" spans="1:8">
      <c r="A615" t="e">
        <f>#REF!</f>
        <v>#REF!</v>
      </c>
      <c r="B615" t="e">
        <f>#REF!</f>
        <v>#REF!</v>
      </c>
      <c r="C615" t="e">
        <f>#REF!</f>
        <v>#REF!</v>
      </c>
      <c r="D615" t="e">
        <f>#REF!</f>
        <v>#REF!</v>
      </c>
      <c r="E615" t="e">
        <f>#REF!</f>
        <v>#REF!</v>
      </c>
      <c r="F615" t="e">
        <f>#REF!</f>
        <v>#REF!</v>
      </c>
      <c r="G615" t="e">
        <f>#REF!</f>
        <v>#REF!</v>
      </c>
      <c r="H615" t="e">
        <f>#REF!</f>
        <v>#REF!</v>
      </c>
    </row>
    <row r="616" spans="1:8">
      <c r="A616" t="e">
        <f>#REF!</f>
        <v>#REF!</v>
      </c>
      <c r="B616" t="e">
        <f>#REF!</f>
        <v>#REF!</v>
      </c>
      <c r="C616" t="e">
        <f>#REF!</f>
        <v>#REF!</v>
      </c>
      <c r="D616" t="e">
        <f>#REF!</f>
        <v>#REF!</v>
      </c>
      <c r="E616" t="e">
        <f>#REF!</f>
        <v>#REF!</v>
      </c>
      <c r="F616" t="e">
        <f>#REF!</f>
        <v>#REF!</v>
      </c>
      <c r="G616" t="e">
        <f>#REF!</f>
        <v>#REF!</v>
      </c>
      <c r="H616" t="e">
        <f>#REF!</f>
        <v>#REF!</v>
      </c>
    </row>
    <row r="617" spans="1:8">
      <c r="A617" t="e">
        <f>#REF!</f>
        <v>#REF!</v>
      </c>
      <c r="B617" t="e">
        <f>#REF!</f>
        <v>#REF!</v>
      </c>
      <c r="C617" t="e">
        <f>#REF!</f>
        <v>#REF!</v>
      </c>
      <c r="D617" t="e">
        <f>#REF!</f>
        <v>#REF!</v>
      </c>
      <c r="E617" t="e">
        <f>#REF!</f>
        <v>#REF!</v>
      </c>
      <c r="F617" t="e">
        <f>#REF!</f>
        <v>#REF!</v>
      </c>
      <c r="G617" t="e">
        <f>#REF!</f>
        <v>#REF!</v>
      </c>
      <c r="H617" t="e">
        <f>#REF!</f>
        <v>#REF!</v>
      </c>
    </row>
    <row r="618" spans="1:8">
      <c r="A618" t="e">
        <f>#REF!</f>
        <v>#REF!</v>
      </c>
      <c r="B618" t="e">
        <f>#REF!</f>
        <v>#REF!</v>
      </c>
      <c r="C618" t="e">
        <f>#REF!</f>
        <v>#REF!</v>
      </c>
      <c r="D618" t="e">
        <f>#REF!</f>
        <v>#REF!</v>
      </c>
      <c r="E618" t="e">
        <f>#REF!</f>
        <v>#REF!</v>
      </c>
      <c r="F618" t="e">
        <f>#REF!</f>
        <v>#REF!</v>
      </c>
      <c r="G618" t="e">
        <f>#REF!</f>
        <v>#REF!</v>
      </c>
      <c r="H618" t="e">
        <f>#REF!</f>
        <v>#REF!</v>
      </c>
    </row>
    <row r="619" spans="1:8">
      <c r="A619" t="e">
        <f>#REF!</f>
        <v>#REF!</v>
      </c>
      <c r="B619" t="e">
        <f>#REF!</f>
        <v>#REF!</v>
      </c>
      <c r="C619" t="e">
        <f>#REF!</f>
        <v>#REF!</v>
      </c>
      <c r="D619" t="e">
        <f>#REF!</f>
        <v>#REF!</v>
      </c>
      <c r="E619" t="e">
        <f>#REF!</f>
        <v>#REF!</v>
      </c>
      <c r="F619" t="e">
        <f>#REF!</f>
        <v>#REF!</v>
      </c>
      <c r="G619" t="e">
        <f>#REF!</f>
        <v>#REF!</v>
      </c>
      <c r="H619" t="e">
        <f>#REF!</f>
        <v>#REF!</v>
      </c>
    </row>
    <row r="620" spans="1:8">
      <c r="A620" t="e">
        <f>#REF!</f>
        <v>#REF!</v>
      </c>
      <c r="B620" t="e">
        <f>#REF!</f>
        <v>#REF!</v>
      </c>
      <c r="C620" t="e">
        <f>#REF!</f>
        <v>#REF!</v>
      </c>
      <c r="D620" t="e">
        <f>#REF!</f>
        <v>#REF!</v>
      </c>
      <c r="E620" t="e">
        <f>#REF!</f>
        <v>#REF!</v>
      </c>
      <c r="F620" t="e">
        <f>#REF!</f>
        <v>#REF!</v>
      </c>
      <c r="G620" t="e">
        <f>#REF!</f>
        <v>#REF!</v>
      </c>
      <c r="H620" t="e">
        <f>#REF!</f>
        <v>#REF!</v>
      </c>
    </row>
    <row r="621" spans="1:8">
      <c r="A621" t="e">
        <f>#REF!</f>
        <v>#REF!</v>
      </c>
      <c r="B621" t="e">
        <f>#REF!</f>
        <v>#REF!</v>
      </c>
      <c r="C621" t="e">
        <f>#REF!</f>
        <v>#REF!</v>
      </c>
      <c r="D621" t="e">
        <f>#REF!</f>
        <v>#REF!</v>
      </c>
      <c r="E621" t="e">
        <f>#REF!</f>
        <v>#REF!</v>
      </c>
      <c r="F621" t="e">
        <f>#REF!</f>
        <v>#REF!</v>
      </c>
      <c r="G621" t="e">
        <f>#REF!</f>
        <v>#REF!</v>
      </c>
      <c r="H621" t="e">
        <f>#REF!</f>
        <v>#REF!</v>
      </c>
    </row>
    <row r="622" spans="1:8">
      <c r="A622" t="e">
        <f>#REF!</f>
        <v>#REF!</v>
      </c>
      <c r="B622" t="e">
        <f>#REF!</f>
        <v>#REF!</v>
      </c>
      <c r="C622" t="e">
        <f>#REF!</f>
        <v>#REF!</v>
      </c>
      <c r="D622" t="e">
        <f>#REF!</f>
        <v>#REF!</v>
      </c>
      <c r="E622" t="e">
        <f>#REF!</f>
        <v>#REF!</v>
      </c>
      <c r="F622" t="e">
        <f>#REF!</f>
        <v>#REF!</v>
      </c>
      <c r="G622" t="e">
        <f>#REF!</f>
        <v>#REF!</v>
      </c>
      <c r="H622" t="e">
        <f>#REF!</f>
        <v>#REF!</v>
      </c>
    </row>
    <row r="623" spans="1:8">
      <c r="A623" t="e">
        <f>#REF!</f>
        <v>#REF!</v>
      </c>
      <c r="B623" t="e">
        <f>#REF!</f>
        <v>#REF!</v>
      </c>
      <c r="C623" t="e">
        <f>#REF!</f>
        <v>#REF!</v>
      </c>
      <c r="D623" t="e">
        <f>#REF!</f>
        <v>#REF!</v>
      </c>
      <c r="E623" t="e">
        <f>#REF!</f>
        <v>#REF!</v>
      </c>
      <c r="F623" t="e">
        <f>#REF!</f>
        <v>#REF!</v>
      </c>
      <c r="G623" t="e">
        <f>#REF!</f>
        <v>#REF!</v>
      </c>
      <c r="H623" t="e">
        <f>#REF!</f>
        <v>#REF!</v>
      </c>
    </row>
    <row r="624" spans="1:8">
      <c r="A624" t="e">
        <f>#REF!</f>
        <v>#REF!</v>
      </c>
      <c r="B624" t="e">
        <f>#REF!</f>
        <v>#REF!</v>
      </c>
      <c r="C624" t="e">
        <f>#REF!</f>
        <v>#REF!</v>
      </c>
      <c r="D624" t="e">
        <f>#REF!</f>
        <v>#REF!</v>
      </c>
      <c r="E624" t="e">
        <f>#REF!</f>
        <v>#REF!</v>
      </c>
      <c r="F624" t="e">
        <f>#REF!</f>
        <v>#REF!</v>
      </c>
      <c r="G624" t="e">
        <f>#REF!</f>
        <v>#REF!</v>
      </c>
      <c r="H624" t="e">
        <f>#REF!</f>
        <v>#REF!</v>
      </c>
    </row>
    <row r="625" spans="1:8">
      <c r="A625" t="e">
        <f>#REF!</f>
        <v>#REF!</v>
      </c>
      <c r="B625" t="e">
        <f>#REF!</f>
        <v>#REF!</v>
      </c>
      <c r="C625" t="e">
        <f>#REF!</f>
        <v>#REF!</v>
      </c>
      <c r="D625" t="e">
        <f>#REF!</f>
        <v>#REF!</v>
      </c>
      <c r="E625" t="e">
        <f>#REF!</f>
        <v>#REF!</v>
      </c>
      <c r="F625" t="e">
        <f>#REF!</f>
        <v>#REF!</v>
      </c>
      <c r="G625" t="e">
        <f>#REF!</f>
        <v>#REF!</v>
      </c>
      <c r="H625" t="e">
        <f>#REF!</f>
        <v>#REF!</v>
      </c>
    </row>
    <row r="626" spans="1:8">
      <c r="A626" t="e">
        <f>#REF!</f>
        <v>#REF!</v>
      </c>
      <c r="B626" t="e">
        <f>#REF!</f>
        <v>#REF!</v>
      </c>
      <c r="C626" t="e">
        <f>#REF!</f>
        <v>#REF!</v>
      </c>
      <c r="D626" t="e">
        <f>#REF!</f>
        <v>#REF!</v>
      </c>
      <c r="E626" t="e">
        <f>#REF!</f>
        <v>#REF!</v>
      </c>
      <c r="F626" t="e">
        <f>#REF!</f>
        <v>#REF!</v>
      </c>
      <c r="G626" t="e">
        <f>#REF!</f>
        <v>#REF!</v>
      </c>
      <c r="H626" t="e">
        <f>#REF!</f>
        <v>#REF!</v>
      </c>
    </row>
    <row r="627" spans="1:8">
      <c r="A627" t="e">
        <f>#REF!</f>
        <v>#REF!</v>
      </c>
      <c r="B627" t="e">
        <f>#REF!</f>
        <v>#REF!</v>
      </c>
      <c r="C627" t="e">
        <f>#REF!</f>
        <v>#REF!</v>
      </c>
      <c r="D627" t="e">
        <f>#REF!</f>
        <v>#REF!</v>
      </c>
      <c r="E627" t="e">
        <f>#REF!</f>
        <v>#REF!</v>
      </c>
      <c r="F627" t="e">
        <f>#REF!</f>
        <v>#REF!</v>
      </c>
      <c r="G627" t="e">
        <f>#REF!</f>
        <v>#REF!</v>
      </c>
      <c r="H627" t="e">
        <f>#REF!</f>
        <v>#REF!</v>
      </c>
    </row>
    <row r="628" spans="1:8">
      <c r="A628" t="e">
        <f>#REF!</f>
        <v>#REF!</v>
      </c>
      <c r="B628" t="e">
        <f>#REF!</f>
        <v>#REF!</v>
      </c>
      <c r="C628" t="e">
        <f>#REF!</f>
        <v>#REF!</v>
      </c>
      <c r="D628" t="e">
        <f>#REF!</f>
        <v>#REF!</v>
      </c>
      <c r="E628" t="e">
        <f>#REF!</f>
        <v>#REF!</v>
      </c>
      <c r="F628" t="e">
        <f>#REF!</f>
        <v>#REF!</v>
      </c>
      <c r="G628" t="e">
        <f>#REF!</f>
        <v>#REF!</v>
      </c>
      <c r="H628" t="e">
        <f>#REF!</f>
        <v>#REF!</v>
      </c>
    </row>
    <row r="629" spans="1:8">
      <c r="A629" t="e">
        <f>#REF!</f>
        <v>#REF!</v>
      </c>
      <c r="B629" t="e">
        <f>#REF!</f>
        <v>#REF!</v>
      </c>
      <c r="C629" t="e">
        <f>#REF!</f>
        <v>#REF!</v>
      </c>
      <c r="D629" t="e">
        <f>#REF!</f>
        <v>#REF!</v>
      </c>
      <c r="E629" t="e">
        <f>#REF!</f>
        <v>#REF!</v>
      </c>
      <c r="F629" t="e">
        <f>#REF!</f>
        <v>#REF!</v>
      </c>
      <c r="G629" t="e">
        <f>#REF!</f>
        <v>#REF!</v>
      </c>
      <c r="H629" t="e">
        <f>#REF!</f>
        <v>#REF!</v>
      </c>
    </row>
    <row r="630" spans="1:8">
      <c r="A630" t="e">
        <f>#REF!</f>
        <v>#REF!</v>
      </c>
      <c r="B630" t="e">
        <f>#REF!</f>
        <v>#REF!</v>
      </c>
      <c r="C630" t="e">
        <f>#REF!</f>
        <v>#REF!</v>
      </c>
      <c r="D630" t="e">
        <f>#REF!</f>
        <v>#REF!</v>
      </c>
      <c r="E630" t="e">
        <f>#REF!</f>
        <v>#REF!</v>
      </c>
      <c r="F630" t="e">
        <f>#REF!</f>
        <v>#REF!</v>
      </c>
      <c r="G630" t="e">
        <f>#REF!</f>
        <v>#REF!</v>
      </c>
      <c r="H630" t="e">
        <f>#REF!</f>
        <v>#REF!</v>
      </c>
    </row>
    <row r="631" spans="1:8">
      <c r="A631" t="e">
        <f>#REF!</f>
        <v>#REF!</v>
      </c>
      <c r="B631" t="e">
        <f>#REF!</f>
        <v>#REF!</v>
      </c>
      <c r="C631" t="e">
        <f>#REF!</f>
        <v>#REF!</v>
      </c>
      <c r="D631" t="e">
        <f>#REF!</f>
        <v>#REF!</v>
      </c>
      <c r="E631" t="e">
        <f>#REF!</f>
        <v>#REF!</v>
      </c>
      <c r="F631" t="e">
        <f>#REF!</f>
        <v>#REF!</v>
      </c>
      <c r="G631" t="e">
        <f>#REF!</f>
        <v>#REF!</v>
      </c>
      <c r="H631" t="e">
        <f>#REF!</f>
        <v>#REF!</v>
      </c>
    </row>
    <row r="632" spans="1:8">
      <c r="A632" t="e">
        <f>#REF!</f>
        <v>#REF!</v>
      </c>
      <c r="B632" t="e">
        <f>#REF!</f>
        <v>#REF!</v>
      </c>
      <c r="C632" t="e">
        <f>#REF!</f>
        <v>#REF!</v>
      </c>
      <c r="D632" t="e">
        <f>#REF!</f>
        <v>#REF!</v>
      </c>
      <c r="E632" t="e">
        <f>#REF!</f>
        <v>#REF!</v>
      </c>
      <c r="F632" t="e">
        <f>#REF!</f>
        <v>#REF!</v>
      </c>
      <c r="G632" t="e">
        <f>#REF!</f>
        <v>#REF!</v>
      </c>
      <c r="H632" t="e">
        <f>#REF!</f>
        <v>#REF!</v>
      </c>
    </row>
    <row r="633" spans="1:8">
      <c r="A633" t="e">
        <f>#REF!</f>
        <v>#REF!</v>
      </c>
      <c r="B633" t="e">
        <f>#REF!</f>
        <v>#REF!</v>
      </c>
      <c r="C633" t="e">
        <f>#REF!</f>
        <v>#REF!</v>
      </c>
      <c r="D633" t="e">
        <f>#REF!</f>
        <v>#REF!</v>
      </c>
      <c r="E633" t="e">
        <f>#REF!</f>
        <v>#REF!</v>
      </c>
      <c r="F633" t="e">
        <f>#REF!</f>
        <v>#REF!</v>
      </c>
      <c r="G633" t="e">
        <f>#REF!</f>
        <v>#REF!</v>
      </c>
      <c r="H633" t="e">
        <f>#REF!</f>
        <v>#REF!</v>
      </c>
    </row>
    <row r="634" spans="1:8">
      <c r="A634" t="e">
        <f>#REF!</f>
        <v>#REF!</v>
      </c>
      <c r="B634" t="e">
        <f>#REF!</f>
        <v>#REF!</v>
      </c>
      <c r="C634" t="e">
        <f>#REF!</f>
        <v>#REF!</v>
      </c>
      <c r="D634" t="e">
        <f>#REF!</f>
        <v>#REF!</v>
      </c>
      <c r="E634" t="e">
        <f>#REF!</f>
        <v>#REF!</v>
      </c>
      <c r="F634" t="e">
        <f>#REF!</f>
        <v>#REF!</v>
      </c>
      <c r="G634" t="e">
        <f>#REF!</f>
        <v>#REF!</v>
      </c>
      <c r="H634" t="e">
        <f>#REF!</f>
        <v>#REF!</v>
      </c>
    </row>
    <row r="635" spans="1:8">
      <c r="A635" t="e">
        <f>#REF!</f>
        <v>#REF!</v>
      </c>
      <c r="B635" t="e">
        <f>#REF!</f>
        <v>#REF!</v>
      </c>
      <c r="C635" t="e">
        <f>#REF!</f>
        <v>#REF!</v>
      </c>
      <c r="D635" t="e">
        <f>#REF!</f>
        <v>#REF!</v>
      </c>
      <c r="E635" t="e">
        <f>#REF!</f>
        <v>#REF!</v>
      </c>
      <c r="F635" t="e">
        <f>#REF!</f>
        <v>#REF!</v>
      </c>
      <c r="G635" t="e">
        <f>#REF!</f>
        <v>#REF!</v>
      </c>
      <c r="H635" t="e">
        <f>#REF!</f>
        <v>#REF!</v>
      </c>
    </row>
    <row r="636" spans="1:8">
      <c r="A636" t="e">
        <f>#REF!</f>
        <v>#REF!</v>
      </c>
      <c r="B636" t="e">
        <f>#REF!</f>
        <v>#REF!</v>
      </c>
      <c r="C636" t="e">
        <f>#REF!</f>
        <v>#REF!</v>
      </c>
      <c r="D636" t="e">
        <f>#REF!</f>
        <v>#REF!</v>
      </c>
      <c r="E636" t="e">
        <f>#REF!</f>
        <v>#REF!</v>
      </c>
      <c r="F636" t="e">
        <f>#REF!</f>
        <v>#REF!</v>
      </c>
      <c r="G636" t="e">
        <f>#REF!</f>
        <v>#REF!</v>
      </c>
      <c r="H636" t="e">
        <f>#REF!</f>
        <v>#REF!</v>
      </c>
    </row>
    <row r="637" spans="1:8">
      <c r="A637" t="e">
        <f>#REF!</f>
        <v>#REF!</v>
      </c>
      <c r="B637" t="e">
        <f>#REF!</f>
        <v>#REF!</v>
      </c>
      <c r="C637" t="e">
        <f>#REF!</f>
        <v>#REF!</v>
      </c>
      <c r="D637" t="e">
        <f>#REF!</f>
        <v>#REF!</v>
      </c>
      <c r="E637" t="e">
        <f>#REF!</f>
        <v>#REF!</v>
      </c>
      <c r="F637" t="e">
        <f>#REF!</f>
        <v>#REF!</v>
      </c>
      <c r="G637" t="e">
        <f>#REF!</f>
        <v>#REF!</v>
      </c>
      <c r="H637" t="e">
        <f>#REF!</f>
        <v>#REF!</v>
      </c>
    </row>
    <row r="638" spans="1:8">
      <c r="A638" t="e">
        <f>#REF!</f>
        <v>#REF!</v>
      </c>
      <c r="B638" t="e">
        <f>#REF!</f>
        <v>#REF!</v>
      </c>
      <c r="C638" t="e">
        <f>#REF!</f>
        <v>#REF!</v>
      </c>
      <c r="D638" t="e">
        <f>#REF!</f>
        <v>#REF!</v>
      </c>
      <c r="E638" t="e">
        <f>#REF!</f>
        <v>#REF!</v>
      </c>
      <c r="F638" t="e">
        <f>#REF!</f>
        <v>#REF!</v>
      </c>
      <c r="G638" t="e">
        <f>#REF!</f>
        <v>#REF!</v>
      </c>
      <c r="H638" t="e">
        <f>#REF!</f>
        <v>#REF!</v>
      </c>
    </row>
    <row r="639" spans="1:8">
      <c r="A639" t="e">
        <f>#REF!</f>
        <v>#REF!</v>
      </c>
      <c r="B639" t="e">
        <f>#REF!</f>
        <v>#REF!</v>
      </c>
      <c r="C639" t="e">
        <f>#REF!</f>
        <v>#REF!</v>
      </c>
      <c r="D639" t="e">
        <f>#REF!</f>
        <v>#REF!</v>
      </c>
      <c r="E639" t="e">
        <f>#REF!</f>
        <v>#REF!</v>
      </c>
      <c r="F639" t="e">
        <f>#REF!</f>
        <v>#REF!</v>
      </c>
      <c r="G639" t="e">
        <f>#REF!</f>
        <v>#REF!</v>
      </c>
      <c r="H639" t="e">
        <f>#REF!</f>
        <v>#REF!</v>
      </c>
    </row>
    <row r="640" spans="1:8">
      <c r="A640" t="e">
        <f>#REF!</f>
        <v>#REF!</v>
      </c>
      <c r="B640" t="e">
        <f>#REF!</f>
        <v>#REF!</v>
      </c>
      <c r="C640" t="e">
        <f>#REF!</f>
        <v>#REF!</v>
      </c>
      <c r="D640" t="e">
        <f>#REF!</f>
        <v>#REF!</v>
      </c>
      <c r="E640" t="e">
        <f>#REF!</f>
        <v>#REF!</v>
      </c>
      <c r="F640" t="e">
        <f>#REF!</f>
        <v>#REF!</v>
      </c>
      <c r="G640" t="e">
        <f>#REF!</f>
        <v>#REF!</v>
      </c>
      <c r="H640" t="e">
        <f>#REF!</f>
        <v>#REF!</v>
      </c>
    </row>
    <row r="641" spans="1:8">
      <c r="A641" t="e">
        <f>#REF!</f>
        <v>#REF!</v>
      </c>
      <c r="B641" t="e">
        <f>#REF!</f>
        <v>#REF!</v>
      </c>
      <c r="C641" t="e">
        <f>#REF!</f>
        <v>#REF!</v>
      </c>
      <c r="D641" t="e">
        <f>#REF!</f>
        <v>#REF!</v>
      </c>
      <c r="E641" t="e">
        <f>#REF!</f>
        <v>#REF!</v>
      </c>
      <c r="F641" t="e">
        <f>#REF!</f>
        <v>#REF!</v>
      </c>
      <c r="G641" t="e">
        <f>#REF!</f>
        <v>#REF!</v>
      </c>
      <c r="H641" t="e">
        <f>#REF!</f>
        <v>#REF!</v>
      </c>
    </row>
    <row r="642" spans="1:8">
      <c r="A642" t="e">
        <f>#REF!</f>
        <v>#REF!</v>
      </c>
      <c r="B642" t="e">
        <f>#REF!</f>
        <v>#REF!</v>
      </c>
      <c r="C642" t="e">
        <f>#REF!</f>
        <v>#REF!</v>
      </c>
      <c r="D642" t="e">
        <f>#REF!</f>
        <v>#REF!</v>
      </c>
      <c r="E642" t="e">
        <f>#REF!</f>
        <v>#REF!</v>
      </c>
      <c r="F642" t="e">
        <f>#REF!</f>
        <v>#REF!</v>
      </c>
      <c r="G642" t="e">
        <f>#REF!</f>
        <v>#REF!</v>
      </c>
      <c r="H642" t="e">
        <f>#REF!</f>
        <v>#REF!</v>
      </c>
    </row>
    <row r="643" spans="1:8">
      <c r="A643" t="e">
        <f>#REF!</f>
        <v>#REF!</v>
      </c>
      <c r="B643" t="e">
        <f>#REF!</f>
        <v>#REF!</v>
      </c>
      <c r="C643" t="e">
        <f>#REF!</f>
        <v>#REF!</v>
      </c>
      <c r="D643" t="e">
        <f>#REF!</f>
        <v>#REF!</v>
      </c>
      <c r="E643" t="e">
        <f>#REF!</f>
        <v>#REF!</v>
      </c>
      <c r="F643" t="e">
        <f>#REF!</f>
        <v>#REF!</v>
      </c>
      <c r="G643" t="e">
        <f>#REF!</f>
        <v>#REF!</v>
      </c>
      <c r="H643" t="e">
        <f>#REF!</f>
        <v>#REF!</v>
      </c>
    </row>
    <row r="644" spans="1:8">
      <c r="A644" t="e">
        <f>#REF!</f>
        <v>#REF!</v>
      </c>
      <c r="B644" t="e">
        <f>#REF!</f>
        <v>#REF!</v>
      </c>
      <c r="C644" t="e">
        <f>#REF!</f>
        <v>#REF!</v>
      </c>
      <c r="D644" t="e">
        <f>#REF!</f>
        <v>#REF!</v>
      </c>
      <c r="E644" t="e">
        <f>#REF!</f>
        <v>#REF!</v>
      </c>
      <c r="F644" t="e">
        <f>#REF!</f>
        <v>#REF!</v>
      </c>
      <c r="G644" t="e">
        <f>#REF!</f>
        <v>#REF!</v>
      </c>
      <c r="H644" t="e">
        <f>#REF!</f>
        <v>#REF!</v>
      </c>
    </row>
    <row r="645" spans="1:8">
      <c r="A645" t="e">
        <f>#REF!</f>
        <v>#REF!</v>
      </c>
      <c r="B645" t="e">
        <f>#REF!</f>
        <v>#REF!</v>
      </c>
      <c r="C645" t="e">
        <f>#REF!</f>
        <v>#REF!</v>
      </c>
      <c r="D645" t="e">
        <f>#REF!</f>
        <v>#REF!</v>
      </c>
      <c r="E645" t="e">
        <f>#REF!</f>
        <v>#REF!</v>
      </c>
      <c r="F645" t="e">
        <f>#REF!</f>
        <v>#REF!</v>
      </c>
      <c r="G645" t="e">
        <f>#REF!</f>
        <v>#REF!</v>
      </c>
      <c r="H645" t="e">
        <f>#REF!</f>
        <v>#REF!</v>
      </c>
    </row>
    <row r="646" spans="1:8">
      <c r="A646" t="e">
        <f>#REF!</f>
        <v>#REF!</v>
      </c>
      <c r="B646" t="e">
        <f>#REF!</f>
        <v>#REF!</v>
      </c>
      <c r="C646" t="e">
        <f>#REF!</f>
        <v>#REF!</v>
      </c>
      <c r="D646" t="e">
        <f>#REF!</f>
        <v>#REF!</v>
      </c>
      <c r="E646" t="e">
        <f>#REF!</f>
        <v>#REF!</v>
      </c>
      <c r="F646" t="e">
        <f>#REF!</f>
        <v>#REF!</v>
      </c>
      <c r="G646" t="e">
        <f>#REF!</f>
        <v>#REF!</v>
      </c>
      <c r="H646" t="e">
        <f>#REF!</f>
        <v>#REF!</v>
      </c>
    </row>
    <row r="647" spans="1:8">
      <c r="A647" t="e">
        <f>#REF!</f>
        <v>#REF!</v>
      </c>
      <c r="B647" t="e">
        <f>#REF!</f>
        <v>#REF!</v>
      </c>
      <c r="C647" t="e">
        <f>#REF!</f>
        <v>#REF!</v>
      </c>
      <c r="D647" t="e">
        <f>#REF!</f>
        <v>#REF!</v>
      </c>
      <c r="E647" t="e">
        <f>#REF!</f>
        <v>#REF!</v>
      </c>
      <c r="F647" t="e">
        <f>#REF!</f>
        <v>#REF!</v>
      </c>
      <c r="G647" t="e">
        <f>#REF!</f>
        <v>#REF!</v>
      </c>
      <c r="H647" t="e">
        <f>#REF!</f>
        <v>#REF!</v>
      </c>
    </row>
    <row r="648" spans="1:8">
      <c r="A648" t="e">
        <f>#REF!</f>
        <v>#REF!</v>
      </c>
      <c r="B648" t="e">
        <f>#REF!</f>
        <v>#REF!</v>
      </c>
      <c r="C648" t="e">
        <f>#REF!</f>
        <v>#REF!</v>
      </c>
      <c r="D648" t="e">
        <f>#REF!</f>
        <v>#REF!</v>
      </c>
      <c r="E648" t="e">
        <f>#REF!</f>
        <v>#REF!</v>
      </c>
      <c r="F648" t="e">
        <f>#REF!</f>
        <v>#REF!</v>
      </c>
      <c r="G648" t="e">
        <f>#REF!</f>
        <v>#REF!</v>
      </c>
      <c r="H648" t="e">
        <f>#REF!</f>
        <v>#REF!</v>
      </c>
    </row>
    <row r="649" spans="1:8">
      <c r="A649" t="e">
        <f>#REF!</f>
        <v>#REF!</v>
      </c>
      <c r="B649" t="e">
        <f>#REF!</f>
        <v>#REF!</v>
      </c>
      <c r="C649" t="e">
        <f>#REF!</f>
        <v>#REF!</v>
      </c>
      <c r="D649" t="e">
        <f>#REF!</f>
        <v>#REF!</v>
      </c>
      <c r="E649" t="e">
        <f>#REF!</f>
        <v>#REF!</v>
      </c>
      <c r="F649" t="e">
        <f>#REF!</f>
        <v>#REF!</v>
      </c>
      <c r="G649" t="e">
        <f>#REF!</f>
        <v>#REF!</v>
      </c>
      <c r="H649" t="e">
        <f>#REF!</f>
        <v>#REF!</v>
      </c>
    </row>
    <row r="650" spans="1:8">
      <c r="A650" t="e">
        <f>#REF!</f>
        <v>#REF!</v>
      </c>
      <c r="B650" t="e">
        <f>#REF!</f>
        <v>#REF!</v>
      </c>
      <c r="C650" t="e">
        <f>#REF!</f>
        <v>#REF!</v>
      </c>
      <c r="D650" t="e">
        <f>#REF!</f>
        <v>#REF!</v>
      </c>
      <c r="E650" t="e">
        <f>#REF!</f>
        <v>#REF!</v>
      </c>
      <c r="F650" t="e">
        <f>#REF!</f>
        <v>#REF!</v>
      </c>
      <c r="G650" t="e">
        <f>#REF!</f>
        <v>#REF!</v>
      </c>
      <c r="H650" t="e">
        <f>#REF!</f>
        <v>#REF!</v>
      </c>
    </row>
    <row r="651" spans="1:8">
      <c r="A651" t="e">
        <f>#REF!</f>
        <v>#REF!</v>
      </c>
      <c r="B651" t="e">
        <f>#REF!</f>
        <v>#REF!</v>
      </c>
      <c r="C651" t="e">
        <f>#REF!</f>
        <v>#REF!</v>
      </c>
      <c r="D651" t="e">
        <f>#REF!</f>
        <v>#REF!</v>
      </c>
      <c r="E651" t="e">
        <f>#REF!</f>
        <v>#REF!</v>
      </c>
      <c r="F651" t="e">
        <f>#REF!</f>
        <v>#REF!</v>
      </c>
      <c r="G651" t="e">
        <f>#REF!</f>
        <v>#REF!</v>
      </c>
      <c r="H651" t="e">
        <f>#REF!</f>
        <v>#REF!</v>
      </c>
    </row>
    <row r="652" spans="1:8">
      <c r="A652" t="e">
        <f>#REF!</f>
        <v>#REF!</v>
      </c>
      <c r="B652" t="e">
        <f>#REF!</f>
        <v>#REF!</v>
      </c>
      <c r="C652" t="e">
        <f>#REF!</f>
        <v>#REF!</v>
      </c>
      <c r="D652" t="e">
        <f>#REF!</f>
        <v>#REF!</v>
      </c>
      <c r="E652" t="e">
        <f>#REF!</f>
        <v>#REF!</v>
      </c>
      <c r="F652" t="e">
        <f>#REF!</f>
        <v>#REF!</v>
      </c>
      <c r="G652" t="e">
        <f>#REF!</f>
        <v>#REF!</v>
      </c>
      <c r="H652" t="e">
        <f>#REF!</f>
        <v>#REF!</v>
      </c>
    </row>
    <row r="653" spans="1:8">
      <c r="A653" t="e">
        <f>#REF!</f>
        <v>#REF!</v>
      </c>
      <c r="B653" t="e">
        <f>#REF!</f>
        <v>#REF!</v>
      </c>
      <c r="C653" t="e">
        <f>#REF!</f>
        <v>#REF!</v>
      </c>
      <c r="D653" t="e">
        <f>#REF!</f>
        <v>#REF!</v>
      </c>
      <c r="E653" t="e">
        <f>#REF!</f>
        <v>#REF!</v>
      </c>
      <c r="F653" t="e">
        <f>#REF!</f>
        <v>#REF!</v>
      </c>
      <c r="G653" t="e">
        <f>#REF!</f>
        <v>#REF!</v>
      </c>
      <c r="H653" t="e">
        <f>#REF!</f>
        <v>#REF!</v>
      </c>
    </row>
    <row r="654" spans="1:8">
      <c r="A654" t="e">
        <f>#REF!</f>
        <v>#REF!</v>
      </c>
      <c r="B654" t="e">
        <f>#REF!</f>
        <v>#REF!</v>
      </c>
      <c r="C654" t="e">
        <f>#REF!</f>
        <v>#REF!</v>
      </c>
      <c r="D654" t="e">
        <f>#REF!</f>
        <v>#REF!</v>
      </c>
      <c r="E654" t="e">
        <f>#REF!</f>
        <v>#REF!</v>
      </c>
      <c r="F654" t="e">
        <f>#REF!</f>
        <v>#REF!</v>
      </c>
      <c r="G654" t="e">
        <f>#REF!</f>
        <v>#REF!</v>
      </c>
      <c r="H654" t="e">
        <f>#REF!</f>
        <v>#REF!</v>
      </c>
    </row>
    <row r="655" spans="1:8">
      <c r="A655" t="e">
        <f>#REF!</f>
        <v>#REF!</v>
      </c>
      <c r="B655" t="e">
        <f>#REF!</f>
        <v>#REF!</v>
      </c>
      <c r="C655" t="e">
        <f>#REF!</f>
        <v>#REF!</v>
      </c>
      <c r="D655" t="e">
        <f>#REF!</f>
        <v>#REF!</v>
      </c>
      <c r="E655" t="e">
        <f>#REF!</f>
        <v>#REF!</v>
      </c>
      <c r="F655" t="e">
        <f>#REF!</f>
        <v>#REF!</v>
      </c>
      <c r="G655" t="e">
        <f>#REF!</f>
        <v>#REF!</v>
      </c>
      <c r="H655" t="e">
        <f>#REF!</f>
        <v>#REF!</v>
      </c>
    </row>
    <row r="656" spans="1:8">
      <c r="A656" t="e">
        <f>#REF!</f>
        <v>#REF!</v>
      </c>
      <c r="B656" t="e">
        <f>#REF!</f>
        <v>#REF!</v>
      </c>
      <c r="C656" t="e">
        <f>#REF!</f>
        <v>#REF!</v>
      </c>
      <c r="D656" t="e">
        <f>#REF!</f>
        <v>#REF!</v>
      </c>
      <c r="E656" t="e">
        <f>#REF!</f>
        <v>#REF!</v>
      </c>
      <c r="F656" t="e">
        <f>#REF!</f>
        <v>#REF!</v>
      </c>
      <c r="G656" t="e">
        <f>#REF!</f>
        <v>#REF!</v>
      </c>
      <c r="H656" t="e">
        <f>#REF!</f>
        <v>#REF!</v>
      </c>
    </row>
    <row r="657" spans="1:8">
      <c r="A657" t="e">
        <f>#REF!</f>
        <v>#REF!</v>
      </c>
      <c r="B657" t="e">
        <f>#REF!</f>
        <v>#REF!</v>
      </c>
      <c r="C657" t="e">
        <f>#REF!</f>
        <v>#REF!</v>
      </c>
      <c r="D657" t="e">
        <f>#REF!</f>
        <v>#REF!</v>
      </c>
      <c r="E657" t="e">
        <f>#REF!</f>
        <v>#REF!</v>
      </c>
      <c r="F657" t="e">
        <f>#REF!</f>
        <v>#REF!</v>
      </c>
      <c r="G657" t="e">
        <f>#REF!</f>
        <v>#REF!</v>
      </c>
      <c r="H657" t="e">
        <f>#REF!</f>
        <v>#REF!</v>
      </c>
    </row>
    <row r="658" spans="1:8">
      <c r="A658" t="e">
        <f>#REF!</f>
        <v>#REF!</v>
      </c>
      <c r="B658" t="e">
        <f>#REF!</f>
        <v>#REF!</v>
      </c>
      <c r="C658" t="e">
        <f>#REF!</f>
        <v>#REF!</v>
      </c>
      <c r="D658" t="e">
        <f>#REF!</f>
        <v>#REF!</v>
      </c>
      <c r="E658" t="e">
        <f>#REF!</f>
        <v>#REF!</v>
      </c>
      <c r="F658" t="e">
        <f>#REF!</f>
        <v>#REF!</v>
      </c>
      <c r="G658" t="e">
        <f>#REF!</f>
        <v>#REF!</v>
      </c>
      <c r="H658" t="e">
        <f>#REF!</f>
        <v>#REF!</v>
      </c>
    </row>
    <row r="659" spans="1:8">
      <c r="A659" t="e">
        <f>#REF!</f>
        <v>#REF!</v>
      </c>
      <c r="B659" t="e">
        <f>#REF!</f>
        <v>#REF!</v>
      </c>
      <c r="C659" t="e">
        <f>#REF!</f>
        <v>#REF!</v>
      </c>
      <c r="D659" t="e">
        <f>#REF!</f>
        <v>#REF!</v>
      </c>
      <c r="E659" t="e">
        <f>#REF!</f>
        <v>#REF!</v>
      </c>
      <c r="F659" t="e">
        <f>#REF!</f>
        <v>#REF!</v>
      </c>
      <c r="G659" t="e">
        <f>#REF!</f>
        <v>#REF!</v>
      </c>
      <c r="H659" t="e">
        <f>#REF!</f>
        <v>#REF!</v>
      </c>
    </row>
    <row r="660" spans="1:8">
      <c r="A660" t="e">
        <f>#REF!</f>
        <v>#REF!</v>
      </c>
      <c r="B660" t="e">
        <f>#REF!</f>
        <v>#REF!</v>
      </c>
      <c r="C660" t="e">
        <f>#REF!</f>
        <v>#REF!</v>
      </c>
      <c r="D660" t="e">
        <f>#REF!</f>
        <v>#REF!</v>
      </c>
      <c r="E660" t="e">
        <f>#REF!</f>
        <v>#REF!</v>
      </c>
      <c r="F660" t="e">
        <f>#REF!</f>
        <v>#REF!</v>
      </c>
      <c r="G660" t="e">
        <f>#REF!</f>
        <v>#REF!</v>
      </c>
      <c r="H660" t="e">
        <f>#REF!</f>
        <v>#REF!</v>
      </c>
    </row>
    <row r="661" spans="1:8">
      <c r="A661" t="e">
        <f>#REF!</f>
        <v>#REF!</v>
      </c>
      <c r="B661" t="e">
        <f>#REF!</f>
        <v>#REF!</v>
      </c>
      <c r="C661" t="e">
        <f>#REF!</f>
        <v>#REF!</v>
      </c>
      <c r="D661" t="e">
        <f>#REF!</f>
        <v>#REF!</v>
      </c>
      <c r="E661" t="e">
        <f>#REF!</f>
        <v>#REF!</v>
      </c>
      <c r="F661" t="e">
        <f>#REF!</f>
        <v>#REF!</v>
      </c>
      <c r="G661" t="e">
        <f>#REF!</f>
        <v>#REF!</v>
      </c>
      <c r="H661" t="e">
        <f>#REF!</f>
        <v>#REF!</v>
      </c>
    </row>
    <row r="662" spans="1:8">
      <c r="A662" t="e">
        <f>#REF!</f>
        <v>#REF!</v>
      </c>
      <c r="B662" t="e">
        <f>#REF!</f>
        <v>#REF!</v>
      </c>
      <c r="C662" t="e">
        <f>#REF!</f>
        <v>#REF!</v>
      </c>
      <c r="D662" t="e">
        <f>#REF!</f>
        <v>#REF!</v>
      </c>
      <c r="E662" t="e">
        <f>#REF!</f>
        <v>#REF!</v>
      </c>
      <c r="F662" t="e">
        <f>#REF!</f>
        <v>#REF!</v>
      </c>
      <c r="G662" t="e">
        <f>#REF!</f>
        <v>#REF!</v>
      </c>
      <c r="H662" t="e">
        <f>#REF!</f>
        <v>#REF!</v>
      </c>
    </row>
    <row r="663" spans="1:8">
      <c r="A663" t="e">
        <f>#REF!</f>
        <v>#REF!</v>
      </c>
      <c r="B663" t="e">
        <f>#REF!</f>
        <v>#REF!</v>
      </c>
      <c r="C663" t="e">
        <f>#REF!</f>
        <v>#REF!</v>
      </c>
      <c r="D663" t="e">
        <f>#REF!</f>
        <v>#REF!</v>
      </c>
      <c r="E663" t="e">
        <f>#REF!</f>
        <v>#REF!</v>
      </c>
      <c r="F663" t="e">
        <f>#REF!</f>
        <v>#REF!</v>
      </c>
      <c r="G663" t="e">
        <f>#REF!</f>
        <v>#REF!</v>
      </c>
      <c r="H663" t="e">
        <f>#REF!</f>
        <v>#REF!</v>
      </c>
    </row>
    <row r="664" spans="1:8">
      <c r="A664" t="e">
        <f>#REF!</f>
        <v>#REF!</v>
      </c>
      <c r="B664" t="e">
        <f>#REF!</f>
        <v>#REF!</v>
      </c>
      <c r="C664" t="e">
        <f>#REF!</f>
        <v>#REF!</v>
      </c>
      <c r="D664" t="e">
        <f>#REF!</f>
        <v>#REF!</v>
      </c>
      <c r="E664" t="e">
        <f>#REF!</f>
        <v>#REF!</v>
      </c>
      <c r="F664" t="e">
        <f>#REF!</f>
        <v>#REF!</v>
      </c>
      <c r="G664" t="e">
        <f>#REF!</f>
        <v>#REF!</v>
      </c>
      <c r="H664" t="e">
        <f>#REF!</f>
        <v>#REF!</v>
      </c>
    </row>
    <row r="665" spans="1:8">
      <c r="A665" t="e">
        <f>#REF!</f>
        <v>#REF!</v>
      </c>
      <c r="B665" t="e">
        <f>#REF!</f>
        <v>#REF!</v>
      </c>
      <c r="C665" t="e">
        <f>#REF!</f>
        <v>#REF!</v>
      </c>
      <c r="D665" t="e">
        <f>#REF!</f>
        <v>#REF!</v>
      </c>
      <c r="E665" t="e">
        <f>#REF!</f>
        <v>#REF!</v>
      </c>
      <c r="F665" t="e">
        <f>#REF!</f>
        <v>#REF!</v>
      </c>
      <c r="G665" t="e">
        <f>#REF!</f>
        <v>#REF!</v>
      </c>
      <c r="H665" t="e">
        <f>#REF!</f>
        <v>#REF!</v>
      </c>
    </row>
    <row r="666" spans="1:8">
      <c r="A666" t="e">
        <f>#REF!</f>
        <v>#REF!</v>
      </c>
      <c r="B666" t="e">
        <f>#REF!</f>
        <v>#REF!</v>
      </c>
      <c r="C666" t="e">
        <f>#REF!</f>
        <v>#REF!</v>
      </c>
      <c r="D666" t="e">
        <f>#REF!</f>
        <v>#REF!</v>
      </c>
      <c r="E666" t="e">
        <f>#REF!</f>
        <v>#REF!</v>
      </c>
      <c r="F666" t="e">
        <f>#REF!</f>
        <v>#REF!</v>
      </c>
      <c r="G666" t="e">
        <f>#REF!</f>
        <v>#REF!</v>
      </c>
      <c r="H666" t="e">
        <f>#REF!</f>
        <v>#REF!</v>
      </c>
    </row>
    <row r="667" spans="1:8">
      <c r="A667" t="e">
        <f>#REF!</f>
        <v>#REF!</v>
      </c>
      <c r="B667" t="e">
        <f>#REF!</f>
        <v>#REF!</v>
      </c>
      <c r="C667" t="e">
        <f>#REF!</f>
        <v>#REF!</v>
      </c>
      <c r="D667" t="e">
        <f>#REF!</f>
        <v>#REF!</v>
      </c>
      <c r="E667" t="e">
        <f>#REF!</f>
        <v>#REF!</v>
      </c>
      <c r="F667" t="e">
        <f>#REF!</f>
        <v>#REF!</v>
      </c>
      <c r="G667" t="e">
        <f>#REF!</f>
        <v>#REF!</v>
      </c>
      <c r="H667" t="e">
        <f>#REF!</f>
        <v>#REF!</v>
      </c>
    </row>
    <row r="668" spans="1:8">
      <c r="A668" t="e">
        <f>#REF!</f>
        <v>#REF!</v>
      </c>
      <c r="B668" t="e">
        <f>#REF!</f>
        <v>#REF!</v>
      </c>
      <c r="C668" t="e">
        <f>#REF!</f>
        <v>#REF!</v>
      </c>
      <c r="D668" t="e">
        <f>#REF!</f>
        <v>#REF!</v>
      </c>
      <c r="E668" t="e">
        <f>#REF!</f>
        <v>#REF!</v>
      </c>
      <c r="F668" t="e">
        <f>#REF!</f>
        <v>#REF!</v>
      </c>
      <c r="G668" t="e">
        <f>#REF!</f>
        <v>#REF!</v>
      </c>
      <c r="H668" t="e">
        <f>#REF!</f>
        <v>#REF!</v>
      </c>
    </row>
    <row r="669" spans="1:8">
      <c r="A669" t="e">
        <f>#REF!</f>
        <v>#REF!</v>
      </c>
      <c r="B669" t="e">
        <f>#REF!</f>
        <v>#REF!</v>
      </c>
      <c r="C669" t="e">
        <f>#REF!</f>
        <v>#REF!</v>
      </c>
      <c r="D669" t="e">
        <f>#REF!</f>
        <v>#REF!</v>
      </c>
      <c r="E669" t="e">
        <f>#REF!</f>
        <v>#REF!</v>
      </c>
      <c r="F669" t="e">
        <f>#REF!</f>
        <v>#REF!</v>
      </c>
      <c r="G669" t="e">
        <f>#REF!</f>
        <v>#REF!</v>
      </c>
      <c r="H669" t="e">
        <f>#REF!</f>
        <v>#REF!</v>
      </c>
    </row>
    <row r="670" spans="1:8">
      <c r="A670" t="e">
        <f>#REF!</f>
        <v>#REF!</v>
      </c>
      <c r="B670" t="e">
        <f>#REF!</f>
        <v>#REF!</v>
      </c>
      <c r="C670" t="e">
        <f>#REF!</f>
        <v>#REF!</v>
      </c>
      <c r="D670" t="e">
        <f>#REF!</f>
        <v>#REF!</v>
      </c>
      <c r="E670" t="e">
        <f>#REF!</f>
        <v>#REF!</v>
      </c>
      <c r="F670" t="e">
        <f>#REF!</f>
        <v>#REF!</v>
      </c>
      <c r="G670" t="e">
        <f>#REF!</f>
        <v>#REF!</v>
      </c>
      <c r="H670" t="e">
        <f>#REF!</f>
        <v>#REF!</v>
      </c>
    </row>
    <row r="671" spans="1:8">
      <c r="A671" t="e">
        <f>#REF!</f>
        <v>#REF!</v>
      </c>
      <c r="B671" t="e">
        <f>#REF!</f>
        <v>#REF!</v>
      </c>
      <c r="C671" t="e">
        <f>#REF!</f>
        <v>#REF!</v>
      </c>
      <c r="D671" t="e">
        <f>#REF!</f>
        <v>#REF!</v>
      </c>
      <c r="E671" t="e">
        <f>#REF!</f>
        <v>#REF!</v>
      </c>
      <c r="F671" t="e">
        <f>#REF!</f>
        <v>#REF!</v>
      </c>
      <c r="G671" t="e">
        <f>#REF!</f>
        <v>#REF!</v>
      </c>
      <c r="H671" t="e">
        <f>#REF!</f>
        <v>#REF!</v>
      </c>
    </row>
    <row r="672" spans="1:8">
      <c r="A672" t="e">
        <f>#REF!</f>
        <v>#REF!</v>
      </c>
      <c r="B672" t="e">
        <f>#REF!</f>
        <v>#REF!</v>
      </c>
      <c r="C672" t="e">
        <f>#REF!</f>
        <v>#REF!</v>
      </c>
      <c r="D672" t="e">
        <f>#REF!</f>
        <v>#REF!</v>
      </c>
      <c r="E672" t="e">
        <f>#REF!</f>
        <v>#REF!</v>
      </c>
      <c r="F672" t="e">
        <f>#REF!</f>
        <v>#REF!</v>
      </c>
      <c r="G672" t="e">
        <f>#REF!</f>
        <v>#REF!</v>
      </c>
      <c r="H672" t="e">
        <f>#REF!</f>
        <v>#REF!</v>
      </c>
    </row>
    <row r="673" spans="1:8">
      <c r="A673" t="e">
        <f>#REF!</f>
        <v>#REF!</v>
      </c>
      <c r="B673" t="e">
        <f>#REF!</f>
        <v>#REF!</v>
      </c>
      <c r="C673" t="e">
        <f>#REF!</f>
        <v>#REF!</v>
      </c>
      <c r="D673" t="e">
        <f>#REF!</f>
        <v>#REF!</v>
      </c>
      <c r="E673" t="e">
        <f>#REF!</f>
        <v>#REF!</v>
      </c>
      <c r="F673" t="e">
        <f>#REF!</f>
        <v>#REF!</v>
      </c>
      <c r="G673" t="e">
        <f>#REF!</f>
        <v>#REF!</v>
      </c>
      <c r="H673" t="e">
        <f>#REF!</f>
        <v>#REF!</v>
      </c>
    </row>
    <row r="674" spans="1:8">
      <c r="A674" t="e">
        <f>#REF!</f>
        <v>#REF!</v>
      </c>
      <c r="B674" t="e">
        <f>#REF!</f>
        <v>#REF!</v>
      </c>
      <c r="C674" t="e">
        <f>#REF!</f>
        <v>#REF!</v>
      </c>
      <c r="D674" t="e">
        <f>#REF!</f>
        <v>#REF!</v>
      </c>
      <c r="E674" t="e">
        <f>#REF!</f>
        <v>#REF!</v>
      </c>
      <c r="F674" t="e">
        <f>#REF!</f>
        <v>#REF!</v>
      </c>
      <c r="G674" t="e">
        <f>#REF!</f>
        <v>#REF!</v>
      </c>
      <c r="H674" t="e">
        <f>#REF!</f>
        <v>#REF!</v>
      </c>
    </row>
    <row r="675" spans="1:8">
      <c r="A675" t="e">
        <f>#REF!</f>
        <v>#REF!</v>
      </c>
      <c r="B675" t="e">
        <f>#REF!</f>
        <v>#REF!</v>
      </c>
      <c r="C675" t="e">
        <f>#REF!</f>
        <v>#REF!</v>
      </c>
      <c r="D675" t="e">
        <f>#REF!</f>
        <v>#REF!</v>
      </c>
      <c r="E675" t="e">
        <f>#REF!</f>
        <v>#REF!</v>
      </c>
      <c r="F675" t="e">
        <f>#REF!</f>
        <v>#REF!</v>
      </c>
      <c r="G675" t="e">
        <f>#REF!</f>
        <v>#REF!</v>
      </c>
      <c r="H675" t="e">
        <f>#REF!</f>
        <v>#REF!</v>
      </c>
    </row>
    <row r="676" spans="1:8">
      <c r="A676" t="e">
        <f>#REF!</f>
        <v>#REF!</v>
      </c>
      <c r="B676" t="e">
        <f>#REF!</f>
        <v>#REF!</v>
      </c>
      <c r="C676" t="e">
        <f>#REF!</f>
        <v>#REF!</v>
      </c>
      <c r="D676" t="e">
        <f>#REF!</f>
        <v>#REF!</v>
      </c>
      <c r="E676" t="e">
        <f>#REF!</f>
        <v>#REF!</v>
      </c>
      <c r="F676" t="e">
        <f>#REF!</f>
        <v>#REF!</v>
      </c>
      <c r="G676" t="e">
        <f>#REF!</f>
        <v>#REF!</v>
      </c>
      <c r="H676" t="e">
        <f>#REF!</f>
        <v>#REF!</v>
      </c>
    </row>
    <row r="677" spans="1:8">
      <c r="A677" t="e">
        <f>#REF!</f>
        <v>#REF!</v>
      </c>
      <c r="B677" t="e">
        <f>#REF!</f>
        <v>#REF!</v>
      </c>
      <c r="C677" t="e">
        <f>#REF!</f>
        <v>#REF!</v>
      </c>
      <c r="D677" t="e">
        <f>#REF!</f>
        <v>#REF!</v>
      </c>
      <c r="E677" t="e">
        <f>#REF!</f>
        <v>#REF!</v>
      </c>
      <c r="F677" t="e">
        <f>#REF!</f>
        <v>#REF!</v>
      </c>
      <c r="G677" t="e">
        <f>#REF!</f>
        <v>#REF!</v>
      </c>
      <c r="H677" t="e">
        <f>#REF!</f>
        <v>#REF!</v>
      </c>
    </row>
    <row r="678" spans="1:8">
      <c r="A678" t="e">
        <f>#REF!</f>
        <v>#REF!</v>
      </c>
      <c r="B678" t="e">
        <f>#REF!</f>
        <v>#REF!</v>
      </c>
      <c r="C678" t="e">
        <f>#REF!</f>
        <v>#REF!</v>
      </c>
      <c r="D678" t="e">
        <f>#REF!</f>
        <v>#REF!</v>
      </c>
      <c r="E678" t="e">
        <f>#REF!</f>
        <v>#REF!</v>
      </c>
      <c r="F678" t="e">
        <f>#REF!</f>
        <v>#REF!</v>
      </c>
      <c r="G678" t="e">
        <f>#REF!</f>
        <v>#REF!</v>
      </c>
      <c r="H678" t="e">
        <f>#REF!</f>
        <v>#REF!</v>
      </c>
    </row>
    <row r="679" spans="1:8">
      <c r="A679" t="e">
        <f>#REF!</f>
        <v>#REF!</v>
      </c>
      <c r="B679" t="e">
        <f>#REF!</f>
        <v>#REF!</v>
      </c>
      <c r="C679" t="e">
        <f>#REF!</f>
        <v>#REF!</v>
      </c>
      <c r="D679" t="e">
        <f>#REF!</f>
        <v>#REF!</v>
      </c>
      <c r="E679" t="e">
        <f>#REF!</f>
        <v>#REF!</v>
      </c>
      <c r="F679" t="e">
        <f>#REF!</f>
        <v>#REF!</v>
      </c>
      <c r="G679" t="e">
        <f>#REF!</f>
        <v>#REF!</v>
      </c>
      <c r="H679" t="e">
        <f>#REF!</f>
        <v>#REF!</v>
      </c>
    </row>
    <row r="680" spans="1:8">
      <c r="A680" t="e">
        <f>#REF!</f>
        <v>#REF!</v>
      </c>
      <c r="B680" t="e">
        <f>#REF!</f>
        <v>#REF!</v>
      </c>
      <c r="C680" t="e">
        <f>#REF!</f>
        <v>#REF!</v>
      </c>
      <c r="D680" t="e">
        <f>#REF!</f>
        <v>#REF!</v>
      </c>
      <c r="E680" t="e">
        <f>#REF!</f>
        <v>#REF!</v>
      </c>
      <c r="F680" t="e">
        <f>#REF!</f>
        <v>#REF!</v>
      </c>
      <c r="G680" t="e">
        <f>#REF!</f>
        <v>#REF!</v>
      </c>
      <c r="H680" t="e">
        <f>#REF!</f>
        <v>#REF!</v>
      </c>
    </row>
    <row r="681" spans="1:8">
      <c r="A681" t="e">
        <f>#REF!</f>
        <v>#REF!</v>
      </c>
      <c r="B681" t="e">
        <f>#REF!</f>
        <v>#REF!</v>
      </c>
      <c r="C681" t="e">
        <f>#REF!</f>
        <v>#REF!</v>
      </c>
      <c r="D681" t="e">
        <f>#REF!</f>
        <v>#REF!</v>
      </c>
      <c r="E681" t="e">
        <f>#REF!</f>
        <v>#REF!</v>
      </c>
      <c r="F681" t="e">
        <f>#REF!</f>
        <v>#REF!</v>
      </c>
      <c r="G681" t="e">
        <f>#REF!</f>
        <v>#REF!</v>
      </c>
      <c r="H681" t="e">
        <f>#REF!</f>
        <v>#REF!</v>
      </c>
    </row>
    <row r="682" spans="1:8">
      <c r="A682" t="e">
        <f>#REF!</f>
        <v>#REF!</v>
      </c>
      <c r="B682" t="e">
        <f>#REF!</f>
        <v>#REF!</v>
      </c>
      <c r="C682" t="e">
        <f>#REF!</f>
        <v>#REF!</v>
      </c>
      <c r="D682" t="e">
        <f>#REF!</f>
        <v>#REF!</v>
      </c>
      <c r="E682" t="e">
        <f>#REF!</f>
        <v>#REF!</v>
      </c>
      <c r="F682" t="e">
        <f>#REF!</f>
        <v>#REF!</v>
      </c>
      <c r="G682" t="e">
        <f>#REF!</f>
        <v>#REF!</v>
      </c>
      <c r="H682" t="e">
        <f>#REF!</f>
        <v>#REF!</v>
      </c>
    </row>
    <row r="683" spans="1:8">
      <c r="A683" t="e">
        <f>#REF!</f>
        <v>#REF!</v>
      </c>
      <c r="B683" t="e">
        <f>#REF!</f>
        <v>#REF!</v>
      </c>
      <c r="C683" t="e">
        <f>#REF!</f>
        <v>#REF!</v>
      </c>
      <c r="D683" t="e">
        <f>#REF!</f>
        <v>#REF!</v>
      </c>
      <c r="E683" t="e">
        <f>#REF!</f>
        <v>#REF!</v>
      </c>
      <c r="F683" t="e">
        <f>#REF!</f>
        <v>#REF!</v>
      </c>
      <c r="G683" t="e">
        <f>#REF!</f>
        <v>#REF!</v>
      </c>
      <c r="H683" t="e">
        <f>#REF!</f>
        <v>#REF!</v>
      </c>
    </row>
    <row r="684" spans="1:8">
      <c r="A684" t="e">
        <f>#REF!</f>
        <v>#REF!</v>
      </c>
      <c r="B684" t="e">
        <f>#REF!</f>
        <v>#REF!</v>
      </c>
      <c r="C684" t="e">
        <f>#REF!</f>
        <v>#REF!</v>
      </c>
      <c r="D684" t="e">
        <f>#REF!</f>
        <v>#REF!</v>
      </c>
      <c r="E684" t="e">
        <f>#REF!</f>
        <v>#REF!</v>
      </c>
      <c r="F684" t="e">
        <f>#REF!</f>
        <v>#REF!</v>
      </c>
      <c r="G684" t="e">
        <f>#REF!</f>
        <v>#REF!</v>
      </c>
      <c r="H684" t="e">
        <f>#REF!</f>
        <v>#REF!</v>
      </c>
    </row>
    <row r="685" spans="1:8">
      <c r="A685" t="e">
        <f>#REF!</f>
        <v>#REF!</v>
      </c>
      <c r="B685" t="e">
        <f>#REF!</f>
        <v>#REF!</v>
      </c>
      <c r="C685" t="e">
        <f>#REF!</f>
        <v>#REF!</v>
      </c>
      <c r="D685" t="e">
        <f>#REF!</f>
        <v>#REF!</v>
      </c>
      <c r="E685" t="e">
        <f>#REF!</f>
        <v>#REF!</v>
      </c>
      <c r="F685" t="e">
        <f>#REF!</f>
        <v>#REF!</v>
      </c>
      <c r="G685" t="e">
        <f>#REF!</f>
        <v>#REF!</v>
      </c>
      <c r="H685" t="e">
        <f>#REF!</f>
        <v>#REF!</v>
      </c>
    </row>
    <row r="686" spans="1:8">
      <c r="A686" t="e">
        <f>#REF!</f>
        <v>#REF!</v>
      </c>
      <c r="B686" t="e">
        <f>#REF!</f>
        <v>#REF!</v>
      </c>
      <c r="C686" t="e">
        <f>#REF!</f>
        <v>#REF!</v>
      </c>
      <c r="D686" t="e">
        <f>#REF!</f>
        <v>#REF!</v>
      </c>
      <c r="E686" t="e">
        <f>#REF!</f>
        <v>#REF!</v>
      </c>
      <c r="F686" t="e">
        <f>#REF!</f>
        <v>#REF!</v>
      </c>
      <c r="G686" t="e">
        <f>#REF!</f>
        <v>#REF!</v>
      </c>
      <c r="H686" t="e">
        <f>#REF!</f>
        <v>#REF!</v>
      </c>
    </row>
    <row r="687" spans="1:8">
      <c r="A687" t="e">
        <f>#REF!</f>
        <v>#REF!</v>
      </c>
      <c r="B687" t="e">
        <f>#REF!</f>
        <v>#REF!</v>
      </c>
      <c r="C687" t="e">
        <f>#REF!</f>
        <v>#REF!</v>
      </c>
      <c r="D687" t="e">
        <f>#REF!</f>
        <v>#REF!</v>
      </c>
      <c r="E687" t="e">
        <f>#REF!</f>
        <v>#REF!</v>
      </c>
      <c r="F687" t="e">
        <f>#REF!</f>
        <v>#REF!</v>
      </c>
      <c r="G687" t="e">
        <f>#REF!</f>
        <v>#REF!</v>
      </c>
      <c r="H687" t="e">
        <f>#REF!</f>
        <v>#REF!</v>
      </c>
    </row>
    <row r="688" spans="1:8">
      <c r="A688" t="e">
        <f>#REF!</f>
        <v>#REF!</v>
      </c>
      <c r="B688" t="e">
        <f>#REF!</f>
        <v>#REF!</v>
      </c>
      <c r="C688" t="e">
        <f>#REF!</f>
        <v>#REF!</v>
      </c>
      <c r="D688" t="e">
        <f>#REF!</f>
        <v>#REF!</v>
      </c>
      <c r="E688" t="e">
        <f>#REF!</f>
        <v>#REF!</v>
      </c>
      <c r="F688" t="e">
        <f>#REF!</f>
        <v>#REF!</v>
      </c>
      <c r="G688" t="e">
        <f>#REF!</f>
        <v>#REF!</v>
      </c>
      <c r="H688" t="e">
        <f>#REF!</f>
        <v>#REF!</v>
      </c>
    </row>
    <row r="689" spans="1:8">
      <c r="A689" t="e">
        <f>#REF!</f>
        <v>#REF!</v>
      </c>
      <c r="B689" t="e">
        <f>#REF!</f>
        <v>#REF!</v>
      </c>
      <c r="C689" t="e">
        <f>#REF!</f>
        <v>#REF!</v>
      </c>
      <c r="D689" t="e">
        <f>#REF!</f>
        <v>#REF!</v>
      </c>
      <c r="E689" t="e">
        <f>#REF!</f>
        <v>#REF!</v>
      </c>
      <c r="F689" t="e">
        <f>#REF!</f>
        <v>#REF!</v>
      </c>
      <c r="G689" t="e">
        <f>#REF!</f>
        <v>#REF!</v>
      </c>
      <c r="H689" t="e">
        <f>#REF!</f>
        <v>#REF!</v>
      </c>
    </row>
    <row r="690" spans="1:8">
      <c r="A690" t="e">
        <f>#REF!</f>
        <v>#REF!</v>
      </c>
      <c r="B690" t="e">
        <f>#REF!</f>
        <v>#REF!</v>
      </c>
      <c r="C690" t="e">
        <f>#REF!</f>
        <v>#REF!</v>
      </c>
      <c r="D690" t="e">
        <f>#REF!</f>
        <v>#REF!</v>
      </c>
      <c r="E690" t="e">
        <f>#REF!</f>
        <v>#REF!</v>
      </c>
      <c r="F690" t="e">
        <f>#REF!</f>
        <v>#REF!</v>
      </c>
      <c r="G690" t="e">
        <f>#REF!</f>
        <v>#REF!</v>
      </c>
      <c r="H690" t="e">
        <f>#REF!</f>
        <v>#REF!</v>
      </c>
    </row>
    <row r="691" spans="1:8">
      <c r="A691" t="e">
        <f>#REF!</f>
        <v>#REF!</v>
      </c>
      <c r="B691" t="e">
        <f>#REF!</f>
        <v>#REF!</v>
      </c>
      <c r="C691" t="e">
        <f>#REF!</f>
        <v>#REF!</v>
      </c>
      <c r="D691" t="e">
        <f>#REF!</f>
        <v>#REF!</v>
      </c>
      <c r="E691" t="e">
        <f>#REF!</f>
        <v>#REF!</v>
      </c>
      <c r="F691" t="e">
        <f>#REF!</f>
        <v>#REF!</v>
      </c>
      <c r="G691" t="e">
        <f>#REF!</f>
        <v>#REF!</v>
      </c>
      <c r="H691" t="e">
        <f>#REF!</f>
        <v>#REF!</v>
      </c>
    </row>
    <row r="692" spans="1:8">
      <c r="A692" t="e">
        <f>#REF!</f>
        <v>#REF!</v>
      </c>
      <c r="B692" t="e">
        <f>#REF!</f>
        <v>#REF!</v>
      </c>
      <c r="C692" t="e">
        <f>#REF!</f>
        <v>#REF!</v>
      </c>
      <c r="D692" t="e">
        <f>#REF!</f>
        <v>#REF!</v>
      </c>
      <c r="E692" t="e">
        <f>#REF!</f>
        <v>#REF!</v>
      </c>
      <c r="F692" t="e">
        <f>#REF!</f>
        <v>#REF!</v>
      </c>
      <c r="G692" t="e">
        <f>#REF!</f>
        <v>#REF!</v>
      </c>
      <c r="H692" t="e">
        <f>#REF!</f>
        <v>#REF!</v>
      </c>
    </row>
    <row r="693" spans="1:8">
      <c r="A693" t="e">
        <f>#REF!</f>
        <v>#REF!</v>
      </c>
      <c r="B693" t="e">
        <f>#REF!</f>
        <v>#REF!</v>
      </c>
      <c r="C693" t="e">
        <f>#REF!</f>
        <v>#REF!</v>
      </c>
      <c r="D693" t="e">
        <f>#REF!</f>
        <v>#REF!</v>
      </c>
      <c r="E693" t="e">
        <f>#REF!</f>
        <v>#REF!</v>
      </c>
      <c r="F693" t="e">
        <f>#REF!</f>
        <v>#REF!</v>
      </c>
      <c r="G693" t="e">
        <f>#REF!</f>
        <v>#REF!</v>
      </c>
      <c r="H693" t="e">
        <f>#REF!</f>
        <v>#REF!</v>
      </c>
    </row>
    <row r="694" spans="1:8">
      <c r="A694" t="e">
        <f>#REF!</f>
        <v>#REF!</v>
      </c>
      <c r="B694" t="e">
        <f>#REF!</f>
        <v>#REF!</v>
      </c>
      <c r="C694" t="e">
        <f>#REF!</f>
        <v>#REF!</v>
      </c>
      <c r="D694" t="e">
        <f>#REF!</f>
        <v>#REF!</v>
      </c>
      <c r="E694" t="e">
        <f>#REF!</f>
        <v>#REF!</v>
      </c>
      <c r="F694" t="e">
        <f>#REF!</f>
        <v>#REF!</v>
      </c>
      <c r="G694" t="e">
        <f>#REF!</f>
        <v>#REF!</v>
      </c>
      <c r="H694" t="e">
        <f>#REF!</f>
        <v>#REF!</v>
      </c>
    </row>
    <row r="695" spans="1:8">
      <c r="A695" t="e">
        <f>#REF!</f>
        <v>#REF!</v>
      </c>
      <c r="B695" t="e">
        <f>#REF!</f>
        <v>#REF!</v>
      </c>
      <c r="C695" t="e">
        <f>#REF!</f>
        <v>#REF!</v>
      </c>
      <c r="D695" t="e">
        <f>#REF!</f>
        <v>#REF!</v>
      </c>
      <c r="E695" t="e">
        <f>#REF!</f>
        <v>#REF!</v>
      </c>
      <c r="F695" t="e">
        <f>#REF!</f>
        <v>#REF!</v>
      </c>
      <c r="G695" t="e">
        <f>#REF!</f>
        <v>#REF!</v>
      </c>
      <c r="H695" t="e">
        <f>#REF!</f>
        <v>#REF!</v>
      </c>
    </row>
    <row r="696" spans="1:8">
      <c r="A696" t="e">
        <f>#REF!</f>
        <v>#REF!</v>
      </c>
      <c r="B696" t="e">
        <f>#REF!</f>
        <v>#REF!</v>
      </c>
      <c r="C696" t="e">
        <f>#REF!</f>
        <v>#REF!</v>
      </c>
      <c r="D696" t="e">
        <f>#REF!</f>
        <v>#REF!</v>
      </c>
      <c r="E696" t="e">
        <f>#REF!</f>
        <v>#REF!</v>
      </c>
      <c r="F696" t="e">
        <f>#REF!</f>
        <v>#REF!</v>
      </c>
      <c r="G696" t="e">
        <f>#REF!</f>
        <v>#REF!</v>
      </c>
      <c r="H696" t="e">
        <f>#REF!</f>
        <v>#REF!</v>
      </c>
    </row>
    <row r="697" spans="1:8">
      <c r="A697" t="e">
        <f>#REF!</f>
        <v>#REF!</v>
      </c>
      <c r="B697" t="e">
        <f>#REF!</f>
        <v>#REF!</v>
      </c>
      <c r="C697" t="e">
        <f>#REF!</f>
        <v>#REF!</v>
      </c>
      <c r="D697" t="e">
        <f>#REF!</f>
        <v>#REF!</v>
      </c>
      <c r="E697" t="e">
        <f>#REF!</f>
        <v>#REF!</v>
      </c>
      <c r="F697" t="e">
        <f>#REF!</f>
        <v>#REF!</v>
      </c>
      <c r="G697" t="e">
        <f>#REF!</f>
        <v>#REF!</v>
      </c>
      <c r="H697" t="e">
        <f>#REF!</f>
        <v>#REF!</v>
      </c>
    </row>
    <row r="698" spans="1:8">
      <c r="A698" t="e">
        <f>#REF!</f>
        <v>#REF!</v>
      </c>
      <c r="B698" t="e">
        <f>#REF!</f>
        <v>#REF!</v>
      </c>
      <c r="C698" t="e">
        <f>#REF!</f>
        <v>#REF!</v>
      </c>
      <c r="D698" t="e">
        <f>#REF!</f>
        <v>#REF!</v>
      </c>
      <c r="E698" t="e">
        <f>#REF!</f>
        <v>#REF!</v>
      </c>
      <c r="F698" t="e">
        <f>#REF!</f>
        <v>#REF!</v>
      </c>
      <c r="G698" t="e">
        <f>#REF!</f>
        <v>#REF!</v>
      </c>
      <c r="H698" t="e">
        <f>#REF!</f>
        <v>#REF!</v>
      </c>
    </row>
    <row r="699" spans="1:8">
      <c r="A699" t="e">
        <f>#REF!</f>
        <v>#REF!</v>
      </c>
      <c r="B699" t="e">
        <f>#REF!</f>
        <v>#REF!</v>
      </c>
      <c r="C699" t="e">
        <f>#REF!</f>
        <v>#REF!</v>
      </c>
      <c r="D699" t="e">
        <f>#REF!</f>
        <v>#REF!</v>
      </c>
      <c r="E699" t="e">
        <f>#REF!</f>
        <v>#REF!</v>
      </c>
      <c r="F699" t="e">
        <f>#REF!</f>
        <v>#REF!</v>
      </c>
      <c r="G699" t="e">
        <f>#REF!</f>
        <v>#REF!</v>
      </c>
      <c r="H699" t="e">
        <f>#REF!</f>
        <v>#REF!</v>
      </c>
    </row>
    <row r="700" spans="1:8">
      <c r="A700" t="e">
        <f>#REF!</f>
        <v>#REF!</v>
      </c>
      <c r="B700" t="e">
        <f>#REF!</f>
        <v>#REF!</v>
      </c>
      <c r="C700" t="e">
        <f>#REF!</f>
        <v>#REF!</v>
      </c>
      <c r="D700" t="e">
        <f>#REF!</f>
        <v>#REF!</v>
      </c>
      <c r="E700" t="e">
        <f>#REF!</f>
        <v>#REF!</v>
      </c>
      <c r="F700" t="e">
        <f>#REF!</f>
        <v>#REF!</v>
      </c>
      <c r="G700" t="e">
        <f>#REF!</f>
        <v>#REF!</v>
      </c>
      <c r="H700" t="e">
        <f>#REF!</f>
        <v>#REF!</v>
      </c>
    </row>
    <row r="701" spans="1:8">
      <c r="A701" t="e">
        <f>#REF!</f>
        <v>#REF!</v>
      </c>
      <c r="B701" t="e">
        <f>#REF!</f>
        <v>#REF!</v>
      </c>
      <c r="C701" t="e">
        <f>#REF!</f>
        <v>#REF!</v>
      </c>
      <c r="D701" t="e">
        <f>#REF!</f>
        <v>#REF!</v>
      </c>
      <c r="E701" t="e">
        <f>#REF!</f>
        <v>#REF!</v>
      </c>
      <c r="F701" t="e">
        <f>#REF!</f>
        <v>#REF!</v>
      </c>
      <c r="G701" t="e">
        <f>#REF!</f>
        <v>#REF!</v>
      </c>
      <c r="H701" t="e">
        <f>#REF!</f>
        <v>#REF!</v>
      </c>
    </row>
    <row r="702" spans="1:8">
      <c r="A702" t="e">
        <f>#REF!</f>
        <v>#REF!</v>
      </c>
      <c r="B702" t="e">
        <f>#REF!</f>
        <v>#REF!</v>
      </c>
      <c r="C702" t="e">
        <f>#REF!</f>
        <v>#REF!</v>
      </c>
      <c r="D702" t="e">
        <f>#REF!</f>
        <v>#REF!</v>
      </c>
      <c r="E702" t="e">
        <f>#REF!</f>
        <v>#REF!</v>
      </c>
      <c r="F702" t="e">
        <f>#REF!</f>
        <v>#REF!</v>
      </c>
      <c r="G702" t="e">
        <f>#REF!</f>
        <v>#REF!</v>
      </c>
      <c r="H702" t="e">
        <f>#REF!</f>
        <v>#REF!</v>
      </c>
    </row>
    <row r="703" spans="1:8">
      <c r="A703" t="e">
        <f>#REF!</f>
        <v>#REF!</v>
      </c>
      <c r="B703" t="e">
        <f>#REF!</f>
        <v>#REF!</v>
      </c>
      <c r="C703" t="e">
        <f>#REF!</f>
        <v>#REF!</v>
      </c>
      <c r="D703" t="e">
        <f>#REF!</f>
        <v>#REF!</v>
      </c>
      <c r="E703" t="e">
        <f>#REF!</f>
        <v>#REF!</v>
      </c>
      <c r="F703" t="e">
        <f>#REF!</f>
        <v>#REF!</v>
      </c>
      <c r="G703" t="e">
        <f>#REF!</f>
        <v>#REF!</v>
      </c>
      <c r="H703" t="e">
        <f>#REF!</f>
        <v>#REF!</v>
      </c>
    </row>
    <row r="704" spans="1:8">
      <c r="A704" t="e">
        <f>#REF!</f>
        <v>#REF!</v>
      </c>
      <c r="B704" t="e">
        <f>#REF!</f>
        <v>#REF!</v>
      </c>
      <c r="C704" t="e">
        <f>#REF!</f>
        <v>#REF!</v>
      </c>
      <c r="D704" t="e">
        <f>#REF!</f>
        <v>#REF!</v>
      </c>
      <c r="E704" t="e">
        <f>#REF!</f>
        <v>#REF!</v>
      </c>
      <c r="F704" t="e">
        <f>#REF!</f>
        <v>#REF!</v>
      </c>
      <c r="G704" t="e">
        <f>#REF!</f>
        <v>#REF!</v>
      </c>
      <c r="H704" t="e">
        <f>#REF!</f>
        <v>#REF!</v>
      </c>
    </row>
    <row r="705" spans="1:8">
      <c r="A705" t="e">
        <f>#REF!</f>
        <v>#REF!</v>
      </c>
      <c r="B705" t="e">
        <f>#REF!</f>
        <v>#REF!</v>
      </c>
      <c r="C705" t="e">
        <f>#REF!</f>
        <v>#REF!</v>
      </c>
      <c r="D705" t="e">
        <f>#REF!</f>
        <v>#REF!</v>
      </c>
      <c r="E705" t="e">
        <f>#REF!</f>
        <v>#REF!</v>
      </c>
      <c r="F705" t="e">
        <f>#REF!</f>
        <v>#REF!</v>
      </c>
      <c r="G705" t="e">
        <f>#REF!</f>
        <v>#REF!</v>
      </c>
      <c r="H705" t="e">
        <f>#REF!</f>
        <v>#REF!</v>
      </c>
    </row>
    <row r="706" spans="1:8">
      <c r="A706" t="e">
        <f>#REF!</f>
        <v>#REF!</v>
      </c>
      <c r="B706" t="e">
        <f>#REF!</f>
        <v>#REF!</v>
      </c>
      <c r="C706" t="e">
        <f>#REF!</f>
        <v>#REF!</v>
      </c>
      <c r="D706" t="e">
        <f>#REF!</f>
        <v>#REF!</v>
      </c>
      <c r="E706" t="e">
        <f>#REF!</f>
        <v>#REF!</v>
      </c>
      <c r="F706" t="e">
        <f>#REF!</f>
        <v>#REF!</v>
      </c>
      <c r="G706" t="e">
        <f>#REF!</f>
        <v>#REF!</v>
      </c>
      <c r="H706" t="e">
        <f>#REF!</f>
        <v>#REF!</v>
      </c>
    </row>
    <row r="707" spans="1:8">
      <c r="A707" t="e">
        <f>#REF!</f>
        <v>#REF!</v>
      </c>
      <c r="B707" t="e">
        <f>#REF!</f>
        <v>#REF!</v>
      </c>
      <c r="C707" t="e">
        <f>#REF!</f>
        <v>#REF!</v>
      </c>
      <c r="D707" t="e">
        <f>#REF!</f>
        <v>#REF!</v>
      </c>
      <c r="E707" t="e">
        <f>#REF!</f>
        <v>#REF!</v>
      </c>
      <c r="F707" t="e">
        <f>#REF!</f>
        <v>#REF!</v>
      </c>
      <c r="G707" t="e">
        <f>#REF!</f>
        <v>#REF!</v>
      </c>
      <c r="H707" t="e">
        <f>#REF!</f>
        <v>#REF!</v>
      </c>
    </row>
    <row r="708" spans="1:8">
      <c r="A708" t="e">
        <f>#REF!</f>
        <v>#REF!</v>
      </c>
      <c r="B708" t="e">
        <f>#REF!</f>
        <v>#REF!</v>
      </c>
      <c r="C708" t="e">
        <f>#REF!</f>
        <v>#REF!</v>
      </c>
      <c r="D708" t="e">
        <f>#REF!</f>
        <v>#REF!</v>
      </c>
      <c r="E708" t="e">
        <f>#REF!</f>
        <v>#REF!</v>
      </c>
      <c r="F708" t="e">
        <f>#REF!</f>
        <v>#REF!</v>
      </c>
      <c r="G708" t="e">
        <f>#REF!</f>
        <v>#REF!</v>
      </c>
      <c r="H708" t="e">
        <f>#REF!</f>
        <v>#REF!</v>
      </c>
    </row>
    <row r="709" spans="1:8">
      <c r="A709" t="e">
        <f>#REF!</f>
        <v>#REF!</v>
      </c>
      <c r="B709" t="e">
        <f>#REF!</f>
        <v>#REF!</v>
      </c>
      <c r="C709" t="e">
        <f>#REF!</f>
        <v>#REF!</v>
      </c>
      <c r="D709" t="e">
        <f>#REF!</f>
        <v>#REF!</v>
      </c>
      <c r="E709" t="e">
        <f>#REF!</f>
        <v>#REF!</v>
      </c>
      <c r="F709" t="e">
        <f>#REF!</f>
        <v>#REF!</v>
      </c>
      <c r="G709" t="e">
        <f>#REF!</f>
        <v>#REF!</v>
      </c>
      <c r="H709" t="e">
        <f>#REF!</f>
        <v>#REF!</v>
      </c>
    </row>
    <row r="710" spans="1:8">
      <c r="A710" t="e">
        <f>#REF!</f>
        <v>#REF!</v>
      </c>
      <c r="B710" t="e">
        <f>#REF!</f>
        <v>#REF!</v>
      </c>
      <c r="C710" t="e">
        <f>#REF!</f>
        <v>#REF!</v>
      </c>
      <c r="D710" t="e">
        <f>#REF!</f>
        <v>#REF!</v>
      </c>
      <c r="E710" t="e">
        <f>#REF!</f>
        <v>#REF!</v>
      </c>
      <c r="F710" t="e">
        <f>#REF!</f>
        <v>#REF!</v>
      </c>
      <c r="G710" t="e">
        <f>#REF!</f>
        <v>#REF!</v>
      </c>
      <c r="H710" t="e">
        <f>#REF!</f>
        <v>#REF!</v>
      </c>
    </row>
    <row r="711" spans="1:8">
      <c r="A711" t="e">
        <f>#REF!</f>
        <v>#REF!</v>
      </c>
      <c r="B711" t="e">
        <f>#REF!</f>
        <v>#REF!</v>
      </c>
      <c r="C711" t="e">
        <f>#REF!</f>
        <v>#REF!</v>
      </c>
      <c r="D711" t="e">
        <f>#REF!</f>
        <v>#REF!</v>
      </c>
      <c r="E711" t="e">
        <f>#REF!</f>
        <v>#REF!</v>
      </c>
      <c r="F711" t="e">
        <f>#REF!</f>
        <v>#REF!</v>
      </c>
      <c r="G711" t="e">
        <f>#REF!</f>
        <v>#REF!</v>
      </c>
      <c r="H711" t="e">
        <f>#REF!</f>
        <v>#REF!</v>
      </c>
    </row>
    <row r="712" spans="1:8">
      <c r="A712" t="e">
        <f>#REF!</f>
        <v>#REF!</v>
      </c>
      <c r="B712" t="e">
        <f>#REF!</f>
        <v>#REF!</v>
      </c>
      <c r="C712" t="e">
        <f>#REF!</f>
        <v>#REF!</v>
      </c>
      <c r="D712" t="e">
        <f>#REF!</f>
        <v>#REF!</v>
      </c>
      <c r="E712" t="e">
        <f>#REF!</f>
        <v>#REF!</v>
      </c>
      <c r="F712" t="e">
        <f>#REF!</f>
        <v>#REF!</v>
      </c>
      <c r="G712" t="e">
        <f>#REF!</f>
        <v>#REF!</v>
      </c>
      <c r="H712" t="e">
        <f>#REF!</f>
        <v>#REF!</v>
      </c>
    </row>
    <row r="713" spans="1:8">
      <c r="A713" t="e">
        <f>#REF!</f>
        <v>#REF!</v>
      </c>
      <c r="B713" t="e">
        <f>#REF!</f>
        <v>#REF!</v>
      </c>
      <c r="C713" t="e">
        <f>#REF!</f>
        <v>#REF!</v>
      </c>
      <c r="D713" t="e">
        <f>#REF!</f>
        <v>#REF!</v>
      </c>
      <c r="E713" t="e">
        <f>#REF!</f>
        <v>#REF!</v>
      </c>
      <c r="F713" t="e">
        <f>#REF!</f>
        <v>#REF!</v>
      </c>
      <c r="G713" t="e">
        <f>#REF!</f>
        <v>#REF!</v>
      </c>
      <c r="H713" t="e">
        <f>#REF!</f>
        <v>#REF!</v>
      </c>
    </row>
    <row r="714" spans="1:8">
      <c r="A714" t="e">
        <f>#REF!</f>
        <v>#REF!</v>
      </c>
      <c r="B714" t="e">
        <f>#REF!</f>
        <v>#REF!</v>
      </c>
      <c r="C714" t="e">
        <f>#REF!</f>
        <v>#REF!</v>
      </c>
      <c r="D714" t="e">
        <f>#REF!</f>
        <v>#REF!</v>
      </c>
      <c r="E714" t="e">
        <f>#REF!</f>
        <v>#REF!</v>
      </c>
      <c r="F714" t="e">
        <f>#REF!</f>
        <v>#REF!</v>
      </c>
      <c r="G714" t="e">
        <f>#REF!</f>
        <v>#REF!</v>
      </c>
      <c r="H714" t="e">
        <f>#REF!</f>
        <v>#REF!</v>
      </c>
    </row>
    <row r="715" spans="1:8">
      <c r="A715" t="e">
        <f>#REF!</f>
        <v>#REF!</v>
      </c>
      <c r="B715" t="e">
        <f>#REF!</f>
        <v>#REF!</v>
      </c>
      <c r="C715" t="e">
        <f>#REF!</f>
        <v>#REF!</v>
      </c>
      <c r="D715" t="e">
        <f>#REF!</f>
        <v>#REF!</v>
      </c>
      <c r="E715" t="e">
        <f>#REF!</f>
        <v>#REF!</v>
      </c>
      <c r="F715" t="e">
        <f>#REF!</f>
        <v>#REF!</v>
      </c>
      <c r="G715" t="e">
        <f>#REF!</f>
        <v>#REF!</v>
      </c>
      <c r="H715" t="e">
        <f>#REF!</f>
        <v>#REF!</v>
      </c>
    </row>
    <row r="716" spans="1:8">
      <c r="A716" t="e">
        <f>#REF!</f>
        <v>#REF!</v>
      </c>
      <c r="B716" t="e">
        <f>#REF!</f>
        <v>#REF!</v>
      </c>
      <c r="C716" t="e">
        <f>#REF!</f>
        <v>#REF!</v>
      </c>
      <c r="D716" t="e">
        <f>#REF!</f>
        <v>#REF!</v>
      </c>
      <c r="E716" t="e">
        <f>#REF!</f>
        <v>#REF!</v>
      </c>
      <c r="F716" t="e">
        <f>#REF!</f>
        <v>#REF!</v>
      </c>
      <c r="G716" t="e">
        <f>#REF!</f>
        <v>#REF!</v>
      </c>
      <c r="H716" t="e">
        <f>#REF!</f>
        <v>#REF!</v>
      </c>
    </row>
    <row r="717" spans="1:8">
      <c r="A717" t="e">
        <f>#REF!</f>
        <v>#REF!</v>
      </c>
      <c r="B717" t="e">
        <f>#REF!</f>
        <v>#REF!</v>
      </c>
      <c r="C717" t="e">
        <f>#REF!</f>
        <v>#REF!</v>
      </c>
      <c r="D717" t="e">
        <f>#REF!</f>
        <v>#REF!</v>
      </c>
      <c r="E717" t="e">
        <f>#REF!</f>
        <v>#REF!</v>
      </c>
      <c r="F717" t="e">
        <f>#REF!</f>
        <v>#REF!</v>
      </c>
      <c r="G717" t="e">
        <f>#REF!</f>
        <v>#REF!</v>
      </c>
      <c r="H717" t="e">
        <f>#REF!</f>
        <v>#REF!</v>
      </c>
    </row>
    <row r="718" spans="1:8">
      <c r="A718" t="e">
        <f>#REF!</f>
        <v>#REF!</v>
      </c>
      <c r="B718" t="e">
        <f>#REF!</f>
        <v>#REF!</v>
      </c>
      <c r="C718" t="e">
        <f>#REF!</f>
        <v>#REF!</v>
      </c>
      <c r="D718" t="e">
        <f>#REF!</f>
        <v>#REF!</v>
      </c>
      <c r="E718" t="e">
        <f>#REF!</f>
        <v>#REF!</v>
      </c>
      <c r="F718" t="e">
        <f>#REF!</f>
        <v>#REF!</v>
      </c>
      <c r="G718" t="e">
        <f>#REF!</f>
        <v>#REF!</v>
      </c>
      <c r="H718" t="e">
        <f>#REF!</f>
        <v>#REF!</v>
      </c>
    </row>
    <row r="719" spans="1:8">
      <c r="A719" t="e">
        <f>#REF!</f>
        <v>#REF!</v>
      </c>
      <c r="B719" t="e">
        <f>#REF!</f>
        <v>#REF!</v>
      </c>
      <c r="C719" t="e">
        <f>#REF!</f>
        <v>#REF!</v>
      </c>
      <c r="D719" t="e">
        <f>#REF!</f>
        <v>#REF!</v>
      </c>
      <c r="E719" t="e">
        <f>#REF!</f>
        <v>#REF!</v>
      </c>
      <c r="F719" t="e">
        <f>#REF!</f>
        <v>#REF!</v>
      </c>
      <c r="G719" t="e">
        <f>#REF!</f>
        <v>#REF!</v>
      </c>
      <c r="H719" t="e">
        <f>#REF!</f>
        <v>#REF!</v>
      </c>
    </row>
    <row r="720" spans="1:8">
      <c r="A720" t="e">
        <f>#REF!</f>
        <v>#REF!</v>
      </c>
      <c r="B720" t="e">
        <f>#REF!</f>
        <v>#REF!</v>
      </c>
      <c r="C720" t="e">
        <f>#REF!</f>
        <v>#REF!</v>
      </c>
      <c r="D720" t="e">
        <f>#REF!</f>
        <v>#REF!</v>
      </c>
      <c r="E720" t="e">
        <f>#REF!</f>
        <v>#REF!</v>
      </c>
      <c r="F720" t="e">
        <f>#REF!</f>
        <v>#REF!</v>
      </c>
      <c r="G720" t="e">
        <f>#REF!</f>
        <v>#REF!</v>
      </c>
      <c r="H720" t="e">
        <f>#REF!</f>
        <v>#REF!</v>
      </c>
    </row>
    <row r="721" spans="1:8">
      <c r="A721" t="e">
        <f>#REF!</f>
        <v>#REF!</v>
      </c>
      <c r="B721" t="e">
        <f>#REF!</f>
        <v>#REF!</v>
      </c>
      <c r="C721" t="e">
        <f>#REF!</f>
        <v>#REF!</v>
      </c>
      <c r="D721" t="e">
        <f>#REF!</f>
        <v>#REF!</v>
      </c>
      <c r="E721" t="e">
        <f>#REF!</f>
        <v>#REF!</v>
      </c>
      <c r="F721" t="e">
        <f>#REF!</f>
        <v>#REF!</v>
      </c>
      <c r="G721" t="e">
        <f>#REF!</f>
        <v>#REF!</v>
      </c>
      <c r="H721" t="e">
        <f>#REF!</f>
        <v>#REF!</v>
      </c>
    </row>
    <row r="722" spans="1:8">
      <c r="A722" t="e">
        <f>#REF!</f>
        <v>#REF!</v>
      </c>
      <c r="B722" t="e">
        <f>#REF!</f>
        <v>#REF!</v>
      </c>
      <c r="C722" t="e">
        <f>#REF!</f>
        <v>#REF!</v>
      </c>
      <c r="D722" t="e">
        <f>#REF!</f>
        <v>#REF!</v>
      </c>
      <c r="E722" t="e">
        <f>#REF!</f>
        <v>#REF!</v>
      </c>
      <c r="F722" t="e">
        <f>#REF!</f>
        <v>#REF!</v>
      </c>
      <c r="G722" t="e">
        <f>#REF!</f>
        <v>#REF!</v>
      </c>
      <c r="H722" t="e">
        <f>#REF!</f>
        <v>#REF!</v>
      </c>
    </row>
    <row r="723" spans="1:8">
      <c r="A723" t="e">
        <f>#REF!</f>
        <v>#REF!</v>
      </c>
      <c r="B723" t="e">
        <f>#REF!</f>
        <v>#REF!</v>
      </c>
      <c r="C723" t="e">
        <f>#REF!</f>
        <v>#REF!</v>
      </c>
      <c r="D723" t="e">
        <f>#REF!</f>
        <v>#REF!</v>
      </c>
      <c r="E723" t="e">
        <f>#REF!</f>
        <v>#REF!</v>
      </c>
      <c r="F723" t="e">
        <f>#REF!</f>
        <v>#REF!</v>
      </c>
      <c r="G723" t="e">
        <f>#REF!</f>
        <v>#REF!</v>
      </c>
      <c r="H723" t="e">
        <f>#REF!</f>
        <v>#REF!</v>
      </c>
    </row>
    <row r="724" spans="1:8">
      <c r="A724" t="e">
        <f>#REF!</f>
        <v>#REF!</v>
      </c>
      <c r="B724" t="e">
        <f>#REF!</f>
        <v>#REF!</v>
      </c>
      <c r="C724" t="e">
        <f>#REF!</f>
        <v>#REF!</v>
      </c>
      <c r="D724" t="e">
        <f>#REF!</f>
        <v>#REF!</v>
      </c>
      <c r="E724" t="e">
        <f>#REF!</f>
        <v>#REF!</v>
      </c>
      <c r="F724" t="e">
        <f>#REF!</f>
        <v>#REF!</v>
      </c>
      <c r="G724" t="e">
        <f>#REF!</f>
        <v>#REF!</v>
      </c>
      <c r="H724" t="e">
        <f>#REF!</f>
        <v>#REF!</v>
      </c>
    </row>
    <row r="725" spans="1:8">
      <c r="A725" t="e">
        <f>#REF!</f>
        <v>#REF!</v>
      </c>
      <c r="B725" t="e">
        <f>#REF!</f>
        <v>#REF!</v>
      </c>
      <c r="C725" t="e">
        <f>#REF!</f>
        <v>#REF!</v>
      </c>
      <c r="D725" t="e">
        <f>#REF!</f>
        <v>#REF!</v>
      </c>
      <c r="E725" t="e">
        <f>#REF!</f>
        <v>#REF!</v>
      </c>
      <c r="F725" t="e">
        <f>#REF!</f>
        <v>#REF!</v>
      </c>
      <c r="G725" t="e">
        <f>#REF!</f>
        <v>#REF!</v>
      </c>
      <c r="H725" t="e">
        <f>#REF!</f>
        <v>#REF!</v>
      </c>
    </row>
    <row r="726" spans="1:8">
      <c r="A726" t="e">
        <f>#REF!</f>
        <v>#REF!</v>
      </c>
      <c r="B726" t="e">
        <f>#REF!</f>
        <v>#REF!</v>
      </c>
      <c r="C726" t="e">
        <f>#REF!</f>
        <v>#REF!</v>
      </c>
      <c r="D726" t="e">
        <f>#REF!</f>
        <v>#REF!</v>
      </c>
      <c r="E726" t="e">
        <f>#REF!</f>
        <v>#REF!</v>
      </c>
      <c r="F726" t="e">
        <f>#REF!</f>
        <v>#REF!</v>
      </c>
      <c r="G726" t="e">
        <f>#REF!</f>
        <v>#REF!</v>
      </c>
      <c r="H726" t="e">
        <f>#REF!</f>
        <v>#REF!</v>
      </c>
    </row>
    <row r="727" spans="1:8">
      <c r="A727" t="e">
        <f>#REF!</f>
        <v>#REF!</v>
      </c>
      <c r="B727" t="e">
        <f>#REF!</f>
        <v>#REF!</v>
      </c>
      <c r="C727" t="e">
        <f>#REF!</f>
        <v>#REF!</v>
      </c>
      <c r="D727" t="e">
        <f>#REF!</f>
        <v>#REF!</v>
      </c>
      <c r="E727" t="e">
        <f>#REF!</f>
        <v>#REF!</v>
      </c>
      <c r="F727" t="e">
        <f>#REF!</f>
        <v>#REF!</v>
      </c>
      <c r="G727" t="e">
        <f>#REF!</f>
        <v>#REF!</v>
      </c>
      <c r="H727" t="e">
        <f>#REF!</f>
        <v>#REF!</v>
      </c>
    </row>
    <row r="728" spans="1:8">
      <c r="A728" t="e">
        <f>#REF!</f>
        <v>#REF!</v>
      </c>
      <c r="B728" t="e">
        <f>#REF!</f>
        <v>#REF!</v>
      </c>
      <c r="C728" t="e">
        <f>#REF!</f>
        <v>#REF!</v>
      </c>
      <c r="D728" t="e">
        <f>#REF!</f>
        <v>#REF!</v>
      </c>
      <c r="E728" t="e">
        <f>#REF!</f>
        <v>#REF!</v>
      </c>
      <c r="F728" t="e">
        <f>#REF!</f>
        <v>#REF!</v>
      </c>
      <c r="G728" t="e">
        <f>#REF!</f>
        <v>#REF!</v>
      </c>
      <c r="H728" t="e">
        <f>#REF!</f>
        <v>#REF!</v>
      </c>
    </row>
    <row r="729" spans="1:8">
      <c r="A729" t="e">
        <f>#REF!</f>
        <v>#REF!</v>
      </c>
      <c r="B729" t="e">
        <f>#REF!</f>
        <v>#REF!</v>
      </c>
      <c r="C729" t="e">
        <f>#REF!</f>
        <v>#REF!</v>
      </c>
      <c r="D729" t="e">
        <f>#REF!</f>
        <v>#REF!</v>
      </c>
      <c r="E729" t="e">
        <f>#REF!</f>
        <v>#REF!</v>
      </c>
      <c r="F729" t="e">
        <f>#REF!</f>
        <v>#REF!</v>
      </c>
      <c r="G729" t="e">
        <f>#REF!</f>
        <v>#REF!</v>
      </c>
      <c r="H729" t="e">
        <f>#REF!</f>
        <v>#REF!</v>
      </c>
    </row>
    <row r="730" spans="1:8">
      <c r="A730" t="e">
        <f>#REF!</f>
        <v>#REF!</v>
      </c>
      <c r="B730" t="e">
        <f>#REF!</f>
        <v>#REF!</v>
      </c>
      <c r="C730" t="e">
        <f>#REF!</f>
        <v>#REF!</v>
      </c>
      <c r="D730" t="e">
        <f>#REF!</f>
        <v>#REF!</v>
      </c>
      <c r="E730" t="e">
        <f>#REF!</f>
        <v>#REF!</v>
      </c>
      <c r="F730" t="e">
        <f>#REF!</f>
        <v>#REF!</v>
      </c>
      <c r="G730" t="e">
        <f>#REF!</f>
        <v>#REF!</v>
      </c>
      <c r="H730" t="e">
        <f>#REF!</f>
        <v>#REF!</v>
      </c>
    </row>
    <row r="731" spans="1:8">
      <c r="A731" t="e">
        <f>#REF!</f>
        <v>#REF!</v>
      </c>
      <c r="B731" t="e">
        <f>#REF!</f>
        <v>#REF!</v>
      </c>
      <c r="C731" t="e">
        <f>#REF!</f>
        <v>#REF!</v>
      </c>
      <c r="D731" t="e">
        <f>#REF!</f>
        <v>#REF!</v>
      </c>
      <c r="E731" t="e">
        <f>#REF!</f>
        <v>#REF!</v>
      </c>
      <c r="F731" t="e">
        <f>#REF!</f>
        <v>#REF!</v>
      </c>
      <c r="G731" t="e">
        <f>#REF!</f>
        <v>#REF!</v>
      </c>
      <c r="H731" t="e">
        <f>#REF!</f>
        <v>#REF!</v>
      </c>
    </row>
    <row r="732" spans="1:8">
      <c r="A732" t="e">
        <f>#REF!</f>
        <v>#REF!</v>
      </c>
      <c r="B732" t="e">
        <f>#REF!</f>
        <v>#REF!</v>
      </c>
      <c r="C732" t="e">
        <f>#REF!</f>
        <v>#REF!</v>
      </c>
      <c r="D732" t="e">
        <f>#REF!</f>
        <v>#REF!</v>
      </c>
      <c r="E732" t="e">
        <f>#REF!</f>
        <v>#REF!</v>
      </c>
      <c r="F732" t="e">
        <f>#REF!</f>
        <v>#REF!</v>
      </c>
      <c r="G732" t="e">
        <f>#REF!</f>
        <v>#REF!</v>
      </c>
      <c r="H732" t="e">
        <f>#REF!</f>
        <v>#REF!</v>
      </c>
    </row>
    <row r="733" spans="1:8">
      <c r="A733" t="e">
        <f>#REF!</f>
        <v>#REF!</v>
      </c>
      <c r="B733" t="e">
        <f>#REF!</f>
        <v>#REF!</v>
      </c>
      <c r="C733" t="e">
        <f>#REF!</f>
        <v>#REF!</v>
      </c>
      <c r="D733" t="e">
        <f>#REF!</f>
        <v>#REF!</v>
      </c>
      <c r="E733" t="e">
        <f>#REF!</f>
        <v>#REF!</v>
      </c>
      <c r="F733" t="e">
        <f>#REF!</f>
        <v>#REF!</v>
      </c>
      <c r="G733" t="e">
        <f>#REF!</f>
        <v>#REF!</v>
      </c>
      <c r="H733" t="e">
        <f>#REF!</f>
        <v>#REF!</v>
      </c>
    </row>
    <row r="734" spans="1:8">
      <c r="A734" t="e">
        <f>#REF!</f>
        <v>#REF!</v>
      </c>
      <c r="B734" t="e">
        <f>#REF!</f>
        <v>#REF!</v>
      </c>
      <c r="C734" t="e">
        <f>#REF!</f>
        <v>#REF!</v>
      </c>
      <c r="D734" t="e">
        <f>#REF!</f>
        <v>#REF!</v>
      </c>
      <c r="E734" t="e">
        <f>#REF!</f>
        <v>#REF!</v>
      </c>
      <c r="F734" t="e">
        <f>#REF!</f>
        <v>#REF!</v>
      </c>
      <c r="G734" t="e">
        <f>#REF!</f>
        <v>#REF!</v>
      </c>
      <c r="H734" t="e">
        <f>#REF!</f>
        <v>#REF!</v>
      </c>
    </row>
    <row r="735" spans="1:8">
      <c r="A735" t="e">
        <f>#REF!</f>
        <v>#REF!</v>
      </c>
      <c r="B735" t="e">
        <f>#REF!</f>
        <v>#REF!</v>
      </c>
      <c r="C735" t="e">
        <f>#REF!</f>
        <v>#REF!</v>
      </c>
      <c r="D735" t="e">
        <f>#REF!</f>
        <v>#REF!</v>
      </c>
      <c r="E735" t="e">
        <f>#REF!</f>
        <v>#REF!</v>
      </c>
      <c r="F735" t="e">
        <f>#REF!</f>
        <v>#REF!</v>
      </c>
      <c r="G735" t="e">
        <f>#REF!</f>
        <v>#REF!</v>
      </c>
      <c r="H735" t="e">
        <f>#REF!</f>
        <v>#REF!</v>
      </c>
    </row>
    <row r="736" spans="1:8">
      <c r="A736" t="e">
        <f>#REF!</f>
        <v>#REF!</v>
      </c>
      <c r="B736" t="e">
        <f>#REF!</f>
        <v>#REF!</v>
      </c>
      <c r="C736" t="e">
        <f>#REF!</f>
        <v>#REF!</v>
      </c>
      <c r="D736" t="e">
        <f>#REF!</f>
        <v>#REF!</v>
      </c>
      <c r="E736" t="e">
        <f>#REF!</f>
        <v>#REF!</v>
      </c>
      <c r="F736" t="e">
        <f>#REF!</f>
        <v>#REF!</v>
      </c>
      <c r="G736" t="e">
        <f>#REF!</f>
        <v>#REF!</v>
      </c>
      <c r="H736" t="e">
        <f>#REF!</f>
        <v>#REF!</v>
      </c>
    </row>
    <row r="737" spans="1:8">
      <c r="A737" t="e">
        <f>#REF!</f>
        <v>#REF!</v>
      </c>
      <c r="B737" t="e">
        <f>#REF!</f>
        <v>#REF!</v>
      </c>
      <c r="C737" t="e">
        <f>#REF!</f>
        <v>#REF!</v>
      </c>
      <c r="D737" t="e">
        <f>#REF!</f>
        <v>#REF!</v>
      </c>
      <c r="E737" t="e">
        <f>#REF!</f>
        <v>#REF!</v>
      </c>
      <c r="F737" t="e">
        <f>#REF!</f>
        <v>#REF!</v>
      </c>
      <c r="G737" t="e">
        <f>#REF!</f>
        <v>#REF!</v>
      </c>
      <c r="H737" t="e">
        <f>#REF!</f>
        <v>#REF!</v>
      </c>
    </row>
    <row r="738" spans="1:8">
      <c r="A738" t="e">
        <f>#REF!</f>
        <v>#REF!</v>
      </c>
      <c r="B738" t="e">
        <f>#REF!</f>
        <v>#REF!</v>
      </c>
      <c r="C738" t="e">
        <f>#REF!</f>
        <v>#REF!</v>
      </c>
      <c r="D738" t="e">
        <f>#REF!</f>
        <v>#REF!</v>
      </c>
      <c r="E738" t="e">
        <f>#REF!</f>
        <v>#REF!</v>
      </c>
      <c r="F738" t="e">
        <f>#REF!</f>
        <v>#REF!</v>
      </c>
      <c r="G738" t="e">
        <f>#REF!</f>
        <v>#REF!</v>
      </c>
      <c r="H738" t="e">
        <f>#REF!</f>
        <v>#REF!</v>
      </c>
    </row>
    <row r="739" spans="1:8">
      <c r="A739" t="e">
        <f>#REF!</f>
        <v>#REF!</v>
      </c>
      <c r="B739" t="e">
        <f>#REF!</f>
        <v>#REF!</v>
      </c>
      <c r="C739" t="e">
        <f>#REF!</f>
        <v>#REF!</v>
      </c>
      <c r="D739" t="e">
        <f>#REF!</f>
        <v>#REF!</v>
      </c>
      <c r="E739" t="e">
        <f>#REF!</f>
        <v>#REF!</v>
      </c>
      <c r="F739" t="e">
        <f>#REF!</f>
        <v>#REF!</v>
      </c>
      <c r="G739" t="e">
        <f>#REF!</f>
        <v>#REF!</v>
      </c>
      <c r="H739" t="e">
        <f>#REF!</f>
        <v>#REF!</v>
      </c>
    </row>
    <row r="740" spans="1:8">
      <c r="A740" t="e">
        <f>#REF!</f>
        <v>#REF!</v>
      </c>
      <c r="B740" t="e">
        <f>#REF!</f>
        <v>#REF!</v>
      </c>
      <c r="C740" t="e">
        <f>#REF!</f>
        <v>#REF!</v>
      </c>
      <c r="D740" t="e">
        <f>#REF!</f>
        <v>#REF!</v>
      </c>
      <c r="E740" t="e">
        <f>#REF!</f>
        <v>#REF!</v>
      </c>
      <c r="F740" t="e">
        <f>#REF!</f>
        <v>#REF!</v>
      </c>
      <c r="G740" t="e">
        <f>#REF!</f>
        <v>#REF!</v>
      </c>
      <c r="H740" t="e">
        <f>#REF!</f>
        <v>#REF!</v>
      </c>
    </row>
    <row r="741" spans="1:8">
      <c r="A741" t="e">
        <f>#REF!</f>
        <v>#REF!</v>
      </c>
      <c r="B741" t="e">
        <f>#REF!</f>
        <v>#REF!</v>
      </c>
      <c r="C741" t="e">
        <f>#REF!</f>
        <v>#REF!</v>
      </c>
      <c r="D741" t="e">
        <f>#REF!</f>
        <v>#REF!</v>
      </c>
      <c r="E741" t="e">
        <f>#REF!</f>
        <v>#REF!</v>
      </c>
      <c r="F741" t="e">
        <f>#REF!</f>
        <v>#REF!</v>
      </c>
      <c r="G741" t="e">
        <f>#REF!</f>
        <v>#REF!</v>
      </c>
      <c r="H741" t="e">
        <f>#REF!</f>
        <v>#REF!</v>
      </c>
    </row>
    <row r="742" spans="1:8">
      <c r="A742" t="e">
        <f>#REF!</f>
        <v>#REF!</v>
      </c>
      <c r="B742" t="e">
        <f>#REF!</f>
        <v>#REF!</v>
      </c>
      <c r="C742" t="e">
        <f>#REF!</f>
        <v>#REF!</v>
      </c>
      <c r="D742" t="e">
        <f>#REF!</f>
        <v>#REF!</v>
      </c>
      <c r="E742" t="e">
        <f>#REF!</f>
        <v>#REF!</v>
      </c>
      <c r="F742" t="e">
        <f>#REF!</f>
        <v>#REF!</v>
      </c>
      <c r="G742" t="e">
        <f>#REF!</f>
        <v>#REF!</v>
      </c>
      <c r="H742" t="e">
        <f>#REF!</f>
        <v>#REF!</v>
      </c>
    </row>
    <row r="743" spans="1:8">
      <c r="A743" t="e">
        <f>#REF!</f>
        <v>#REF!</v>
      </c>
      <c r="B743" t="e">
        <f>#REF!</f>
        <v>#REF!</v>
      </c>
      <c r="C743" t="e">
        <f>#REF!</f>
        <v>#REF!</v>
      </c>
      <c r="D743" t="e">
        <f>#REF!</f>
        <v>#REF!</v>
      </c>
      <c r="E743" t="e">
        <f>#REF!</f>
        <v>#REF!</v>
      </c>
      <c r="F743" t="e">
        <f>#REF!</f>
        <v>#REF!</v>
      </c>
      <c r="G743" t="e">
        <f>#REF!</f>
        <v>#REF!</v>
      </c>
      <c r="H743" t="e">
        <f>#REF!</f>
        <v>#REF!</v>
      </c>
    </row>
    <row r="744" spans="1:8">
      <c r="A744" t="e">
        <f>#REF!</f>
        <v>#REF!</v>
      </c>
      <c r="B744" t="e">
        <f>#REF!</f>
        <v>#REF!</v>
      </c>
      <c r="C744" t="e">
        <f>#REF!</f>
        <v>#REF!</v>
      </c>
      <c r="D744" t="e">
        <f>#REF!</f>
        <v>#REF!</v>
      </c>
      <c r="E744" t="e">
        <f>#REF!</f>
        <v>#REF!</v>
      </c>
      <c r="F744" t="e">
        <f>#REF!</f>
        <v>#REF!</v>
      </c>
      <c r="G744" t="e">
        <f>#REF!</f>
        <v>#REF!</v>
      </c>
      <c r="H744" t="e">
        <f>#REF!</f>
        <v>#REF!</v>
      </c>
    </row>
    <row r="745" spans="1:8">
      <c r="A745" t="e">
        <f>#REF!</f>
        <v>#REF!</v>
      </c>
      <c r="B745" t="e">
        <f>#REF!</f>
        <v>#REF!</v>
      </c>
      <c r="C745" t="e">
        <f>#REF!</f>
        <v>#REF!</v>
      </c>
      <c r="D745" t="e">
        <f>#REF!</f>
        <v>#REF!</v>
      </c>
      <c r="E745" t="e">
        <f>#REF!</f>
        <v>#REF!</v>
      </c>
      <c r="F745" t="e">
        <f>#REF!</f>
        <v>#REF!</v>
      </c>
      <c r="G745" t="e">
        <f>#REF!</f>
        <v>#REF!</v>
      </c>
      <c r="H745" t="e">
        <f>#REF!</f>
        <v>#REF!</v>
      </c>
    </row>
    <row r="746" spans="1:8">
      <c r="A746" t="e">
        <f>#REF!</f>
        <v>#REF!</v>
      </c>
      <c r="B746" t="e">
        <f>#REF!</f>
        <v>#REF!</v>
      </c>
      <c r="C746" t="e">
        <f>#REF!</f>
        <v>#REF!</v>
      </c>
      <c r="D746" t="e">
        <f>#REF!</f>
        <v>#REF!</v>
      </c>
      <c r="E746" t="e">
        <f>#REF!</f>
        <v>#REF!</v>
      </c>
      <c r="F746" t="e">
        <f>#REF!</f>
        <v>#REF!</v>
      </c>
      <c r="G746" t="e">
        <f>#REF!</f>
        <v>#REF!</v>
      </c>
      <c r="H746" t="e">
        <f>#REF!</f>
        <v>#REF!</v>
      </c>
    </row>
    <row r="747" spans="1:8">
      <c r="A747" t="e">
        <f>#REF!</f>
        <v>#REF!</v>
      </c>
      <c r="B747" t="e">
        <f>#REF!</f>
        <v>#REF!</v>
      </c>
      <c r="C747" t="e">
        <f>#REF!</f>
        <v>#REF!</v>
      </c>
      <c r="D747" t="e">
        <f>#REF!</f>
        <v>#REF!</v>
      </c>
      <c r="E747" t="e">
        <f>#REF!</f>
        <v>#REF!</v>
      </c>
      <c r="F747" t="e">
        <f>#REF!</f>
        <v>#REF!</v>
      </c>
      <c r="G747" t="e">
        <f>#REF!</f>
        <v>#REF!</v>
      </c>
      <c r="H747" t="e">
        <f>#REF!</f>
        <v>#REF!</v>
      </c>
    </row>
    <row r="748" spans="1:8">
      <c r="A748" t="e">
        <f>#REF!</f>
        <v>#REF!</v>
      </c>
      <c r="B748" t="e">
        <f>#REF!</f>
        <v>#REF!</v>
      </c>
      <c r="C748" t="e">
        <f>#REF!</f>
        <v>#REF!</v>
      </c>
      <c r="D748" t="e">
        <f>#REF!</f>
        <v>#REF!</v>
      </c>
      <c r="E748" t="e">
        <f>#REF!</f>
        <v>#REF!</v>
      </c>
      <c r="F748" t="e">
        <f>#REF!</f>
        <v>#REF!</v>
      </c>
      <c r="G748" t="e">
        <f>#REF!</f>
        <v>#REF!</v>
      </c>
      <c r="H748" t="e">
        <f>#REF!</f>
        <v>#REF!</v>
      </c>
    </row>
    <row r="749" spans="1:8">
      <c r="A749" t="e">
        <f>#REF!</f>
        <v>#REF!</v>
      </c>
      <c r="B749" t="e">
        <f>#REF!</f>
        <v>#REF!</v>
      </c>
      <c r="C749" t="e">
        <f>#REF!</f>
        <v>#REF!</v>
      </c>
      <c r="D749" t="e">
        <f>#REF!</f>
        <v>#REF!</v>
      </c>
      <c r="E749" t="e">
        <f>#REF!</f>
        <v>#REF!</v>
      </c>
      <c r="F749" t="e">
        <f>#REF!</f>
        <v>#REF!</v>
      </c>
      <c r="G749" t="e">
        <f>#REF!</f>
        <v>#REF!</v>
      </c>
      <c r="H749" t="e">
        <f>#REF!</f>
        <v>#REF!</v>
      </c>
    </row>
    <row r="750" spans="1:8">
      <c r="A750" t="e">
        <f>#REF!</f>
        <v>#REF!</v>
      </c>
      <c r="B750" t="e">
        <f>#REF!</f>
        <v>#REF!</v>
      </c>
      <c r="C750" t="e">
        <f>#REF!</f>
        <v>#REF!</v>
      </c>
      <c r="D750" t="e">
        <f>#REF!</f>
        <v>#REF!</v>
      </c>
      <c r="E750" t="e">
        <f>#REF!</f>
        <v>#REF!</v>
      </c>
      <c r="F750" t="e">
        <f>#REF!</f>
        <v>#REF!</v>
      </c>
      <c r="G750" t="e">
        <f>#REF!</f>
        <v>#REF!</v>
      </c>
      <c r="H750" t="e">
        <f>#REF!</f>
        <v>#REF!</v>
      </c>
    </row>
    <row r="751" spans="1:8">
      <c r="A751" t="e">
        <f>#REF!</f>
        <v>#REF!</v>
      </c>
      <c r="B751" t="e">
        <f>#REF!</f>
        <v>#REF!</v>
      </c>
      <c r="C751" t="e">
        <f>#REF!</f>
        <v>#REF!</v>
      </c>
      <c r="D751" t="e">
        <f>#REF!</f>
        <v>#REF!</v>
      </c>
      <c r="E751" t="e">
        <f>#REF!</f>
        <v>#REF!</v>
      </c>
      <c r="F751" t="e">
        <f>#REF!</f>
        <v>#REF!</v>
      </c>
      <c r="G751" t="e">
        <f>#REF!</f>
        <v>#REF!</v>
      </c>
      <c r="H751" t="e">
        <f>#REF!</f>
        <v>#REF!</v>
      </c>
    </row>
    <row r="752" spans="1:8">
      <c r="A752" t="e">
        <f>#REF!</f>
        <v>#REF!</v>
      </c>
      <c r="B752" t="e">
        <f>#REF!</f>
        <v>#REF!</v>
      </c>
      <c r="C752" t="e">
        <f>#REF!</f>
        <v>#REF!</v>
      </c>
      <c r="D752" t="e">
        <f>#REF!</f>
        <v>#REF!</v>
      </c>
      <c r="E752" t="e">
        <f>#REF!</f>
        <v>#REF!</v>
      </c>
      <c r="F752" t="e">
        <f>#REF!</f>
        <v>#REF!</v>
      </c>
      <c r="G752" t="e">
        <f>#REF!</f>
        <v>#REF!</v>
      </c>
      <c r="H752" t="e">
        <f>#REF!</f>
        <v>#REF!</v>
      </c>
    </row>
    <row r="753" spans="1:8">
      <c r="A753" t="e">
        <f>#REF!</f>
        <v>#REF!</v>
      </c>
      <c r="B753" t="e">
        <f>#REF!</f>
        <v>#REF!</v>
      </c>
      <c r="C753" t="e">
        <f>#REF!</f>
        <v>#REF!</v>
      </c>
      <c r="D753" t="e">
        <f>#REF!</f>
        <v>#REF!</v>
      </c>
      <c r="E753" t="e">
        <f>#REF!</f>
        <v>#REF!</v>
      </c>
      <c r="F753" t="e">
        <f>#REF!</f>
        <v>#REF!</v>
      </c>
      <c r="G753" t="e">
        <f>#REF!</f>
        <v>#REF!</v>
      </c>
      <c r="H753" t="e">
        <f>#REF!</f>
        <v>#REF!</v>
      </c>
    </row>
    <row r="754" spans="1:8">
      <c r="A754" t="e">
        <f>#REF!</f>
        <v>#REF!</v>
      </c>
      <c r="B754" t="e">
        <f>#REF!</f>
        <v>#REF!</v>
      </c>
      <c r="C754" t="e">
        <f>#REF!</f>
        <v>#REF!</v>
      </c>
      <c r="D754" t="e">
        <f>#REF!</f>
        <v>#REF!</v>
      </c>
      <c r="E754" t="e">
        <f>#REF!</f>
        <v>#REF!</v>
      </c>
      <c r="F754" t="e">
        <f>#REF!</f>
        <v>#REF!</v>
      </c>
      <c r="G754" t="e">
        <f>#REF!</f>
        <v>#REF!</v>
      </c>
      <c r="H754" t="e">
        <f>#REF!</f>
        <v>#REF!</v>
      </c>
    </row>
    <row r="755" spans="1:8">
      <c r="A755" t="e">
        <f>#REF!</f>
        <v>#REF!</v>
      </c>
      <c r="B755" t="e">
        <f>#REF!</f>
        <v>#REF!</v>
      </c>
      <c r="C755" t="e">
        <f>#REF!</f>
        <v>#REF!</v>
      </c>
      <c r="D755" t="e">
        <f>#REF!</f>
        <v>#REF!</v>
      </c>
      <c r="E755" t="e">
        <f>#REF!</f>
        <v>#REF!</v>
      </c>
      <c r="F755" t="e">
        <f>#REF!</f>
        <v>#REF!</v>
      </c>
      <c r="G755" t="e">
        <f>#REF!</f>
        <v>#REF!</v>
      </c>
      <c r="H755" t="e">
        <f>#REF!</f>
        <v>#REF!</v>
      </c>
    </row>
    <row r="756" spans="1:8">
      <c r="A756" t="e">
        <f>#REF!</f>
        <v>#REF!</v>
      </c>
      <c r="B756" t="e">
        <f>#REF!</f>
        <v>#REF!</v>
      </c>
      <c r="C756" t="e">
        <f>#REF!</f>
        <v>#REF!</v>
      </c>
      <c r="D756" t="e">
        <f>#REF!</f>
        <v>#REF!</v>
      </c>
      <c r="E756" t="e">
        <f>#REF!</f>
        <v>#REF!</v>
      </c>
      <c r="F756" t="e">
        <f>#REF!</f>
        <v>#REF!</v>
      </c>
      <c r="G756" t="e">
        <f>#REF!</f>
        <v>#REF!</v>
      </c>
      <c r="H756" t="e">
        <f>#REF!</f>
        <v>#REF!</v>
      </c>
    </row>
    <row r="757" spans="1:8">
      <c r="A757" t="e">
        <f>#REF!</f>
        <v>#REF!</v>
      </c>
      <c r="B757" t="e">
        <f>#REF!</f>
        <v>#REF!</v>
      </c>
      <c r="C757" t="e">
        <f>#REF!</f>
        <v>#REF!</v>
      </c>
      <c r="D757" t="e">
        <f>#REF!</f>
        <v>#REF!</v>
      </c>
      <c r="E757" t="e">
        <f>#REF!</f>
        <v>#REF!</v>
      </c>
      <c r="F757" t="e">
        <f>#REF!</f>
        <v>#REF!</v>
      </c>
      <c r="G757" t="e">
        <f>#REF!</f>
        <v>#REF!</v>
      </c>
      <c r="H757" t="e">
        <f>#REF!</f>
        <v>#REF!</v>
      </c>
    </row>
    <row r="758" spans="1:8">
      <c r="A758" t="e">
        <f>#REF!</f>
        <v>#REF!</v>
      </c>
      <c r="B758" t="e">
        <f>#REF!</f>
        <v>#REF!</v>
      </c>
      <c r="C758" t="e">
        <f>#REF!</f>
        <v>#REF!</v>
      </c>
      <c r="D758" t="e">
        <f>#REF!</f>
        <v>#REF!</v>
      </c>
      <c r="E758" t="e">
        <f>#REF!</f>
        <v>#REF!</v>
      </c>
      <c r="F758" t="e">
        <f>#REF!</f>
        <v>#REF!</v>
      </c>
      <c r="G758" t="e">
        <f>#REF!</f>
        <v>#REF!</v>
      </c>
      <c r="H758" t="e">
        <f>#REF!</f>
        <v>#REF!</v>
      </c>
    </row>
    <row r="759" spans="1:8">
      <c r="A759" t="e">
        <f>#REF!</f>
        <v>#REF!</v>
      </c>
      <c r="B759" t="e">
        <f>#REF!</f>
        <v>#REF!</v>
      </c>
      <c r="C759" t="e">
        <f>#REF!</f>
        <v>#REF!</v>
      </c>
      <c r="D759" t="e">
        <f>#REF!</f>
        <v>#REF!</v>
      </c>
      <c r="E759" t="e">
        <f>#REF!</f>
        <v>#REF!</v>
      </c>
      <c r="F759" t="e">
        <f>#REF!</f>
        <v>#REF!</v>
      </c>
      <c r="G759" t="e">
        <f>#REF!</f>
        <v>#REF!</v>
      </c>
      <c r="H759" t="e">
        <f>#REF!</f>
        <v>#REF!</v>
      </c>
    </row>
    <row r="760" spans="1:8">
      <c r="A760" t="e">
        <f>#REF!</f>
        <v>#REF!</v>
      </c>
      <c r="B760" t="e">
        <f>#REF!</f>
        <v>#REF!</v>
      </c>
      <c r="C760" t="e">
        <f>#REF!</f>
        <v>#REF!</v>
      </c>
      <c r="D760" t="e">
        <f>#REF!</f>
        <v>#REF!</v>
      </c>
      <c r="E760" t="e">
        <f>#REF!</f>
        <v>#REF!</v>
      </c>
      <c r="F760" t="e">
        <f>#REF!</f>
        <v>#REF!</v>
      </c>
      <c r="G760" t="e">
        <f>#REF!</f>
        <v>#REF!</v>
      </c>
      <c r="H760" t="e">
        <f>#REF!</f>
        <v>#REF!</v>
      </c>
    </row>
    <row r="761" spans="1:8">
      <c r="A761" t="e">
        <f>#REF!</f>
        <v>#REF!</v>
      </c>
      <c r="B761" t="e">
        <f>#REF!</f>
        <v>#REF!</v>
      </c>
      <c r="C761" t="e">
        <f>#REF!</f>
        <v>#REF!</v>
      </c>
      <c r="D761" t="e">
        <f>#REF!</f>
        <v>#REF!</v>
      </c>
      <c r="E761" t="e">
        <f>#REF!</f>
        <v>#REF!</v>
      </c>
      <c r="F761" t="e">
        <f>#REF!</f>
        <v>#REF!</v>
      </c>
      <c r="G761" t="e">
        <f>#REF!</f>
        <v>#REF!</v>
      </c>
      <c r="H761" t="e">
        <f>#REF!</f>
        <v>#REF!</v>
      </c>
    </row>
    <row r="762" spans="1:8">
      <c r="A762" t="e">
        <f>#REF!</f>
        <v>#REF!</v>
      </c>
      <c r="B762" t="e">
        <f>#REF!</f>
        <v>#REF!</v>
      </c>
      <c r="C762" t="e">
        <f>#REF!</f>
        <v>#REF!</v>
      </c>
      <c r="D762" t="e">
        <f>#REF!</f>
        <v>#REF!</v>
      </c>
      <c r="E762" t="e">
        <f>#REF!</f>
        <v>#REF!</v>
      </c>
      <c r="F762" t="e">
        <f>#REF!</f>
        <v>#REF!</v>
      </c>
      <c r="G762" t="e">
        <f>#REF!</f>
        <v>#REF!</v>
      </c>
      <c r="H762" t="e">
        <f>#REF!</f>
        <v>#REF!</v>
      </c>
    </row>
    <row r="763" spans="1:8">
      <c r="A763" t="e">
        <f>#REF!</f>
        <v>#REF!</v>
      </c>
      <c r="B763" t="e">
        <f>#REF!</f>
        <v>#REF!</v>
      </c>
      <c r="C763" t="e">
        <f>#REF!</f>
        <v>#REF!</v>
      </c>
      <c r="D763" t="e">
        <f>#REF!</f>
        <v>#REF!</v>
      </c>
      <c r="E763" t="e">
        <f>#REF!</f>
        <v>#REF!</v>
      </c>
      <c r="F763" t="e">
        <f>#REF!</f>
        <v>#REF!</v>
      </c>
      <c r="G763" t="e">
        <f>#REF!</f>
        <v>#REF!</v>
      </c>
      <c r="H763" t="e">
        <f>#REF!</f>
        <v>#REF!</v>
      </c>
    </row>
    <row r="764" spans="1:8">
      <c r="A764" t="e">
        <f>#REF!</f>
        <v>#REF!</v>
      </c>
      <c r="B764" t="e">
        <f>#REF!</f>
        <v>#REF!</v>
      </c>
      <c r="C764" t="e">
        <f>#REF!</f>
        <v>#REF!</v>
      </c>
      <c r="D764" t="e">
        <f>#REF!</f>
        <v>#REF!</v>
      </c>
      <c r="E764" t="e">
        <f>#REF!</f>
        <v>#REF!</v>
      </c>
      <c r="F764" t="e">
        <f>#REF!</f>
        <v>#REF!</v>
      </c>
      <c r="G764" t="e">
        <f>#REF!</f>
        <v>#REF!</v>
      </c>
      <c r="H764" t="e">
        <f>#REF!</f>
        <v>#REF!</v>
      </c>
    </row>
    <row r="765" spans="1:8">
      <c r="A765" t="e">
        <f>#REF!</f>
        <v>#REF!</v>
      </c>
      <c r="B765" t="e">
        <f>#REF!</f>
        <v>#REF!</v>
      </c>
      <c r="C765" t="e">
        <f>#REF!</f>
        <v>#REF!</v>
      </c>
      <c r="D765" t="e">
        <f>#REF!</f>
        <v>#REF!</v>
      </c>
      <c r="E765" t="e">
        <f>#REF!</f>
        <v>#REF!</v>
      </c>
      <c r="F765" t="e">
        <f>#REF!</f>
        <v>#REF!</v>
      </c>
      <c r="G765" t="e">
        <f>#REF!</f>
        <v>#REF!</v>
      </c>
      <c r="H765" t="e">
        <f>#REF!</f>
        <v>#REF!</v>
      </c>
    </row>
    <row r="766" spans="1:8">
      <c r="A766" t="e">
        <f>#REF!</f>
        <v>#REF!</v>
      </c>
      <c r="B766" t="e">
        <f>#REF!</f>
        <v>#REF!</v>
      </c>
      <c r="C766" t="e">
        <f>#REF!</f>
        <v>#REF!</v>
      </c>
      <c r="D766" t="e">
        <f>#REF!</f>
        <v>#REF!</v>
      </c>
      <c r="E766" t="e">
        <f>#REF!</f>
        <v>#REF!</v>
      </c>
      <c r="F766" t="e">
        <f>#REF!</f>
        <v>#REF!</v>
      </c>
      <c r="G766" t="e">
        <f>#REF!</f>
        <v>#REF!</v>
      </c>
      <c r="H766" t="e">
        <f>#REF!</f>
        <v>#REF!</v>
      </c>
    </row>
    <row r="767" spans="1:8">
      <c r="A767" t="e">
        <f>#REF!</f>
        <v>#REF!</v>
      </c>
      <c r="B767" t="e">
        <f>#REF!</f>
        <v>#REF!</v>
      </c>
      <c r="C767" t="e">
        <f>#REF!</f>
        <v>#REF!</v>
      </c>
      <c r="D767" t="e">
        <f>#REF!</f>
        <v>#REF!</v>
      </c>
      <c r="E767" t="e">
        <f>#REF!</f>
        <v>#REF!</v>
      </c>
      <c r="F767" t="e">
        <f>#REF!</f>
        <v>#REF!</v>
      </c>
      <c r="G767" t="e">
        <f>#REF!</f>
        <v>#REF!</v>
      </c>
      <c r="H767" t="e">
        <f>#REF!</f>
        <v>#REF!</v>
      </c>
    </row>
    <row r="768" spans="1:8">
      <c r="A768" t="e">
        <f>#REF!</f>
        <v>#REF!</v>
      </c>
      <c r="B768" t="e">
        <f>#REF!</f>
        <v>#REF!</v>
      </c>
      <c r="C768" t="e">
        <f>#REF!</f>
        <v>#REF!</v>
      </c>
      <c r="D768" t="e">
        <f>#REF!</f>
        <v>#REF!</v>
      </c>
      <c r="E768" t="e">
        <f>#REF!</f>
        <v>#REF!</v>
      </c>
      <c r="F768" t="e">
        <f>#REF!</f>
        <v>#REF!</v>
      </c>
      <c r="G768" t="e">
        <f>#REF!</f>
        <v>#REF!</v>
      </c>
      <c r="H768" t="e">
        <f>#REF!</f>
        <v>#REF!</v>
      </c>
    </row>
    <row r="769" spans="1:8">
      <c r="A769" t="e">
        <f>#REF!</f>
        <v>#REF!</v>
      </c>
      <c r="B769" t="e">
        <f>#REF!</f>
        <v>#REF!</v>
      </c>
      <c r="C769" t="e">
        <f>#REF!</f>
        <v>#REF!</v>
      </c>
      <c r="D769" t="e">
        <f>#REF!</f>
        <v>#REF!</v>
      </c>
      <c r="E769" t="e">
        <f>#REF!</f>
        <v>#REF!</v>
      </c>
      <c r="F769" t="e">
        <f>#REF!</f>
        <v>#REF!</v>
      </c>
      <c r="G769" t="e">
        <f>#REF!</f>
        <v>#REF!</v>
      </c>
      <c r="H769" t="e">
        <f>#REF!</f>
        <v>#REF!</v>
      </c>
    </row>
    <row r="770" spans="1:8">
      <c r="A770" t="e">
        <f>#REF!</f>
        <v>#REF!</v>
      </c>
      <c r="B770" t="e">
        <f>#REF!</f>
        <v>#REF!</v>
      </c>
      <c r="C770" t="e">
        <f>#REF!</f>
        <v>#REF!</v>
      </c>
      <c r="D770" t="e">
        <f>#REF!</f>
        <v>#REF!</v>
      </c>
      <c r="E770" t="e">
        <f>#REF!</f>
        <v>#REF!</v>
      </c>
      <c r="F770" t="e">
        <f>#REF!</f>
        <v>#REF!</v>
      </c>
      <c r="G770" t="e">
        <f>#REF!</f>
        <v>#REF!</v>
      </c>
      <c r="H770" t="e">
        <f>#REF!</f>
        <v>#REF!</v>
      </c>
    </row>
    <row r="771" spans="1:8">
      <c r="A771" t="e">
        <f>#REF!</f>
        <v>#REF!</v>
      </c>
      <c r="B771" t="e">
        <f>#REF!</f>
        <v>#REF!</v>
      </c>
      <c r="C771" t="e">
        <f>#REF!</f>
        <v>#REF!</v>
      </c>
      <c r="D771" t="e">
        <f>#REF!</f>
        <v>#REF!</v>
      </c>
      <c r="E771" t="e">
        <f>#REF!</f>
        <v>#REF!</v>
      </c>
      <c r="F771" t="e">
        <f>#REF!</f>
        <v>#REF!</v>
      </c>
      <c r="G771" t="e">
        <f>#REF!</f>
        <v>#REF!</v>
      </c>
      <c r="H771" t="e">
        <f>#REF!</f>
        <v>#REF!</v>
      </c>
    </row>
    <row r="772" spans="1:8">
      <c r="A772" t="e">
        <f>#REF!</f>
        <v>#REF!</v>
      </c>
      <c r="B772" t="e">
        <f>#REF!</f>
        <v>#REF!</v>
      </c>
      <c r="C772" t="e">
        <f>#REF!</f>
        <v>#REF!</v>
      </c>
      <c r="D772" t="e">
        <f>#REF!</f>
        <v>#REF!</v>
      </c>
      <c r="E772" t="e">
        <f>#REF!</f>
        <v>#REF!</v>
      </c>
      <c r="F772" t="e">
        <f>#REF!</f>
        <v>#REF!</v>
      </c>
      <c r="G772" t="e">
        <f>#REF!</f>
        <v>#REF!</v>
      </c>
      <c r="H772" t="e">
        <f>#REF!</f>
        <v>#REF!</v>
      </c>
    </row>
    <row r="773" spans="1:8">
      <c r="A773" t="e">
        <f>#REF!</f>
        <v>#REF!</v>
      </c>
      <c r="B773" t="e">
        <f>#REF!</f>
        <v>#REF!</v>
      </c>
      <c r="C773" t="e">
        <f>#REF!</f>
        <v>#REF!</v>
      </c>
      <c r="D773" t="e">
        <f>#REF!</f>
        <v>#REF!</v>
      </c>
      <c r="E773" t="e">
        <f>#REF!</f>
        <v>#REF!</v>
      </c>
      <c r="F773" t="e">
        <f>#REF!</f>
        <v>#REF!</v>
      </c>
      <c r="G773" t="e">
        <f>#REF!</f>
        <v>#REF!</v>
      </c>
      <c r="H773" t="e">
        <f>#REF!</f>
        <v>#REF!</v>
      </c>
    </row>
    <row r="774" spans="1:8">
      <c r="A774" t="e">
        <f>#REF!</f>
        <v>#REF!</v>
      </c>
      <c r="B774" t="e">
        <f>#REF!</f>
        <v>#REF!</v>
      </c>
      <c r="C774" t="e">
        <f>#REF!</f>
        <v>#REF!</v>
      </c>
      <c r="D774" t="e">
        <f>#REF!</f>
        <v>#REF!</v>
      </c>
      <c r="E774" t="e">
        <f>#REF!</f>
        <v>#REF!</v>
      </c>
      <c r="F774" t="e">
        <f>#REF!</f>
        <v>#REF!</v>
      </c>
      <c r="G774" t="e">
        <f>#REF!</f>
        <v>#REF!</v>
      </c>
      <c r="H774" t="e">
        <f>#REF!</f>
        <v>#REF!</v>
      </c>
    </row>
    <row r="775" spans="1:8">
      <c r="A775" t="e">
        <f>#REF!</f>
        <v>#REF!</v>
      </c>
      <c r="B775" t="e">
        <f>#REF!</f>
        <v>#REF!</v>
      </c>
      <c r="C775" t="e">
        <f>#REF!</f>
        <v>#REF!</v>
      </c>
      <c r="D775" t="e">
        <f>#REF!</f>
        <v>#REF!</v>
      </c>
      <c r="E775" t="e">
        <f>#REF!</f>
        <v>#REF!</v>
      </c>
      <c r="F775" t="e">
        <f>#REF!</f>
        <v>#REF!</v>
      </c>
      <c r="G775" t="e">
        <f>#REF!</f>
        <v>#REF!</v>
      </c>
      <c r="H775" t="e">
        <f>#REF!</f>
        <v>#REF!</v>
      </c>
    </row>
    <row r="776" spans="1:8">
      <c r="A776" t="e">
        <f>#REF!</f>
        <v>#REF!</v>
      </c>
      <c r="B776" t="e">
        <f>#REF!</f>
        <v>#REF!</v>
      </c>
      <c r="C776" t="e">
        <f>#REF!</f>
        <v>#REF!</v>
      </c>
      <c r="D776" t="e">
        <f>#REF!</f>
        <v>#REF!</v>
      </c>
      <c r="E776" t="e">
        <f>#REF!</f>
        <v>#REF!</v>
      </c>
      <c r="F776" t="e">
        <f>#REF!</f>
        <v>#REF!</v>
      </c>
      <c r="G776" t="e">
        <f>#REF!</f>
        <v>#REF!</v>
      </c>
      <c r="H776" t="e">
        <f>#REF!</f>
        <v>#REF!</v>
      </c>
    </row>
    <row r="777" spans="1:8">
      <c r="A777" t="e">
        <f>#REF!</f>
        <v>#REF!</v>
      </c>
      <c r="B777" t="e">
        <f>#REF!</f>
        <v>#REF!</v>
      </c>
      <c r="C777" t="e">
        <f>#REF!</f>
        <v>#REF!</v>
      </c>
      <c r="D777" t="e">
        <f>#REF!</f>
        <v>#REF!</v>
      </c>
      <c r="E777" t="e">
        <f>#REF!</f>
        <v>#REF!</v>
      </c>
      <c r="F777" t="e">
        <f>#REF!</f>
        <v>#REF!</v>
      </c>
      <c r="G777" t="e">
        <f>#REF!</f>
        <v>#REF!</v>
      </c>
      <c r="H777" t="e">
        <f>#REF!</f>
        <v>#REF!</v>
      </c>
    </row>
    <row r="778" spans="1:8">
      <c r="A778" t="e">
        <f>#REF!</f>
        <v>#REF!</v>
      </c>
      <c r="B778" t="e">
        <f>#REF!</f>
        <v>#REF!</v>
      </c>
      <c r="C778" t="e">
        <f>#REF!</f>
        <v>#REF!</v>
      </c>
      <c r="D778" t="e">
        <f>#REF!</f>
        <v>#REF!</v>
      </c>
      <c r="E778" t="e">
        <f>#REF!</f>
        <v>#REF!</v>
      </c>
      <c r="F778" t="e">
        <f>#REF!</f>
        <v>#REF!</v>
      </c>
      <c r="G778" t="e">
        <f>#REF!</f>
        <v>#REF!</v>
      </c>
      <c r="H778" t="e">
        <f>#REF!</f>
        <v>#REF!</v>
      </c>
    </row>
    <row r="779" spans="1:8">
      <c r="A779" t="e">
        <f>#REF!</f>
        <v>#REF!</v>
      </c>
      <c r="B779" t="e">
        <f>#REF!</f>
        <v>#REF!</v>
      </c>
      <c r="C779" t="e">
        <f>#REF!</f>
        <v>#REF!</v>
      </c>
      <c r="D779" t="e">
        <f>#REF!</f>
        <v>#REF!</v>
      </c>
      <c r="E779" t="e">
        <f>#REF!</f>
        <v>#REF!</v>
      </c>
      <c r="F779" t="e">
        <f>#REF!</f>
        <v>#REF!</v>
      </c>
      <c r="G779" t="e">
        <f>#REF!</f>
        <v>#REF!</v>
      </c>
      <c r="H779" t="e">
        <f>#REF!</f>
        <v>#REF!</v>
      </c>
    </row>
    <row r="780" spans="1:8">
      <c r="A780" t="e">
        <f>#REF!</f>
        <v>#REF!</v>
      </c>
      <c r="B780" t="e">
        <f>#REF!</f>
        <v>#REF!</v>
      </c>
      <c r="C780" t="e">
        <f>#REF!</f>
        <v>#REF!</v>
      </c>
      <c r="D780" t="e">
        <f>#REF!</f>
        <v>#REF!</v>
      </c>
      <c r="E780" t="e">
        <f>#REF!</f>
        <v>#REF!</v>
      </c>
      <c r="F780" t="e">
        <f>#REF!</f>
        <v>#REF!</v>
      </c>
      <c r="G780" t="e">
        <f>#REF!</f>
        <v>#REF!</v>
      </c>
      <c r="H780" t="e">
        <f>#REF!</f>
        <v>#REF!</v>
      </c>
    </row>
    <row r="781" spans="1:8">
      <c r="A781" t="e">
        <f>#REF!</f>
        <v>#REF!</v>
      </c>
      <c r="B781" t="e">
        <f>#REF!</f>
        <v>#REF!</v>
      </c>
      <c r="C781" t="e">
        <f>#REF!</f>
        <v>#REF!</v>
      </c>
      <c r="D781" t="e">
        <f>#REF!</f>
        <v>#REF!</v>
      </c>
      <c r="E781" t="e">
        <f>#REF!</f>
        <v>#REF!</v>
      </c>
      <c r="F781" t="e">
        <f>#REF!</f>
        <v>#REF!</v>
      </c>
      <c r="G781" t="e">
        <f>#REF!</f>
        <v>#REF!</v>
      </c>
      <c r="H781" t="e">
        <f>#REF!</f>
        <v>#REF!</v>
      </c>
    </row>
    <row r="782" spans="1:8">
      <c r="A782" t="e">
        <f>#REF!</f>
        <v>#REF!</v>
      </c>
      <c r="B782" t="e">
        <f>#REF!</f>
        <v>#REF!</v>
      </c>
      <c r="C782" t="e">
        <f>#REF!</f>
        <v>#REF!</v>
      </c>
      <c r="D782" t="e">
        <f>#REF!</f>
        <v>#REF!</v>
      </c>
      <c r="E782" t="e">
        <f>#REF!</f>
        <v>#REF!</v>
      </c>
      <c r="F782" t="e">
        <f>#REF!</f>
        <v>#REF!</v>
      </c>
      <c r="G782" t="e">
        <f>#REF!</f>
        <v>#REF!</v>
      </c>
      <c r="H782" t="e">
        <f>#REF!</f>
        <v>#REF!</v>
      </c>
    </row>
    <row r="783" spans="1:8">
      <c r="A783" t="e">
        <f>#REF!</f>
        <v>#REF!</v>
      </c>
      <c r="B783" t="e">
        <f>#REF!</f>
        <v>#REF!</v>
      </c>
      <c r="C783" t="e">
        <f>#REF!</f>
        <v>#REF!</v>
      </c>
      <c r="D783" t="e">
        <f>#REF!</f>
        <v>#REF!</v>
      </c>
      <c r="E783" t="e">
        <f>#REF!</f>
        <v>#REF!</v>
      </c>
      <c r="F783" t="e">
        <f>#REF!</f>
        <v>#REF!</v>
      </c>
      <c r="G783" t="e">
        <f>#REF!</f>
        <v>#REF!</v>
      </c>
      <c r="H783" t="e">
        <f>#REF!</f>
        <v>#REF!</v>
      </c>
    </row>
    <row r="784" spans="1:8">
      <c r="A784" t="e">
        <f>#REF!</f>
        <v>#REF!</v>
      </c>
      <c r="B784" t="e">
        <f>#REF!</f>
        <v>#REF!</v>
      </c>
      <c r="C784" t="e">
        <f>#REF!</f>
        <v>#REF!</v>
      </c>
      <c r="D784" t="e">
        <f>#REF!</f>
        <v>#REF!</v>
      </c>
      <c r="E784" t="e">
        <f>#REF!</f>
        <v>#REF!</v>
      </c>
      <c r="F784" t="e">
        <f>#REF!</f>
        <v>#REF!</v>
      </c>
      <c r="G784" t="e">
        <f>#REF!</f>
        <v>#REF!</v>
      </c>
      <c r="H784" t="e">
        <f>#REF!</f>
        <v>#REF!</v>
      </c>
    </row>
    <row r="785" spans="1:8">
      <c r="A785" t="e">
        <f>#REF!</f>
        <v>#REF!</v>
      </c>
      <c r="B785" t="e">
        <f>#REF!</f>
        <v>#REF!</v>
      </c>
      <c r="C785" t="e">
        <f>#REF!</f>
        <v>#REF!</v>
      </c>
      <c r="D785" t="e">
        <f>#REF!</f>
        <v>#REF!</v>
      </c>
      <c r="E785" t="e">
        <f>#REF!</f>
        <v>#REF!</v>
      </c>
      <c r="F785" t="e">
        <f>#REF!</f>
        <v>#REF!</v>
      </c>
      <c r="G785" t="e">
        <f>#REF!</f>
        <v>#REF!</v>
      </c>
      <c r="H785" t="e">
        <f>#REF!</f>
        <v>#REF!</v>
      </c>
    </row>
    <row r="786" spans="1:8">
      <c r="A786" t="e">
        <f>#REF!</f>
        <v>#REF!</v>
      </c>
      <c r="B786" t="e">
        <f>#REF!</f>
        <v>#REF!</v>
      </c>
      <c r="C786" t="e">
        <f>#REF!</f>
        <v>#REF!</v>
      </c>
      <c r="D786" t="e">
        <f>#REF!</f>
        <v>#REF!</v>
      </c>
      <c r="E786" t="e">
        <f>#REF!</f>
        <v>#REF!</v>
      </c>
      <c r="F786" t="e">
        <f>#REF!</f>
        <v>#REF!</v>
      </c>
      <c r="G786" t="e">
        <f>#REF!</f>
        <v>#REF!</v>
      </c>
      <c r="H786" t="e">
        <f>#REF!</f>
        <v>#REF!</v>
      </c>
    </row>
    <row r="787" spans="1:8">
      <c r="A787" t="e">
        <f>#REF!</f>
        <v>#REF!</v>
      </c>
      <c r="B787" t="e">
        <f>#REF!</f>
        <v>#REF!</v>
      </c>
      <c r="C787" t="e">
        <f>#REF!</f>
        <v>#REF!</v>
      </c>
      <c r="D787" t="e">
        <f>#REF!</f>
        <v>#REF!</v>
      </c>
      <c r="E787" t="e">
        <f>#REF!</f>
        <v>#REF!</v>
      </c>
      <c r="F787" t="e">
        <f>#REF!</f>
        <v>#REF!</v>
      </c>
      <c r="G787" t="e">
        <f>#REF!</f>
        <v>#REF!</v>
      </c>
      <c r="H787" t="e">
        <f>#REF!</f>
        <v>#REF!</v>
      </c>
    </row>
    <row r="788" spans="1:8">
      <c r="A788" t="e">
        <f>#REF!</f>
        <v>#REF!</v>
      </c>
      <c r="B788" t="e">
        <f>#REF!</f>
        <v>#REF!</v>
      </c>
      <c r="C788" t="e">
        <f>#REF!</f>
        <v>#REF!</v>
      </c>
      <c r="D788" t="e">
        <f>#REF!</f>
        <v>#REF!</v>
      </c>
      <c r="E788" t="e">
        <f>#REF!</f>
        <v>#REF!</v>
      </c>
      <c r="F788" t="e">
        <f>#REF!</f>
        <v>#REF!</v>
      </c>
      <c r="G788" t="e">
        <f>#REF!</f>
        <v>#REF!</v>
      </c>
      <c r="H788" t="e">
        <f>#REF!</f>
        <v>#REF!</v>
      </c>
    </row>
    <row r="789" spans="1:8">
      <c r="A789" t="e">
        <f>#REF!</f>
        <v>#REF!</v>
      </c>
      <c r="B789" t="e">
        <f>#REF!</f>
        <v>#REF!</v>
      </c>
      <c r="C789" t="e">
        <f>#REF!</f>
        <v>#REF!</v>
      </c>
      <c r="D789" t="e">
        <f>#REF!</f>
        <v>#REF!</v>
      </c>
      <c r="E789" t="e">
        <f>#REF!</f>
        <v>#REF!</v>
      </c>
      <c r="F789" t="e">
        <f>#REF!</f>
        <v>#REF!</v>
      </c>
      <c r="G789" t="e">
        <f>#REF!</f>
        <v>#REF!</v>
      </c>
      <c r="H789" t="e">
        <f>#REF!</f>
        <v>#REF!</v>
      </c>
    </row>
    <row r="790" spans="1:8">
      <c r="A790" t="e">
        <f>#REF!</f>
        <v>#REF!</v>
      </c>
      <c r="B790" t="e">
        <f>#REF!</f>
        <v>#REF!</v>
      </c>
      <c r="C790" t="e">
        <f>#REF!</f>
        <v>#REF!</v>
      </c>
      <c r="D790" t="e">
        <f>#REF!</f>
        <v>#REF!</v>
      </c>
      <c r="E790" t="e">
        <f>#REF!</f>
        <v>#REF!</v>
      </c>
      <c r="F790" t="e">
        <f>#REF!</f>
        <v>#REF!</v>
      </c>
      <c r="G790" t="e">
        <f>#REF!</f>
        <v>#REF!</v>
      </c>
      <c r="H790" t="e">
        <f>#REF!</f>
        <v>#REF!</v>
      </c>
    </row>
    <row r="791" spans="1:8">
      <c r="A791" t="e">
        <f>#REF!</f>
        <v>#REF!</v>
      </c>
      <c r="B791" t="e">
        <f>#REF!</f>
        <v>#REF!</v>
      </c>
      <c r="C791" t="e">
        <f>#REF!</f>
        <v>#REF!</v>
      </c>
      <c r="D791" t="e">
        <f>#REF!</f>
        <v>#REF!</v>
      </c>
      <c r="E791" t="e">
        <f>#REF!</f>
        <v>#REF!</v>
      </c>
      <c r="F791" t="e">
        <f>#REF!</f>
        <v>#REF!</v>
      </c>
      <c r="G791" t="e">
        <f>#REF!</f>
        <v>#REF!</v>
      </c>
      <c r="H791" t="e">
        <f>#REF!</f>
        <v>#REF!</v>
      </c>
    </row>
    <row r="792" spans="1:8">
      <c r="A792" t="e">
        <f>#REF!</f>
        <v>#REF!</v>
      </c>
      <c r="B792" t="e">
        <f>#REF!</f>
        <v>#REF!</v>
      </c>
      <c r="C792" t="e">
        <f>#REF!</f>
        <v>#REF!</v>
      </c>
      <c r="D792" t="e">
        <f>#REF!</f>
        <v>#REF!</v>
      </c>
      <c r="E792" t="e">
        <f>#REF!</f>
        <v>#REF!</v>
      </c>
      <c r="F792" t="e">
        <f>#REF!</f>
        <v>#REF!</v>
      </c>
      <c r="G792" t="e">
        <f>#REF!</f>
        <v>#REF!</v>
      </c>
      <c r="H792" t="e">
        <f>#REF!</f>
        <v>#REF!</v>
      </c>
    </row>
    <row r="793" spans="1:8">
      <c r="A793" t="e">
        <f>#REF!</f>
        <v>#REF!</v>
      </c>
      <c r="B793" t="e">
        <f>#REF!</f>
        <v>#REF!</v>
      </c>
      <c r="C793" t="e">
        <f>#REF!</f>
        <v>#REF!</v>
      </c>
      <c r="D793" t="e">
        <f>#REF!</f>
        <v>#REF!</v>
      </c>
      <c r="E793" t="e">
        <f>#REF!</f>
        <v>#REF!</v>
      </c>
      <c r="F793" t="e">
        <f>#REF!</f>
        <v>#REF!</v>
      </c>
      <c r="G793" t="e">
        <f>#REF!</f>
        <v>#REF!</v>
      </c>
      <c r="H793" t="e">
        <f>#REF!</f>
        <v>#REF!</v>
      </c>
    </row>
    <row r="794" spans="1:8">
      <c r="A794" t="e">
        <f>#REF!</f>
        <v>#REF!</v>
      </c>
      <c r="B794" t="e">
        <f>#REF!</f>
        <v>#REF!</v>
      </c>
      <c r="C794" t="e">
        <f>#REF!</f>
        <v>#REF!</v>
      </c>
      <c r="D794" t="e">
        <f>#REF!</f>
        <v>#REF!</v>
      </c>
      <c r="E794" t="e">
        <f>#REF!</f>
        <v>#REF!</v>
      </c>
      <c r="F794" t="e">
        <f>#REF!</f>
        <v>#REF!</v>
      </c>
      <c r="G794" t="e">
        <f>#REF!</f>
        <v>#REF!</v>
      </c>
      <c r="H794" t="e">
        <f>#REF!</f>
        <v>#REF!</v>
      </c>
    </row>
    <row r="795" spans="1:8">
      <c r="A795" t="e">
        <f>#REF!</f>
        <v>#REF!</v>
      </c>
      <c r="B795" t="e">
        <f>#REF!</f>
        <v>#REF!</v>
      </c>
      <c r="C795" t="e">
        <f>#REF!</f>
        <v>#REF!</v>
      </c>
      <c r="D795" t="e">
        <f>#REF!</f>
        <v>#REF!</v>
      </c>
      <c r="E795" t="e">
        <f>#REF!</f>
        <v>#REF!</v>
      </c>
      <c r="F795" t="e">
        <f>#REF!</f>
        <v>#REF!</v>
      </c>
      <c r="G795" t="e">
        <f>#REF!</f>
        <v>#REF!</v>
      </c>
      <c r="H795" t="e">
        <f>#REF!</f>
        <v>#REF!</v>
      </c>
    </row>
    <row r="796" spans="1:8">
      <c r="A796" t="e">
        <f>#REF!</f>
        <v>#REF!</v>
      </c>
      <c r="B796" t="e">
        <f>#REF!</f>
        <v>#REF!</v>
      </c>
      <c r="C796" t="e">
        <f>#REF!</f>
        <v>#REF!</v>
      </c>
      <c r="D796" t="e">
        <f>#REF!</f>
        <v>#REF!</v>
      </c>
      <c r="E796" t="e">
        <f>#REF!</f>
        <v>#REF!</v>
      </c>
      <c r="F796" t="e">
        <f>#REF!</f>
        <v>#REF!</v>
      </c>
      <c r="G796" t="e">
        <f>#REF!</f>
        <v>#REF!</v>
      </c>
      <c r="H796" t="e">
        <f>#REF!</f>
        <v>#REF!</v>
      </c>
    </row>
    <row r="797" spans="1:8">
      <c r="A797" t="e">
        <f>#REF!</f>
        <v>#REF!</v>
      </c>
      <c r="B797" t="e">
        <f>#REF!</f>
        <v>#REF!</v>
      </c>
      <c r="C797" t="e">
        <f>#REF!</f>
        <v>#REF!</v>
      </c>
      <c r="D797" t="e">
        <f>#REF!</f>
        <v>#REF!</v>
      </c>
      <c r="E797" t="e">
        <f>#REF!</f>
        <v>#REF!</v>
      </c>
      <c r="F797" t="e">
        <f>#REF!</f>
        <v>#REF!</v>
      </c>
      <c r="G797" t="e">
        <f>#REF!</f>
        <v>#REF!</v>
      </c>
      <c r="H797" t="e">
        <f>#REF!</f>
        <v>#REF!</v>
      </c>
    </row>
    <row r="798" spans="1:8">
      <c r="A798" t="e">
        <f>#REF!</f>
        <v>#REF!</v>
      </c>
      <c r="B798" t="e">
        <f>#REF!</f>
        <v>#REF!</v>
      </c>
      <c r="C798" t="e">
        <f>#REF!</f>
        <v>#REF!</v>
      </c>
      <c r="D798" t="e">
        <f>#REF!</f>
        <v>#REF!</v>
      </c>
      <c r="E798" t="e">
        <f>#REF!</f>
        <v>#REF!</v>
      </c>
      <c r="F798" t="e">
        <f>#REF!</f>
        <v>#REF!</v>
      </c>
      <c r="G798" t="e">
        <f>#REF!</f>
        <v>#REF!</v>
      </c>
      <c r="H798" t="e">
        <f>#REF!</f>
        <v>#REF!</v>
      </c>
    </row>
    <row r="799" spans="1:8">
      <c r="A799" t="e">
        <f>#REF!</f>
        <v>#REF!</v>
      </c>
      <c r="B799" t="e">
        <f>#REF!</f>
        <v>#REF!</v>
      </c>
      <c r="C799" t="e">
        <f>#REF!</f>
        <v>#REF!</v>
      </c>
      <c r="D799" t="e">
        <f>#REF!</f>
        <v>#REF!</v>
      </c>
      <c r="E799" t="e">
        <f>#REF!</f>
        <v>#REF!</v>
      </c>
      <c r="F799" t="e">
        <f>#REF!</f>
        <v>#REF!</v>
      </c>
      <c r="G799" t="e">
        <f>#REF!</f>
        <v>#REF!</v>
      </c>
      <c r="H799" t="e">
        <f>#REF!</f>
        <v>#REF!</v>
      </c>
    </row>
    <row r="800" spans="1:8">
      <c r="A800" t="e">
        <f>#REF!</f>
        <v>#REF!</v>
      </c>
      <c r="B800" t="e">
        <f>#REF!</f>
        <v>#REF!</v>
      </c>
      <c r="C800" t="e">
        <f>#REF!</f>
        <v>#REF!</v>
      </c>
      <c r="D800" t="e">
        <f>#REF!</f>
        <v>#REF!</v>
      </c>
      <c r="E800" t="e">
        <f>#REF!</f>
        <v>#REF!</v>
      </c>
      <c r="F800" t="e">
        <f>#REF!</f>
        <v>#REF!</v>
      </c>
      <c r="G800" t="e">
        <f>#REF!</f>
        <v>#REF!</v>
      </c>
      <c r="H800" t="e">
        <f>#REF!</f>
        <v>#REF!</v>
      </c>
    </row>
    <row r="801" spans="1:8">
      <c r="A801" t="e">
        <f>#REF!</f>
        <v>#REF!</v>
      </c>
      <c r="B801" t="e">
        <f>#REF!</f>
        <v>#REF!</v>
      </c>
      <c r="C801" t="e">
        <f>#REF!</f>
        <v>#REF!</v>
      </c>
      <c r="D801" t="e">
        <f>#REF!</f>
        <v>#REF!</v>
      </c>
      <c r="E801" t="e">
        <f>#REF!</f>
        <v>#REF!</v>
      </c>
      <c r="F801" t="e">
        <f>#REF!</f>
        <v>#REF!</v>
      </c>
      <c r="G801" t="e">
        <f>#REF!</f>
        <v>#REF!</v>
      </c>
      <c r="H801" t="e">
        <f>#REF!</f>
        <v>#REF!</v>
      </c>
    </row>
    <row r="802" spans="1:8">
      <c r="A802" t="e">
        <f>#REF!</f>
        <v>#REF!</v>
      </c>
      <c r="B802" t="e">
        <f>#REF!</f>
        <v>#REF!</v>
      </c>
      <c r="C802" t="e">
        <f>#REF!</f>
        <v>#REF!</v>
      </c>
      <c r="D802" t="e">
        <f>#REF!</f>
        <v>#REF!</v>
      </c>
      <c r="E802" t="e">
        <f>#REF!</f>
        <v>#REF!</v>
      </c>
      <c r="F802" t="e">
        <f>#REF!</f>
        <v>#REF!</v>
      </c>
      <c r="G802" t="e">
        <f>#REF!</f>
        <v>#REF!</v>
      </c>
      <c r="H802" t="e">
        <f>#REF!</f>
        <v>#REF!</v>
      </c>
    </row>
    <row r="803" spans="1:8">
      <c r="A803" t="e">
        <f>#REF!</f>
        <v>#REF!</v>
      </c>
      <c r="B803" t="e">
        <f>#REF!</f>
        <v>#REF!</v>
      </c>
      <c r="C803" t="e">
        <f>#REF!</f>
        <v>#REF!</v>
      </c>
      <c r="D803" t="e">
        <f>#REF!</f>
        <v>#REF!</v>
      </c>
      <c r="E803" t="e">
        <f>#REF!</f>
        <v>#REF!</v>
      </c>
      <c r="F803" t="e">
        <f>#REF!</f>
        <v>#REF!</v>
      </c>
      <c r="G803" t="e">
        <f>#REF!</f>
        <v>#REF!</v>
      </c>
      <c r="H803" t="e">
        <f>#REF!</f>
        <v>#REF!</v>
      </c>
    </row>
    <row r="804" spans="1:8">
      <c r="A804" t="e">
        <f>#REF!</f>
        <v>#REF!</v>
      </c>
      <c r="B804" t="e">
        <f>#REF!</f>
        <v>#REF!</v>
      </c>
      <c r="C804" t="e">
        <f>#REF!</f>
        <v>#REF!</v>
      </c>
      <c r="D804" t="e">
        <f>#REF!</f>
        <v>#REF!</v>
      </c>
      <c r="E804" t="e">
        <f>#REF!</f>
        <v>#REF!</v>
      </c>
      <c r="F804" t="e">
        <f>#REF!</f>
        <v>#REF!</v>
      </c>
      <c r="G804" t="e">
        <f>#REF!</f>
        <v>#REF!</v>
      </c>
      <c r="H804" t="e">
        <f>#REF!</f>
        <v>#REF!</v>
      </c>
    </row>
    <row r="805" spans="1:8">
      <c r="A805" t="e">
        <f>#REF!</f>
        <v>#REF!</v>
      </c>
      <c r="B805" t="e">
        <f>#REF!</f>
        <v>#REF!</v>
      </c>
      <c r="C805" t="e">
        <f>#REF!</f>
        <v>#REF!</v>
      </c>
      <c r="D805" t="e">
        <f>#REF!</f>
        <v>#REF!</v>
      </c>
      <c r="E805" t="e">
        <f>#REF!</f>
        <v>#REF!</v>
      </c>
      <c r="F805" t="e">
        <f>#REF!</f>
        <v>#REF!</v>
      </c>
      <c r="G805" t="e">
        <f>#REF!</f>
        <v>#REF!</v>
      </c>
      <c r="H805" t="e">
        <f>#REF!</f>
        <v>#REF!</v>
      </c>
    </row>
    <row r="806" spans="1:8">
      <c r="A806" t="e">
        <f>#REF!</f>
        <v>#REF!</v>
      </c>
      <c r="B806" t="e">
        <f>#REF!</f>
        <v>#REF!</v>
      </c>
      <c r="C806" t="e">
        <f>#REF!</f>
        <v>#REF!</v>
      </c>
      <c r="D806" t="e">
        <f>#REF!</f>
        <v>#REF!</v>
      </c>
      <c r="E806" t="e">
        <f>#REF!</f>
        <v>#REF!</v>
      </c>
      <c r="F806" t="e">
        <f>#REF!</f>
        <v>#REF!</v>
      </c>
      <c r="G806" t="e">
        <f>#REF!</f>
        <v>#REF!</v>
      </c>
      <c r="H806" t="e">
        <f>#REF!</f>
        <v>#REF!</v>
      </c>
    </row>
    <row r="807" spans="1:8">
      <c r="A807" t="e">
        <f>#REF!</f>
        <v>#REF!</v>
      </c>
      <c r="B807" t="e">
        <f>#REF!</f>
        <v>#REF!</v>
      </c>
      <c r="C807" t="e">
        <f>#REF!</f>
        <v>#REF!</v>
      </c>
      <c r="D807" t="e">
        <f>#REF!</f>
        <v>#REF!</v>
      </c>
      <c r="E807" t="e">
        <f>#REF!</f>
        <v>#REF!</v>
      </c>
      <c r="F807" t="e">
        <f>#REF!</f>
        <v>#REF!</v>
      </c>
      <c r="G807" t="e">
        <f>#REF!</f>
        <v>#REF!</v>
      </c>
      <c r="H807" t="e">
        <f>#REF!</f>
        <v>#REF!</v>
      </c>
    </row>
    <row r="808" spans="1:8">
      <c r="A808" t="e">
        <f>#REF!</f>
        <v>#REF!</v>
      </c>
      <c r="B808" t="e">
        <f>#REF!</f>
        <v>#REF!</v>
      </c>
      <c r="C808" t="e">
        <f>#REF!</f>
        <v>#REF!</v>
      </c>
      <c r="D808" t="e">
        <f>#REF!</f>
        <v>#REF!</v>
      </c>
      <c r="E808" t="e">
        <f>#REF!</f>
        <v>#REF!</v>
      </c>
      <c r="F808" t="e">
        <f>#REF!</f>
        <v>#REF!</v>
      </c>
      <c r="G808" t="e">
        <f>#REF!</f>
        <v>#REF!</v>
      </c>
      <c r="H808" t="e">
        <f>#REF!</f>
        <v>#REF!</v>
      </c>
    </row>
    <row r="809" spans="1:8">
      <c r="A809" t="e">
        <f>#REF!</f>
        <v>#REF!</v>
      </c>
      <c r="B809" t="e">
        <f>#REF!</f>
        <v>#REF!</v>
      </c>
      <c r="C809" t="e">
        <f>#REF!</f>
        <v>#REF!</v>
      </c>
      <c r="D809" t="e">
        <f>#REF!</f>
        <v>#REF!</v>
      </c>
      <c r="E809" t="e">
        <f>#REF!</f>
        <v>#REF!</v>
      </c>
      <c r="F809" t="e">
        <f>#REF!</f>
        <v>#REF!</v>
      </c>
      <c r="G809" t="e">
        <f>#REF!</f>
        <v>#REF!</v>
      </c>
      <c r="H809" t="e">
        <f>#REF!</f>
        <v>#REF!</v>
      </c>
    </row>
    <row r="810" spans="1:8">
      <c r="A810" t="e">
        <f>#REF!</f>
        <v>#REF!</v>
      </c>
      <c r="B810" t="e">
        <f>#REF!</f>
        <v>#REF!</v>
      </c>
      <c r="C810" t="e">
        <f>#REF!</f>
        <v>#REF!</v>
      </c>
      <c r="D810" t="e">
        <f>#REF!</f>
        <v>#REF!</v>
      </c>
      <c r="E810" t="e">
        <f>#REF!</f>
        <v>#REF!</v>
      </c>
      <c r="F810" t="e">
        <f>#REF!</f>
        <v>#REF!</v>
      </c>
      <c r="G810" t="e">
        <f>#REF!</f>
        <v>#REF!</v>
      </c>
      <c r="H810" t="e">
        <f>#REF!</f>
        <v>#REF!</v>
      </c>
    </row>
    <row r="811" spans="1:8">
      <c r="A811" t="e">
        <f>#REF!</f>
        <v>#REF!</v>
      </c>
      <c r="B811" t="e">
        <f>#REF!</f>
        <v>#REF!</v>
      </c>
      <c r="C811" t="e">
        <f>#REF!</f>
        <v>#REF!</v>
      </c>
      <c r="D811" t="e">
        <f>#REF!</f>
        <v>#REF!</v>
      </c>
      <c r="E811" t="e">
        <f>#REF!</f>
        <v>#REF!</v>
      </c>
      <c r="F811" t="e">
        <f>#REF!</f>
        <v>#REF!</v>
      </c>
      <c r="G811" t="e">
        <f>#REF!</f>
        <v>#REF!</v>
      </c>
      <c r="H811" t="e">
        <f>#REF!</f>
        <v>#REF!</v>
      </c>
    </row>
    <row r="812" spans="1:8">
      <c r="A812" t="e">
        <f>#REF!</f>
        <v>#REF!</v>
      </c>
      <c r="B812" t="e">
        <f>#REF!</f>
        <v>#REF!</v>
      </c>
      <c r="C812" t="e">
        <f>#REF!</f>
        <v>#REF!</v>
      </c>
      <c r="D812" t="e">
        <f>#REF!</f>
        <v>#REF!</v>
      </c>
      <c r="E812" t="e">
        <f>#REF!</f>
        <v>#REF!</v>
      </c>
      <c r="F812" t="e">
        <f>#REF!</f>
        <v>#REF!</v>
      </c>
      <c r="G812" t="e">
        <f>#REF!</f>
        <v>#REF!</v>
      </c>
      <c r="H812" t="e">
        <f>#REF!</f>
        <v>#REF!</v>
      </c>
    </row>
    <row r="813" spans="1:8">
      <c r="A813" t="e">
        <f>#REF!</f>
        <v>#REF!</v>
      </c>
      <c r="B813" t="e">
        <f>#REF!</f>
        <v>#REF!</v>
      </c>
      <c r="C813" t="e">
        <f>#REF!</f>
        <v>#REF!</v>
      </c>
      <c r="D813" t="e">
        <f>#REF!</f>
        <v>#REF!</v>
      </c>
      <c r="E813" t="e">
        <f>#REF!</f>
        <v>#REF!</v>
      </c>
      <c r="F813" t="e">
        <f>#REF!</f>
        <v>#REF!</v>
      </c>
      <c r="G813" t="e">
        <f>#REF!</f>
        <v>#REF!</v>
      </c>
      <c r="H813" t="e">
        <f>#REF!</f>
        <v>#REF!</v>
      </c>
    </row>
    <row r="814" spans="1:8">
      <c r="A814" t="e">
        <f>#REF!</f>
        <v>#REF!</v>
      </c>
      <c r="B814" t="e">
        <f>#REF!</f>
        <v>#REF!</v>
      </c>
      <c r="C814" t="e">
        <f>#REF!</f>
        <v>#REF!</v>
      </c>
      <c r="D814" t="e">
        <f>#REF!</f>
        <v>#REF!</v>
      </c>
      <c r="E814" t="e">
        <f>#REF!</f>
        <v>#REF!</v>
      </c>
      <c r="F814" t="e">
        <f>#REF!</f>
        <v>#REF!</v>
      </c>
      <c r="G814" t="e">
        <f>#REF!</f>
        <v>#REF!</v>
      </c>
      <c r="H814" t="e">
        <f>#REF!</f>
        <v>#REF!</v>
      </c>
    </row>
    <row r="815" spans="1:8">
      <c r="A815" t="e">
        <f>#REF!</f>
        <v>#REF!</v>
      </c>
      <c r="B815" t="e">
        <f>#REF!</f>
        <v>#REF!</v>
      </c>
      <c r="C815" t="e">
        <f>#REF!</f>
        <v>#REF!</v>
      </c>
      <c r="D815" t="e">
        <f>#REF!</f>
        <v>#REF!</v>
      </c>
      <c r="E815" t="e">
        <f>#REF!</f>
        <v>#REF!</v>
      </c>
      <c r="F815" t="e">
        <f>#REF!</f>
        <v>#REF!</v>
      </c>
      <c r="G815" t="e">
        <f>#REF!</f>
        <v>#REF!</v>
      </c>
      <c r="H815" t="e">
        <f>#REF!</f>
        <v>#REF!</v>
      </c>
    </row>
    <row r="816" spans="1:8">
      <c r="A816" t="e">
        <f>#REF!</f>
        <v>#REF!</v>
      </c>
      <c r="B816" t="e">
        <f>#REF!</f>
        <v>#REF!</v>
      </c>
      <c r="C816" t="e">
        <f>#REF!</f>
        <v>#REF!</v>
      </c>
      <c r="D816" t="e">
        <f>#REF!</f>
        <v>#REF!</v>
      </c>
      <c r="E816" t="e">
        <f>#REF!</f>
        <v>#REF!</v>
      </c>
      <c r="F816" t="e">
        <f>#REF!</f>
        <v>#REF!</v>
      </c>
      <c r="G816" t="e">
        <f>#REF!</f>
        <v>#REF!</v>
      </c>
      <c r="H816" t="e">
        <f>#REF!</f>
        <v>#REF!</v>
      </c>
    </row>
    <row r="817" spans="1:8">
      <c r="A817" t="e">
        <f>#REF!</f>
        <v>#REF!</v>
      </c>
      <c r="B817" t="e">
        <f>#REF!</f>
        <v>#REF!</v>
      </c>
      <c r="C817" t="e">
        <f>#REF!</f>
        <v>#REF!</v>
      </c>
      <c r="D817" t="e">
        <f>#REF!</f>
        <v>#REF!</v>
      </c>
      <c r="E817" t="e">
        <f>#REF!</f>
        <v>#REF!</v>
      </c>
      <c r="F817" t="e">
        <f>#REF!</f>
        <v>#REF!</v>
      </c>
      <c r="G817" t="e">
        <f>#REF!</f>
        <v>#REF!</v>
      </c>
      <c r="H817" t="e">
        <f>#REF!</f>
        <v>#REF!</v>
      </c>
    </row>
    <row r="818" spans="1:8">
      <c r="A818" t="e">
        <f>#REF!</f>
        <v>#REF!</v>
      </c>
      <c r="B818" t="e">
        <f>#REF!</f>
        <v>#REF!</v>
      </c>
      <c r="C818" t="e">
        <f>#REF!</f>
        <v>#REF!</v>
      </c>
      <c r="D818" t="e">
        <f>#REF!</f>
        <v>#REF!</v>
      </c>
      <c r="E818" t="e">
        <f>#REF!</f>
        <v>#REF!</v>
      </c>
      <c r="F818" t="e">
        <f>#REF!</f>
        <v>#REF!</v>
      </c>
      <c r="G818" t="e">
        <f>#REF!</f>
        <v>#REF!</v>
      </c>
      <c r="H818" t="e">
        <f>#REF!</f>
        <v>#REF!</v>
      </c>
    </row>
    <row r="819" spans="1:8">
      <c r="A819" t="e">
        <f>#REF!</f>
        <v>#REF!</v>
      </c>
      <c r="B819" t="e">
        <f>#REF!</f>
        <v>#REF!</v>
      </c>
      <c r="C819" t="e">
        <f>#REF!</f>
        <v>#REF!</v>
      </c>
      <c r="D819" t="e">
        <f>#REF!</f>
        <v>#REF!</v>
      </c>
      <c r="E819" t="e">
        <f>#REF!</f>
        <v>#REF!</v>
      </c>
      <c r="F819" t="e">
        <f>#REF!</f>
        <v>#REF!</v>
      </c>
      <c r="G819" t="e">
        <f>#REF!</f>
        <v>#REF!</v>
      </c>
      <c r="H819" t="e">
        <f>#REF!</f>
        <v>#REF!</v>
      </c>
    </row>
    <row r="820" spans="1:8">
      <c r="A820" t="e">
        <f>#REF!</f>
        <v>#REF!</v>
      </c>
      <c r="B820" t="e">
        <f>#REF!</f>
        <v>#REF!</v>
      </c>
      <c r="C820" t="e">
        <f>#REF!</f>
        <v>#REF!</v>
      </c>
      <c r="D820" t="e">
        <f>#REF!</f>
        <v>#REF!</v>
      </c>
      <c r="E820" t="e">
        <f>#REF!</f>
        <v>#REF!</v>
      </c>
      <c r="F820" t="e">
        <f>#REF!</f>
        <v>#REF!</v>
      </c>
      <c r="G820" t="e">
        <f>#REF!</f>
        <v>#REF!</v>
      </c>
      <c r="H820" t="e">
        <f>#REF!</f>
        <v>#REF!</v>
      </c>
    </row>
    <row r="821" spans="1:8">
      <c r="A821" t="e">
        <f>#REF!</f>
        <v>#REF!</v>
      </c>
      <c r="B821" t="e">
        <f>#REF!</f>
        <v>#REF!</v>
      </c>
      <c r="C821" t="e">
        <f>#REF!</f>
        <v>#REF!</v>
      </c>
      <c r="D821" t="e">
        <f>#REF!</f>
        <v>#REF!</v>
      </c>
      <c r="E821" t="e">
        <f>#REF!</f>
        <v>#REF!</v>
      </c>
      <c r="F821" t="e">
        <f>#REF!</f>
        <v>#REF!</v>
      </c>
      <c r="G821" t="e">
        <f>#REF!</f>
        <v>#REF!</v>
      </c>
      <c r="H821" t="e">
        <f>#REF!</f>
        <v>#REF!</v>
      </c>
    </row>
    <row r="822" spans="1:8">
      <c r="A822" t="e">
        <f>#REF!</f>
        <v>#REF!</v>
      </c>
      <c r="B822" t="e">
        <f>#REF!</f>
        <v>#REF!</v>
      </c>
      <c r="C822" t="e">
        <f>#REF!</f>
        <v>#REF!</v>
      </c>
      <c r="D822" t="e">
        <f>#REF!</f>
        <v>#REF!</v>
      </c>
      <c r="E822" t="e">
        <f>#REF!</f>
        <v>#REF!</v>
      </c>
      <c r="F822" t="e">
        <f>#REF!</f>
        <v>#REF!</v>
      </c>
      <c r="G822" t="e">
        <f>#REF!</f>
        <v>#REF!</v>
      </c>
      <c r="H822" t="e">
        <f>#REF!</f>
        <v>#REF!</v>
      </c>
    </row>
    <row r="823" spans="1:8">
      <c r="A823" t="e">
        <f>#REF!</f>
        <v>#REF!</v>
      </c>
      <c r="B823" t="e">
        <f>#REF!</f>
        <v>#REF!</v>
      </c>
      <c r="C823" t="e">
        <f>#REF!</f>
        <v>#REF!</v>
      </c>
      <c r="D823" t="e">
        <f>#REF!</f>
        <v>#REF!</v>
      </c>
      <c r="E823" t="e">
        <f>#REF!</f>
        <v>#REF!</v>
      </c>
      <c r="F823" t="e">
        <f>#REF!</f>
        <v>#REF!</v>
      </c>
      <c r="G823" t="e">
        <f>#REF!</f>
        <v>#REF!</v>
      </c>
      <c r="H823" t="e">
        <f>#REF!</f>
        <v>#REF!</v>
      </c>
    </row>
    <row r="824" spans="1:8">
      <c r="A824" t="e">
        <f>#REF!</f>
        <v>#REF!</v>
      </c>
      <c r="B824" t="e">
        <f>#REF!</f>
        <v>#REF!</v>
      </c>
      <c r="C824" t="e">
        <f>#REF!</f>
        <v>#REF!</v>
      </c>
      <c r="D824" t="e">
        <f>#REF!</f>
        <v>#REF!</v>
      </c>
      <c r="E824" t="e">
        <f>#REF!</f>
        <v>#REF!</v>
      </c>
      <c r="F824" t="e">
        <f>#REF!</f>
        <v>#REF!</v>
      </c>
      <c r="G824" t="e">
        <f>#REF!</f>
        <v>#REF!</v>
      </c>
      <c r="H824" t="e">
        <f>#REF!</f>
        <v>#REF!</v>
      </c>
    </row>
    <row r="825" spans="1:8">
      <c r="A825" t="e">
        <f>#REF!</f>
        <v>#REF!</v>
      </c>
      <c r="B825" t="e">
        <f>#REF!</f>
        <v>#REF!</v>
      </c>
      <c r="C825" t="e">
        <f>#REF!</f>
        <v>#REF!</v>
      </c>
      <c r="D825" t="e">
        <f>#REF!</f>
        <v>#REF!</v>
      </c>
      <c r="E825" t="e">
        <f>#REF!</f>
        <v>#REF!</v>
      </c>
      <c r="F825" t="e">
        <f>#REF!</f>
        <v>#REF!</v>
      </c>
      <c r="G825" t="e">
        <f>#REF!</f>
        <v>#REF!</v>
      </c>
      <c r="H825" t="e">
        <f>#REF!</f>
        <v>#REF!</v>
      </c>
    </row>
    <row r="826" spans="1:8">
      <c r="A826" t="e">
        <f>#REF!</f>
        <v>#REF!</v>
      </c>
      <c r="B826" t="e">
        <f>#REF!</f>
        <v>#REF!</v>
      </c>
      <c r="C826" t="e">
        <f>#REF!</f>
        <v>#REF!</v>
      </c>
      <c r="D826" t="e">
        <f>#REF!</f>
        <v>#REF!</v>
      </c>
      <c r="E826" t="e">
        <f>#REF!</f>
        <v>#REF!</v>
      </c>
      <c r="F826" t="e">
        <f>#REF!</f>
        <v>#REF!</v>
      </c>
      <c r="G826" t="e">
        <f>#REF!</f>
        <v>#REF!</v>
      </c>
      <c r="H826" t="e">
        <f>#REF!</f>
        <v>#REF!</v>
      </c>
    </row>
    <row r="827" spans="1:8">
      <c r="A827" t="e">
        <f>#REF!</f>
        <v>#REF!</v>
      </c>
      <c r="B827" t="e">
        <f>#REF!</f>
        <v>#REF!</v>
      </c>
      <c r="C827" t="e">
        <f>#REF!</f>
        <v>#REF!</v>
      </c>
      <c r="D827" t="e">
        <f>#REF!</f>
        <v>#REF!</v>
      </c>
      <c r="E827" t="e">
        <f>#REF!</f>
        <v>#REF!</v>
      </c>
      <c r="F827" t="e">
        <f>#REF!</f>
        <v>#REF!</v>
      </c>
      <c r="G827" t="e">
        <f>#REF!</f>
        <v>#REF!</v>
      </c>
      <c r="H827" t="e">
        <f>#REF!</f>
        <v>#REF!</v>
      </c>
    </row>
    <row r="828" spans="1:8">
      <c r="A828" t="e">
        <f>#REF!</f>
        <v>#REF!</v>
      </c>
      <c r="B828" t="e">
        <f>#REF!</f>
        <v>#REF!</v>
      </c>
      <c r="C828" t="e">
        <f>#REF!</f>
        <v>#REF!</v>
      </c>
      <c r="D828" t="e">
        <f>#REF!</f>
        <v>#REF!</v>
      </c>
      <c r="E828" t="e">
        <f>#REF!</f>
        <v>#REF!</v>
      </c>
      <c r="F828" t="e">
        <f>#REF!</f>
        <v>#REF!</v>
      </c>
      <c r="G828" t="e">
        <f>#REF!</f>
        <v>#REF!</v>
      </c>
      <c r="H828" t="e">
        <f>#REF!</f>
        <v>#REF!</v>
      </c>
    </row>
    <row r="829" spans="1:8">
      <c r="A829" t="e">
        <f>#REF!</f>
        <v>#REF!</v>
      </c>
      <c r="B829" t="e">
        <f>#REF!</f>
        <v>#REF!</v>
      </c>
      <c r="C829" t="e">
        <f>#REF!</f>
        <v>#REF!</v>
      </c>
      <c r="D829" t="e">
        <f>#REF!</f>
        <v>#REF!</v>
      </c>
      <c r="E829" t="e">
        <f>#REF!</f>
        <v>#REF!</v>
      </c>
      <c r="F829" t="e">
        <f>#REF!</f>
        <v>#REF!</v>
      </c>
      <c r="G829" t="e">
        <f>#REF!</f>
        <v>#REF!</v>
      </c>
      <c r="H829" t="e">
        <f>#REF!</f>
        <v>#REF!</v>
      </c>
    </row>
    <row r="830" spans="1:8">
      <c r="A830" t="e">
        <f>#REF!</f>
        <v>#REF!</v>
      </c>
      <c r="B830" t="e">
        <f>#REF!</f>
        <v>#REF!</v>
      </c>
      <c r="C830" t="e">
        <f>#REF!</f>
        <v>#REF!</v>
      </c>
      <c r="D830" t="e">
        <f>#REF!</f>
        <v>#REF!</v>
      </c>
      <c r="E830" t="e">
        <f>#REF!</f>
        <v>#REF!</v>
      </c>
      <c r="F830" t="e">
        <f>#REF!</f>
        <v>#REF!</v>
      </c>
      <c r="G830" t="e">
        <f>#REF!</f>
        <v>#REF!</v>
      </c>
      <c r="H830" t="e">
        <f>#REF!</f>
        <v>#REF!</v>
      </c>
    </row>
    <row r="831" spans="1:8">
      <c r="A831" t="e">
        <f>#REF!</f>
        <v>#REF!</v>
      </c>
      <c r="B831" t="e">
        <f>#REF!</f>
        <v>#REF!</v>
      </c>
      <c r="C831" t="e">
        <f>#REF!</f>
        <v>#REF!</v>
      </c>
      <c r="D831" t="e">
        <f>#REF!</f>
        <v>#REF!</v>
      </c>
      <c r="E831" t="e">
        <f>#REF!</f>
        <v>#REF!</v>
      </c>
      <c r="F831" t="e">
        <f>#REF!</f>
        <v>#REF!</v>
      </c>
      <c r="G831" t="e">
        <f>#REF!</f>
        <v>#REF!</v>
      </c>
      <c r="H831" t="e">
        <f>#REF!</f>
        <v>#REF!</v>
      </c>
    </row>
    <row r="832" spans="1:8">
      <c r="A832" t="e">
        <f>#REF!</f>
        <v>#REF!</v>
      </c>
      <c r="B832" t="e">
        <f>#REF!</f>
        <v>#REF!</v>
      </c>
      <c r="C832" t="e">
        <f>#REF!</f>
        <v>#REF!</v>
      </c>
      <c r="D832" t="e">
        <f>#REF!</f>
        <v>#REF!</v>
      </c>
      <c r="E832" t="e">
        <f>#REF!</f>
        <v>#REF!</v>
      </c>
      <c r="F832" t="e">
        <f>#REF!</f>
        <v>#REF!</v>
      </c>
      <c r="G832" t="e">
        <f>#REF!</f>
        <v>#REF!</v>
      </c>
      <c r="H832" t="e">
        <f>#REF!</f>
        <v>#REF!</v>
      </c>
    </row>
    <row r="833" spans="1:8">
      <c r="A833" t="e">
        <f>#REF!</f>
        <v>#REF!</v>
      </c>
      <c r="B833" t="e">
        <f>#REF!</f>
        <v>#REF!</v>
      </c>
      <c r="C833" t="e">
        <f>#REF!</f>
        <v>#REF!</v>
      </c>
      <c r="D833" t="e">
        <f>#REF!</f>
        <v>#REF!</v>
      </c>
      <c r="E833" t="e">
        <f>#REF!</f>
        <v>#REF!</v>
      </c>
      <c r="F833" t="e">
        <f>#REF!</f>
        <v>#REF!</v>
      </c>
      <c r="G833" t="e">
        <f>#REF!</f>
        <v>#REF!</v>
      </c>
      <c r="H833" t="e">
        <f>#REF!</f>
        <v>#REF!</v>
      </c>
    </row>
    <row r="834" spans="1:8">
      <c r="A834" t="e">
        <f>#REF!</f>
        <v>#REF!</v>
      </c>
      <c r="B834" t="e">
        <f>#REF!</f>
        <v>#REF!</v>
      </c>
      <c r="C834" t="e">
        <f>#REF!</f>
        <v>#REF!</v>
      </c>
      <c r="D834" t="e">
        <f>#REF!</f>
        <v>#REF!</v>
      </c>
      <c r="E834" t="e">
        <f>#REF!</f>
        <v>#REF!</v>
      </c>
      <c r="F834" t="e">
        <f>#REF!</f>
        <v>#REF!</v>
      </c>
      <c r="G834" t="e">
        <f>#REF!</f>
        <v>#REF!</v>
      </c>
      <c r="H834" t="e">
        <f>#REF!</f>
        <v>#REF!</v>
      </c>
    </row>
    <row r="835" spans="1:8">
      <c r="A835" t="e">
        <f>#REF!</f>
        <v>#REF!</v>
      </c>
      <c r="B835" t="e">
        <f>#REF!</f>
        <v>#REF!</v>
      </c>
      <c r="C835" t="e">
        <f>#REF!</f>
        <v>#REF!</v>
      </c>
      <c r="D835" t="e">
        <f>#REF!</f>
        <v>#REF!</v>
      </c>
      <c r="E835" t="e">
        <f>#REF!</f>
        <v>#REF!</v>
      </c>
      <c r="F835" t="e">
        <f>#REF!</f>
        <v>#REF!</v>
      </c>
      <c r="G835" t="e">
        <f>#REF!</f>
        <v>#REF!</v>
      </c>
      <c r="H835" t="e">
        <f>#REF!</f>
        <v>#REF!</v>
      </c>
    </row>
    <row r="836" spans="1:8">
      <c r="A836" t="e">
        <f>#REF!</f>
        <v>#REF!</v>
      </c>
      <c r="B836" t="e">
        <f>#REF!</f>
        <v>#REF!</v>
      </c>
      <c r="C836" t="e">
        <f>#REF!</f>
        <v>#REF!</v>
      </c>
      <c r="D836" t="e">
        <f>#REF!</f>
        <v>#REF!</v>
      </c>
      <c r="E836" t="e">
        <f>#REF!</f>
        <v>#REF!</v>
      </c>
      <c r="F836" t="e">
        <f>#REF!</f>
        <v>#REF!</v>
      </c>
      <c r="G836" t="e">
        <f>#REF!</f>
        <v>#REF!</v>
      </c>
      <c r="H836" t="e">
        <f>#REF!</f>
        <v>#REF!</v>
      </c>
    </row>
    <row r="837" spans="1:8">
      <c r="A837" t="e">
        <f>#REF!</f>
        <v>#REF!</v>
      </c>
      <c r="B837" t="e">
        <f>#REF!</f>
        <v>#REF!</v>
      </c>
      <c r="C837" t="e">
        <f>#REF!</f>
        <v>#REF!</v>
      </c>
      <c r="D837" t="e">
        <f>#REF!</f>
        <v>#REF!</v>
      </c>
      <c r="E837" t="e">
        <f>#REF!</f>
        <v>#REF!</v>
      </c>
      <c r="F837" t="e">
        <f>#REF!</f>
        <v>#REF!</v>
      </c>
      <c r="G837" t="e">
        <f>#REF!</f>
        <v>#REF!</v>
      </c>
      <c r="H837" t="e">
        <f>#REF!</f>
        <v>#REF!</v>
      </c>
    </row>
    <row r="838" spans="1:8">
      <c r="A838" t="e">
        <f>#REF!</f>
        <v>#REF!</v>
      </c>
      <c r="B838" t="e">
        <f>#REF!</f>
        <v>#REF!</v>
      </c>
      <c r="C838" t="e">
        <f>#REF!</f>
        <v>#REF!</v>
      </c>
      <c r="D838" t="e">
        <f>#REF!</f>
        <v>#REF!</v>
      </c>
      <c r="E838" t="e">
        <f>#REF!</f>
        <v>#REF!</v>
      </c>
      <c r="F838" t="e">
        <f>#REF!</f>
        <v>#REF!</v>
      </c>
      <c r="G838" t="e">
        <f>#REF!</f>
        <v>#REF!</v>
      </c>
      <c r="H838" t="e">
        <f>#REF!</f>
        <v>#REF!</v>
      </c>
    </row>
    <row r="839" spans="1:8">
      <c r="A839" t="e">
        <f>#REF!</f>
        <v>#REF!</v>
      </c>
      <c r="B839" t="e">
        <f>#REF!</f>
        <v>#REF!</v>
      </c>
      <c r="C839" t="e">
        <f>#REF!</f>
        <v>#REF!</v>
      </c>
      <c r="D839" t="e">
        <f>#REF!</f>
        <v>#REF!</v>
      </c>
      <c r="E839" t="e">
        <f>#REF!</f>
        <v>#REF!</v>
      </c>
      <c r="F839" t="e">
        <f>#REF!</f>
        <v>#REF!</v>
      </c>
      <c r="G839" t="e">
        <f>#REF!</f>
        <v>#REF!</v>
      </c>
      <c r="H839" t="e">
        <f>#REF!</f>
        <v>#REF!</v>
      </c>
    </row>
    <row r="840" spans="1:8">
      <c r="A840" t="e">
        <f>#REF!</f>
        <v>#REF!</v>
      </c>
      <c r="B840" t="e">
        <f>#REF!</f>
        <v>#REF!</v>
      </c>
      <c r="C840" t="e">
        <f>#REF!</f>
        <v>#REF!</v>
      </c>
      <c r="D840" t="e">
        <f>#REF!</f>
        <v>#REF!</v>
      </c>
      <c r="E840" t="e">
        <f>#REF!</f>
        <v>#REF!</v>
      </c>
      <c r="F840" t="e">
        <f>#REF!</f>
        <v>#REF!</v>
      </c>
      <c r="G840" t="e">
        <f>#REF!</f>
        <v>#REF!</v>
      </c>
      <c r="H840" t="e">
        <f>#REF!</f>
        <v>#REF!</v>
      </c>
    </row>
    <row r="841" spans="1:8">
      <c r="A841" t="e">
        <f>#REF!</f>
        <v>#REF!</v>
      </c>
      <c r="B841" t="e">
        <f>#REF!</f>
        <v>#REF!</v>
      </c>
      <c r="C841" t="e">
        <f>#REF!</f>
        <v>#REF!</v>
      </c>
      <c r="D841" t="e">
        <f>#REF!</f>
        <v>#REF!</v>
      </c>
      <c r="E841" t="e">
        <f>#REF!</f>
        <v>#REF!</v>
      </c>
      <c r="F841" t="e">
        <f>#REF!</f>
        <v>#REF!</v>
      </c>
      <c r="G841" t="e">
        <f>#REF!</f>
        <v>#REF!</v>
      </c>
      <c r="H841" t="e">
        <f>#REF!</f>
        <v>#REF!</v>
      </c>
    </row>
    <row r="842" spans="1:8">
      <c r="A842" t="e">
        <f>#REF!</f>
        <v>#REF!</v>
      </c>
      <c r="B842" t="e">
        <f>#REF!</f>
        <v>#REF!</v>
      </c>
      <c r="C842" t="e">
        <f>#REF!</f>
        <v>#REF!</v>
      </c>
      <c r="D842" t="e">
        <f>#REF!</f>
        <v>#REF!</v>
      </c>
      <c r="E842" t="e">
        <f>#REF!</f>
        <v>#REF!</v>
      </c>
      <c r="F842" t="e">
        <f>#REF!</f>
        <v>#REF!</v>
      </c>
      <c r="G842" t="e">
        <f>#REF!</f>
        <v>#REF!</v>
      </c>
      <c r="H842" t="e">
        <f>#REF!</f>
        <v>#REF!</v>
      </c>
    </row>
    <row r="843" spans="1:8">
      <c r="A843" t="e">
        <f>#REF!</f>
        <v>#REF!</v>
      </c>
      <c r="B843" t="e">
        <f>#REF!</f>
        <v>#REF!</v>
      </c>
      <c r="C843" t="e">
        <f>#REF!</f>
        <v>#REF!</v>
      </c>
      <c r="D843" t="e">
        <f>#REF!</f>
        <v>#REF!</v>
      </c>
      <c r="E843" t="e">
        <f>#REF!</f>
        <v>#REF!</v>
      </c>
      <c r="F843" t="e">
        <f>#REF!</f>
        <v>#REF!</v>
      </c>
      <c r="G843" t="e">
        <f>#REF!</f>
        <v>#REF!</v>
      </c>
      <c r="H843" t="e">
        <f>#REF!</f>
        <v>#REF!</v>
      </c>
    </row>
    <row r="844" spans="1:8">
      <c r="A844" t="e">
        <f>#REF!</f>
        <v>#REF!</v>
      </c>
      <c r="B844" t="e">
        <f>#REF!</f>
        <v>#REF!</v>
      </c>
      <c r="C844" t="e">
        <f>#REF!</f>
        <v>#REF!</v>
      </c>
      <c r="D844" t="e">
        <f>#REF!</f>
        <v>#REF!</v>
      </c>
      <c r="E844" t="e">
        <f>#REF!</f>
        <v>#REF!</v>
      </c>
      <c r="F844" t="e">
        <f>#REF!</f>
        <v>#REF!</v>
      </c>
      <c r="G844" t="e">
        <f>#REF!</f>
        <v>#REF!</v>
      </c>
      <c r="H844" t="e">
        <f>#REF!</f>
        <v>#REF!</v>
      </c>
    </row>
    <row r="845" spans="1:8">
      <c r="A845" t="e">
        <f>#REF!</f>
        <v>#REF!</v>
      </c>
      <c r="B845" t="e">
        <f>#REF!</f>
        <v>#REF!</v>
      </c>
      <c r="C845" t="e">
        <f>#REF!</f>
        <v>#REF!</v>
      </c>
      <c r="D845" t="e">
        <f>#REF!</f>
        <v>#REF!</v>
      </c>
      <c r="E845" t="e">
        <f>#REF!</f>
        <v>#REF!</v>
      </c>
      <c r="F845" t="e">
        <f>#REF!</f>
        <v>#REF!</v>
      </c>
      <c r="G845" t="e">
        <f>#REF!</f>
        <v>#REF!</v>
      </c>
      <c r="H845" t="e">
        <f>#REF!</f>
        <v>#REF!</v>
      </c>
    </row>
    <row r="846" spans="1:8">
      <c r="A846" t="e">
        <f>#REF!</f>
        <v>#REF!</v>
      </c>
      <c r="B846" t="e">
        <f>#REF!</f>
        <v>#REF!</v>
      </c>
      <c r="C846" t="e">
        <f>#REF!</f>
        <v>#REF!</v>
      </c>
      <c r="D846" t="e">
        <f>#REF!</f>
        <v>#REF!</v>
      </c>
      <c r="E846" t="e">
        <f>#REF!</f>
        <v>#REF!</v>
      </c>
      <c r="F846" t="e">
        <f>#REF!</f>
        <v>#REF!</v>
      </c>
      <c r="G846" t="e">
        <f>#REF!</f>
        <v>#REF!</v>
      </c>
      <c r="H846" t="e">
        <f>#REF!</f>
        <v>#REF!</v>
      </c>
    </row>
    <row r="847" spans="1:8">
      <c r="A847" t="e">
        <f>#REF!</f>
        <v>#REF!</v>
      </c>
      <c r="B847" t="e">
        <f>#REF!</f>
        <v>#REF!</v>
      </c>
      <c r="C847" t="e">
        <f>#REF!</f>
        <v>#REF!</v>
      </c>
      <c r="D847" t="e">
        <f>#REF!</f>
        <v>#REF!</v>
      </c>
      <c r="E847" t="e">
        <f>#REF!</f>
        <v>#REF!</v>
      </c>
      <c r="F847" t="e">
        <f>#REF!</f>
        <v>#REF!</v>
      </c>
      <c r="G847" t="e">
        <f>#REF!</f>
        <v>#REF!</v>
      </c>
      <c r="H847" t="e">
        <f>#REF!</f>
        <v>#REF!</v>
      </c>
    </row>
    <row r="848" spans="1:8">
      <c r="A848" t="e">
        <f>#REF!</f>
        <v>#REF!</v>
      </c>
      <c r="B848" t="e">
        <f>#REF!</f>
        <v>#REF!</v>
      </c>
      <c r="C848" t="e">
        <f>#REF!</f>
        <v>#REF!</v>
      </c>
      <c r="D848" t="e">
        <f>#REF!</f>
        <v>#REF!</v>
      </c>
      <c r="E848" t="e">
        <f>#REF!</f>
        <v>#REF!</v>
      </c>
      <c r="F848" t="e">
        <f>#REF!</f>
        <v>#REF!</v>
      </c>
      <c r="G848" t="e">
        <f>#REF!</f>
        <v>#REF!</v>
      </c>
      <c r="H848" t="e">
        <f>#REF!</f>
        <v>#REF!</v>
      </c>
    </row>
    <row r="849" spans="1:8">
      <c r="A849" t="e">
        <f>#REF!</f>
        <v>#REF!</v>
      </c>
      <c r="B849" t="e">
        <f>#REF!</f>
        <v>#REF!</v>
      </c>
      <c r="C849" t="e">
        <f>#REF!</f>
        <v>#REF!</v>
      </c>
      <c r="D849" t="e">
        <f>#REF!</f>
        <v>#REF!</v>
      </c>
      <c r="E849" t="e">
        <f>#REF!</f>
        <v>#REF!</v>
      </c>
      <c r="F849" t="e">
        <f>#REF!</f>
        <v>#REF!</v>
      </c>
      <c r="G849" t="e">
        <f>#REF!</f>
        <v>#REF!</v>
      </c>
      <c r="H849" t="e">
        <f>#REF!</f>
        <v>#REF!</v>
      </c>
    </row>
    <row r="850" spans="1:8">
      <c r="A850" t="e">
        <f>#REF!</f>
        <v>#REF!</v>
      </c>
      <c r="B850" t="e">
        <f>#REF!</f>
        <v>#REF!</v>
      </c>
      <c r="C850" t="e">
        <f>#REF!</f>
        <v>#REF!</v>
      </c>
      <c r="D850" t="e">
        <f>#REF!</f>
        <v>#REF!</v>
      </c>
      <c r="E850" t="e">
        <f>#REF!</f>
        <v>#REF!</v>
      </c>
      <c r="F850" t="e">
        <f>#REF!</f>
        <v>#REF!</v>
      </c>
      <c r="G850" t="e">
        <f>#REF!</f>
        <v>#REF!</v>
      </c>
      <c r="H850" t="e">
        <f>#REF!</f>
        <v>#REF!</v>
      </c>
    </row>
    <row r="851" spans="1:8">
      <c r="A851" t="e">
        <f>#REF!</f>
        <v>#REF!</v>
      </c>
      <c r="B851" t="e">
        <f>#REF!</f>
        <v>#REF!</v>
      </c>
      <c r="C851" t="e">
        <f>#REF!</f>
        <v>#REF!</v>
      </c>
      <c r="D851" t="e">
        <f>#REF!</f>
        <v>#REF!</v>
      </c>
      <c r="E851" t="e">
        <f>#REF!</f>
        <v>#REF!</v>
      </c>
      <c r="F851" t="e">
        <f>#REF!</f>
        <v>#REF!</v>
      </c>
      <c r="G851" t="e">
        <f>#REF!</f>
        <v>#REF!</v>
      </c>
      <c r="H851" t="e">
        <f>#REF!</f>
        <v>#REF!</v>
      </c>
    </row>
    <row r="852" spans="1:8">
      <c r="A852" t="e">
        <f>#REF!</f>
        <v>#REF!</v>
      </c>
      <c r="B852" t="e">
        <f>#REF!</f>
        <v>#REF!</v>
      </c>
      <c r="C852" t="e">
        <f>#REF!</f>
        <v>#REF!</v>
      </c>
      <c r="D852" t="e">
        <f>#REF!</f>
        <v>#REF!</v>
      </c>
      <c r="E852" t="e">
        <f>#REF!</f>
        <v>#REF!</v>
      </c>
      <c r="F852" t="e">
        <f>#REF!</f>
        <v>#REF!</v>
      </c>
      <c r="G852" t="e">
        <f>#REF!</f>
        <v>#REF!</v>
      </c>
      <c r="H852" t="e">
        <f>#REF!</f>
        <v>#REF!</v>
      </c>
    </row>
    <row r="853" spans="1:8">
      <c r="A853" t="e">
        <f>#REF!</f>
        <v>#REF!</v>
      </c>
      <c r="B853" t="e">
        <f>#REF!</f>
        <v>#REF!</v>
      </c>
      <c r="C853" t="e">
        <f>#REF!</f>
        <v>#REF!</v>
      </c>
      <c r="D853" t="e">
        <f>#REF!</f>
        <v>#REF!</v>
      </c>
      <c r="E853" t="e">
        <f>#REF!</f>
        <v>#REF!</v>
      </c>
      <c r="F853" t="e">
        <f>#REF!</f>
        <v>#REF!</v>
      </c>
      <c r="G853" t="e">
        <f>#REF!</f>
        <v>#REF!</v>
      </c>
      <c r="H853" t="e">
        <f>#REF!</f>
        <v>#REF!</v>
      </c>
    </row>
    <row r="854" spans="1:8">
      <c r="A854" t="e">
        <f>#REF!</f>
        <v>#REF!</v>
      </c>
      <c r="B854" t="e">
        <f>#REF!</f>
        <v>#REF!</v>
      </c>
      <c r="C854" t="e">
        <f>#REF!</f>
        <v>#REF!</v>
      </c>
      <c r="D854" t="e">
        <f>#REF!</f>
        <v>#REF!</v>
      </c>
      <c r="E854" t="e">
        <f>#REF!</f>
        <v>#REF!</v>
      </c>
      <c r="F854" t="e">
        <f>#REF!</f>
        <v>#REF!</v>
      </c>
      <c r="G854" t="e">
        <f>#REF!</f>
        <v>#REF!</v>
      </c>
      <c r="H854" t="e">
        <f>#REF!</f>
        <v>#REF!</v>
      </c>
    </row>
    <row r="855" spans="1:8">
      <c r="A855" t="e">
        <f>#REF!</f>
        <v>#REF!</v>
      </c>
      <c r="B855" t="e">
        <f>#REF!</f>
        <v>#REF!</v>
      </c>
      <c r="C855" t="e">
        <f>#REF!</f>
        <v>#REF!</v>
      </c>
      <c r="D855" t="e">
        <f>#REF!</f>
        <v>#REF!</v>
      </c>
      <c r="E855" t="e">
        <f>#REF!</f>
        <v>#REF!</v>
      </c>
      <c r="F855" t="e">
        <f>#REF!</f>
        <v>#REF!</v>
      </c>
      <c r="G855" t="e">
        <f>#REF!</f>
        <v>#REF!</v>
      </c>
      <c r="H855" t="e">
        <f>#REF!</f>
        <v>#REF!</v>
      </c>
    </row>
    <row r="856" spans="1:8">
      <c r="A856" t="e">
        <f>#REF!</f>
        <v>#REF!</v>
      </c>
      <c r="B856" t="e">
        <f>#REF!</f>
        <v>#REF!</v>
      </c>
      <c r="C856" t="e">
        <f>#REF!</f>
        <v>#REF!</v>
      </c>
      <c r="D856" t="e">
        <f>#REF!</f>
        <v>#REF!</v>
      </c>
      <c r="E856" t="e">
        <f>#REF!</f>
        <v>#REF!</v>
      </c>
      <c r="F856" t="e">
        <f>#REF!</f>
        <v>#REF!</v>
      </c>
      <c r="G856" t="e">
        <f>#REF!</f>
        <v>#REF!</v>
      </c>
      <c r="H856" t="e">
        <f>#REF!</f>
        <v>#REF!</v>
      </c>
    </row>
    <row r="857" spans="1:8">
      <c r="A857" t="e">
        <f>#REF!</f>
        <v>#REF!</v>
      </c>
      <c r="B857" t="e">
        <f>#REF!</f>
        <v>#REF!</v>
      </c>
      <c r="C857" t="e">
        <f>#REF!</f>
        <v>#REF!</v>
      </c>
      <c r="D857" t="e">
        <f>#REF!</f>
        <v>#REF!</v>
      </c>
      <c r="E857" t="e">
        <f>#REF!</f>
        <v>#REF!</v>
      </c>
      <c r="F857" t="e">
        <f>#REF!</f>
        <v>#REF!</v>
      </c>
      <c r="G857" t="e">
        <f>#REF!</f>
        <v>#REF!</v>
      </c>
      <c r="H857" t="e">
        <f>#REF!</f>
        <v>#REF!</v>
      </c>
    </row>
    <row r="858" spans="1:8">
      <c r="A858" t="e">
        <f>#REF!</f>
        <v>#REF!</v>
      </c>
      <c r="B858" t="e">
        <f>#REF!</f>
        <v>#REF!</v>
      </c>
      <c r="C858" t="e">
        <f>#REF!</f>
        <v>#REF!</v>
      </c>
      <c r="D858" t="e">
        <f>#REF!</f>
        <v>#REF!</v>
      </c>
      <c r="E858" t="e">
        <f>#REF!</f>
        <v>#REF!</v>
      </c>
      <c r="F858" t="e">
        <f>#REF!</f>
        <v>#REF!</v>
      </c>
      <c r="G858" t="e">
        <f>#REF!</f>
        <v>#REF!</v>
      </c>
      <c r="H858" t="e">
        <f>#REF!</f>
        <v>#REF!</v>
      </c>
    </row>
    <row r="859" spans="1:8">
      <c r="A859" t="e">
        <f>#REF!</f>
        <v>#REF!</v>
      </c>
      <c r="B859" t="e">
        <f>#REF!</f>
        <v>#REF!</v>
      </c>
      <c r="C859" t="e">
        <f>#REF!</f>
        <v>#REF!</v>
      </c>
      <c r="D859" t="e">
        <f>#REF!</f>
        <v>#REF!</v>
      </c>
      <c r="E859" t="e">
        <f>#REF!</f>
        <v>#REF!</v>
      </c>
      <c r="F859" t="e">
        <f>#REF!</f>
        <v>#REF!</v>
      </c>
      <c r="G859" t="e">
        <f>#REF!</f>
        <v>#REF!</v>
      </c>
      <c r="H859" t="e">
        <f>#REF!</f>
        <v>#REF!</v>
      </c>
    </row>
    <row r="860" spans="1:8">
      <c r="A860" t="e">
        <f>#REF!</f>
        <v>#REF!</v>
      </c>
      <c r="B860" t="e">
        <f>#REF!</f>
        <v>#REF!</v>
      </c>
      <c r="C860" t="e">
        <f>#REF!</f>
        <v>#REF!</v>
      </c>
      <c r="D860" t="e">
        <f>#REF!</f>
        <v>#REF!</v>
      </c>
      <c r="E860" t="e">
        <f>#REF!</f>
        <v>#REF!</v>
      </c>
      <c r="F860" t="e">
        <f>#REF!</f>
        <v>#REF!</v>
      </c>
      <c r="G860" t="e">
        <f>#REF!</f>
        <v>#REF!</v>
      </c>
      <c r="H860" t="e">
        <f>#REF!</f>
        <v>#REF!</v>
      </c>
    </row>
    <row r="861" spans="1:8">
      <c r="A861" t="e">
        <f>#REF!</f>
        <v>#REF!</v>
      </c>
      <c r="B861" t="e">
        <f>#REF!</f>
        <v>#REF!</v>
      </c>
      <c r="C861" t="e">
        <f>#REF!</f>
        <v>#REF!</v>
      </c>
      <c r="D861" t="e">
        <f>#REF!</f>
        <v>#REF!</v>
      </c>
      <c r="E861" t="e">
        <f>#REF!</f>
        <v>#REF!</v>
      </c>
      <c r="F861" t="e">
        <f>#REF!</f>
        <v>#REF!</v>
      </c>
      <c r="G861" t="e">
        <f>#REF!</f>
        <v>#REF!</v>
      </c>
      <c r="H861" t="e">
        <f>#REF!</f>
        <v>#REF!</v>
      </c>
    </row>
    <row r="862" spans="1:8">
      <c r="A862" t="e">
        <f>#REF!</f>
        <v>#REF!</v>
      </c>
      <c r="B862" t="e">
        <f>#REF!</f>
        <v>#REF!</v>
      </c>
      <c r="C862" t="e">
        <f>#REF!</f>
        <v>#REF!</v>
      </c>
      <c r="D862" t="e">
        <f>#REF!</f>
        <v>#REF!</v>
      </c>
      <c r="E862" t="e">
        <f>#REF!</f>
        <v>#REF!</v>
      </c>
      <c r="F862" t="e">
        <f>#REF!</f>
        <v>#REF!</v>
      </c>
      <c r="G862" t="e">
        <f>#REF!</f>
        <v>#REF!</v>
      </c>
      <c r="H862" t="e">
        <f>#REF!</f>
        <v>#REF!</v>
      </c>
    </row>
    <row r="863" spans="1:8">
      <c r="A863" t="e">
        <f>#REF!</f>
        <v>#REF!</v>
      </c>
      <c r="B863" t="e">
        <f>#REF!</f>
        <v>#REF!</v>
      </c>
      <c r="C863" t="e">
        <f>#REF!</f>
        <v>#REF!</v>
      </c>
      <c r="D863" t="e">
        <f>#REF!</f>
        <v>#REF!</v>
      </c>
      <c r="E863" t="e">
        <f>#REF!</f>
        <v>#REF!</v>
      </c>
      <c r="F863" t="e">
        <f>#REF!</f>
        <v>#REF!</v>
      </c>
      <c r="G863" t="e">
        <f>#REF!</f>
        <v>#REF!</v>
      </c>
      <c r="H863" t="e">
        <f>#REF!</f>
        <v>#REF!</v>
      </c>
    </row>
    <row r="864" spans="1:8">
      <c r="A864" t="e">
        <f>#REF!</f>
        <v>#REF!</v>
      </c>
      <c r="B864" t="e">
        <f>#REF!</f>
        <v>#REF!</v>
      </c>
      <c r="C864" t="e">
        <f>#REF!</f>
        <v>#REF!</v>
      </c>
      <c r="D864" t="e">
        <f>#REF!</f>
        <v>#REF!</v>
      </c>
      <c r="E864" t="e">
        <f>#REF!</f>
        <v>#REF!</v>
      </c>
      <c r="F864" t="e">
        <f>#REF!</f>
        <v>#REF!</v>
      </c>
      <c r="G864" t="e">
        <f>#REF!</f>
        <v>#REF!</v>
      </c>
      <c r="H864" t="e">
        <f>#REF!</f>
        <v>#REF!</v>
      </c>
    </row>
    <row r="865" spans="1:8">
      <c r="A865" t="e">
        <f>#REF!</f>
        <v>#REF!</v>
      </c>
      <c r="B865" t="e">
        <f>#REF!</f>
        <v>#REF!</v>
      </c>
      <c r="C865" t="e">
        <f>#REF!</f>
        <v>#REF!</v>
      </c>
      <c r="D865" t="e">
        <f>#REF!</f>
        <v>#REF!</v>
      </c>
      <c r="E865" t="e">
        <f>#REF!</f>
        <v>#REF!</v>
      </c>
      <c r="F865" t="e">
        <f>#REF!</f>
        <v>#REF!</v>
      </c>
      <c r="G865" t="e">
        <f>#REF!</f>
        <v>#REF!</v>
      </c>
      <c r="H865" t="e">
        <f>#REF!</f>
        <v>#REF!</v>
      </c>
    </row>
    <row r="866" spans="1:8">
      <c r="A866" t="e">
        <f>#REF!</f>
        <v>#REF!</v>
      </c>
      <c r="B866" t="e">
        <f>#REF!</f>
        <v>#REF!</v>
      </c>
      <c r="C866" t="e">
        <f>#REF!</f>
        <v>#REF!</v>
      </c>
      <c r="D866" t="e">
        <f>#REF!</f>
        <v>#REF!</v>
      </c>
      <c r="E866" t="e">
        <f>#REF!</f>
        <v>#REF!</v>
      </c>
      <c r="F866" t="e">
        <f>#REF!</f>
        <v>#REF!</v>
      </c>
      <c r="G866" t="e">
        <f>#REF!</f>
        <v>#REF!</v>
      </c>
      <c r="H866" t="e">
        <f>#REF!</f>
        <v>#REF!</v>
      </c>
    </row>
    <row r="867" spans="1:8">
      <c r="A867" t="e">
        <f>#REF!</f>
        <v>#REF!</v>
      </c>
      <c r="B867" t="e">
        <f>#REF!</f>
        <v>#REF!</v>
      </c>
      <c r="C867" t="e">
        <f>#REF!</f>
        <v>#REF!</v>
      </c>
      <c r="D867" t="e">
        <f>#REF!</f>
        <v>#REF!</v>
      </c>
      <c r="E867" t="e">
        <f>#REF!</f>
        <v>#REF!</v>
      </c>
      <c r="F867" t="e">
        <f>#REF!</f>
        <v>#REF!</v>
      </c>
      <c r="G867" t="e">
        <f>#REF!</f>
        <v>#REF!</v>
      </c>
      <c r="H867" t="e">
        <f>#REF!</f>
        <v>#REF!</v>
      </c>
    </row>
    <row r="868" spans="1:8">
      <c r="A868" t="e">
        <f>#REF!</f>
        <v>#REF!</v>
      </c>
      <c r="B868" t="e">
        <f>#REF!</f>
        <v>#REF!</v>
      </c>
      <c r="C868" t="e">
        <f>#REF!</f>
        <v>#REF!</v>
      </c>
      <c r="D868" t="e">
        <f>#REF!</f>
        <v>#REF!</v>
      </c>
      <c r="E868" t="e">
        <f>#REF!</f>
        <v>#REF!</v>
      </c>
      <c r="F868" t="e">
        <f>#REF!</f>
        <v>#REF!</v>
      </c>
      <c r="G868" t="e">
        <f>#REF!</f>
        <v>#REF!</v>
      </c>
      <c r="H868" t="e">
        <f>#REF!</f>
        <v>#REF!</v>
      </c>
    </row>
    <row r="869" spans="1:8">
      <c r="A869" t="e">
        <f>#REF!</f>
        <v>#REF!</v>
      </c>
      <c r="B869" t="e">
        <f>#REF!</f>
        <v>#REF!</v>
      </c>
      <c r="C869" t="e">
        <f>#REF!</f>
        <v>#REF!</v>
      </c>
      <c r="D869" t="e">
        <f>#REF!</f>
        <v>#REF!</v>
      </c>
      <c r="E869" t="e">
        <f>#REF!</f>
        <v>#REF!</v>
      </c>
      <c r="F869" t="e">
        <f>#REF!</f>
        <v>#REF!</v>
      </c>
      <c r="G869" t="e">
        <f>#REF!</f>
        <v>#REF!</v>
      </c>
      <c r="H869" t="e">
        <f>#REF!</f>
        <v>#REF!</v>
      </c>
    </row>
    <row r="870" spans="1:8">
      <c r="A870" t="e">
        <f>#REF!</f>
        <v>#REF!</v>
      </c>
      <c r="B870" t="e">
        <f>#REF!</f>
        <v>#REF!</v>
      </c>
      <c r="C870" t="e">
        <f>#REF!</f>
        <v>#REF!</v>
      </c>
      <c r="D870" t="e">
        <f>#REF!</f>
        <v>#REF!</v>
      </c>
      <c r="E870" t="e">
        <f>#REF!</f>
        <v>#REF!</v>
      </c>
      <c r="F870" t="e">
        <f>#REF!</f>
        <v>#REF!</v>
      </c>
      <c r="G870" t="e">
        <f>#REF!</f>
        <v>#REF!</v>
      </c>
      <c r="H870" t="e">
        <f>#REF!</f>
        <v>#REF!</v>
      </c>
    </row>
    <row r="871" spans="1:8">
      <c r="A871" t="e">
        <f>#REF!</f>
        <v>#REF!</v>
      </c>
      <c r="B871" t="e">
        <f>#REF!</f>
        <v>#REF!</v>
      </c>
      <c r="C871" t="e">
        <f>#REF!</f>
        <v>#REF!</v>
      </c>
      <c r="D871" t="e">
        <f>#REF!</f>
        <v>#REF!</v>
      </c>
      <c r="E871" t="e">
        <f>#REF!</f>
        <v>#REF!</v>
      </c>
      <c r="F871" t="e">
        <f>#REF!</f>
        <v>#REF!</v>
      </c>
      <c r="G871" t="e">
        <f>#REF!</f>
        <v>#REF!</v>
      </c>
      <c r="H871" t="e">
        <f>#REF!</f>
        <v>#REF!</v>
      </c>
    </row>
    <row r="872" spans="1:8">
      <c r="A872" t="e">
        <f>#REF!</f>
        <v>#REF!</v>
      </c>
      <c r="B872" t="e">
        <f>#REF!</f>
        <v>#REF!</v>
      </c>
      <c r="C872" t="e">
        <f>#REF!</f>
        <v>#REF!</v>
      </c>
      <c r="D872" t="e">
        <f>#REF!</f>
        <v>#REF!</v>
      </c>
      <c r="E872" t="e">
        <f>#REF!</f>
        <v>#REF!</v>
      </c>
      <c r="F872" t="e">
        <f>#REF!</f>
        <v>#REF!</v>
      </c>
      <c r="G872" t="e">
        <f>#REF!</f>
        <v>#REF!</v>
      </c>
      <c r="H872" t="e">
        <f>#REF!</f>
        <v>#REF!</v>
      </c>
    </row>
    <row r="873" spans="1:8">
      <c r="A873" t="e">
        <f>#REF!</f>
        <v>#REF!</v>
      </c>
      <c r="B873" t="e">
        <f>#REF!</f>
        <v>#REF!</v>
      </c>
      <c r="C873" t="e">
        <f>#REF!</f>
        <v>#REF!</v>
      </c>
      <c r="D873" t="e">
        <f>#REF!</f>
        <v>#REF!</v>
      </c>
      <c r="E873" t="e">
        <f>#REF!</f>
        <v>#REF!</v>
      </c>
      <c r="F873" t="e">
        <f>#REF!</f>
        <v>#REF!</v>
      </c>
      <c r="G873" t="e">
        <f>#REF!</f>
        <v>#REF!</v>
      </c>
      <c r="H873" t="e">
        <f>#REF!</f>
        <v>#REF!</v>
      </c>
    </row>
    <row r="874" spans="1:8">
      <c r="A874" t="e">
        <f>#REF!</f>
        <v>#REF!</v>
      </c>
      <c r="B874" t="e">
        <f>#REF!</f>
        <v>#REF!</v>
      </c>
      <c r="C874" t="e">
        <f>#REF!</f>
        <v>#REF!</v>
      </c>
      <c r="D874" t="e">
        <f>#REF!</f>
        <v>#REF!</v>
      </c>
      <c r="E874" t="e">
        <f>#REF!</f>
        <v>#REF!</v>
      </c>
      <c r="F874" t="e">
        <f>#REF!</f>
        <v>#REF!</v>
      </c>
      <c r="G874" t="e">
        <f>#REF!</f>
        <v>#REF!</v>
      </c>
      <c r="H874" t="e">
        <f>#REF!</f>
        <v>#REF!</v>
      </c>
    </row>
    <row r="875" spans="1:8">
      <c r="A875" t="e">
        <f>#REF!</f>
        <v>#REF!</v>
      </c>
      <c r="B875" t="e">
        <f>#REF!</f>
        <v>#REF!</v>
      </c>
      <c r="C875" t="e">
        <f>#REF!</f>
        <v>#REF!</v>
      </c>
      <c r="D875" t="e">
        <f>#REF!</f>
        <v>#REF!</v>
      </c>
      <c r="E875" t="e">
        <f>#REF!</f>
        <v>#REF!</v>
      </c>
      <c r="F875" t="e">
        <f>#REF!</f>
        <v>#REF!</v>
      </c>
      <c r="G875" t="e">
        <f>#REF!</f>
        <v>#REF!</v>
      </c>
      <c r="H875" t="e">
        <f>#REF!</f>
        <v>#REF!</v>
      </c>
    </row>
    <row r="876" spans="1:8">
      <c r="A876" t="e">
        <f>#REF!</f>
        <v>#REF!</v>
      </c>
      <c r="B876" t="e">
        <f>#REF!</f>
        <v>#REF!</v>
      </c>
      <c r="C876" t="e">
        <f>#REF!</f>
        <v>#REF!</v>
      </c>
      <c r="D876" t="e">
        <f>#REF!</f>
        <v>#REF!</v>
      </c>
      <c r="E876" t="e">
        <f>#REF!</f>
        <v>#REF!</v>
      </c>
      <c r="F876" t="e">
        <f>#REF!</f>
        <v>#REF!</v>
      </c>
      <c r="G876" t="e">
        <f>#REF!</f>
        <v>#REF!</v>
      </c>
      <c r="H876" t="e">
        <f>#REF!</f>
        <v>#REF!</v>
      </c>
    </row>
    <row r="877" spans="1:8">
      <c r="A877" t="e">
        <f>#REF!</f>
        <v>#REF!</v>
      </c>
      <c r="B877" t="e">
        <f>#REF!</f>
        <v>#REF!</v>
      </c>
      <c r="C877" t="e">
        <f>#REF!</f>
        <v>#REF!</v>
      </c>
      <c r="D877" t="e">
        <f>#REF!</f>
        <v>#REF!</v>
      </c>
      <c r="E877" t="e">
        <f>#REF!</f>
        <v>#REF!</v>
      </c>
      <c r="F877" t="e">
        <f>#REF!</f>
        <v>#REF!</v>
      </c>
      <c r="G877" t="e">
        <f>#REF!</f>
        <v>#REF!</v>
      </c>
      <c r="H877" t="e">
        <f>#REF!</f>
        <v>#REF!</v>
      </c>
    </row>
    <row r="878" spans="1:8">
      <c r="A878" t="e">
        <f>#REF!</f>
        <v>#REF!</v>
      </c>
      <c r="B878" t="e">
        <f>#REF!</f>
        <v>#REF!</v>
      </c>
      <c r="C878" t="e">
        <f>#REF!</f>
        <v>#REF!</v>
      </c>
      <c r="D878" t="e">
        <f>#REF!</f>
        <v>#REF!</v>
      </c>
      <c r="E878" t="e">
        <f>#REF!</f>
        <v>#REF!</v>
      </c>
      <c r="F878" t="e">
        <f>#REF!</f>
        <v>#REF!</v>
      </c>
      <c r="G878" t="e">
        <f>#REF!</f>
        <v>#REF!</v>
      </c>
      <c r="H878" t="e">
        <f>#REF!</f>
        <v>#REF!</v>
      </c>
    </row>
    <row r="879" spans="1:8">
      <c r="A879" t="e">
        <f>#REF!</f>
        <v>#REF!</v>
      </c>
      <c r="B879" t="e">
        <f>#REF!</f>
        <v>#REF!</v>
      </c>
      <c r="C879" t="e">
        <f>#REF!</f>
        <v>#REF!</v>
      </c>
      <c r="D879" t="e">
        <f>#REF!</f>
        <v>#REF!</v>
      </c>
      <c r="E879" t="e">
        <f>#REF!</f>
        <v>#REF!</v>
      </c>
      <c r="F879" t="e">
        <f>#REF!</f>
        <v>#REF!</v>
      </c>
      <c r="G879" t="e">
        <f>#REF!</f>
        <v>#REF!</v>
      </c>
      <c r="H879" t="e">
        <f>#REF!</f>
        <v>#REF!</v>
      </c>
    </row>
    <row r="880" spans="1:8">
      <c r="A880" t="e">
        <f>#REF!</f>
        <v>#REF!</v>
      </c>
      <c r="B880" t="e">
        <f>#REF!</f>
        <v>#REF!</v>
      </c>
      <c r="C880" t="e">
        <f>#REF!</f>
        <v>#REF!</v>
      </c>
      <c r="D880" t="e">
        <f>#REF!</f>
        <v>#REF!</v>
      </c>
      <c r="E880" t="e">
        <f>#REF!</f>
        <v>#REF!</v>
      </c>
      <c r="F880" t="e">
        <f>#REF!</f>
        <v>#REF!</v>
      </c>
      <c r="G880" t="e">
        <f>#REF!</f>
        <v>#REF!</v>
      </c>
      <c r="H880" t="e">
        <f>#REF!</f>
        <v>#REF!</v>
      </c>
    </row>
    <row r="881" spans="1:8">
      <c r="A881" t="e">
        <f>#REF!</f>
        <v>#REF!</v>
      </c>
      <c r="B881" t="e">
        <f>#REF!</f>
        <v>#REF!</v>
      </c>
      <c r="C881" t="e">
        <f>#REF!</f>
        <v>#REF!</v>
      </c>
      <c r="D881" t="e">
        <f>#REF!</f>
        <v>#REF!</v>
      </c>
      <c r="E881" t="e">
        <f>#REF!</f>
        <v>#REF!</v>
      </c>
      <c r="F881" t="e">
        <f>#REF!</f>
        <v>#REF!</v>
      </c>
      <c r="G881" t="e">
        <f>#REF!</f>
        <v>#REF!</v>
      </c>
      <c r="H881" t="e">
        <f>#REF!</f>
        <v>#REF!</v>
      </c>
    </row>
    <row r="882" spans="1:8">
      <c r="A882" t="e">
        <f>#REF!</f>
        <v>#REF!</v>
      </c>
      <c r="B882" t="e">
        <f>#REF!</f>
        <v>#REF!</v>
      </c>
      <c r="C882" t="e">
        <f>#REF!</f>
        <v>#REF!</v>
      </c>
      <c r="D882" t="e">
        <f>#REF!</f>
        <v>#REF!</v>
      </c>
      <c r="E882" t="e">
        <f>#REF!</f>
        <v>#REF!</v>
      </c>
      <c r="F882" t="e">
        <f>#REF!</f>
        <v>#REF!</v>
      </c>
      <c r="G882" t="e">
        <f>#REF!</f>
        <v>#REF!</v>
      </c>
      <c r="H882" t="e">
        <f>#REF!</f>
        <v>#REF!</v>
      </c>
    </row>
    <row r="883" spans="1:8">
      <c r="A883" t="e">
        <f>#REF!</f>
        <v>#REF!</v>
      </c>
      <c r="B883" t="e">
        <f>#REF!</f>
        <v>#REF!</v>
      </c>
      <c r="C883" t="e">
        <f>#REF!</f>
        <v>#REF!</v>
      </c>
      <c r="D883" t="e">
        <f>#REF!</f>
        <v>#REF!</v>
      </c>
      <c r="E883" t="e">
        <f>#REF!</f>
        <v>#REF!</v>
      </c>
      <c r="F883" t="e">
        <f>#REF!</f>
        <v>#REF!</v>
      </c>
      <c r="G883" t="e">
        <f>#REF!</f>
        <v>#REF!</v>
      </c>
      <c r="H883" t="e">
        <f>#REF!</f>
        <v>#REF!</v>
      </c>
    </row>
    <row r="884" spans="1:8">
      <c r="A884" t="e">
        <f>#REF!</f>
        <v>#REF!</v>
      </c>
      <c r="B884" t="e">
        <f>#REF!</f>
        <v>#REF!</v>
      </c>
      <c r="C884" t="e">
        <f>#REF!</f>
        <v>#REF!</v>
      </c>
      <c r="D884" t="e">
        <f>#REF!</f>
        <v>#REF!</v>
      </c>
      <c r="E884" t="e">
        <f>#REF!</f>
        <v>#REF!</v>
      </c>
      <c r="F884" t="e">
        <f>#REF!</f>
        <v>#REF!</v>
      </c>
      <c r="G884" t="e">
        <f>#REF!</f>
        <v>#REF!</v>
      </c>
      <c r="H884" t="e">
        <f>#REF!</f>
        <v>#REF!</v>
      </c>
    </row>
    <row r="885" spans="1:8">
      <c r="A885" t="e">
        <f>#REF!</f>
        <v>#REF!</v>
      </c>
      <c r="B885" t="e">
        <f>#REF!</f>
        <v>#REF!</v>
      </c>
      <c r="C885" t="e">
        <f>#REF!</f>
        <v>#REF!</v>
      </c>
      <c r="D885" t="e">
        <f>#REF!</f>
        <v>#REF!</v>
      </c>
      <c r="E885" t="e">
        <f>#REF!</f>
        <v>#REF!</v>
      </c>
      <c r="F885" t="e">
        <f>#REF!</f>
        <v>#REF!</v>
      </c>
      <c r="G885" t="e">
        <f>#REF!</f>
        <v>#REF!</v>
      </c>
      <c r="H885" t="e">
        <f>#REF!</f>
        <v>#REF!</v>
      </c>
    </row>
    <row r="886" spans="1:8">
      <c r="A886" t="e">
        <f>#REF!</f>
        <v>#REF!</v>
      </c>
      <c r="B886" t="e">
        <f>#REF!</f>
        <v>#REF!</v>
      </c>
      <c r="C886" t="e">
        <f>#REF!</f>
        <v>#REF!</v>
      </c>
      <c r="D886" t="e">
        <f>#REF!</f>
        <v>#REF!</v>
      </c>
      <c r="E886" t="e">
        <f>#REF!</f>
        <v>#REF!</v>
      </c>
      <c r="F886" t="e">
        <f>#REF!</f>
        <v>#REF!</v>
      </c>
      <c r="G886" t="e">
        <f>#REF!</f>
        <v>#REF!</v>
      </c>
      <c r="H886" t="e">
        <f>#REF!</f>
        <v>#REF!</v>
      </c>
    </row>
    <row r="887" spans="1:8">
      <c r="A887" t="e">
        <f>#REF!</f>
        <v>#REF!</v>
      </c>
      <c r="B887" t="e">
        <f>#REF!</f>
        <v>#REF!</v>
      </c>
      <c r="C887" t="e">
        <f>#REF!</f>
        <v>#REF!</v>
      </c>
      <c r="D887" t="e">
        <f>#REF!</f>
        <v>#REF!</v>
      </c>
      <c r="E887" t="e">
        <f>#REF!</f>
        <v>#REF!</v>
      </c>
      <c r="F887" t="e">
        <f>#REF!</f>
        <v>#REF!</v>
      </c>
      <c r="G887" t="e">
        <f>#REF!</f>
        <v>#REF!</v>
      </c>
      <c r="H887" t="e">
        <f>#REF!</f>
        <v>#REF!</v>
      </c>
    </row>
    <row r="888" spans="1:8">
      <c r="A888" t="e">
        <f>#REF!</f>
        <v>#REF!</v>
      </c>
      <c r="B888" t="e">
        <f>#REF!</f>
        <v>#REF!</v>
      </c>
      <c r="C888" t="e">
        <f>#REF!</f>
        <v>#REF!</v>
      </c>
      <c r="D888" t="e">
        <f>#REF!</f>
        <v>#REF!</v>
      </c>
      <c r="E888" t="e">
        <f>#REF!</f>
        <v>#REF!</v>
      </c>
      <c r="F888" t="e">
        <f>#REF!</f>
        <v>#REF!</v>
      </c>
      <c r="G888" t="e">
        <f>#REF!</f>
        <v>#REF!</v>
      </c>
      <c r="H888" t="e">
        <f>#REF!</f>
        <v>#REF!</v>
      </c>
    </row>
    <row r="889" spans="1:8">
      <c r="A889" t="e">
        <f>#REF!</f>
        <v>#REF!</v>
      </c>
      <c r="B889" t="e">
        <f>#REF!</f>
        <v>#REF!</v>
      </c>
      <c r="C889" t="e">
        <f>#REF!</f>
        <v>#REF!</v>
      </c>
      <c r="D889" t="e">
        <f>#REF!</f>
        <v>#REF!</v>
      </c>
      <c r="E889" t="e">
        <f>#REF!</f>
        <v>#REF!</v>
      </c>
      <c r="F889" t="e">
        <f>#REF!</f>
        <v>#REF!</v>
      </c>
      <c r="G889" t="e">
        <f>#REF!</f>
        <v>#REF!</v>
      </c>
      <c r="H889" t="e">
        <f>#REF!</f>
        <v>#REF!</v>
      </c>
    </row>
    <row r="890" spans="1:8">
      <c r="A890" t="e">
        <f>#REF!</f>
        <v>#REF!</v>
      </c>
      <c r="B890" t="e">
        <f>#REF!</f>
        <v>#REF!</v>
      </c>
      <c r="C890" t="e">
        <f>#REF!</f>
        <v>#REF!</v>
      </c>
      <c r="D890" t="e">
        <f>#REF!</f>
        <v>#REF!</v>
      </c>
      <c r="E890" t="e">
        <f>#REF!</f>
        <v>#REF!</v>
      </c>
      <c r="F890" t="e">
        <f>#REF!</f>
        <v>#REF!</v>
      </c>
      <c r="G890" t="e">
        <f>#REF!</f>
        <v>#REF!</v>
      </c>
      <c r="H890" t="e">
        <f>#REF!</f>
        <v>#REF!</v>
      </c>
    </row>
    <row r="891" spans="1:8">
      <c r="A891" t="e">
        <f>#REF!</f>
        <v>#REF!</v>
      </c>
      <c r="B891" t="e">
        <f>#REF!</f>
        <v>#REF!</v>
      </c>
      <c r="C891" t="e">
        <f>#REF!</f>
        <v>#REF!</v>
      </c>
      <c r="D891" t="e">
        <f>#REF!</f>
        <v>#REF!</v>
      </c>
      <c r="E891" t="e">
        <f>#REF!</f>
        <v>#REF!</v>
      </c>
      <c r="F891" t="e">
        <f>#REF!</f>
        <v>#REF!</v>
      </c>
      <c r="G891" t="e">
        <f>#REF!</f>
        <v>#REF!</v>
      </c>
      <c r="H891" t="e">
        <f>#REF!</f>
        <v>#REF!</v>
      </c>
    </row>
    <row r="892" spans="1:8">
      <c r="A892" t="e">
        <f>#REF!</f>
        <v>#REF!</v>
      </c>
      <c r="B892" t="e">
        <f>#REF!</f>
        <v>#REF!</v>
      </c>
      <c r="C892" t="e">
        <f>#REF!</f>
        <v>#REF!</v>
      </c>
      <c r="D892" t="e">
        <f>#REF!</f>
        <v>#REF!</v>
      </c>
      <c r="E892" t="e">
        <f>#REF!</f>
        <v>#REF!</v>
      </c>
      <c r="F892" t="e">
        <f>#REF!</f>
        <v>#REF!</v>
      </c>
      <c r="G892" t="e">
        <f>#REF!</f>
        <v>#REF!</v>
      </c>
      <c r="H892" t="e">
        <f>#REF!</f>
        <v>#REF!</v>
      </c>
    </row>
    <row r="893" spans="1:8">
      <c r="A893" t="e">
        <f>#REF!</f>
        <v>#REF!</v>
      </c>
      <c r="B893" t="e">
        <f>#REF!</f>
        <v>#REF!</v>
      </c>
      <c r="C893" t="e">
        <f>#REF!</f>
        <v>#REF!</v>
      </c>
      <c r="D893" t="e">
        <f>#REF!</f>
        <v>#REF!</v>
      </c>
      <c r="E893" t="e">
        <f>#REF!</f>
        <v>#REF!</v>
      </c>
      <c r="F893" t="e">
        <f>#REF!</f>
        <v>#REF!</v>
      </c>
      <c r="G893" t="e">
        <f>#REF!</f>
        <v>#REF!</v>
      </c>
      <c r="H893" t="e">
        <f>#REF!</f>
        <v>#REF!</v>
      </c>
    </row>
    <row r="894" spans="1:8">
      <c r="A894" t="e">
        <f>#REF!</f>
        <v>#REF!</v>
      </c>
      <c r="B894" t="e">
        <f>#REF!</f>
        <v>#REF!</v>
      </c>
      <c r="C894" t="e">
        <f>#REF!</f>
        <v>#REF!</v>
      </c>
      <c r="D894" t="e">
        <f>#REF!</f>
        <v>#REF!</v>
      </c>
      <c r="E894" t="e">
        <f>#REF!</f>
        <v>#REF!</v>
      </c>
      <c r="F894" t="e">
        <f>#REF!</f>
        <v>#REF!</v>
      </c>
      <c r="G894" t="e">
        <f>#REF!</f>
        <v>#REF!</v>
      </c>
      <c r="H894" t="e">
        <f>#REF!</f>
        <v>#REF!</v>
      </c>
    </row>
    <row r="895" spans="1:8">
      <c r="A895" t="e">
        <f>#REF!</f>
        <v>#REF!</v>
      </c>
      <c r="B895" t="e">
        <f>#REF!</f>
        <v>#REF!</v>
      </c>
      <c r="C895" t="e">
        <f>#REF!</f>
        <v>#REF!</v>
      </c>
      <c r="D895" t="e">
        <f>#REF!</f>
        <v>#REF!</v>
      </c>
      <c r="E895" t="e">
        <f>#REF!</f>
        <v>#REF!</v>
      </c>
      <c r="F895" t="e">
        <f>#REF!</f>
        <v>#REF!</v>
      </c>
      <c r="G895" t="e">
        <f>#REF!</f>
        <v>#REF!</v>
      </c>
      <c r="H895" t="e">
        <f>#REF!</f>
        <v>#REF!</v>
      </c>
    </row>
    <row r="896" spans="1:8">
      <c r="A896" t="e">
        <f>#REF!</f>
        <v>#REF!</v>
      </c>
      <c r="B896" t="e">
        <f>#REF!</f>
        <v>#REF!</v>
      </c>
      <c r="C896" t="e">
        <f>#REF!</f>
        <v>#REF!</v>
      </c>
      <c r="D896" t="e">
        <f>#REF!</f>
        <v>#REF!</v>
      </c>
      <c r="E896" t="e">
        <f>#REF!</f>
        <v>#REF!</v>
      </c>
      <c r="F896" t="e">
        <f>#REF!</f>
        <v>#REF!</v>
      </c>
      <c r="G896" t="e">
        <f>#REF!</f>
        <v>#REF!</v>
      </c>
      <c r="H896" t="e">
        <f>#REF!</f>
        <v>#REF!</v>
      </c>
    </row>
    <row r="897" spans="1:8">
      <c r="A897" t="e">
        <f>#REF!</f>
        <v>#REF!</v>
      </c>
      <c r="B897" t="e">
        <f>#REF!</f>
        <v>#REF!</v>
      </c>
      <c r="C897" t="e">
        <f>#REF!</f>
        <v>#REF!</v>
      </c>
      <c r="D897" t="e">
        <f>#REF!</f>
        <v>#REF!</v>
      </c>
      <c r="E897" t="e">
        <f>#REF!</f>
        <v>#REF!</v>
      </c>
      <c r="F897" t="e">
        <f>#REF!</f>
        <v>#REF!</v>
      </c>
      <c r="G897" t="e">
        <f>#REF!</f>
        <v>#REF!</v>
      </c>
      <c r="H897" t="e">
        <f>#REF!</f>
        <v>#REF!</v>
      </c>
    </row>
    <row r="898" spans="1:8">
      <c r="A898" t="e">
        <f>#REF!</f>
        <v>#REF!</v>
      </c>
      <c r="B898" t="e">
        <f>#REF!</f>
        <v>#REF!</v>
      </c>
      <c r="C898" t="e">
        <f>#REF!</f>
        <v>#REF!</v>
      </c>
      <c r="D898" t="e">
        <f>#REF!</f>
        <v>#REF!</v>
      </c>
      <c r="E898" t="e">
        <f>#REF!</f>
        <v>#REF!</v>
      </c>
      <c r="F898" t="e">
        <f>#REF!</f>
        <v>#REF!</v>
      </c>
      <c r="G898" t="e">
        <f>#REF!</f>
        <v>#REF!</v>
      </c>
      <c r="H898" t="e">
        <f>#REF!</f>
        <v>#REF!</v>
      </c>
    </row>
    <row r="899" spans="1:8">
      <c r="A899" t="e">
        <f>#REF!</f>
        <v>#REF!</v>
      </c>
      <c r="B899" t="e">
        <f>#REF!</f>
        <v>#REF!</v>
      </c>
      <c r="C899" t="e">
        <f>#REF!</f>
        <v>#REF!</v>
      </c>
      <c r="D899" t="e">
        <f>#REF!</f>
        <v>#REF!</v>
      </c>
      <c r="E899" t="e">
        <f>#REF!</f>
        <v>#REF!</v>
      </c>
      <c r="F899" t="e">
        <f>#REF!</f>
        <v>#REF!</v>
      </c>
      <c r="G899" t="e">
        <f>#REF!</f>
        <v>#REF!</v>
      </c>
      <c r="H899" t="e">
        <f>#REF!</f>
        <v>#REF!</v>
      </c>
    </row>
    <row r="900" spans="1:8">
      <c r="A900" t="e">
        <f>#REF!</f>
        <v>#REF!</v>
      </c>
      <c r="B900" t="e">
        <f>#REF!</f>
        <v>#REF!</v>
      </c>
      <c r="C900" t="e">
        <f>#REF!</f>
        <v>#REF!</v>
      </c>
      <c r="D900" t="e">
        <f>#REF!</f>
        <v>#REF!</v>
      </c>
      <c r="E900" t="e">
        <f>#REF!</f>
        <v>#REF!</v>
      </c>
      <c r="F900" t="e">
        <f>#REF!</f>
        <v>#REF!</v>
      </c>
      <c r="G900" t="e">
        <f>#REF!</f>
        <v>#REF!</v>
      </c>
      <c r="H900" t="e">
        <f>#REF!</f>
        <v>#REF!</v>
      </c>
    </row>
    <row r="901" spans="1:8">
      <c r="A901" t="e">
        <f>#REF!</f>
        <v>#REF!</v>
      </c>
      <c r="B901" t="e">
        <f>#REF!</f>
        <v>#REF!</v>
      </c>
      <c r="C901" t="e">
        <f>#REF!</f>
        <v>#REF!</v>
      </c>
      <c r="D901" t="e">
        <f>#REF!</f>
        <v>#REF!</v>
      </c>
      <c r="E901" t="e">
        <f>#REF!</f>
        <v>#REF!</v>
      </c>
      <c r="F901" t="e">
        <f>#REF!</f>
        <v>#REF!</v>
      </c>
      <c r="G901" t="e">
        <f>#REF!</f>
        <v>#REF!</v>
      </c>
      <c r="H901" t="e">
        <f>#REF!</f>
        <v>#REF!</v>
      </c>
    </row>
    <row r="902" spans="1:8">
      <c r="A902" t="e">
        <f>#REF!</f>
        <v>#REF!</v>
      </c>
      <c r="B902" t="e">
        <f>#REF!</f>
        <v>#REF!</v>
      </c>
      <c r="C902" t="e">
        <f>#REF!</f>
        <v>#REF!</v>
      </c>
      <c r="D902" t="e">
        <f>#REF!</f>
        <v>#REF!</v>
      </c>
      <c r="E902" t="e">
        <f>#REF!</f>
        <v>#REF!</v>
      </c>
      <c r="F902" t="e">
        <f>#REF!</f>
        <v>#REF!</v>
      </c>
      <c r="G902" t="e">
        <f>#REF!</f>
        <v>#REF!</v>
      </c>
      <c r="H902" t="e">
        <f>#REF!</f>
        <v>#REF!</v>
      </c>
    </row>
    <row r="903" spans="1:8">
      <c r="A903" t="e">
        <f>#REF!</f>
        <v>#REF!</v>
      </c>
      <c r="B903" t="e">
        <f>#REF!</f>
        <v>#REF!</v>
      </c>
      <c r="C903" t="e">
        <f>#REF!</f>
        <v>#REF!</v>
      </c>
      <c r="D903" t="e">
        <f>#REF!</f>
        <v>#REF!</v>
      </c>
      <c r="E903" t="e">
        <f>#REF!</f>
        <v>#REF!</v>
      </c>
      <c r="F903" t="e">
        <f>#REF!</f>
        <v>#REF!</v>
      </c>
      <c r="G903" t="e">
        <f>#REF!</f>
        <v>#REF!</v>
      </c>
      <c r="H903" t="e">
        <f>#REF!</f>
        <v>#REF!</v>
      </c>
    </row>
    <row r="904" spans="1:8">
      <c r="A904" t="e">
        <f>#REF!</f>
        <v>#REF!</v>
      </c>
      <c r="B904" t="e">
        <f>#REF!</f>
        <v>#REF!</v>
      </c>
      <c r="C904" t="e">
        <f>#REF!</f>
        <v>#REF!</v>
      </c>
      <c r="D904" t="e">
        <f>#REF!</f>
        <v>#REF!</v>
      </c>
      <c r="E904" t="e">
        <f>#REF!</f>
        <v>#REF!</v>
      </c>
      <c r="F904" t="e">
        <f>#REF!</f>
        <v>#REF!</v>
      </c>
      <c r="G904" t="e">
        <f>#REF!</f>
        <v>#REF!</v>
      </c>
      <c r="H904" t="e">
        <f>#REF!</f>
        <v>#REF!</v>
      </c>
    </row>
    <row r="905" spans="1:8">
      <c r="A905" t="e">
        <f>#REF!</f>
        <v>#REF!</v>
      </c>
      <c r="B905" t="e">
        <f>#REF!</f>
        <v>#REF!</v>
      </c>
      <c r="C905" t="e">
        <f>#REF!</f>
        <v>#REF!</v>
      </c>
      <c r="D905" t="e">
        <f>#REF!</f>
        <v>#REF!</v>
      </c>
      <c r="E905" t="e">
        <f>#REF!</f>
        <v>#REF!</v>
      </c>
      <c r="F905" t="e">
        <f>#REF!</f>
        <v>#REF!</v>
      </c>
      <c r="G905" t="e">
        <f>#REF!</f>
        <v>#REF!</v>
      </c>
      <c r="H905" t="e">
        <f>#REF!</f>
        <v>#REF!</v>
      </c>
    </row>
    <row r="906" spans="1:8">
      <c r="A906" t="e">
        <f>#REF!</f>
        <v>#REF!</v>
      </c>
      <c r="B906" t="e">
        <f>#REF!</f>
        <v>#REF!</v>
      </c>
      <c r="C906" t="e">
        <f>#REF!</f>
        <v>#REF!</v>
      </c>
      <c r="D906" t="e">
        <f>#REF!</f>
        <v>#REF!</v>
      </c>
      <c r="E906" t="e">
        <f>#REF!</f>
        <v>#REF!</v>
      </c>
      <c r="F906" t="e">
        <f>#REF!</f>
        <v>#REF!</v>
      </c>
      <c r="G906" t="e">
        <f>#REF!</f>
        <v>#REF!</v>
      </c>
      <c r="H906" t="e">
        <f>#REF!</f>
        <v>#REF!</v>
      </c>
    </row>
    <row r="907" spans="1:8">
      <c r="A907" t="e">
        <f>#REF!</f>
        <v>#REF!</v>
      </c>
      <c r="B907" t="e">
        <f>#REF!</f>
        <v>#REF!</v>
      </c>
      <c r="C907" t="e">
        <f>#REF!</f>
        <v>#REF!</v>
      </c>
      <c r="D907" t="e">
        <f>#REF!</f>
        <v>#REF!</v>
      </c>
      <c r="E907" t="e">
        <f>#REF!</f>
        <v>#REF!</v>
      </c>
      <c r="F907" t="e">
        <f>#REF!</f>
        <v>#REF!</v>
      </c>
      <c r="G907" t="e">
        <f>#REF!</f>
        <v>#REF!</v>
      </c>
      <c r="H907" t="e">
        <f>#REF!</f>
        <v>#REF!</v>
      </c>
    </row>
    <row r="908" spans="1:8">
      <c r="A908" t="e">
        <f>#REF!</f>
        <v>#REF!</v>
      </c>
      <c r="B908" t="e">
        <f>#REF!</f>
        <v>#REF!</v>
      </c>
      <c r="C908" t="e">
        <f>#REF!</f>
        <v>#REF!</v>
      </c>
      <c r="D908" t="e">
        <f>#REF!</f>
        <v>#REF!</v>
      </c>
      <c r="E908" t="e">
        <f>#REF!</f>
        <v>#REF!</v>
      </c>
      <c r="F908" t="e">
        <f>#REF!</f>
        <v>#REF!</v>
      </c>
      <c r="G908" t="e">
        <f>#REF!</f>
        <v>#REF!</v>
      </c>
      <c r="H908" t="e">
        <f>#REF!</f>
        <v>#REF!</v>
      </c>
    </row>
    <row r="909" spans="1:8">
      <c r="A909" t="e">
        <f>#REF!</f>
        <v>#REF!</v>
      </c>
      <c r="B909" t="e">
        <f>#REF!</f>
        <v>#REF!</v>
      </c>
      <c r="C909" t="e">
        <f>#REF!</f>
        <v>#REF!</v>
      </c>
      <c r="D909" t="e">
        <f>#REF!</f>
        <v>#REF!</v>
      </c>
      <c r="E909" t="e">
        <f>#REF!</f>
        <v>#REF!</v>
      </c>
      <c r="F909" t="e">
        <f>#REF!</f>
        <v>#REF!</v>
      </c>
      <c r="G909" t="e">
        <f>#REF!</f>
        <v>#REF!</v>
      </c>
      <c r="H909" t="e">
        <f>#REF!</f>
        <v>#REF!</v>
      </c>
    </row>
    <row r="910" spans="1:8">
      <c r="A910" t="e">
        <f>#REF!</f>
        <v>#REF!</v>
      </c>
      <c r="B910" t="e">
        <f>#REF!</f>
        <v>#REF!</v>
      </c>
      <c r="C910" t="e">
        <f>#REF!</f>
        <v>#REF!</v>
      </c>
      <c r="D910" t="e">
        <f>#REF!</f>
        <v>#REF!</v>
      </c>
      <c r="E910" t="e">
        <f>#REF!</f>
        <v>#REF!</v>
      </c>
      <c r="F910" t="e">
        <f>#REF!</f>
        <v>#REF!</v>
      </c>
      <c r="G910" t="e">
        <f>#REF!</f>
        <v>#REF!</v>
      </c>
      <c r="H910" t="e">
        <f>#REF!</f>
        <v>#REF!</v>
      </c>
    </row>
    <row r="911" spans="1:8">
      <c r="A911" t="e">
        <f>#REF!</f>
        <v>#REF!</v>
      </c>
      <c r="B911" t="e">
        <f>#REF!</f>
        <v>#REF!</v>
      </c>
      <c r="C911" t="e">
        <f>#REF!</f>
        <v>#REF!</v>
      </c>
      <c r="D911" t="e">
        <f>#REF!</f>
        <v>#REF!</v>
      </c>
      <c r="E911" t="e">
        <f>#REF!</f>
        <v>#REF!</v>
      </c>
      <c r="F911" t="e">
        <f>#REF!</f>
        <v>#REF!</v>
      </c>
      <c r="G911" t="e">
        <f>#REF!</f>
        <v>#REF!</v>
      </c>
      <c r="H911" t="e">
        <f>#REF!</f>
        <v>#REF!</v>
      </c>
    </row>
    <row r="912" spans="1:8">
      <c r="A912" t="e">
        <f>#REF!</f>
        <v>#REF!</v>
      </c>
      <c r="B912" t="e">
        <f>#REF!</f>
        <v>#REF!</v>
      </c>
      <c r="C912" t="e">
        <f>#REF!</f>
        <v>#REF!</v>
      </c>
      <c r="D912" t="e">
        <f>#REF!</f>
        <v>#REF!</v>
      </c>
      <c r="E912" t="e">
        <f>#REF!</f>
        <v>#REF!</v>
      </c>
      <c r="F912" t="e">
        <f>#REF!</f>
        <v>#REF!</v>
      </c>
      <c r="G912" t="e">
        <f>#REF!</f>
        <v>#REF!</v>
      </c>
      <c r="H912" t="e">
        <f>#REF!</f>
        <v>#REF!</v>
      </c>
    </row>
    <row r="913" spans="1:8">
      <c r="A913" t="e">
        <f>#REF!</f>
        <v>#REF!</v>
      </c>
      <c r="B913" t="e">
        <f>#REF!</f>
        <v>#REF!</v>
      </c>
      <c r="C913" t="e">
        <f>#REF!</f>
        <v>#REF!</v>
      </c>
      <c r="D913" t="e">
        <f>#REF!</f>
        <v>#REF!</v>
      </c>
      <c r="E913" t="e">
        <f>#REF!</f>
        <v>#REF!</v>
      </c>
      <c r="F913" t="e">
        <f>#REF!</f>
        <v>#REF!</v>
      </c>
      <c r="G913" t="e">
        <f>#REF!</f>
        <v>#REF!</v>
      </c>
      <c r="H913" t="e">
        <f>#REF!</f>
        <v>#REF!</v>
      </c>
    </row>
    <row r="914" spans="1:8">
      <c r="A914" t="e">
        <f>#REF!</f>
        <v>#REF!</v>
      </c>
      <c r="B914" t="e">
        <f>#REF!</f>
        <v>#REF!</v>
      </c>
      <c r="C914" t="e">
        <f>#REF!</f>
        <v>#REF!</v>
      </c>
      <c r="D914" t="e">
        <f>#REF!</f>
        <v>#REF!</v>
      </c>
      <c r="E914" t="e">
        <f>#REF!</f>
        <v>#REF!</v>
      </c>
      <c r="F914" t="e">
        <f>#REF!</f>
        <v>#REF!</v>
      </c>
      <c r="G914" t="e">
        <f>#REF!</f>
        <v>#REF!</v>
      </c>
      <c r="H914" t="e">
        <f>#REF!</f>
        <v>#REF!</v>
      </c>
    </row>
    <row r="915" spans="1:8">
      <c r="A915" t="e">
        <f>#REF!</f>
        <v>#REF!</v>
      </c>
      <c r="B915" t="e">
        <f>#REF!</f>
        <v>#REF!</v>
      </c>
      <c r="C915" t="e">
        <f>#REF!</f>
        <v>#REF!</v>
      </c>
      <c r="D915" t="e">
        <f>#REF!</f>
        <v>#REF!</v>
      </c>
      <c r="E915" t="e">
        <f>#REF!</f>
        <v>#REF!</v>
      </c>
      <c r="F915" t="e">
        <f>#REF!</f>
        <v>#REF!</v>
      </c>
      <c r="G915" t="e">
        <f>#REF!</f>
        <v>#REF!</v>
      </c>
      <c r="H915" t="e">
        <f>#REF!</f>
        <v>#REF!</v>
      </c>
    </row>
    <row r="916" spans="1:8">
      <c r="A916" t="e">
        <f>#REF!</f>
        <v>#REF!</v>
      </c>
      <c r="B916" t="e">
        <f>#REF!</f>
        <v>#REF!</v>
      </c>
      <c r="C916" t="e">
        <f>#REF!</f>
        <v>#REF!</v>
      </c>
      <c r="D916" t="e">
        <f>#REF!</f>
        <v>#REF!</v>
      </c>
      <c r="E916" t="e">
        <f>#REF!</f>
        <v>#REF!</v>
      </c>
      <c r="F916" t="e">
        <f>#REF!</f>
        <v>#REF!</v>
      </c>
      <c r="G916" t="e">
        <f>#REF!</f>
        <v>#REF!</v>
      </c>
      <c r="H916" t="e">
        <f>#REF!</f>
        <v>#REF!</v>
      </c>
    </row>
    <row r="917" spans="1:8">
      <c r="A917" t="e">
        <f>#REF!</f>
        <v>#REF!</v>
      </c>
      <c r="B917" t="e">
        <f>#REF!</f>
        <v>#REF!</v>
      </c>
      <c r="C917" t="e">
        <f>#REF!</f>
        <v>#REF!</v>
      </c>
      <c r="D917" t="e">
        <f>#REF!</f>
        <v>#REF!</v>
      </c>
      <c r="E917" t="e">
        <f>#REF!</f>
        <v>#REF!</v>
      </c>
      <c r="F917" t="e">
        <f>#REF!</f>
        <v>#REF!</v>
      </c>
      <c r="G917" t="e">
        <f>#REF!</f>
        <v>#REF!</v>
      </c>
      <c r="H917" t="e">
        <f>#REF!</f>
        <v>#REF!</v>
      </c>
    </row>
    <row r="918" spans="1:8">
      <c r="A918" t="e">
        <f>#REF!</f>
        <v>#REF!</v>
      </c>
      <c r="B918" t="e">
        <f>#REF!</f>
        <v>#REF!</v>
      </c>
      <c r="C918" t="e">
        <f>#REF!</f>
        <v>#REF!</v>
      </c>
      <c r="D918" t="e">
        <f>#REF!</f>
        <v>#REF!</v>
      </c>
      <c r="E918" t="e">
        <f>#REF!</f>
        <v>#REF!</v>
      </c>
      <c r="F918" t="e">
        <f>#REF!</f>
        <v>#REF!</v>
      </c>
      <c r="G918" t="e">
        <f>#REF!</f>
        <v>#REF!</v>
      </c>
      <c r="H918" t="e">
        <f>#REF!</f>
        <v>#REF!</v>
      </c>
    </row>
    <row r="919" spans="1:8">
      <c r="A919" t="e">
        <f>#REF!</f>
        <v>#REF!</v>
      </c>
      <c r="B919" t="e">
        <f>#REF!</f>
        <v>#REF!</v>
      </c>
      <c r="C919" t="e">
        <f>#REF!</f>
        <v>#REF!</v>
      </c>
      <c r="D919" t="e">
        <f>#REF!</f>
        <v>#REF!</v>
      </c>
      <c r="E919" t="e">
        <f>#REF!</f>
        <v>#REF!</v>
      </c>
      <c r="F919" t="e">
        <f>#REF!</f>
        <v>#REF!</v>
      </c>
      <c r="G919" t="e">
        <f>#REF!</f>
        <v>#REF!</v>
      </c>
      <c r="H919" t="e">
        <f>#REF!</f>
        <v>#REF!</v>
      </c>
    </row>
    <row r="920" spans="1:8">
      <c r="A920" t="e">
        <f>#REF!</f>
        <v>#REF!</v>
      </c>
      <c r="B920" t="e">
        <f>#REF!</f>
        <v>#REF!</v>
      </c>
      <c r="C920" t="e">
        <f>#REF!</f>
        <v>#REF!</v>
      </c>
      <c r="D920" t="e">
        <f>#REF!</f>
        <v>#REF!</v>
      </c>
      <c r="E920" t="e">
        <f>#REF!</f>
        <v>#REF!</v>
      </c>
      <c r="F920" t="e">
        <f>#REF!</f>
        <v>#REF!</v>
      </c>
      <c r="G920" t="e">
        <f>#REF!</f>
        <v>#REF!</v>
      </c>
      <c r="H920" t="e">
        <f>#REF!</f>
        <v>#REF!</v>
      </c>
    </row>
    <row r="921" spans="1:8">
      <c r="A921" t="e">
        <f>#REF!</f>
        <v>#REF!</v>
      </c>
      <c r="B921" t="e">
        <f>#REF!</f>
        <v>#REF!</v>
      </c>
      <c r="C921" t="e">
        <f>#REF!</f>
        <v>#REF!</v>
      </c>
      <c r="D921" t="e">
        <f>#REF!</f>
        <v>#REF!</v>
      </c>
      <c r="E921" t="e">
        <f>#REF!</f>
        <v>#REF!</v>
      </c>
      <c r="F921" t="e">
        <f>#REF!</f>
        <v>#REF!</v>
      </c>
      <c r="G921" t="e">
        <f>#REF!</f>
        <v>#REF!</v>
      </c>
      <c r="H921" t="e">
        <f>#REF!</f>
        <v>#REF!</v>
      </c>
    </row>
    <row r="922" spans="1:8">
      <c r="A922" t="e">
        <f>#REF!</f>
        <v>#REF!</v>
      </c>
      <c r="B922" t="e">
        <f>#REF!</f>
        <v>#REF!</v>
      </c>
      <c r="C922" t="e">
        <f>#REF!</f>
        <v>#REF!</v>
      </c>
      <c r="D922" t="e">
        <f>#REF!</f>
        <v>#REF!</v>
      </c>
      <c r="E922" t="e">
        <f>#REF!</f>
        <v>#REF!</v>
      </c>
      <c r="F922" t="e">
        <f>#REF!</f>
        <v>#REF!</v>
      </c>
      <c r="G922" t="e">
        <f>#REF!</f>
        <v>#REF!</v>
      </c>
      <c r="H922" t="e">
        <f>#REF!</f>
        <v>#REF!</v>
      </c>
    </row>
    <row r="923" spans="1:8">
      <c r="A923" t="e">
        <f>#REF!</f>
        <v>#REF!</v>
      </c>
      <c r="B923" t="e">
        <f>#REF!</f>
        <v>#REF!</v>
      </c>
      <c r="C923" t="e">
        <f>#REF!</f>
        <v>#REF!</v>
      </c>
      <c r="D923" t="e">
        <f>#REF!</f>
        <v>#REF!</v>
      </c>
      <c r="E923" t="e">
        <f>#REF!</f>
        <v>#REF!</v>
      </c>
      <c r="F923" t="e">
        <f>#REF!</f>
        <v>#REF!</v>
      </c>
      <c r="G923" t="e">
        <f>#REF!</f>
        <v>#REF!</v>
      </c>
      <c r="H923" t="e">
        <f>#REF!</f>
        <v>#REF!</v>
      </c>
    </row>
    <row r="924" spans="1:8">
      <c r="A924" t="e">
        <f>#REF!</f>
        <v>#REF!</v>
      </c>
      <c r="B924" t="e">
        <f>#REF!</f>
        <v>#REF!</v>
      </c>
      <c r="C924" t="e">
        <f>#REF!</f>
        <v>#REF!</v>
      </c>
      <c r="D924" t="e">
        <f>#REF!</f>
        <v>#REF!</v>
      </c>
      <c r="E924" t="e">
        <f>#REF!</f>
        <v>#REF!</v>
      </c>
      <c r="F924" t="e">
        <f>#REF!</f>
        <v>#REF!</v>
      </c>
      <c r="G924" t="e">
        <f>#REF!</f>
        <v>#REF!</v>
      </c>
      <c r="H924" t="e">
        <f>#REF!</f>
        <v>#REF!</v>
      </c>
    </row>
    <row r="925" spans="1:8">
      <c r="A925" t="e">
        <f>#REF!</f>
        <v>#REF!</v>
      </c>
      <c r="B925" t="e">
        <f>#REF!</f>
        <v>#REF!</v>
      </c>
      <c r="C925" t="e">
        <f>#REF!</f>
        <v>#REF!</v>
      </c>
      <c r="D925" t="e">
        <f>#REF!</f>
        <v>#REF!</v>
      </c>
      <c r="E925" t="e">
        <f>#REF!</f>
        <v>#REF!</v>
      </c>
      <c r="F925" t="e">
        <f>#REF!</f>
        <v>#REF!</v>
      </c>
      <c r="G925" t="e">
        <f>#REF!</f>
        <v>#REF!</v>
      </c>
      <c r="H925" t="e">
        <f>#REF!</f>
        <v>#REF!</v>
      </c>
    </row>
    <row r="926" spans="1:8">
      <c r="A926" t="e">
        <f>#REF!</f>
        <v>#REF!</v>
      </c>
      <c r="B926" t="e">
        <f>#REF!</f>
        <v>#REF!</v>
      </c>
      <c r="C926" t="e">
        <f>#REF!</f>
        <v>#REF!</v>
      </c>
      <c r="D926" t="e">
        <f>#REF!</f>
        <v>#REF!</v>
      </c>
      <c r="E926" t="e">
        <f>#REF!</f>
        <v>#REF!</v>
      </c>
      <c r="F926" t="e">
        <f>#REF!</f>
        <v>#REF!</v>
      </c>
      <c r="G926" t="e">
        <f>#REF!</f>
        <v>#REF!</v>
      </c>
      <c r="H926" t="e">
        <f>#REF!</f>
        <v>#REF!</v>
      </c>
    </row>
    <row r="927" spans="1:8">
      <c r="A927" t="e">
        <f>#REF!</f>
        <v>#REF!</v>
      </c>
      <c r="B927" t="e">
        <f>#REF!</f>
        <v>#REF!</v>
      </c>
      <c r="C927" t="e">
        <f>#REF!</f>
        <v>#REF!</v>
      </c>
      <c r="D927" t="e">
        <f>#REF!</f>
        <v>#REF!</v>
      </c>
      <c r="E927" t="e">
        <f>#REF!</f>
        <v>#REF!</v>
      </c>
      <c r="F927" t="e">
        <f>#REF!</f>
        <v>#REF!</v>
      </c>
      <c r="G927" t="e">
        <f>#REF!</f>
        <v>#REF!</v>
      </c>
      <c r="H927" t="e">
        <f>#REF!</f>
        <v>#REF!</v>
      </c>
    </row>
    <row r="928" spans="1:8">
      <c r="A928" t="e">
        <f>#REF!</f>
        <v>#REF!</v>
      </c>
      <c r="B928" t="e">
        <f>#REF!</f>
        <v>#REF!</v>
      </c>
      <c r="C928" t="e">
        <f>#REF!</f>
        <v>#REF!</v>
      </c>
      <c r="D928" t="e">
        <f>#REF!</f>
        <v>#REF!</v>
      </c>
      <c r="E928" t="e">
        <f>#REF!</f>
        <v>#REF!</v>
      </c>
      <c r="F928" t="e">
        <f>#REF!</f>
        <v>#REF!</v>
      </c>
      <c r="G928" t="e">
        <f>#REF!</f>
        <v>#REF!</v>
      </c>
      <c r="H928" t="e">
        <f>#REF!</f>
        <v>#REF!</v>
      </c>
    </row>
    <row r="929" spans="1:8">
      <c r="A929" t="e">
        <f>#REF!</f>
        <v>#REF!</v>
      </c>
      <c r="B929" t="e">
        <f>#REF!</f>
        <v>#REF!</v>
      </c>
      <c r="C929" t="e">
        <f>#REF!</f>
        <v>#REF!</v>
      </c>
      <c r="D929" t="e">
        <f>#REF!</f>
        <v>#REF!</v>
      </c>
      <c r="E929" t="e">
        <f>#REF!</f>
        <v>#REF!</v>
      </c>
      <c r="F929" t="e">
        <f>#REF!</f>
        <v>#REF!</v>
      </c>
      <c r="G929" t="e">
        <f>#REF!</f>
        <v>#REF!</v>
      </c>
      <c r="H929" t="e">
        <f>#REF!</f>
        <v>#REF!</v>
      </c>
    </row>
    <row r="930" spans="1:8">
      <c r="A930" t="e">
        <f>#REF!</f>
        <v>#REF!</v>
      </c>
      <c r="B930" t="e">
        <f>#REF!</f>
        <v>#REF!</v>
      </c>
      <c r="C930" t="e">
        <f>#REF!</f>
        <v>#REF!</v>
      </c>
      <c r="D930" t="e">
        <f>#REF!</f>
        <v>#REF!</v>
      </c>
      <c r="E930" t="e">
        <f>#REF!</f>
        <v>#REF!</v>
      </c>
      <c r="F930" t="e">
        <f>#REF!</f>
        <v>#REF!</v>
      </c>
      <c r="G930" t="e">
        <f>#REF!</f>
        <v>#REF!</v>
      </c>
      <c r="H930" t="e">
        <f>#REF!</f>
        <v>#REF!</v>
      </c>
    </row>
    <row r="931" spans="1:8">
      <c r="A931" t="e">
        <f>#REF!</f>
        <v>#REF!</v>
      </c>
      <c r="B931" t="e">
        <f>#REF!</f>
        <v>#REF!</v>
      </c>
      <c r="C931" t="e">
        <f>#REF!</f>
        <v>#REF!</v>
      </c>
      <c r="D931" t="e">
        <f>#REF!</f>
        <v>#REF!</v>
      </c>
      <c r="E931" t="e">
        <f>#REF!</f>
        <v>#REF!</v>
      </c>
      <c r="F931" t="e">
        <f>#REF!</f>
        <v>#REF!</v>
      </c>
      <c r="G931" t="e">
        <f>#REF!</f>
        <v>#REF!</v>
      </c>
      <c r="H931" t="e">
        <f>#REF!</f>
        <v>#REF!</v>
      </c>
    </row>
    <row r="932" spans="1:8">
      <c r="A932" t="e">
        <f>#REF!</f>
        <v>#REF!</v>
      </c>
      <c r="B932" t="e">
        <f>#REF!</f>
        <v>#REF!</v>
      </c>
      <c r="C932" t="e">
        <f>#REF!</f>
        <v>#REF!</v>
      </c>
      <c r="D932" t="e">
        <f>#REF!</f>
        <v>#REF!</v>
      </c>
      <c r="E932" t="e">
        <f>#REF!</f>
        <v>#REF!</v>
      </c>
      <c r="F932" t="e">
        <f>#REF!</f>
        <v>#REF!</v>
      </c>
      <c r="G932" t="e">
        <f>#REF!</f>
        <v>#REF!</v>
      </c>
      <c r="H932" t="e">
        <f>#REF!</f>
        <v>#REF!</v>
      </c>
    </row>
    <row r="933" spans="1:8">
      <c r="A933" t="e">
        <f>#REF!</f>
        <v>#REF!</v>
      </c>
      <c r="B933" t="e">
        <f>#REF!</f>
        <v>#REF!</v>
      </c>
      <c r="C933" t="e">
        <f>#REF!</f>
        <v>#REF!</v>
      </c>
      <c r="D933" t="e">
        <f>#REF!</f>
        <v>#REF!</v>
      </c>
      <c r="E933" t="e">
        <f>#REF!</f>
        <v>#REF!</v>
      </c>
      <c r="F933" t="e">
        <f>#REF!</f>
        <v>#REF!</v>
      </c>
      <c r="G933" t="e">
        <f>#REF!</f>
        <v>#REF!</v>
      </c>
      <c r="H933" t="e">
        <f>#REF!</f>
        <v>#REF!</v>
      </c>
    </row>
    <row r="934" spans="1:8">
      <c r="A934" t="e">
        <f>#REF!</f>
        <v>#REF!</v>
      </c>
      <c r="B934" t="e">
        <f>#REF!</f>
        <v>#REF!</v>
      </c>
      <c r="C934" t="e">
        <f>#REF!</f>
        <v>#REF!</v>
      </c>
      <c r="D934" t="e">
        <f>#REF!</f>
        <v>#REF!</v>
      </c>
      <c r="E934" t="e">
        <f>#REF!</f>
        <v>#REF!</v>
      </c>
      <c r="F934" t="e">
        <f>#REF!</f>
        <v>#REF!</v>
      </c>
      <c r="G934" t="e">
        <f>#REF!</f>
        <v>#REF!</v>
      </c>
      <c r="H934" t="e">
        <f>#REF!</f>
        <v>#REF!</v>
      </c>
    </row>
    <row r="935" spans="1:8">
      <c r="A935" t="e">
        <f>#REF!</f>
        <v>#REF!</v>
      </c>
      <c r="B935" t="e">
        <f>#REF!</f>
        <v>#REF!</v>
      </c>
      <c r="C935" t="e">
        <f>#REF!</f>
        <v>#REF!</v>
      </c>
      <c r="D935" t="e">
        <f>#REF!</f>
        <v>#REF!</v>
      </c>
      <c r="E935" t="e">
        <f>#REF!</f>
        <v>#REF!</v>
      </c>
      <c r="F935" t="e">
        <f>#REF!</f>
        <v>#REF!</v>
      </c>
      <c r="G935" t="e">
        <f>#REF!</f>
        <v>#REF!</v>
      </c>
      <c r="H935" t="e">
        <f>#REF!</f>
        <v>#REF!</v>
      </c>
    </row>
    <row r="936" spans="1:8">
      <c r="A936" t="e">
        <f>#REF!</f>
        <v>#REF!</v>
      </c>
      <c r="B936" t="e">
        <f>#REF!</f>
        <v>#REF!</v>
      </c>
      <c r="C936" t="e">
        <f>#REF!</f>
        <v>#REF!</v>
      </c>
      <c r="D936" t="e">
        <f>#REF!</f>
        <v>#REF!</v>
      </c>
      <c r="E936" t="e">
        <f>#REF!</f>
        <v>#REF!</v>
      </c>
      <c r="F936" t="e">
        <f>#REF!</f>
        <v>#REF!</v>
      </c>
      <c r="G936" t="e">
        <f>#REF!</f>
        <v>#REF!</v>
      </c>
      <c r="H936" t="e">
        <f>#REF!</f>
        <v>#REF!</v>
      </c>
    </row>
    <row r="937" spans="1:8">
      <c r="A937" t="e">
        <f>#REF!</f>
        <v>#REF!</v>
      </c>
      <c r="B937" t="e">
        <f>#REF!</f>
        <v>#REF!</v>
      </c>
      <c r="C937" t="e">
        <f>#REF!</f>
        <v>#REF!</v>
      </c>
      <c r="D937" t="e">
        <f>#REF!</f>
        <v>#REF!</v>
      </c>
      <c r="E937" t="e">
        <f>#REF!</f>
        <v>#REF!</v>
      </c>
      <c r="F937" t="e">
        <f>#REF!</f>
        <v>#REF!</v>
      </c>
      <c r="G937" t="e">
        <f>#REF!</f>
        <v>#REF!</v>
      </c>
      <c r="H937" t="e">
        <f>#REF!</f>
        <v>#REF!</v>
      </c>
    </row>
    <row r="938" spans="1:8">
      <c r="A938" t="e">
        <f>#REF!</f>
        <v>#REF!</v>
      </c>
      <c r="B938" t="e">
        <f>#REF!</f>
        <v>#REF!</v>
      </c>
      <c r="C938" t="e">
        <f>#REF!</f>
        <v>#REF!</v>
      </c>
      <c r="D938" t="e">
        <f>#REF!</f>
        <v>#REF!</v>
      </c>
      <c r="E938" t="e">
        <f>#REF!</f>
        <v>#REF!</v>
      </c>
      <c r="F938" t="e">
        <f>#REF!</f>
        <v>#REF!</v>
      </c>
      <c r="G938" t="e">
        <f>#REF!</f>
        <v>#REF!</v>
      </c>
      <c r="H938" t="e">
        <f>#REF!</f>
        <v>#REF!</v>
      </c>
    </row>
    <row r="939" spans="1:8">
      <c r="A939" t="e">
        <f>#REF!</f>
        <v>#REF!</v>
      </c>
      <c r="B939" t="e">
        <f>#REF!</f>
        <v>#REF!</v>
      </c>
      <c r="C939" t="e">
        <f>#REF!</f>
        <v>#REF!</v>
      </c>
      <c r="D939" t="e">
        <f>#REF!</f>
        <v>#REF!</v>
      </c>
      <c r="E939" t="e">
        <f>#REF!</f>
        <v>#REF!</v>
      </c>
      <c r="F939" t="e">
        <f>#REF!</f>
        <v>#REF!</v>
      </c>
      <c r="G939" t="e">
        <f>#REF!</f>
        <v>#REF!</v>
      </c>
      <c r="H939" t="e">
        <f>#REF!</f>
        <v>#REF!</v>
      </c>
    </row>
    <row r="940" spans="1:8">
      <c r="A940" t="e">
        <f>#REF!</f>
        <v>#REF!</v>
      </c>
      <c r="B940" t="e">
        <f>#REF!</f>
        <v>#REF!</v>
      </c>
      <c r="C940" t="e">
        <f>#REF!</f>
        <v>#REF!</v>
      </c>
      <c r="D940" t="e">
        <f>#REF!</f>
        <v>#REF!</v>
      </c>
      <c r="E940" t="e">
        <f>#REF!</f>
        <v>#REF!</v>
      </c>
      <c r="F940" t="e">
        <f>#REF!</f>
        <v>#REF!</v>
      </c>
      <c r="G940" t="e">
        <f>#REF!</f>
        <v>#REF!</v>
      </c>
      <c r="H940" t="e">
        <f>#REF!</f>
        <v>#REF!</v>
      </c>
    </row>
    <row r="941" spans="1:8">
      <c r="A941" t="e">
        <f>#REF!</f>
        <v>#REF!</v>
      </c>
      <c r="B941" t="e">
        <f>#REF!</f>
        <v>#REF!</v>
      </c>
      <c r="C941" t="e">
        <f>#REF!</f>
        <v>#REF!</v>
      </c>
      <c r="D941" t="e">
        <f>#REF!</f>
        <v>#REF!</v>
      </c>
      <c r="E941" t="e">
        <f>#REF!</f>
        <v>#REF!</v>
      </c>
      <c r="F941" t="e">
        <f>#REF!</f>
        <v>#REF!</v>
      </c>
      <c r="G941" t="e">
        <f>#REF!</f>
        <v>#REF!</v>
      </c>
      <c r="H941" t="e">
        <f>#REF!</f>
        <v>#REF!</v>
      </c>
    </row>
    <row r="942" spans="1:8">
      <c r="A942" t="e">
        <f>#REF!</f>
        <v>#REF!</v>
      </c>
      <c r="B942" t="e">
        <f>#REF!</f>
        <v>#REF!</v>
      </c>
      <c r="C942" t="e">
        <f>#REF!</f>
        <v>#REF!</v>
      </c>
      <c r="D942" t="e">
        <f>#REF!</f>
        <v>#REF!</v>
      </c>
      <c r="E942" t="e">
        <f>#REF!</f>
        <v>#REF!</v>
      </c>
      <c r="F942" t="e">
        <f>#REF!</f>
        <v>#REF!</v>
      </c>
      <c r="G942" t="e">
        <f>#REF!</f>
        <v>#REF!</v>
      </c>
      <c r="H942" t="e">
        <f>#REF!</f>
        <v>#REF!</v>
      </c>
    </row>
    <row r="943" spans="1:8">
      <c r="A943" t="e">
        <f>#REF!</f>
        <v>#REF!</v>
      </c>
      <c r="B943" t="e">
        <f>#REF!</f>
        <v>#REF!</v>
      </c>
      <c r="C943" t="e">
        <f>#REF!</f>
        <v>#REF!</v>
      </c>
      <c r="D943" t="e">
        <f>#REF!</f>
        <v>#REF!</v>
      </c>
      <c r="E943" t="e">
        <f>#REF!</f>
        <v>#REF!</v>
      </c>
      <c r="F943" t="e">
        <f>#REF!</f>
        <v>#REF!</v>
      </c>
      <c r="G943" t="e">
        <f>#REF!</f>
        <v>#REF!</v>
      </c>
      <c r="H943" t="e">
        <f>#REF!</f>
        <v>#REF!</v>
      </c>
    </row>
    <row r="944" spans="1:8">
      <c r="A944" t="e">
        <f>#REF!</f>
        <v>#REF!</v>
      </c>
      <c r="B944" t="e">
        <f>#REF!</f>
        <v>#REF!</v>
      </c>
      <c r="C944" t="e">
        <f>#REF!</f>
        <v>#REF!</v>
      </c>
      <c r="D944" t="e">
        <f>#REF!</f>
        <v>#REF!</v>
      </c>
      <c r="E944" t="e">
        <f>#REF!</f>
        <v>#REF!</v>
      </c>
      <c r="F944" t="e">
        <f>#REF!</f>
        <v>#REF!</v>
      </c>
      <c r="G944" t="e">
        <f>#REF!</f>
        <v>#REF!</v>
      </c>
      <c r="H944" t="e">
        <f>#REF!</f>
        <v>#REF!</v>
      </c>
    </row>
    <row r="945" spans="1:8">
      <c r="A945" t="e">
        <f>#REF!</f>
        <v>#REF!</v>
      </c>
      <c r="B945" t="e">
        <f>#REF!</f>
        <v>#REF!</v>
      </c>
      <c r="C945" t="e">
        <f>#REF!</f>
        <v>#REF!</v>
      </c>
      <c r="D945" t="e">
        <f>#REF!</f>
        <v>#REF!</v>
      </c>
      <c r="E945" t="e">
        <f>#REF!</f>
        <v>#REF!</v>
      </c>
      <c r="F945" t="e">
        <f>#REF!</f>
        <v>#REF!</v>
      </c>
      <c r="G945" t="e">
        <f>#REF!</f>
        <v>#REF!</v>
      </c>
      <c r="H945" t="e">
        <f>#REF!</f>
        <v>#REF!</v>
      </c>
    </row>
    <row r="946" spans="1:8">
      <c r="A946" t="e">
        <f>#REF!</f>
        <v>#REF!</v>
      </c>
      <c r="B946" t="e">
        <f>#REF!</f>
        <v>#REF!</v>
      </c>
      <c r="C946" t="e">
        <f>#REF!</f>
        <v>#REF!</v>
      </c>
      <c r="D946" t="e">
        <f>#REF!</f>
        <v>#REF!</v>
      </c>
      <c r="E946" t="e">
        <f>#REF!</f>
        <v>#REF!</v>
      </c>
      <c r="F946" t="e">
        <f>#REF!</f>
        <v>#REF!</v>
      </c>
      <c r="G946" t="e">
        <f>#REF!</f>
        <v>#REF!</v>
      </c>
      <c r="H946" t="e">
        <f>#REF!</f>
        <v>#REF!</v>
      </c>
    </row>
    <row r="947" spans="1:8">
      <c r="A947" t="e">
        <f>#REF!</f>
        <v>#REF!</v>
      </c>
      <c r="B947" t="e">
        <f>#REF!</f>
        <v>#REF!</v>
      </c>
      <c r="C947" t="e">
        <f>#REF!</f>
        <v>#REF!</v>
      </c>
      <c r="D947" t="e">
        <f>#REF!</f>
        <v>#REF!</v>
      </c>
      <c r="E947" t="e">
        <f>#REF!</f>
        <v>#REF!</v>
      </c>
      <c r="F947" t="e">
        <f>#REF!</f>
        <v>#REF!</v>
      </c>
      <c r="G947" t="e">
        <f>#REF!</f>
        <v>#REF!</v>
      </c>
      <c r="H947" t="e">
        <f>#REF!</f>
        <v>#REF!</v>
      </c>
    </row>
    <row r="948" spans="1:8">
      <c r="A948" t="e">
        <f>#REF!</f>
        <v>#REF!</v>
      </c>
      <c r="B948" t="e">
        <f>#REF!</f>
        <v>#REF!</v>
      </c>
      <c r="C948" t="e">
        <f>#REF!</f>
        <v>#REF!</v>
      </c>
      <c r="D948" t="e">
        <f>#REF!</f>
        <v>#REF!</v>
      </c>
      <c r="E948" t="e">
        <f>#REF!</f>
        <v>#REF!</v>
      </c>
      <c r="F948" t="e">
        <f>#REF!</f>
        <v>#REF!</v>
      </c>
      <c r="G948" t="e">
        <f>#REF!</f>
        <v>#REF!</v>
      </c>
      <c r="H948" t="e">
        <f>#REF!</f>
        <v>#REF!</v>
      </c>
    </row>
    <row r="949" spans="1:8">
      <c r="A949" t="e">
        <f>#REF!</f>
        <v>#REF!</v>
      </c>
      <c r="B949" t="e">
        <f>#REF!</f>
        <v>#REF!</v>
      </c>
      <c r="C949" t="e">
        <f>#REF!</f>
        <v>#REF!</v>
      </c>
      <c r="D949" t="e">
        <f>#REF!</f>
        <v>#REF!</v>
      </c>
      <c r="E949" t="e">
        <f>#REF!</f>
        <v>#REF!</v>
      </c>
      <c r="F949" t="e">
        <f>#REF!</f>
        <v>#REF!</v>
      </c>
      <c r="G949" t="e">
        <f>#REF!</f>
        <v>#REF!</v>
      </c>
      <c r="H949" t="e">
        <f>#REF!</f>
        <v>#REF!</v>
      </c>
    </row>
    <row r="950" spans="1:8">
      <c r="A950" t="e">
        <f>#REF!</f>
        <v>#REF!</v>
      </c>
      <c r="B950" t="e">
        <f>#REF!</f>
        <v>#REF!</v>
      </c>
      <c r="C950" t="e">
        <f>#REF!</f>
        <v>#REF!</v>
      </c>
      <c r="D950" t="e">
        <f>#REF!</f>
        <v>#REF!</v>
      </c>
      <c r="E950" t="e">
        <f>#REF!</f>
        <v>#REF!</v>
      </c>
      <c r="F950" t="e">
        <f>#REF!</f>
        <v>#REF!</v>
      </c>
      <c r="G950" t="e">
        <f>#REF!</f>
        <v>#REF!</v>
      </c>
      <c r="H950" t="e">
        <f>#REF!</f>
        <v>#REF!</v>
      </c>
    </row>
    <row r="951" spans="1:8">
      <c r="A951" t="e">
        <f>#REF!</f>
        <v>#REF!</v>
      </c>
      <c r="B951" t="e">
        <f>#REF!</f>
        <v>#REF!</v>
      </c>
      <c r="C951" t="e">
        <f>#REF!</f>
        <v>#REF!</v>
      </c>
      <c r="D951" t="e">
        <f>#REF!</f>
        <v>#REF!</v>
      </c>
      <c r="E951" t="e">
        <f>#REF!</f>
        <v>#REF!</v>
      </c>
      <c r="F951" t="e">
        <f>#REF!</f>
        <v>#REF!</v>
      </c>
      <c r="G951" t="e">
        <f>#REF!</f>
        <v>#REF!</v>
      </c>
      <c r="H951" t="e">
        <f>#REF!</f>
        <v>#REF!</v>
      </c>
    </row>
    <row r="952" spans="1:8">
      <c r="A952" t="e">
        <f>#REF!</f>
        <v>#REF!</v>
      </c>
      <c r="B952" t="e">
        <f>#REF!</f>
        <v>#REF!</v>
      </c>
      <c r="C952" t="e">
        <f>#REF!</f>
        <v>#REF!</v>
      </c>
      <c r="D952" t="e">
        <f>#REF!</f>
        <v>#REF!</v>
      </c>
      <c r="E952" t="e">
        <f>#REF!</f>
        <v>#REF!</v>
      </c>
      <c r="F952" t="e">
        <f>#REF!</f>
        <v>#REF!</v>
      </c>
      <c r="G952" t="e">
        <f>#REF!</f>
        <v>#REF!</v>
      </c>
      <c r="H952" t="e">
        <f>#REF!</f>
        <v>#REF!</v>
      </c>
    </row>
    <row r="953" spans="1:8">
      <c r="A953" t="e">
        <f>#REF!</f>
        <v>#REF!</v>
      </c>
      <c r="B953" t="e">
        <f>#REF!</f>
        <v>#REF!</v>
      </c>
      <c r="C953" t="e">
        <f>#REF!</f>
        <v>#REF!</v>
      </c>
      <c r="D953" t="e">
        <f>#REF!</f>
        <v>#REF!</v>
      </c>
      <c r="E953" t="e">
        <f>#REF!</f>
        <v>#REF!</v>
      </c>
      <c r="F953" t="e">
        <f>#REF!</f>
        <v>#REF!</v>
      </c>
      <c r="G953" t="e">
        <f>#REF!</f>
        <v>#REF!</v>
      </c>
      <c r="H953" t="e">
        <f>#REF!</f>
        <v>#REF!</v>
      </c>
    </row>
    <row r="954" spans="1:8">
      <c r="A954" t="e">
        <f>#REF!</f>
        <v>#REF!</v>
      </c>
      <c r="B954" t="e">
        <f>#REF!</f>
        <v>#REF!</v>
      </c>
      <c r="C954" t="e">
        <f>#REF!</f>
        <v>#REF!</v>
      </c>
      <c r="D954" t="e">
        <f>#REF!</f>
        <v>#REF!</v>
      </c>
      <c r="E954" t="e">
        <f>#REF!</f>
        <v>#REF!</v>
      </c>
      <c r="F954" t="e">
        <f>#REF!</f>
        <v>#REF!</v>
      </c>
      <c r="G954" t="e">
        <f>#REF!</f>
        <v>#REF!</v>
      </c>
      <c r="H954" t="e">
        <f>#REF!</f>
        <v>#REF!</v>
      </c>
    </row>
    <row r="955" spans="1:8">
      <c r="A955" t="e">
        <f>#REF!</f>
        <v>#REF!</v>
      </c>
      <c r="B955" t="e">
        <f>#REF!</f>
        <v>#REF!</v>
      </c>
      <c r="C955" t="e">
        <f>#REF!</f>
        <v>#REF!</v>
      </c>
      <c r="D955" t="e">
        <f>#REF!</f>
        <v>#REF!</v>
      </c>
      <c r="E955" t="e">
        <f>#REF!</f>
        <v>#REF!</v>
      </c>
      <c r="F955" t="e">
        <f>#REF!</f>
        <v>#REF!</v>
      </c>
      <c r="G955" t="e">
        <f>#REF!</f>
        <v>#REF!</v>
      </c>
      <c r="H955" t="e">
        <f>#REF!</f>
        <v>#REF!</v>
      </c>
    </row>
    <row r="956" spans="1:8">
      <c r="A956" t="e">
        <f>#REF!</f>
        <v>#REF!</v>
      </c>
      <c r="B956" t="e">
        <f>#REF!</f>
        <v>#REF!</v>
      </c>
      <c r="C956" t="e">
        <f>#REF!</f>
        <v>#REF!</v>
      </c>
      <c r="D956" t="e">
        <f>#REF!</f>
        <v>#REF!</v>
      </c>
      <c r="E956" t="e">
        <f>#REF!</f>
        <v>#REF!</v>
      </c>
      <c r="F956" t="e">
        <f>#REF!</f>
        <v>#REF!</v>
      </c>
      <c r="G956" t="e">
        <f>#REF!</f>
        <v>#REF!</v>
      </c>
      <c r="H956" t="e">
        <f>#REF!</f>
        <v>#REF!</v>
      </c>
    </row>
    <row r="957" spans="1:8">
      <c r="A957" t="e">
        <f>#REF!</f>
        <v>#REF!</v>
      </c>
      <c r="B957" t="e">
        <f>#REF!</f>
        <v>#REF!</v>
      </c>
      <c r="C957" t="e">
        <f>#REF!</f>
        <v>#REF!</v>
      </c>
      <c r="D957" t="e">
        <f>#REF!</f>
        <v>#REF!</v>
      </c>
      <c r="E957" t="e">
        <f>#REF!</f>
        <v>#REF!</v>
      </c>
      <c r="F957" t="e">
        <f>#REF!</f>
        <v>#REF!</v>
      </c>
      <c r="G957" t="e">
        <f>#REF!</f>
        <v>#REF!</v>
      </c>
      <c r="H957" t="e">
        <f>#REF!</f>
        <v>#REF!</v>
      </c>
    </row>
    <row r="958" spans="1:8">
      <c r="A958" t="e">
        <f>#REF!</f>
        <v>#REF!</v>
      </c>
      <c r="B958" t="e">
        <f>#REF!</f>
        <v>#REF!</v>
      </c>
      <c r="C958" t="e">
        <f>#REF!</f>
        <v>#REF!</v>
      </c>
      <c r="D958" t="e">
        <f>#REF!</f>
        <v>#REF!</v>
      </c>
      <c r="E958" t="e">
        <f>#REF!</f>
        <v>#REF!</v>
      </c>
      <c r="F958" t="e">
        <f>#REF!</f>
        <v>#REF!</v>
      </c>
      <c r="G958" t="e">
        <f>#REF!</f>
        <v>#REF!</v>
      </c>
      <c r="H958" t="e">
        <f>#REF!</f>
        <v>#REF!</v>
      </c>
    </row>
    <row r="959" spans="1:8">
      <c r="A959" t="e">
        <f>#REF!</f>
        <v>#REF!</v>
      </c>
      <c r="B959" t="e">
        <f>#REF!</f>
        <v>#REF!</v>
      </c>
      <c r="C959" t="e">
        <f>#REF!</f>
        <v>#REF!</v>
      </c>
      <c r="D959" t="e">
        <f>#REF!</f>
        <v>#REF!</v>
      </c>
      <c r="E959" t="e">
        <f>#REF!</f>
        <v>#REF!</v>
      </c>
      <c r="F959" t="e">
        <f>#REF!</f>
        <v>#REF!</v>
      </c>
      <c r="G959" t="e">
        <f>#REF!</f>
        <v>#REF!</v>
      </c>
      <c r="H959" t="e">
        <f>#REF!</f>
        <v>#REF!</v>
      </c>
    </row>
    <row r="960" spans="1:8">
      <c r="A960" t="e">
        <f>#REF!</f>
        <v>#REF!</v>
      </c>
      <c r="B960" t="e">
        <f>#REF!</f>
        <v>#REF!</v>
      </c>
      <c r="C960" t="e">
        <f>#REF!</f>
        <v>#REF!</v>
      </c>
      <c r="D960" t="e">
        <f>#REF!</f>
        <v>#REF!</v>
      </c>
      <c r="E960" t="e">
        <f>#REF!</f>
        <v>#REF!</v>
      </c>
      <c r="F960" t="e">
        <f>#REF!</f>
        <v>#REF!</v>
      </c>
      <c r="G960" t="e">
        <f>#REF!</f>
        <v>#REF!</v>
      </c>
      <c r="H960" t="e">
        <f>#REF!</f>
        <v>#REF!</v>
      </c>
    </row>
    <row r="961" spans="1:8">
      <c r="A961" t="e">
        <f>#REF!</f>
        <v>#REF!</v>
      </c>
      <c r="B961" t="e">
        <f>#REF!</f>
        <v>#REF!</v>
      </c>
      <c r="C961" t="e">
        <f>#REF!</f>
        <v>#REF!</v>
      </c>
      <c r="D961" t="e">
        <f>#REF!</f>
        <v>#REF!</v>
      </c>
      <c r="E961" t="e">
        <f>#REF!</f>
        <v>#REF!</v>
      </c>
      <c r="F961" t="e">
        <f>#REF!</f>
        <v>#REF!</v>
      </c>
      <c r="G961" t="e">
        <f>#REF!</f>
        <v>#REF!</v>
      </c>
      <c r="H961" t="e">
        <f>#REF!</f>
        <v>#REF!</v>
      </c>
    </row>
    <row r="962" spans="1:8">
      <c r="A962" t="e">
        <f>#REF!</f>
        <v>#REF!</v>
      </c>
      <c r="B962" t="e">
        <f>#REF!</f>
        <v>#REF!</v>
      </c>
      <c r="C962" t="e">
        <f>#REF!</f>
        <v>#REF!</v>
      </c>
      <c r="D962" t="e">
        <f>#REF!</f>
        <v>#REF!</v>
      </c>
      <c r="E962" t="e">
        <f>#REF!</f>
        <v>#REF!</v>
      </c>
      <c r="F962" t="e">
        <f>#REF!</f>
        <v>#REF!</v>
      </c>
      <c r="G962" t="e">
        <f>#REF!</f>
        <v>#REF!</v>
      </c>
      <c r="H962" t="e">
        <f>#REF!</f>
        <v>#REF!</v>
      </c>
    </row>
    <row r="963" spans="1:8">
      <c r="A963" t="e">
        <f>#REF!</f>
        <v>#REF!</v>
      </c>
      <c r="B963" t="e">
        <f>#REF!</f>
        <v>#REF!</v>
      </c>
      <c r="C963" t="e">
        <f>#REF!</f>
        <v>#REF!</v>
      </c>
      <c r="D963" t="e">
        <f>#REF!</f>
        <v>#REF!</v>
      </c>
      <c r="E963" t="e">
        <f>#REF!</f>
        <v>#REF!</v>
      </c>
      <c r="F963" t="e">
        <f>#REF!</f>
        <v>#REF!</v>
      </c>
      <c r="G963" t="e">
        <f>#REF!</f>
        <v>#REF!</v>
      </c>
      <c r="H963" t="e">
        <f>#REF!</f>
        <v>#REF!</v>
      </c>
    </row>
    <row r="964" spans="1:8">
      <c r="A964" t="e">
        <f>#REF!</f>
        <v>#REF!</v>
      </c>
      <c r="B964" t="e">
        <f>#REF!</f>
        <v>#REF!</v>
      </c>
      <c r="C964" t="e">
        <f>#REF!</f>
        <v>#REF!</v>
      </c>
      <c r="D964" t="e">
        <f>#REF!</f>
        <v>#REF!</v>
      </c>
      <c r="E964" t="e">
        <f>#REF!</f>
        <v>#REF!</v>
      </c>
      <c r="F964" t="e">
        <f>#REF!</f>
        <v>#REF!</v>
      </c>
      <c r="G964" t="e">
        <f>#REF!</f>
        <v>#REF!</v>
      </c>
      <c r="H964" t="e">
        <f>#REF!</f>
        <v>#REF!</v>
      </c>
    </row>
    <row r="965" spans="1:8">
      <c r="A965" t="e">
        <f>#REF!</f>
        <v>#REF!</v>
      </c>
      <c r="B965" t="e">
        <f>#REF!</f>
        <v>#REF!</v>
      </c>
      <c r="C965" t="e">
        <f>#REF!</f>
        <v>#REF!</v>
      </c>
      <c r="D965" t="e">
        <f>#REF!</f>
        <v>#REF!</v>
      </c>
      <c r="E965" t="e">
        <f>#REF!</f>
        <v>#REF!</v>
      </c>
      <c r="F965" t="e">
        <f>#REF!</f>
        <v>#REF!</v>
      </c>
      <c r="G965" t="e">
        <f>#REF!</f>
        <v>#REF!</v>
      </c>
      <c r="H965" t="e">
        <f>#REF!</f>
        <v>#REF!</v>
      </c>
    </row>
    <row r="966" spans="1:8">
      <c r="A966" t="e">
        <f>#REF!</f>
        <v>#REF!</v>
      </c>
      <c r="B966" t="e">
        <f>#REF!</f>
        <v>#REF!</v>
      </c>
      <c r="C966" t="e">
        <f>#REF!</f>
        <v>#REF!</v>
      </c>
      <c r="D966" t="e">
        <f>#REF!</f>
        <v>#REF!</v>
      </c>
      <c r="E966" t="e">
        <f>#REF!</f>
        <v>#REF!</v>
      </c>
      <c r="F966" t="e">
        <f>#REF!</f>
        <v>#REF!</v>
      </c>
      <c r="G966" t="e">
        <f>#REF!</f>
        <v>#REF!</v>
      </c>
      <c r="H966" t="e">
        <f>#REF!</f>
        <v>#REF!</v>
      </c>
    </row>
    <row r="967" spans="1:8">
      <c r="A967" t="e">
        <f>#REF!</f>
        <v>#REF!</v>
      </c>
      <c r="B967" t="e">
        <f>#REF!</f>
        <v>#REF!</v>
      </c>
      <c r="C967" t="e">
        <f>#REF!</f>
        <v>#REF!</v>
      </c>
      <c r="D967" t="e">
        <f>#REF!</f>
        <v>#REF!</v>
      </c>
      <c r="E967" t="e">
        <f>#REF!</f>
        <v>#REF!</v>
      </c>
      <c r="F967" t="e">
        <f>#REF!</f>
        <v>#REF!</v>
      </c>
      <c r="G967" t="e">
        <f>#REF!</f>
        <v>#REF!</v>
      </c>
      <c r="H967" t="e">
        <f>#REF!</f>
        <v>#REF!</v>
      </c>
    </row>
    <row r="968" spans="1:8">
      <c r="A968" t="e">
        <f>#REF!</f>
        <v>#REF!</v>
      </c>
      <c r="B968" t="e">
        <f>#REF!</f>
        <v>#REF!</v>
      </c>
      <c r="C968" t="e">
        <f>#REF!</f>
        <v>#REF!</v>
      </c>
      <c r="D968" t="e">
        <f>#REF!</f>
        <v>#REF!</v>
      </c>
      <c r="E968" t="e">
        <f>#REF!</f>
        <v>#REF!</v>
      </c>
      <c r="F968" t="e">
        <f>#REF!</f>
        <v>#REF!</v>
      </c>
      <c r="G968" t="e">
        <f>#REF!</f>
        <v>#REF!</v>
      </c>
      <c r="H968" t="e">
        <f>#REF!</f>
        <v>#REF!</v>
      </c>
    </row>
    <row r="969" spans="1:8">
      <c r="A969" t="e">
        <f>#REF!</f>
        <v>#REF!</v>
      </c>
      <c r="B969" t="e">
        <f>#REF!</f>
        <v>#REF!</v>
      </c>
      <c r="C969" t="e">
        <f>#REF!</f>
        <v>#REF!</v>
      </c>
      <c r="D969" t="e">
        <f>#REF!</f>
        <v>#REF!</v>
      </c>
      <c r="E969" t="e">
        <f>#REF!</f>
        <v>#REF!</v>
      </c>
      <c r="F969" t="e">
        <f>#REF!</f>
        <v>#REF!</v>
      </c>
      <c r="G969" t="e">
        <f>#REF!</f>
        <v>#REF!</v>
      </c>
      <c r="H969" t="e">
        <f>#REF!</f>
        <v>#REF!</v>
      </c>
    </row>
    <row r="970" spans="1:8">
      <c r="A970" t="e">
        <f>#REF!</f>
        <v>#REF!</v>
      </c>
      <c r="B970" t="e">
        <f>#REF!</f>
        <v>#REF!</v>
      </c>
      <c r="C970" t="e">
        <f>#REF!</f>
        <v>#REF!</v>
      </c>
      <c r="D970" t="e">
        <f>#REF!</f>
        <v>#REF!</v>
      </c>
      <c r="E970" t="e">
        <f>#REF!</f>
        <v>#REF!</v>
      </c>
      <c r="F970" t="e">
        <f>#REF!</f>
        <v>#REF!</v>
      </c>
      <c r="G970" t="e">
        <f>#REF!</f>
        <v>#REF!</v>
      </c>
      <c r="H970" t="e">
        <f>#REF!</f>
        <v>#REF!</v>
      </c>
    </row>
    <row r="971" spans="1:8">
      <c r="A971" t="e">
        <f>#REF!</f>
        <v>#REF!</v>
      </c>
      <c r="B971" t="e">
        <f>#REF!</f>
        <v>#REF!</v>
      </c>
      <c r="C971" t="e">
        <f>#REF!</f>
        <v>#REF!</v>
      </c>
      <c r="D971" t="e">
        <f>#REF!</f>
        <v>#REF!</v>
      </c>
      <c r="E971" t="e">
        <f>#REF!</f>
        <v>#REF!</v>
      </c>
      <c r="F971" t="e">
        <f>#REF!</f>
        <v>#REF!</v>
      </c>
      <c r="G971" t="e">
        <f>#REF!</f>
        <v>#REF!</v>
      </c>
      <c r="H971" t="e">
        <f>#REF!</f>
        <v>#REF!</v>
      </c>
    </row>
    <row r="972" spans="1:8">
      <c r="A972" t="e">
        <f>#REF!</f>
        <v>#REF!</v>
      </c>
      <c r="B972" t="e">
        <f>#REF!</f>
        <v>#REF!</v>
      </c>
      <c r="C972" t="e">
        <f>#REF!</f>
        <v>#REF!</v>
      </c>
      <c r="D972" t="e">
        <f>#REF!</f>
        <v>#REF!</v>
      </c>
      <c r="E972" t="e">
        <f>#REF!</f>
        <v>#REF!</v>
      </c>
      <c r="F972" t="e">
        <f>#REF!</f>
        <v>#REF!</v>
      </c>
      <c r="G972" t="e">
        <f>#REF!</f>
        <v>#REF!</v>
      </c>
      <c r="H972" t="e">
        <f>#REF!</f>
        <v>#REF!</v>
      </c>
    </row>
    <row r="973" spans="1:8">
      <c r="A973" t="e">
        <f>#REF!</f>
        <v>#REF!</v>
      </c>
      <c r="B973" t="e">
        <f>#REF!</f>
        <v>#REF!</v>
      </c>
      <c r="C973" t="e">
        <f>#REF!</f>
        <v>#REF!</v>
      </c>
      <c r="D973" t="e">
        <f>#REF!</f>
        <v>#REF!</v>
      </c>
      <c r="E973" t="e">
        <f>#REF!</f>
        <v>#REF!</v>
      </c>
      <c r="F973" t="e">
        <f>#REF!</f>
        <v>#REF!</v>
      </c>
      <c r="G973" t="e">
        <f>#REF!</f>
        <v>#REF!</v>
      </c>
      <c r="H973" t="e">
        <f>#REF!</f>
        <v>#REF!</v>
      </c>
    </row>
    <row r="974" spans="1:8">
      <c r="A974" t="e">
        <f>#REF!</f>
        <v>#REF!</v>
      </c>
      <c r="B974" t="e">
        <f>#REF!</f>
        <v>#REF!</v>
      </c>
      <c r="C974" t="e">
        <f>#REF!</f>
        <v>#REF!</v>
      </c>
      <c r="D974" t="e">
        <f>#REF!</f>
        <v>#REF!</v>
      </c>
      <c r="E974" t="e">
        <f>#REF!</f>
        <v>#REF!</v>
      </c>
      <c r="F974" t="e">
        <f>#REF!</f>
        <v>#REF!</v>
      </c>
      <c r="G974" t="e">
        <f>#REF!</f>
        <v>#REF!</v>
      </c>
      <c r="H974" t="e">
        <f>#REF!</f>
        <v>#REF!</v>
      </c>
    </row>
    <row r="975" spans="1:8">
      <c r="A975" t="e">
        <f>#REF!</f>
        <v>#REF!</v>
      </c>
      <c r="B975" t="e">
        <f>#REF!</f>
        <v>#REF!</v>
      </c>
      <c r="C975" t="e">
        <f>#REF!</f>
        <v>#REF!</v>
      </c>
      <c r="D975" t="e">
        <f>#REF!</f>
        <v>#REF!</v>
      </c>
      <c r="E975" t="e">
        <f>#REF!</f>
        <v>#REF!</v>
      </c>
      <c r="F975" t="e">
        <f>#REF!</f>
        <v>#REF!</v>
      </c>
      <c r="G975" t="e">
        <f>#REF!</f>
        <v>#REF!</v>
      </c>
      <c r="H975" t="e">
        <f>#REF!</f>
        <v>#REF!</v>
      </c>
    </row>
    <row r="976" spans="1:8">
      <c r="A976" t="e">
        <f>#REF!</f>
        <v>#REF!</v>
      </c>
      <c r="B976" t="e">
        <f>#REF!</f>
        <v>#REF!</v>
      </c>
      <c r="C976" t="e">
        <f>#REF!</f>
        <v>#REF!</v>
      </c>
      <c r="D976" t="e">
        <f>#REF!</f>
        <v>#REF!</v>
      </c>
      <c r="E976" t="e">
        <f>#REF!</f>
        <v>#REF!</v>
      </c>
      <c r="F976" t="e">
        <f>#REF!</f>
        <v>#REF!</v>
      </c>
      <c r="G976" t="e">
        <f>#REF!</f>
        <v>#REF!</v>
      </c>
      <c r="H976" t="e">
        <f>#REF!</f>
        <v>#REF!</v>
      </c>
    </row>
    <row r="977" spans="1:8">
      <c r="A977" t="e">
        <f>#REF!</f>
        <v>#REF!</v>
      </c>
      <c r="B977" t="e">
        <f>#REF!</f>
        <v>#REF!</v>
      </c>
      <c r="C977" t="e">
        <f>#REF!</f>
        <v>#REF!</v>
      </c>
      <c r="D977" t="e">
        <f>#REF!</f>
        <v>#REF!</v>
      </c>
      <c r="E977" t="e">
        <f>#REF!</f>
        <v>#REF!</v>
      </c>
      <c r="F977" t="e">
        <f>#REF!</f>
        <v>#REF!</v>
      </c>
      <c r="G977" t="e">
        <f>#REF!</f>
        <v>#REF!</v>
      </c>
      <c r="H977" t="e">
        <f>#REF!</f>
        <v>#REF!</v>
      </c>
    </row>
    <row r="978" spans="1:8">
      <c r="A978" t="e">
        <f>#REF!</f>
        <v>#REF!</v>
      </c>
      <c r="B978" t="e">
        <f>#REF!</f>
        <v>#REF!</v>
      </c>
      <c r="C978" t="e">
        <f>#REF!</f>
        <v>#REF!</v>
      </c>
      <c r="D978" t="e">
        <f>#REF!</f>
        <v>#REF!</v>
      </c>
      <c r="E978" t="e">
        <f>#REF!</f>
        <v>#REF!</v>
      </c>
      <c r="F978" t="e">
        <f>#REF!</f>
        <v>#REF!</v>
      </c>
      <c r="G978" t="e">
        <f>#REF!</f>
        <v>#REF!</v>
      </c>
      <c r="H978" t="e">
        <f>#REF!</f>
        <v>#REF!</v>
      </c>
    </row>
    <row r="979" spans="1:8">
      <c r="A979" t="e">
        <f>#REF!</f>
        <v>#REF!</v>
      </c>
      <c r="B979" t="e">
        <f>#REF!</f>
        <v>#REF!</v>
      </c>
      <c r="C979" t="e">
        <f>#REF!</f>
        <v>#REF!</v>
      </c>
      <c r="D979" t="e">
        <f>#REF!</f>
        <v>#REF!</v>
      </c>
      <c r="E979" t="e">
        <f>#REF!</f>
        <v>#REF!</v>
      </c>
      <c r="F979" t="e">
        <f>#REF!</f>
        <v>#REF!</v>
      </c>
      <c r="G979" t="e">
        <f>#REF!</f>
        <v>#REF!</v>
      </c>
      <c r="H979" t="e">
        <f>#REF!</f>
        <v>#REF!</v>
      </c>
    </row>
    <row r="980" spans="1:8">
      <c r="A980" t="e">
        <f>#REF!</f>
        <v>#REF!</v>
      </c>
      <c r="B980" t="e">
        <f>#REF!</f>
        <v>#REF!</v>
      </c>
      <c r="C980" t="e">
        <f>#REF!</f>
        <v>#REF!</v>
      </c>
      <c r="D980" t="e">
        <f>#REF!</f>
        <v>#REF!</v>
      </c>
      <c r="E980" t="e">
        <f>#REF!</f>
        <v>#REF!</v>
      </c>
      <c r="F980" t="e">
        <f>#REF!</f>
        <v>#REF!</v>
      </c>
      <c r="G980" t="e">
        <f>#REF!</f>
        <v>#REF!</v>
      </c>
      <c r="H980" t="e">
        <f>#REF!</f>
        <v>#REF!</v>
      </c>
    </row>
    <row r="981" spans="1:8">
      <c r="A981" t="e">
        <f>#REF!</f>
        <v>#REF!</v>
      </c>
      <c r="B981" t="e">
        <f>#REF!</f>
        <v>#REF!</v>
      </c>
      <c r="C981" t="e">
        <f>#REF!</f>
        <v>#REF!</v>
      </c>
      <c r="D981" t="e">
        <f>#REF!</f>
        <v>#REF!</v>
      </c>
      <c r="E981" t="e">
        <f>#REF!</f>
        <v>#REF!</v>
      </c>
      <c r="F981" t="e">
        <f>#REF!</f>
        <v>#REF!</v>
      </c>
      <c r="G981" t="e">
        <f>#REF!</f>
        <v>#REF!</v>
      </c>
      <c r="H981" t="e">
        <f>#REF!</f>
        <v>#REF!</v>
      </c>
    </row>
    <row r="982" spans="1:8">
      <c r="A982" t="e">
        <f>#REF!</f>
        <v>#REF!</v>
      </c>
      <c r="B982" t="e">
        <f>#REF!</f>
        <v>#REF!</v>
      </c>
      <c r="C982" t="e">
        <f>#REF!</f>
        <v>#REF!</v>
      </c>
      <c r="D982" t="e">
        <f>#REF!</f>
        <v>#REF!</v>
      </c>
      <c r="E982" t="e">
        <f>#REF!</f>
        <v>#REF!</v>
      </c>
      <c r="F982" t="e">
        <f>#REF!</f>
        <v>#REF!</v>
      </c>
      <c r="G982" t="e">
        <f>#REF!</f>
        <v>#REF!</v>
      </c>
      <c r="H982" t="e">
        <f>#REF!</f>
        <v>#REF!</v>
      </c>
    </row>
    <row r="983" spans="1:8">
      <c r="A983" t="e">
        <f>#REF!</f>
        <v>#REF!</v>
      </c>
      <c r="B983" t="e">
        <f>#REF!</f>
        <v>#REF!</v>
      </c>
      <c r="C983" t="e">
        <f>#REF!</f>
        <v>#REF!</v>
      </c>
      <c r="D983" t="e">
        <f>#REF!</f>
        <v>#REF!</v>
      </c>
      <c r="E983" t="e">
        <f>#REF!</f>
        <v>#REF!</v>
      </c>
      <c r="F983" t="e">
        <f>#REF!</f>
        <v>#REF!</v>
      </c>
      <c r="G983" t="e">
        <f>#REF!</f>
        <v>#REF!</v>
      </c>
      <c r="H983" t="e">
        <f>#REF!</f>
        <v>#REF!</v>
      </c>
    </row>
    <row r="984" spans="1:8">
      <c r="A984" t="e">
        <f>#REF!</f>
        <v>#REF!</v>
      </c>
      <c r="B984" t="e">
        <f>#REF!</f>
        <v>#REF!</v>
      </c>
      <c r="C984" t="e">
        <f>#REF!</f>
        <v>#REF!</v>
      </c>
      <c r="D984" t="e">
        <f>#REF!</f>
        <v>#REF!</v>
      </c>
      <c r="E984" t="e">
        <f>#REF!</f>
        <v>#REF!</v>
      </c>
      <c r="F984" t="e">
        <f>#REF!</f>
        <v>#REF!</v>
      </c>
      <c r="G984" t="e">
        <f>#REF!</f>
        <v>#REF!</v>
      </c>
      <c r="H984" t="e">
        <f>#REF!</f>
        <v>#REF!</v>
      </c>
    </row>
    <row r="985" spans="1:8">
      <c r="A985" t="e">
        <f>#REF!</f>
        <v>#REF!</v>
      </c>
      <c r="B985" t="e">
        <f>#REF!</f>
        <v>#REF!</v>
      </c>
      <c r="C985" t="e">
        <f>#REF!</f>
        <v>#REF!</v>
      </c>
      <c r="D985" t="e">
        <f>#REF!</f>
        <v>#REF!</v>
      </c>
      <c r="E985" t="e">
        <f>#REF!</f>
        <v>#REF!</v>
      </c>
      <c r="F985" t="e">
        <f>#REF!</f>
        <v>#REF!</v>
      </c>
      <c r="G985" t="e">
        <f>#REF!</f>
        <v>#REF!</v>
      </c>
      <c r="H985" t="e">
        <f>#REF!</f>
        <v>#REF!</v>
      </c>
    </row>
    <row r="986" spans="1:8">
      <c r="A986" t="e">
        <f>#REF!</f>
        <v>#REF!</v>
      </c>
      <c r="B986" t="e">
        <f>#REF!</f>
        <v>#REF!</v>
      </c>
      <c r="C986" t="e">
        <f>#REF!</f>
        <v>#REF!</v>
      </c>
      <c r="D986" t="e">
        <f>#REF!</f>
        <v>#REF!</v>
      </c>
      <c r="E986" t="e">
        <f>#REF!</f>
        <v>#REF!</v>
      </c>
      <c r="F986" t="e">
        <f>#REF!</f>
        <v>#REF!</v>
      </c>
      <c r="G986" t="e">
        <f>#REF!</f>
        <v>#REF!</v>
      </c>
      <c r="H986" t="e">
        <f>#REF!</f>
        <v>#REF!</v>
      </c>
    </row>
    <row r="987" spans="1:8">
      <c r="A987" t="e">
        <f>#REF!</f>
        <v>#REF!</v>
      </c>
      <c r="B987" t="e">
        <f>#REF!</f>
        <v>#REF!</v>
      </c>
      <c r="C987" t="e">
        <f>#REF!</f>
        <v>#REF!</v>
      </c>
      <c r="D987" t="e">
        <f>#REF!</f>
        <v>#REF!</v>
      </c>
      <c r="E987" t="e">
        <f>#REF!</f>
        <v>#REF!</v>
      </c>
      <c r="F987" t="e">
        <f>#REF!</f>
        <v>#REF!</v>
      </c>
      <c r="G987" t="e">
        <f>#REF!</f>
        <v>#REF!</v>
      </c>
      <c r="H987" t="e">
        <f>#REF!</f>
        <v>#REF!</v>
      </c>
    </row>
    <row r="988" spans="1:8">
      <c r="A988" t="e">
        <f>#REF!</f>
        <v>#REF!</v>
      </c>
      <c r="B988" t="e">
        <f>#REF!</f>
        <v>#REF!</v>
      </c>
      <c r="C988" t="e">
        <f>#REF!</f>
        <v>#REF!</v>
      </c>
      <c r="D988" t="e">
        <f>#REF!</f>
        <v>#REF!</v>
      </c>
      <c r="E988" t="e">
        <f>#REF!</f>
        <v>#REF!</v>
      </c>
      <c r="F988" t="e">
        <f>#REF!</f>
        <v>#REF!</v>
      </c>
      <c r="G988" t="e">
        <f>#REF!</f>
        <v>#REF!</v>
      </c>
      <c r="H988" t="e">
        <f>#REF!</f>
        <v>#REF!</v>
      </c>
    </row>
    <row r="989" spans="1:8">
      <c r="A989" t="e">
        <f>#REF!</f>
        <v>#REF!</v>
      </c>
      <c r="B989" t="e">
        <f>#REF!</f>
        <v>#REF!</v>
      </c>
      <c r="C989" t="e">
        <f>#REF!</f>
        <v>#REF!</v>
      </c>
      <c r="D989" t="e">
        <f>#REF!</f>
        <v>#REF!</v>
      </c>
      <c r="E989" t="e">
        <f>#REF!</f>
        <v>#REF!</v>
      </c>
      <c r="F989" t="e">
        <f>#REF!</f>
        <v>#REF!</v>
      </c>
      <c r="G989" t="e">
        <f>#REF!</f>
        <v>#REF!</v>
      </c>
      <c r="H989" t="e">
        <f>#REF!</f>
        <v>#REF!</v>
      </c>
    </row>
    <row r="990" spans="1:8">
      <c r="A990" t="e">
        <f>#REF!</f>
        <v>#REF!</v>
      </c>
      <c r="B990" t="e">
        <f>#REF!</f>
        <v>#REF!</v>
      </c>
      <c r="C990" t="e">
        <f>#REF!</f>
        <v>#REF!</v>
      </c>
      <c r="D990" t="e">
        <f>#REF!</f>
        <v>#REF!</v>
      </c>
      <c r="E990" t="e">
        <f>#REF!</f>
        <v>#REF!</v>
      </c>
      <c r="F990" t="e">
        <f>#REF!</f>
        <v>#REF!</v>
      </c>
      <c r="G990" t="e">
        <f>#REF!</f>
        <v>#REF!</v>
      </c>
      <c r="H990" t="e">
        <f>#REF!</f>
        <v>#REF!</v>
      </c>
    </row>
    <row r="991" spans="1:8">
      <c r="A991" t="e">
        <f>#REF!</f>
        <v>#REF!</v>
      </c>
      <c r="B991" t="e">
        <f>#REF!</f>
        <v>#REF!</v>
      </c>
      <c r="C991" t="e">
        <f>#REF!</f>
        <v>#REF!</v>
      </c>
      <c r="D991" t="e">
        <f>#REF!</f>
        <v>#REF!</v>
      </c>
      <c r="E991" t="e">
        <f>#REF!</f>
        <v>#REF!</v>
      </c>
      <c r="F991" t="e">
        <f>#REF!</f>
        <v>#REF!</v>
      </c>
      <c r="G991" t="e">
        <f>#REF!</f>
        <v>#REF!</v>
      </c>
      <c r="H991" t="e">
        <f>#REF!</f>
        <v>#REF!</v>
      </c>
    </row>
    <row r="992" spans="1:8">
      <c r="A992" t="e">
        <f>#REF!</f>
        <v>#REF!</v>
      </c>
      <c r="B992" t="e">
        <f>#REF!</f>
        <v>#REF!</v>
      </c>
      <c r="C992" t="e">
        <f>#REF!</f>
        <v>#REF!</v>
      </c>
      <c r="D992" t="e">
        <f>#REF!</f>
        <v>#REF!</v>
      </c>
      <c r="E992" t="e">
        <f>#REF!</f>
        <v>#REF!</v>
      </c>
      <c r="F992" t="e">
        <f>#REF!</f>
        <v>#REF!</v>
      </c>
      <c r="G992" t="e">
        <f>#REF!</f>
        <v>#REF!</v>
      </c>
      <c r="H992" t="e">
        <f>#REF!</f>
        <v>#REF!</v>
      </c>
    </row>
    <row r="993" spans="1:8">
      <c r="A993" t="e">
        <f>#REF!</f>
        <v>#REF!</v>
      </c>
      <c r="B993" t="e">
        <f>#REF!</f>
        <v>#REF!</v>
      </c>
      <c r="C993" t="e">
        <f>#REF!</f>
        <v>#REF!</v>
      </c>
      <c r="D993" t="e">
        <f>#REF!</f>
        <v>#REF!</v>
      </c>
      <c r="E993" t="e">
        <f>#REF!</f>
        <v>#REF!</v>
      </c>
      <c r="F993" t="e">
        <f>#REF!</f>
        <v>#REF!</v>
      </c>
      <c r="G993" t="e">
        <f>#REF!</f>
        <v>#REF!</v>
      </c>
      <c r="H993" t="e">
        <f>#REF!</f>
        <v>#REF!</v>
      </c>
    </row>
    <row r="994" spans="1:8">
      <c r="A994" t="e">
        <f>#REF!</f>
        <v>#REF!</v>
      </c>
      <c r="B994" t="e">
        <f>#REF!</f>
        <v>#REF!</v>
      </c>
      <c r="C994" t="e">
        <f>#REF!</f>
        <v>#REF!</v>
      </c>
      <c r="D994" t="e">
        <f>#REF!</f>
        <v>#REF!</v>
      </c>
      <c r="E994" t="e">
        <f>#REF!</f>
        <v>#REF!</v>
      </c>
      <c r="F994" t="e">
        <f>#REF!</f>
        <v>#REF!</v>
      </c>
      <c r="G994" t="e">
        <f>#REF!</f>
        <v>#REF!</v>
      </c>
      <c r="H994" t="e">
        <f>#REF!</f>
        <v>#REF!</v>
      </c>
    </row>
    <row r="995" spans="1:8">
      <c r="A995" t="e">
        <f>#REF!</f>
        <v>#REF!</v>
      </c>
      <c r="B995" t="e">
        <f>#REF!</f>
        <v>#REF!</v>
      </c>
      <c r="C995" t="e">
        <f>#REF!</f>
        <v>#REF!</v>
      </c>
      <c r="D995" t="e">
        <f>#REF!</f>
        <v>#REF!</v>
      </c>
      <c r="E995" t="e">
        <f>#REF!</f>
        <v>#REF!</v>
      </c>
      <c r="F995" t="e">
        <f>#REF!</f>
        <v>#REF!</v>
      </c>
      <c r="G995" t="e">
        <f>#REF!</f>
        <v>#REF!</v>
      </c>
      <c r="H995" t="e">
        <f>#REF!</f>
        <v>#REF!</v>
      </c>
    </row>
    <row r="996" spans="1:8">
      <c r="A996" t="e">
        <f>#REF!</f>
        <v>#REF!</v>
      </c>
      <c r="B996" t="e">
        <f>#REF!</f>
        <v>#REF!</v>
      </c>
      <c r="C996" t="e">
        <f>#REF!</f>
        <v>#REF!</v>
      </c>
      <c r="D996" t="e">
        <f>#REF!</f>
        <v>#REF!</v>
      </c>
      <c r="E996" t="e">
        <f>#REF!</f>
        <v>#REF!</v>
      </c>
      <c r="F996" t="e">
        <f>#REF!</f>
        <v>#REF!</v>
      </c>
      <c r="G996" t="e">
        <f>#REF!</f>
        <v>#REF!</v>
      </c>
      <c r="H996" t="e">
        <f>#REF!</f>
        <v>#REF!</v>
      </c>
    </row>
    <row r="997" spans="1:8">
      <c r="A997" t="e">
        <f>#REF!</f>
        <v>#REF!</v>
      </c>
      <c r="B997" t="e">
        <f>#REF!</f>
        <v>#REF!</v>
      </c>
      <c r="C997" t="e">
        <f>#REF!</f>
        <v>#REF!</v>
      </c>
      <c r="D997" t="e">
        <f>#REF!</f>
        <v>#REF!</v>
      </c>
      <c r="E997" t="e">
        <f>#REF!</f>
        <v>#REF!</v>
      </c>
      <c r="F997" t="e">
        <f>#REF!</f>
        <v>#REF!</v>
      </c>
      <c r="G997" t="e">
        <f>#REF!</f>
        <v>#REF!</v>
      </c>
      <c r="H997" t="e">
        <f>#REF!</f>
        <v>#REF!</v>
      </c>
    </row>
    <row r="998" spans="1:8">
      <c r="A998" t="e">
        <f>#REF!</f>
        <v>#REF!</v>
      </c>
      <c r="B998" t="e">
        <f>#REF!</f>
        <v>#REF!</v>
      </c>
      <c r="C998" t="e">
        <f>#REF!</f>
        <v>#REF!</v>
      </c>
      <c r="D998" t="e">
        <f>#REF!</f>
        <v>#REF!</v>
      </c>
      <c r="E998" t="e">
        <f>#REF!</f>
        <v>#REF!</v>
      </c>
      <c r="F998" t="e">
        <f>#REF!</f>
        <v>#REF!</v>
      </c>
      <c r="G998" t="e">
        <f>#REF!</f>
        <v>#REF!</v>
      </c>
      <c r="H998" t="e">
        <f>#REF!</f>
        <v>#REF!</v>
      </c>
    </row>
    <row r="999" spans="1:8">
      <c r="A999" t="e">
        <f>#REF!</f>
        <v>#REF!</v>
      </c>
      <c r="B999" t="e">
        <f>#REF!</f>
        <v>#REF!</v>
      </c>
      <c r="C999" t="e">
        <f>#REF!</f>
        <v>#REF!</v>
      </c>
      <c r="D999" t="e">
        <f>#REF!</f>
        <v>#REF!</v>
      </c>
      <c r="E999" t="e">
        <f>#REF!</f>
        <v>#REF!</v>
      </c>
      <c r="F999" t="e">
        <f>#REF!</f>
        <v>#REF!</v>
      </c>
      <c r="G999" t="e">
        <f>#REF!</f>
        <v>#REF!</v>
      </c>
      <c r="H999" t="e">
        <f>#REF!</f>
        <v>#REF!</v>
      </c>
    </row>
    <row r="1000" spans="1:8">
      <c r="A1000" t="e">
        <f>#REF!</f>
        <v>#REF!</v>
      </c>
      <c r="B1000" t="e">
        <f>#REF!</f>
        <v>#REF!</v>
      </c>
      <c r="C1000" t="e">
        <f>#REF!</f>
        <v>#REF!</v>
      </c>
      <c r="D1000" t="e">
        <f>#REF!</f>
        <v>#REF!</v>
      </c>
      <c r="E1000" t="e">
        <f>#REF!</f>
        <v>#REF!</v>
      </c>
      <c r="F1000" t="e">
        <f>#REF!</f>
        <v>#REF!</v>
      </c>
      <c r="G1000" t="e">
        <f>#REF!</f>
        <v>#REF!</v>
      </c>
      <c r="H1000" t="e">
        <f>#REF!</f>
        <v>#REF!</v>
      </c>
    </row>
    <row r="1001" spans="1:8">
      <c r="A1001" t="e">
        <f>#REF!</f>
        <v>#REF!</v>
      </c>
      <c r="B1001" t="e">
        <f>#REF!</f>
        <v>#REF!</v>
      </c>
      <c r="C1001" t="e">
        <f>#REF!</f>
        <v>#REF!</v>
      </c>
      <c r="D1001" t="e">
        <f>#REF!</f>
        <v>#REF!</v>
      </c>
      <c r="E1001" t="e">
        <f>#REF!</f>
        <v>#REF!</v>
      </c>
      <c r="F1001" t="e">
        <f>#REF!</f>
        <v>#REF!</v>
      </c>
      <c r="G1001" t="e">
        <f>#REF!</f>
        <v>#REF!</v>
      </c>
      <c r="H1001" t="e">
        <f>#REF!</f>
        <v>#REF!</v>
      </c>
    </row>
    <row r="1002" spans="1:8">
      <c r="A1002" t="e">
        <f>#REF!</f>
        <v>#REF!</v>
      </c>
      <c r="B1002" t="e">
        <f>#REF!</f>
        <v>#REF!</v>
      </c>
      <c r="C1002" t="e">
        <f>#REF!</f>
        <v>#REF!</v>
      </c>
      <c r="D1002" t="e">
        <f>#REF!</f>
        <v>#REF!</v>
      </c>
      <c r="E1002" t="e">
        <f>#REF!</f>
        <v>#REF!</v>
      </c>
      <c r="F1002" t="e">
        <f>#REF!</f>
        <v>#REF!</v>
      </c>
      <c r="G1002" t="e">
        <f>#REF!</f>
        <v>#REF!</v>
      </c>
      <c r="H1002" t="e">
        <f>#REF!</f>
        <v>#REF!</v>
      </c>
    </row>
    <row r="1003" spans="1:8">
      <c r="A1003" t="e">
        <f>#REF!</f>
        <v>#REF!</v>
      </c>
      <c r="B1003" t="e">
        <f>#REF!</f>
        <v>#REF!</v>
      </c>
      <c r="C1003" t="e">
        <f>#REF!</f>
        <v>#REF!</v>
      </c>
      <c r="D1003" t="e">
        <f>#REF!</f>
        <v>#REF!</v>
      </c>
      <c r="E1003" t="e">
        <f>#REF!</f>
        <v>#REF!</v>
      </c>
      <c r="F1003" t="e">
        <f>#REF!</f>
        <v>#REF!</v>
      </c>
      <c r="G1003" t="e">
        <f>#REF!</f>
        <v>#REF!</v>
      </c>
      <c r="H1003" t="e">
        <f>#REF!</f>
        <v>#REF!</v>
      </c>
    </row>
    <row r="1004" spans="1:8">
      <c r="A1004" t="e">
        <f>#REF!</f>
        <v>#REF!</v>
      </c>
      <c r="B1004" t="e">
        <f>#REF!</f>
        <v>#REF!</v>
      </c>
      <c r="C1004" t="e">
        <f>#REF!</f>
        <v>#REF!</v>
      </c>
      <c r="D1004" t="e">
        <f>#REF!</f>
        <v>#REF!</v>
      </c>
      <c r="E1004" t="e">
        <f>#REF!</f>
        <v>#REF!</v>
      </c>
      <c r="F1004" t="e">
        <f>#REF!</f>
        <v>#REF!</v>
      </c>
      <c r="G1004" t="e">
        <f>#REF!</f>
        <v>#REF!</v>
      </c>
      <c r="H1004" t="e">
        <f>#REF!</f>
        <v>#REF!</v>
      </c>
    </row>
    <row r="1005" spans="1:8">
      <c r="A1005" t="e">
        <f>#REF!</f>
        <v>#REF!</v>
      </c>
      <c r="B1005" t="e">
        <f>#REF!</f>
        <v>#REF!</v>
      </c>
      <c r="C1005" t="e">
        <f>#REF!</f>
        <v>#REF!</v>
      </c>
      <c r="D1005" t="e">
        <f>#REF!</f>
        <v>#REF!</v>
      </c>
      <c r="E1005" t="e">
        <f>#REF!</f>
        <v>#REF!</v>
      </c>
      <c r="F1005" t="e">
        <f>#REF!</f>
        <v>#REF!</v>
      </c>
      <c r="G1005" t="e">
        <f>#REF!</f>
        <v>#REF!</v>
      </c>
      <c r="H1005" t="e">
        <f>#REF!</f>
        <v>#REF!</v>
      </c>
    </row>
    <row r="1006" spans="1:8">
      <c r="A1006" t="e">
        <f>#REF!</f>
        <v>#REF!</v>
      </c>
      <c r="B1006" t="e">
        <f>#REF!</f>
        <v>#REF!</v>
      </c>
      <c r="C1006" t="e">
        <f>#REF!</f>
        <v>#REF!</v>
      </c>
      <c r="D1006" t="e">
        <f>#REF!</f>
        <v>#REF!</v>
      </c>
      <c r="E1006" t="e">
        <f>#REF!</f>
        <v>#REF!</v>
      </c>
      <c r="F1006" t="e">
        <f>#REF!</f>
        <v>#REF!</v>
      </c>
      <c r="G1006" t="e">
        <f>#REF!</f>
        <v>#REF!</v>
      </c>
      <c r="H1006" t="e">
        <f>#REF!</f>
        <v>#REF!</v>
      </c>
    </row>
    <row r="1007" spans="1:8">
      <c r="A1007" t="e">
        <f>#REF!</f>
        <v>#REF!</v>
      </c>
      <c r="B1007" t="e">
        <f>#REF!</f>
        <v>#REF!</v>
      </c>
      <c r="C1007" t="e">
        <f>#REF!</f>
        <v>#REF!</v>
      </c>
      <c r="D1007" t="e">
        <f>#REF!</f>
        <v>#REF!</v>
      </c>
      <c r="E1007" t="e">
        <f>#REF!</f>
        <v>#REF!</v>
      </c>
      <c r="F1007" t="e">
        <f>#REF!</f>
        <v>#REF!</v>
      </c>
      <c r="G1007" t="e">
        <f>#REF!</f>
        <v>#REF!</v>
      </c>
      <c r="H1007" t="e">
        <f>#REF!</f>
        <v>#REF!</v>
      </c>
    </row>
    <row r="1008" spans="1:8">
      <c r="A1008" t="e">
        <f>#REF!</f>
        <v>#REF!</v>
      </c>
      <c r="B1008" t="e">
        <f>#REF!</f>
        <v>#REF!</v>
      </c>
      <c r="C1008" t="e">
        <f>#REF!</f>
        <v>#REF!</v>
      </c>
      <c r="D1008" t="e">
        <f>#REF!</f>
        <v>#REF!</v>
      </c>
      <c r="E1008" t="e">
        <f>#REF!</f>
        <v>#REF!</v>
      </c>
      <c r="F1008" t="e">
        <f>#REF!</f>
        <v>#REF!</v>
      </c>
      <c r="G1008" t="e">
        <f>#REF!</f>
        <v>#REF!</v>
      </c>
      <c r="H1008" t="e">
        <f>#REF!</f>
        <v>#REF!</v>
      </c>
    </row>
    <row r="1009" spans="1:8">
      <c r="A1009" t="e">
        <f>#REF!</f>
        <v>#REF!</v>
      </c>
      <c r="B1009" t="e">
        <f>#REF!</f>
        <v>#REF!</v>
      </c>
      <c r="C1009" t="e">
        <f>#REF!</f>
        <v>#REF!</v>
      </c>
      <c r="D1009" t="e">
        <f>#REF!</f>
        <v>#REF!</v>
      </c>
      <c r="E1009" t="e">
        <f>#REF!</f>
        <v>#REF!</v>
      </c>
      <c r="F1009" t="e">
        <f>#REF!</f>
        <v>#REF!</v>
      </c>
      <c r="G1009" t="e">
        <f>#REF!</f>
        <v>#REF!</v>
      </c>
      <c r="H1009" t="e">
        <f>#REF!</f>
        <v>#REF!</v>
      </c>
    </row>
    <row r="1010" spans="1:8">
      <c r="A1010" t="e">
        <f>#REF!</f>
        <v>#REF!</v>
      </c>
      <c r="B1010" t="e">
        <f>#REF!</f>
        <v>#REF!</v>
      </c>
      <c r="C1010" t="e">
        <f>#REF!</f>
        <v>#REF!</v>
      </c>
      <c r="D1010" t="e">
        <f>#REF!</f>
        <v>#REF!</v>
      </c>
      <c r="E1010" t="e">
        <f>#REF!</f>
        <v>#REF!</v>
      </c>
      <c r="F1010" t="e">
        <f>#REF!</f>
        <v>#REF!</v>
      </c>
      <c r="G1010" t="e">
        <f>#REF!</f>
        <v>#REF!</v>
      </c>
      <c r="H1010" t="e">
        <f>#REF!</f>
        <v>#REF!</v>
      </c>
    </row>
    <row r="1011" spans="1:8">
      <c r="A1011" t="e">
        <f>#REF!</f>
        <v>#REF!</v>
      </c>
      <c r="B1011" t="e">
        <f>#REF!</f>
        <v>#REF!</v>
      </c>
      <c r="C1011" t="e">
        <f>#REF!</f>
        <v>#REF!</v>
      </c>
      <c r="D1011" t="e">
        <f>#REF!</f>
        <v>#REF!</v>
      </c>
      <c r="E1011" t="e">
        <f>#REF!</f>
        <v>#REF!</v>
      </c>
      <c r="F1011" t="e">
        <f>#REF!</f>
        <v>#REF!</v>
      </c>
      <c r="G1011" t="e">
        <f>#REF!</f>
        <v>#REF!</v>
      </c>
      <c r="H1011" t="e">
        <f>#REF!</f>
        <v>#REF!</v>
      </c>
    </row>
    <row r="1012" spans="1:8">
      <c r="A1012" t="e">
        <f>#REF!</f>
        <v>#REF!</v>
      </c>
      <c r="B1012" t="e">
        <f>#REF!</f>
        <v>#REF!</v>
      </c>
      <c r="C1012" t="e">
        <f>#REF!</f>
        <v>#REF!</v>
      </c>
      <c r="D1012" t="e">
        <f>#REF!</f>
        <v>#REF!</v>
      </c>
      <c r="E1012" t="e">
        <f>#REF!</f>
        <v>#REF!</v>
      </c>
      <c r="F1012" t="e">
        <f>#REF!</f>
        <v>#REF!</v>
      </c>
      <c r="G1012" t="e">
        <f>#REF!</f>
        <v>#REF!</v>
      </c>
      <c r="H1012" t="e">
        <f>#REF!</f>
        <v>#REF!</v>
      </c>
    </row>
    <row r="1013" spans="1:8">
      <c r="A1013" t="e">
        <f>#REF!</f>
        <v>#REF!</v>
      </c>
      <c r="B1013" t="e">
        <f>#REF!</f>
        <v>#REF!</v>
      </c>
      <c r="C1013" t="e">
        <f>#REF!</f>
        <v>#REF!</v>
      </c>
      <c r="D1013" t="e">
        <f>#REF!</f>
        <v>#REF!</v>
      </c>
      <c r="E1013" t="e">
        <f>#REF!</f>
        <v>#REF!</v>
      </c>
      <c r="F1013" t="e">
        <f>#REF!</f>
        <v>#REF!</v>
      </c>
      <c r="G1013" t="e">
        <f>#REF!</f>
        <v>#REF!</v>
      </c>
      <c r="H1013" t="e">
        <f>#REF!</f>
        <v>#REF!</v>
      </c>
    </row>
    <row r="1014" spans="1:8">
      <c r="A1014" t="e">
        <f>#REF!</f>
        <v>#REF!</v>
      </c>
      <c r="B1014" t="e">
        <f>#REF!</f>
        <v>#REF!</v>
      </c>
      <c r="C1014" t="e">
        <f>#REF!</f>
        <v>#REF!</v>
      </c>
      <c r="D1014" t="e">
        <f>#REF!</f>
        <v>#REF!</v>
      </c>
      <c r="E1014" t="e">
        <f>#REF!</f>
        <v>#REF!</v>
      </c>
      <c r="F1014" t="e">
        <f>#REF!</f>
        <v>#REF!</v>
      </c>
      <c r="G1014" t="e">
        <f>#REF!</f>
        <v>#REF!</v>
      </c>
      <c r="H1014" t="e">
        <f>#REF!</f>
        <v>#REF!</v>
      </c>
    </row>
    <row r="1015" spans="1:8">
      <c r="A1015" t="e">
        <f>#REF!</f>
        <v>#REF!</v>
      </c>
      <c r="B1015" t="e">
        <f>#REF!</f>
        <v>#REF!</v>
      </c>
      <c r="C1015" t="e">
        <f>#REF!</f>
        <v>#REF!</v>
      </c>
      <c r="D1015" t="e">
        <f>#REF!</f>
        <v>#REF!</v>
      </c>
      <c r="E1015" t="e">
        <f>#REF!</f>
        <v>#REF!</v>
      </c>
      <c r="F1015" t="e">
        <f>#REF!</f>
        <v>#REF!</v>
      </c>
      <c r="G1015" t="e">
        <f>#REF!</f>
        <v>#REF!</v>
      </c>
      <c r="H1015" t="e">
        <f>#REF!</f>
        <v>#REF!</v>
      </c>
    </row>
    <row r="1016" spans="1:8">
      <c r="A1016" t="e">
        <f>#REF!</f>
        <v>#REF!</v>
      </c>
      <c r="B1016" t="e">
        <f>#REF!</f>
        <v>#REF!</v>
      </c>
      <c r="C1016" t="e">
        <f>#REF!</f>
        <v>#REF!</v>
      </c>
      <c r="D1016" t="e">
        <f>#REF!</f>
        <v>#REF!</v>
      </c>
      <c r="E1016" t="e">
        <f>#REF!</f>
        <v>#REF!</v>
      </c>
      <c r="F1016" t="e">
        <f>#REF!</f>
        <v>#REF!</v>
      </c>
      <c r="G1016" t="e">
        <f>#REF!</f>
        <v>#REF!</v>
      </c>
      <c r="H1016" t="e">
        <f>#REF!</f>
        <v>#REF!</v>
      </c>
    </row>
    <row r="1017" spans="1:8">
      <c r="A1017" t="e">
        <f>#REF!</f>
        <v>#REF!</v>
      </c>
      <c r="B1017" t="e">
        <f>#REF!</f>
        <v>#REF!</v>
      </c>
      <c r="C1017" t="e">
        <f>#REF!</f>
        <v>#REF!</v>
      </c>
      <c r="D1017" t="e">
        <f>#REF!</f>
        <v>#REF!</v>
      </c>
      <c r="E1017" t="e">
        <f>#REF!</f>
        <v>#REF!</v>
      </c>
      <c r="F1017" t="e">
        <f>#REF!</f>
        <v>#REF!</v>
      </c>
      <c r="G1017" t="e">
        <f>#REF!</f>
        <v>#REF!</v>
      </c>
      <c r="H1017" t="e">
        <f>#REF!</f>
        <v>#REF!</v>
      </c>
    </row>
    <row r="1018" spans="1:8">
      <c r="A1018" t="e">
        <f>#REF!</f>
        <v>#REF!</v>
      </c>
      <c r="B1018" t="e">
        <f>#REF!</f>
        <v>#REF!</v>
      </c>
      <c r="C1018" t="e">
        <f>#REF!</f>
        <v>#REF!</v>
      </c>
      <c r="D1018" t="e">
        <f>#REF!</f>
        <v>#REF!</v>
      </c>
      <c r="E1018" t="e">
        <f>#REF!</f>
        <v>#REF!</v>
      </c>
      <c r="F1018" t="e">
        <f>#REF!</f>
        <v>#REF!</v>
      </c>
      <c r="G1018" t="e">
        <f>#REF!</f>
        <v>#REF!</v>
      </c>
      <c r="H1018" t="e">
        <f>#REF!</f>
        <v>#REF!</v>
      </c>
    </row>
    <row r="1019" spans="1:8">
      <c r="A1019" t="e">
        <f>#REF!</f>
        <v>#REF!</v>
      </c>
      <c r="B1019" t="e">
        <f>#REF!</f>
        <v>#REF!</v>
      </c>
      <c r="C1019" t="e">
        <f>#REF!</f>
        <v>#REF!</v>
      </c>
      <c r="D1019" t="e">
        <f>#REF!</f>
        <v>#REF!</v>
      </c>
      <c r="E1019" t="e">
        <f>#REF!</f>
        <v>#REF!</v>
      </c>
      <c r="F1019" t="e">
        <f>#REF!</f>
        <v>#REF!</v>
      </c>
      <c r="G1019" t="e">
        <f>#REF!</f>
        <v>#REF!</v>
      </c>
      <c r="H1019" t="e">
        <f>#REF!</f>
        <v>#REF!</v>
      </c>
    </row>
    <row r="1020" spans="1:8">
      <c r="A1020" t="e">
        <f>#REF!</f>
        <v>#REF!</v>
      </c>
      <c r="B1020" t="e">
        <f>#REF!</f>
        <v>#REF!</v>
      </c>
      <c r="C1020" t="e">
        <f>#REF!</f>
        <v>#REF!</v>
      </c>
      <c r="D1020" t="e">
        <f>#REF!</f>
        <v>#REF!</v>
      </c>
      <c r="E1020" t="e">
        <f>#REF!</f>
        <v>#REF!</v>
      </c>
      <c r="F1020" t="e">
        <f>#REF!</f>
        <v>#REF!</v>
      </c>
      <c r="G1020" t="e">
        <f>#REF!</f>
        <v>#REF!</v>
      </c>
      <c r="H1020" t="e">
        <f>#REF!</f>
        <v>#REF!</v>
      </c>
    </row>
    <row r="1021" spans="1:8">
      <c r="A1021" t="e">
        <f>#REF!</f>
        <v>#REF!</v>
      </c>
      <c r="B1021" t="e">
        <f>#REF!</f>
        <v>#REF!</v>
      </c>
      <c r="C1021" t="e">
        <f>#REF!</f>
        <v>#REF!</v>
      </c>
      <c r="D1021" t="e">
        <f>#REF!</f>
        <v>#REF!</v>
      </c>
      <c r="E1021" t="e">
        <f>#REF!</f>
        <v>#REF!</v>
      </c>
      <c r="F1021" t="e">
        <f>#REF!</f>
        <v>#REF!</v>
      </c>
      <c r="G1021" t="e">
        <f>#REF!</f>
        <v>#REF!</v>
      </c>
      <c r="H1021" t="e">
        <f>#REF!</f>
        <v>#REF!</v>
      </c>
    </row>
    <row r="1022" spans="1:8">
      <c r="A1022" t="e">
        <f>#REF!</f>
        <v>#REF!</v>
      </c>
      <c r="B1022" t="e">
        <f>#REF!</f>
        <v>#REF!</v>
      </c>
      <c r="C1022" t="e">
        <f>#REF!</f>
        <v>#REF!</v>
      </c>
      <c r="D1022" t="e">
        <f>#REF!</f>
        <v>#REF!</v>
      </c>
      <c r="E1022" t="e">
        <f>#REF!</f>
        <v>#REF!</v>
      </c>
      <c r="F1022" t="e">
        <f>#REF!</f>
        <v>#REF!</v>
      </c>
      <c r="G1022" t="e">
        <f>#REF!</f>
        <v>#REF!</v>
      </c>
      <c r="H1022" t="e">
        <f>#REF!</f>
        <v>#REF!</v>
      </c>
    </row>
    <row r="1023" spans="1:8">
      <c r="A1023" t="e">
        <f>#REF!</f>
        <v>#REF!</v>
      </c>
      <c r="B1023" t="e">
        <f>#REF!</f>
        <v>#REF!</v>
      </c>
      <c r="C1023" t="e">
        <f>#REF!</f>
        <v>#REF!</v>
      </c>
      <c r="D1023" t="e">
        <f>#REF!</f>
        <v>#REF!</v>
      </c>
      <c r="E1023" t="e">
        <f>#REF!</f>
        <v>#REF!</v>
      </c>
      <c r="F1023" t="e">
        <f>#REF!</f>
        <v>#REF!</v>
      </c>
      <c r="G1023" t="e">
        <f>#REF!</f>
        <v>#REF!</v>
      </c>
      <c r="H1023" t="e">
        <f>#REF!</f>
        <v>#REF!</v>
      </c>
    </row>
    <row r="1024" spans="1:8">
      <c r="A1024" t="e">
        <f>#REF!</f>
        <v>#REF!</v>
      </c>
      <c r="B1024" t="e">
        <f>#REF!</f>
        <v>#REF!</v>
      </c>
      <c r="C1024" t="e">
        <f>#REF!</f>
        <v>#REF!</v>
      </c>
      <c r="D1024" t="e">
        <f>#REF!</f>
        <v>#REF!</v>
      </c>
      <c r="E1024" t="e">
        <f>#REF!</f>
        <v>#REF!</v>
      </c>
      <c r="F1024" t="e">
        <f>#REF!</f>
        <v>#REF!</v>
      </c>
      <c r="G1024" t="e">
        <f>#REF!</f>
        <v>#REF!</v>
      </c>
      <c r="H1024" t="e">
        <f>#REF!</f>
        <v>#REF!</v>
      </c>
    </row>
    <row r="1025" spans="1:8">
      <c r="A1025" t="e">
        <f>#REF!</f>
        <v>#REF!</v>
      </c>
      <c r="B1025" t="e">
        <f>#REF!</f>
        <v>#REF!</v>
      </c>
      <c r="C1025" t="e">
        <f>#REF!</f>
        <v>#REF!</v>
      </c>
      <c r="D1025" t="e">
        <f>#REF!</f>
        <v>#REF!</v>
      </c>
      <c r="E1025" t="e">
        <f>#REF!</f>
        <v>#REF!</v>
      </c>
      <c r="F1025" t="e">
        <f>#REF!</f>
        <v>#REF!</v>
      </c>
      <c r="G1025" t="e">
        <f>#REF!</f>
        <v>#REF!</v>
      </c>
      <c r="H1025" t="e">
        <f>#REF!</f>
        <v>#REF!</v>
      </c>
    </row>
    <row r="1026" spans="1:8">
      <c r="A1026" t="e">
        <f>#REF!</f>
        <v>#REF!</v>
      </c>
      <c r="B1026" t="e">
        <f>#REF!</f>
        <v>#REF!</v>
      </c>
      <c r="C1026" t="e">
        <f>#REF!</f>
        <v>#REF!</v>
      </c>
      <c r="D1026" t="e">
        <f>#REF!</f>
        <v>#REF!</v>
      </c>
      <c r="E1026" t="e">
        <f>#REF!</f>
        <v>#REF!</v>
      </c>
      <c r="F1026" t="e">
        <f>#REF!</f>
        <v>#REF!</v>
      </c>
      <c r="G1026" t="e">
        <f>#REF!</f>
        <v>#REF!</v>
      </c>
      <c r="H1026" t="e">
        <f>#REF!</f>
        <v>#REF!</v>
      </c>
    </row>
    <row r="1027" spans="1:8">
      <c r="A1027" t="e">
        <f>#REF!</f>
        <v>#REF!</v>
      </c>
      <c r="B1027" t="e">
        <f>#REF!</f>
        <v>#REF!</v>
      </c>
      <c r="C1027" t="e">
        <f>#REF!</f>
        <v>#REF!</v>
      </c>
      <c r="D1027" t="e">
        <f>#REF!</f>
        <v>#REF!</v>
      </c>
      <c r="E1027" t="e">
        <f>#REF!</f>
        <v>#REF!</v>
      </c>
      <c r="F1027" t="e">
        <f>#REF!</f>
        <v>#REF!</v>
      </c>
      <c r="G1027" t="e">
        <f>#REF!</f>
        <v>#REF!</v>
      </c>
      <c r="H1027" t="e">
        <f>#REF!</f>
        <v>#REF!</v>
      </c>
    </row>
    <row r="1028" spans="1:8">
      <c r="A1028" t="e">
        <f>#REF!</f>
        <v>#REF!</v>
      </c>
      <c r="B1028" t="e">
        <f>#REF!</f>
        <v>#REF!</v>
      </c>
      <c r="C1028" t="e">
        <f>#REF!</f>
        <v>#REF!</v>
      </c>
      <c r="D1028" t="e">
        <f>#REF!</f>
        <v>#REF!</v>
      </c>
      <c r="E1028" t="e">
        <f>#REF!</f>
        <v>#REF!</v>
      </c>
      <c r="F1028" t="e">
        <f>#REF!</f>
        <v>#REF!</v>
      </c>
      <c r="G1028" t="e">
        <f>#REF!</f>
        <v>#REF!</v>
      </c>
      <c r="H1028" t="e">
        <f>#REF!</f>
        <v>#REF!</v>
      </c>
    </row>
    <row r="1029" spans="1:8">
      <c r="A1029" t="e">
        <f>#REF!</f>
        <v>#REF!</v>
      </c>
      <c r="B1029" t="e">
        <f>#REF!</f>
        <v>#REF!</v>
      </c>
      <c r="C1029" t="e">
        <f>#REF!</f>
        <v>#REF!</v>
      </c>
      <c r="D1029" t="e">
        <f>#REF!</f>
        <v>#REF!</v>
      </c>
      <c r="E1029" t="e">
        <f>#REF!</f>
        <v>#REF!</v>
      </c>
      <c r="F1029" t="e">
        <f>#REF!</f>
        <v>#REF!</v>
      </c>
      <c r="G1029" t="e">
        <f>#REF!</f>
        <v>#REF!</v>
      </c>
      <c r="H1029" t="e">
        <f>#REF!</f>
        <v>#REF!</v>
      </c>
    </row>
    <row r="1030" spans="1:8">
      <c r="A1030" t="e">
        <f>#REF!</f>
        <v>#REF!</v>
      </c>
      <c r="B1030" t="e">
        <f>#REF!</f>
        <v>#REF!</v>
      </c>
      <c r="C1030" t="e">
        <f>#REF!</f>
        <v>#REF!</v>
      </c>
      <c r="D1030" t="e">
        <f>#REF!</f>
        <v>#REF!</v>
      </c>
      <c r="E1030" t="e">
        <f>#REF!</f>
        <v>#REF!</v>
      </c>
      <c r="F1030" t="e">
        <f>#REF!</f>
        <v>#REF!</v>
      </c>
      <c r="G1030" t="e">
        <f>#REF!</f>
        <v>#REF!</v>
      </c>
      <c r="H1030" t="e">
        <f>#REF!</f>
        <v>#REF!</v>
      </c>
    </row>
    <row r="1031" spans="1:8">
      <c r="A1031" t="e">
        <f>#REF!</f>
        <v>#REF!</v>
      </c>
      <c r="B1031" t="e">
        <f>#REF!</f>
        <v>#REF!</v>
      </c>
      <c r="C1031" t="e">
        <f>#REF!</f>
        <v>#REF!</v>
      </c>
      <c r="D1031" t="e">
        <f>#REF!</f>
        <v>#REF!</v>
      </c>
      <c r="E1031" t="e">
        <f>#REF!</f>
        <v>#REF!</v>
      </c>
      <c r="F1031" t="e">
        <f>#REF!</f>
        <v>#REF!</v>
      </c>
      <c r="G1031" t="e">
        <f>#REF!</f>
        <v>#REF!</v>
      </c>
      <c r="H1031" t="e">
        <f>#REF!</f>
        <v>#REF!</v>
      </c>
    </row>
    <row r="1032" spans="1:8">
      <c r="A1032" t="e">
        <f>#REF!</f>
        <v>#REF!</v>
      </c>
      <c r="B1032" t="e">
        <f>#REF!</f>
        <v>#REF!</v>
      </c>
      <c r="C1032" t="e">
        <f>#REF!</f>
        <v>#REF!</v>
      </c>
      <c r="D1032" t="e">
        <f>#REF!</f>
        <v>#REF!</v>
      </c>
      <c r="E1032" t="e">
        <f>#REF!</f>
        <v>#REF!</v>
      </c>
      <c r="F1032" t="e">
        <f>#REF!</f>
        <v>#REF!</v>
      </c>
      <c r="G1032" t="e">
        <f>#REF!</f>
        <v>#REF!</v>
      </c>
      <c r="H1032" t="e">
        <f>#REF!</f>
        <v>#REF!</v>
      </c>
    </row>
    <row r="1033" spans="1:8">
      <c r="A1033" t="e">
        <f>#REF!</f>
        <v>#REF!</v>
      </c>
      <c r="B1033" t="e">
        <f>#REF!</f>
        <v>#REF!</v>
      </c>
      <c r="C1033" t="e">
        <f>#REF!</f>
        <v>#REF!</v>
      </c>
      <c r="D1033" t="e">
        <f>#REF!</f>
        <v>#REF!</v>
      </c>
      <c r="E1033" t="e">
        <f>#REF!</f>
        <v>#REF!</v>
      </c>
      <c r="F1033" t="e">
        <f>#REF!</f>
        <v>#REF!</v>
      </c>
      <c r="G1033" t="e">
        <f>#REF!</f>
        <v>#REF!</v>
      </c>
      <c r="H1033" t="e">
        <f>#REF!</f>
        <v>#REF!</v>
      </c>
    </row>
    <row r="1034" spans="1:8">
      <c r="A1034" t="e">
        <f>#REF!</f>
        <v>#REF!</v>
      </c>
      <c r="B1034" t="e">
        <f>#REF!</f>
        <v>#REF!</v>
      </c>
      <c r="C1034" t="e">
        <f>#REF!</f>
        <v>#REF!</v>
      </c>
      <c r="D1034" t="e">
        <f>#REF!</f>
        <v>#REF!</v>
      </c>
      <c r="E1034" t="e">
        <f>#REF!</f>
        <v>#REF!</v>
      </c>
      <c r="F1034" t="e">
        <f>#REF!</f>
        <v>#REF!</v>
      </c>
      <c r="G1034" t="e">
        <f>#REF!</f>
        <v>#REF!</v>
      </c>
      <c r="H1034" t="e">
        <f>#REF!</f>
        <v>#REF!</v>
      </c>
    </row>
    <row r="1035" spans="1:8">
      <c r="A1035" t="e">
        <f>#REF!</f>
        <v>#REF!</v>
      </c>
      <c r="B1035" t="e">
        <f>#REF!</f>
        <v>#REF!</v>
      </c>
      <c r="C1035" t="e">
        <f>#REF!</f>
        <v>#REF!</v>
      </c>
      <c r="D1035" t="e">
        <f>#REF!</f>
        <v>#REF!</v>
      </c>
      <c r="E1035" t="e">
        <f>#REF!</f>
        <v>#REF!</v>
      </c>
      <c r="F1035" t="e">
        <f>#REF!</f>
        <v>#REF!</v>
      </c>
      <c r="G1035" t="e">
        <f>#REF!</f>
        <v>#REF!</v>
      </c>
      <c r="H1035" t="e">
        <f>#REF!</f>
        <v>#REF!</v>
      </c>
    </row>
    <row r="1036" spans="1:8">
      <c r="A1036" t="e">
        <f>#REF!</f>
        <v>#REF!</v>
      </c>
      <c r="B1036" t="e">
        <f>#REF!</f>
        <v>#REF!</v>
      </c>
      <c r="C1036" t="e">
        <f>#REF!</f>
        <v>#REF!</v>
      </c>
      <c r="D1036" t="e">
        <f>#REF!</f>
        <v>#REF!</v>
      </c>
      <c r="E1036" t="e">
        <f>#REF!</f>
        <v>#REF!</v>
      </c>
      <c r="F1036" t="e">
        <f>#REF!</f>
        <v>#REF!</v>
      </c>
      <c r="G1036" t="e">
        <f>#REF!</f>
        <v>#REF!</v>
      </c>
      <c r="H1036" t="e">
        <f>#REF!</f>
        <v>#REF!</v>
      </c>
    </row>
    <row r="1037" spans="1:8">
      <c r="A1037" t="e">
        <f>#REF!</f>
        <v>#REF!</v>
      </c>
      <c r="B1037" t="e">
        <f>#REF!</f>
        <v>#REF!</v>
      </c>
      <c r="C1037" t="e">
        <f>#REF!</f>
        <v>#REF!</v>
      </c>
      <c r="D1037" t="e">
        <f>#REF!</f>
        <v>#REF!</v>
      </c>
      <c r="E1037" t="e">
        <f>#REF!</f>
        <v>#REF!</v>
      </c>
      <c r="F1037" t="e">
        <f>#REF!</f>
        <v>#REF!</v>
      </c>
      <c r="G1037" t="e">
        <f>#REF!</f>
        <v>#REF!</v>
      </c>
      <c r="H1037" t="e">
        <f>#REF!</f>
        <v>#REF!</v>
      </c>
    </row>
    <row r="1038" spans="1:8">
      <c r="A1038" t="e">
        <f>#REF!</f>
        <v>#REF!</v>
      </c>
      <c r="B1038" t="e">
        <f>#REF!</f>
        <v>#REF!</v>
      </c>
      <c r="C1038" t="e">
        <f>#REF!</f>
        <v>#REF!</v>
      </c>
      <c r="D1038" t="e">
        <f>#REF!</f>
        <v>#REF!</v>
      </c>
      <c r="E1038" t="e">
        <f>#REF!</f>
        <v>#REF!</v>
      </c>
      <c r="F1038" t="e">
        <f>#REF!</f>
        <v>#REF!</v>
      </c>
      <c r="G1038" t="e">
        <f>#REF!</f>
        <v>#REF!</v>
      </c>
      <c r="H1038" t="e">
        <f>#REF!</f>
        <v>#REF!</v>
      </c>
    </row>
    <row r="1039" spans="1:8">
      <c r="A1039" t="e">
        <f>#REF!</f>
        <v>#REF!</v>
      </c>
      <c r="B1039" t="e">
        <f>#REF!</f>
        <v>#REF!</v>
      </c>
      <c r="C1039" t="e">
        <f>#REF!</f>
        <v>#REF!</v>
      </c>
      <c r="D1039" t="e">
        <f>#REF!</f>
        <v>#REF!</v>
      </c>
      <c r="E1039" t="e">
        <f>#REF!</f>
        <v>#REF!</v>
      </c>
      <c r="F1039" t="e">
        <f>#REF!</f>
        <v>#REF!</v>
      </c>
      <c r="G1039" t="e">
        <f>#REF!</f>
        <v>#REF!</v>
      </c>
      <c r="H1039" t="e">
        <f>#REF!</f>
        <v>#REF!</v>
      </c>
    </row>
    <row r="1040" spans="1:8">
      <c r="A1040" t="e">
        <f>#REF!</f>
        <v>#REF!</v>
      </c>
      <c r="B1040" t="e">
        <f>#REF!</f>
        <v>#REF!</v>
      </c>
      <c r="C1040" t="e">
        <f>#REF!</f>
        <v>#REF!</v>
      </c>
      <c r="D1040" t="e">
        <f>#REF!</f>
        <v>#REF!</v>
      </c>
      <c r="E1040" t="e">
        <f>#REF!</f>
        <v>#REF!</v>
      </c>
      <c r="F1040" t="e">
        <f>#REF!</f>
        <v>#REF!</v>
      </c>
      <c r="G1040" t="e">
        <f>#REF!</f>
        <v>#REF!</v>
      </c>
      <c r="H1040" t="e">
        <f>#REF!</f>
        <v>#REF!</v>
      </c>
    </row>
    <row r="1041" spans="1:8">
      <c r="A1041" t="e">
        <f>#REF!</f>
        <v>#REF!</v>
      </c>
      <c r="B1041" t="e">
        <f>#REF!</f>
        <v>#REF!</v>
      </c>
      <c r="C1041" t="e">
        <f>#REF!</f>
        <v>#REF!</v>
      </c>
      <c r="D1041" t="e">
        <f>#REF!</f>
        <v>#REF!</v>
      </c>
      <c r="E1041" t="e">
        <f>#REF!</f>
        <v>#REF!</v>
      </c>
      <c r="F1041" t="e">
        <f>#REF!</f>
        <v>#REF!</v>
      </c>
      <c r="G1041" t="e">
        <f>#REF!</f>
        <v>#REF!</v>
      </c>
      <c r="H1041" t="e">
        <f>#REF!</f>
        <v>#REF!</v>
      </c>
    </row>
    <row r="1042" spans="1:8">
      <c r="A1042" t="e">
        <f>#REF!</f>
        <v>#REF!</v>
      </c>
      <c r="B1042" t="e">
        <f>#REF!</f>
        <v>#REF!</v>
      </c>
      <c r="C1042" t="e">
        <f>#REF!</f>
        <v>#REF!</v>
      </c>
      <c r="D1042" t="e">
        <f>#REF!</f>
        <v>#REF!</v>
      </c>
      <c r="E1042" t="e">
        <f>#REF!</f>
        <v>#REF!</v>
      </c>
      <c r="F1042" t="e">
        <f>#REF!</f>
        <v>#REF!</v>
      </c>
      <c r="G1042" t="e">
        <f>#REF!</f>
        <v>#REF!</v>
      </c>
      <c r="H1042" t="e">
        <f>#REF!</f>
        <v>#REF!</v>
      </c>
    </row>
    <row r="1043" spans="1:8">
      <c r="A1043" t="e">
        <f>#REF!</f>
        <v>#REF!</v>
      </c>
      <c r="B1043" t="e">
        <f>#REF!</f>
        <v>#REF!</v>
      </c>
      <c r="C1043" t="e">
        <f>#REF!</f>
        <v>#REF!</v>
      </c>
      <c r="D1043" t="e">
        <f>#REF!</f>
        <v>#REF!</v>
      </c>
      <c r="E1043" t="e">
        <f>#REF!</f>
        <v>#REF!</v>
      </c>
      <c r="F1043" t="e">
        <f>#REF!</f>
        <v>#REF!</v>
      </c>
      <c r="G1043" t="e">
        <f>#REF!</f>
        <v>#REF!</v>
      </c>
      <c r="H1043" t="e">
        <f>#REF!</f>
        <v>#REF!</v>
      </c>
    </row>
    <row r="1044" spans="1:8">
      <c r="A1044" t="e">
        <f>#REF!</f>
        <v>#REF!</v>
      </c>
      <c r="B1044" t="e">
        <f>#REF!</f>
        <v>#REF!</v>
      </c>
      <c r="C1044" t="e">
        <f>#REF!</f>
        <v>#REF!</v>
      </c>
      <c r="D1044" t="e">
        <f>#REF!</f>
        <v>#REF!</v>
      </c>
      <c r="E1044" t="e">
        <f>#REF!</f>
        <v>#REF!</v>
      </c>
      <c r="F1044" t="e">
        <f>#REF!</f>
        <v>#REF!</v>
      </c>
      <c r="G1044" t="e">
        <f>#REF!</f>
        <v>#REF!</v>
      </c>
      <c r="H1044" t="e">
        <f>#REF!</f>
        <v>#REF!</v>
      </c>
    </row>
    <row r="1045" spans="1:8">
      <c r="A1045" t="e">
        <f>#REF!</f>
        <v>#REF!</v>
      </c>
      <c r="B1045" t="e">
        <f>#REF!</f>
        <v>#REF!</v>
      </c>
      <c r="C1045" t="e">
        <f>#REF!</f>
        <v>#REF!</v>
      </c>
      <c r="D1045" t="e">
        <f>#REF!</f>
        <v>#REF!</v>
      </c>
      <c r="E1045" t="e">
        <f>#REF!</f>
        <v>#REF!</v>
      </c>
      <c r="F1045" t="e">
        <f>#REF!</f>
        <v>#REF!</v>
      </c>
      <c r="G1045" t="e">
        <f>#REF!</f>
        <v>#REF!</v>
      </c>
      <c r="H1045" t="e">
        <f>#REF!</f>
        <v>#REF!</v>
      </c>
    </row>
    <row r="1046" spans="1:8">
      <c r="A1046" t="e">
        <f>#REF!</f>
        <v>#REF!</v>
      </c>
      <c r="B1046" t="e">
        <f>#REF!</f>
        <v>#REF!</v>
      </c>
      <c r="C1046" t="e">
        <f>#REF!</f>
        <v>#REF!</v>
      </c>
      <c r="D1046" t="e">
        <f>#REF!</f>
        <v>#REF!</v>
      </c>
      <c r="E1046" t="e">
        <f>#REF!</f>
        <v>#REF!</v>
      </c>
      <c r="F1046" t="e">
        <f>#REF!</f>
        <v>#REF!</v>
      </c>
      <c r="G1046" t="e">
        <f>#REF!</f>
        <v>#REF!</v>
      </c>
      <c r="H1046" t="e">
        <f>#REF!</f>
        <v>#REF!</v>
      </c>
    </row>
    <row r="1047" spans="1:8">
      <c r="A1047" t="e">
        <f>#REF!</f>
        <v>#REF!</v>
      </c>
      <c r="B1047" t="e">
        <f>#REF!</f>
        <v>#REF!</v>
      </c>
      <c r="C1047" t="e">
        <f>#REF!</f>
        <v>#REF!</v>
      </c>
      <c r="D1047" t="e">
        <f>#REF!</f>
        <v>#REF!</v>
      </c>
      <c r="E1047" t="e">
        <f>#REF!</f>
        <v>#REF!</v>
      </c>
      <c r="F1047" t="e">
        <f>#REF!</f>
        <v>#REF!</v>
      </c>
      <c r="G1047" t="e">
        <f>#REF!</f>
        <v>#REF!</v>
      </c>
      <c r="H1047" t="e">
        <f>#REF!</f>
        <v>#REF!</v>
      </c>
    </row>
    <row r="1048" spans="1:8">
      <c r="A1048" t="e">
        <f>#REF!</f>
        <v>#REF!</v>
      </c>
      <c r="B1048" t="e">
        <f>#REF!</f>
        <v>#REF!</v>
      </c>
      <c r="C1048" t="e">
        <f>#REF!</f>
        <v>#REF!</v>
      </c>
      <c r="D1048" t="e">
        <f>#REF!</f>
        <v>#REF!</v>
      </c>
      <c r="E1048" t="e">
        <f>#REF!</f>
        <v>#REF!</v>
      </c>
      <c r="F1048" t="e">
        <f>#REF!</f>
        <v>#REF!</v>
      </c>
      <c r="G1048" t="e">
        <f>#REF!</f>
        <v>#REF!</v>
      </c>
      <c r="H1048" t="e">
        <f>#REF!</f>
        <v>#REF!</v>
      </c>
    </row>
    <row r="1049" spans="1:8">
      <c r="A1049" t="e">
        <f>#REF!</f>
        <v>#REF!</v>
      </c>
      <c r="B1049" t="e">
        <f>#REF!</f>
        <v>#REF!</v>
      </c>
      <c r="C1049" t="e">
        <f>#REF!</f>
        <v>#REF!</v>
      </c>
      <c r="D1049" t="e">
        <f>#REF!</f>
        <v>#REF!</v>
      </c>
      <c r="E1049" t="e">
        <f>#REF!</f>
        <v>#REF!</v>
      </c>
      <c r="F1049" t="e">
        <f>#REF!</f>
        <v>#REF!</v>
      </c>
      <c r="G1049" t="e">
        <f>#REF!</f>
        <v>#REF!</v>
      </c>
      <c r="H1049" t="e">
        <f>#REF!</f>
        <v>#REF!</v>
      </c>
    </row>
    <row r="1050" spans="1:8">
      <c r="A1050" t="e">
        <f>#REF!</f>
        <v>#REF!</v>
      </c>
      <c r="B1050" t="e">
        <f>#REF!</f>
        <v>#REF!</v>
      </c>
      <c r="C1050" t="e">
        <f>#REF!</f>
        <v>#REF!</v>
      </c>
      <c r="D1050" t="e">
        <f>#REF!</f>
        <v>#REF!</v>
      </c>
      <c r="E1050" t="e">
        <f>#REF!</f>
        <v>#REF!</v>
      </c>
      <c r="F1050" t="e">
        <f>#REF!</f>
        <v>#REF!</v>
      </c>
      <c r="G1050" t="e">
        <f>#REF!</f>
        <v>#REF!</v>
      </c>
      <c r="H1050" t="e">
        <f>#REF!</f>
        <v>#REF!</v>
      </c>
    </row>
    <row r="1051" spans="1:8">
      <c r="A1051" t="e">
        <f>#REF!</f>
        <v>#REF!</v>
      </c>
      <c r="B1051" t="e">
        <f>#REF!</f>
        <v>#REF!</v>
      </c>
      <c r="C1051" t="e">
        <f>#REF!</f>
        <v>#REF!</v>
      </c>
      <c r="D1051" t="e">
        <f>#REF!</f>
        <v>#REF!</v>
      </c>
      <c r="E1051" t="e">
        <f>#REF!</f>
        <v>#REF!</v>
      </c>
      <c r="F1051" t="e">
        <f>#REF!</f>
        <v>#REF!</v>
      </c>
      <c r="G1051" t="e">
        <f>#REF!</f>
        <v>#REF!</v>
      </c>
      <c r="H1051" t="e">
        <f>#REF!</f>
        <v>#REF!</v>
      </c>
    </row>
    <row r="1052" spans="1:8">
      <c r="A1052" t="e">
        <f>#REF!</f>
        <v>#REF!</v>
      </c>
      <c r="B1052" t="e">
        <f>#REF!</f>
        <v>#REF!</v>
      </c>
      <c r="C1052" t="e">
        <f>#REF!</f>
        <v>#REF!</v>
      </c>
      <c r="D1052" t="e">
        <f>#REF!</f>
        <v>#REF!</v>
      </c>
      <c r="E1052" t="e">
        <f>#REF!</f>
        <v>#REF!</v>
      </c>
      <c r="F1052" t="e">
        <f>#REF!</f>
        <v>#REF!</v>
      </c>
      <c r="G1052" t="e">
        <f>#REF!</f>
        <v>#REF!</v>
      </c>
      <c r="H1052" t="e">
        <f>#REF!</f>
        <v>#REF!</v>
      </c>
    </row>
    <row r="1053" spans="1:8">
      <c r="A1053" t="e">
        <f>#REF!</f>
        <v>#REF!</v>
      </c>
      <c r="B1053" t="e">
        <f>#REF!</f>
        <v>#REF!</v>
      </c>
      <c r="C1053" t="e">
        <f>#REF!</f>
        <v>#REF!</v>
      </c>
      <c r="D1053" t="e">
        <f>#REF!</f>
        <v>#REF!</v>
      </c>
      <c r="E1053" t="e">
        <f>#REF!</f>
        <v>#REF!</v>
      </c>
      <c r="F1053" t="e">
        <f>#REF!</f>
        <v>#REF!</v>
      </c>
      <c r="G1053" t="e">
        <f>#REF!</f>
        <v>#REF!</v>
      </c>
      <c r="H1053" t="e">
        <f>#REF!</f>
        <v>#REF!</v>
      </c>
    </row>
    <row r="1054" spans="1:8">
      <c r="A1054" t="e">
        <f>#REF!</f>
        <v>#REF!</v>
      </c>
      <c r="B1054" t="e">
        <f>#REF!</f>
        <v>#REF!</v>
      </c>
      <c r="C1054" t="e">
        <f>#REF!</f>
        <v>#REF!</v>
      </c>
      <c r="D1054" t="e">
        <f>#REF!</f>
        <v>#REF!</v>
      </c>
      <c r="E1054" t="e">
        <f>#REF!</f>
        <v>#REF!</v>
      </c>
      <c r="F1054" t="e">
        <f>#REF!</f>
        <v>#REF!</v>
      </c>
      <c r="G1054" t="e">
        <f>#REF!</f>
        <v>#REF!</v>
      </c>
      <c r="H1054" t="e">
        <f>#REF!</f>
        <v>#REF!</v>
      </c>
    </row>
    <row r="1055" spans="1:8">
      <c r="A1055" t="e">
        <f>#REF!</f>
        <v>#REF!</v>
      </c>
      <c r="B1055" t="e">
        <f>#REF!</f>
        <v>#REF!</v>
      </c>
      <c r="C1055" t="e">
        <f>#REF!</f>
        <v>#REF!</v>
      </c>
      <c r="D1055" t="e">
        <f>#REF!</f>
        <v>#REF!</v>
      </c>
      <c r="E1055" t="e">
        <f>#REF!</f>
        <v>#REF!</v>
      </c>
      <c r="F1055" t="e">
        <f>#REF!</f>
        <v>#REF!</v>
      </c>
      <c r="G1055" t="e">
        <f>#REF!</f>
        <v>#REF!</v>
      </c>
      <c r="H1055" t="e">
        <f>#REF!</f>
        <v>#REF!</v>
      </c>
    </row>
    <row r="1056" spans="1:8">
      <c r="A1056" t="e">
        <f>#REF!</f>
        <v>#REF!</v>
      </c>
      <c r="B1056" t="e">
        <f>#REF!</f>
        <v>#REF!</v>
      </c>
      <c r="C1056" t="e">
        <f>#REF!</f>
        <v>#REF!</v>
      </c>
      <c r="D1056" t="e">
        <f>#REF!</f>
        <v>#REF!</v>
      </c>
      <c r="E1056" t="e">
        <f>#REF!</f>
        <v>#REF!</v>
      </c>
      <c r="F1056" t="e">
        <f>#REF!</f>
        <v>#REF!</v>
      </c>
      <c r="G1056" t="e">
        <f>#REF!</f>
        <v>#REF!</v>
      </c>
      <c r="H1056" t="e">
        <f>#REF!</f>
        <v>#REF!</v>
      </c>
    </row>
    <row r="1057" spans="1:8">
      <c r="A1057" t="e">
        <f>#REF!</f>
        <v>#REF!</v>
      </c>
      <c r="B1057" t="e">
        <f>#REF!</f>
        <v>#REF!</v>
      </c>
      <c r="C1057" t="e">
        <f>#REF!</f>
        <v>#REF!</v>
      </c>
      <c r="D1057" t="e">
        <f>#REF!</f>
        <v>#REF!</v>
      </c>
      <c r="E1057" t="e">
        <f>#REF!</f>
        <v>#REF!</v>
      </c>
      <c r="F1057" t="e">
        <f>#REF!</f>
        <v>#REF!</v>
      </c>
      <c r="G1057" t="e">
        <f>#REF!</f>
        <v>#REF!</v>
      </c>
      <c r="H1057" t="e">
        <f>#REF!</f>
        <v>#REF!</v>
      </c>
    </row>
    <row r="1058" spans="1:8">
      <c r="A1058" t="e">
        <f>#REF!</f>
        <v>#REF!</v>
      </c>
      <c r="B1058" t="e">
        <f>#REF!</f>
        <v>#REF!</v>
      </c>
      <c r="C1058" t="e">
        <f>#REF!</f>
        <v>#REF!</v>
      </c>
      <c r="D1058" t="e">
        <f>#REF!</f>
        <v>#REF!</v>
      </c>
      <c r="E1058" t="e">
        <f>#REF!</f>
        <v>#REF!</v>
      </c>
      <c r="F1058" t="e">
        <f>#REF!</f>
        <v>#REF!</v>
      </c>
      <c r="G1058" t="e">
        <f>#REF!</f>
        <v>#REF!</v>
      </c>
      <c r="H1058" t="e">
        <f>#REF!</f>
        <v>#REF!</v>
      </c>
    </row>
    <row r="1059" spans="1:8">
      <c r="A1059" t="e">
        <f>#REF!</f>
        <v>#REF!</v>
      </c>
      <c r="B1059" t="e">
        <f>#REF!</f>
        <v>#REF!</v>
      </c>
      <c r="C1059" t="e">
        <f>#REF!</f>
        <v>#REF!</v>
      </c>
      <c r="D1059" t="e">
        <f>#REF!</f>
        <v>#REF!</v>
      </c>
      <c r="E1059" t="e">
        <f>#REF!</f>
        <v>#REF!</v>
      </c>
      <c r="F1059" t="e">
        <f>#REF!</f>
        <v>#REF!</v>
      </c>
      <c r="G1059" t="e">
        <f>#REF!</f>
        <v>#REF!</v>
      </c>
      <c r="H1059" t="e">
        <f>#REF!</f>
        <v>#REF!</v>
      </c>
    </row>
    <row r="1060" spans="1:8">
      <c r="A1060" t="e">
        <f>#REF!</f>
        <v>#REF!</v>
      </c>
      <c r="B1060" t="e">
        <f>#REF!</f>
        <v>#REF!</v>
      </c>
      <c r="C1060" t="e">
        <f>#REF!</f>
        <v>#REF!</v>
      </c>
      <c r="D1060" t="e">
        <f>#REF!</f>
        <v>#REF!</v>
      </c>
      <c r="E1060" t="e">
        <f>#REF!</f>
        <v>#REF!</v>
      </c>
      <c r="F1060" t="e">
        <f>#REF!</f>
        <v>#REF!</v>
      </c>
      <c r="G1060" t="e">
        <f>#REF!</f>
        <v>#REF!</v>
      </c>
      <c r="H1060" t="e">
        <f>#REF!</f>
        <v>#REF!</v>
      </c>
    </row>
    <row r="1061" spans="1:8">
      <c r="A1061" t="e">
        <f>#REF!</f>
        <v>#REF!</v>
      </c>
      <c r="B1061" t="e">
        <f>#REF!</f>
        <v>#REF!</v>
      </c>
      <c r="C1061" t="e">
        <f>#REF!</f>
        <v>#REF!</v>
      </c>
      <c r="D1061" t="e">
        <f>#REF!</f>
        <v>#REF!</v>
      </c>
      <c r="E1061" t="e">
        <f>#REF!</f>
        <v>#REF!</v>
      </c>
      <c r="F1061" t="e">
        <f>#REF!</f>
        <v>#REF!</v>
      </c>
      <c r="G1061" t="e">
        <f>#REF!</f>
        <v>#REF!</v>
      </c>
      <c r="H1061" t="e">
        <f>#REF!</f>
        <v>#REF!</v>
      </c>
    </row>
    <row r="1062" spans="1:8">
      <c r="A1062" t="e">
        <f>#REF!</f>
        <v>#REF!</v>
      </c>
      <c r="B1062" t="e">
        <f>#REF!</f>
        <v>#REF!</v>
      </c>
      <c r="C1062" t="e">
        <f>#REF!</f>
        <v>#REF!</v>
      </c>
      <c r="D1062" t="e">
        <f>#REF!</f>
        <v>#REF!</v>
      </c>
      <c r="E1062" t="e">
        <f>#REF!</f>
        <v>#REF!</v>
      </c>
      <c r="F1062" t="e">
        <f>#REF!</f>
        <v>#REF!</v>
      </c>
      <c r="G1062" t="e">
        <f>#REF!</f>
        <v>#REF!</v>
      </c>
      <c r="H1062" t="e">
        <f>#REF!</f>
        <v>#REF!</v>
      </c>
    </row>
    <row r="1063" spans="1:8">
      <c r="A1063" t="e">
        <f>#REF!</f>
        <v>#REF!</v>
      </c>
      <c r="B1063" t="e">
        <f>#REF!</f>
        <v>#REF!</v>
      </c>
      <c r="C1063" t="e">
        <f>#REF!</f>
        <v>#REF!</v>
      </c>
      <c r="D1063" t="e">
        <f>#REF!</f>
        <v>#REF!</v>
      </c>
      <c r="E1063" t="e">
        <f>#REF!</f>
        <v>#REF!</v>
      </c>
      <c r="F1063" t="e">
        <f>#REF!</f>
        <v>#REF!</v>
      </c>
      <c r="G1063" t="e">
        <f>#REF!</f>
        <v>#REF!</v>
      </c>
      <c r="H1063" t="e">
        <f>#REF!</f>
        <v>#REF!</v>
      </c>
    </row>
    <row r="1064" spans="1:8">
      <c r="A1064" t="e">
        <f>#REF!</f>
        <v>#REF!</v>
      </c>
      <c r="B1064" t="e">
        <f>#REF!</f>
        <v>#REF!</v>
      </c>
      <c r="C1064" t="e">
        <f>#REF!</f>
        <v>#REF!</v>
      </c>
      <c r="D1064" t="e">
        <f>#REF!</f>
        <v>#REF!</v>
      </c>
      <c r="E1064" t="e">
        <f>#REF!</f>
        <v>#REF!</v>
      </c>
      <c r="F1064" t="e">
        <f>#REF!</f>
        <v>#REF!</v>
      </c>
      <c r="G1064" t="e">
        <f>#REF!</f>
        <v>#REF!</v>
      </c>
      <c r="H1064" t="e">
        <f>#REF!</f>
        <v>#REF!</v>
      </c>
    </row>
    <row r="1065" spans="1:8">
      <c r="A1065" t="e">
        <f>#REF!</f>
        <v>#REF!</v>
      </c>
      <c r="B1065" t="e">
        <f>#REF!</f>
        <v>#REF!</v>
      </c>
      <c r="C1065" t="e">
        <f>#REF!</f>
        <v>#REF!</v>
      </c>
      <c r="D1065" t="e">
        <f>#REF!</f>
        <v>#REF!</v>
      </c>
      <c r="E1065" t="e">
        <f>#REF!</f>
        <v>#REF!</v>
      </c>
      <c r="F1065" t="e">
        <f>#REF!</f>
        <v>#REF!</v>
      </c>
      <c r="G1065" t="e">
        <f>#REF!</f>
        <v>#REF!</v>
      </c>
      <c r="H1065" t="e">
        <f>#REF!</f>
        <v>#REF!</v>
      </c>
    </row>
    <row r="1066" spans="1:8">
      <c r="A1066" t="e">
        <f>#REF!</f>
        <v>#REF!</v>
      </c>
      <c r="B1066" t="e">
        <f>#REF!</f>
        <v>#REF!</v>
      </c>
      <c r="C1066" t="e">
        <f>#REF!</f>
        <v>#REF!</v>
      </c>
      <c r="D1066" t="e">
        <f>#REF!</f>
        <v>#REF!</v>
      </c>
      <c r="E1066" t="e">
        <f>#REF!</f>
        <v>#REF!</v>
      </c>
      <c r="F1066" t="e">
        <f>#REF!</f>
        <v>#REF!</v>
      </c>
      <c r="G1066" t="e">
        <f>#REF!</f>
        <v>#REF!</v>
      </c>
      <c r="H1066" t="e">
        <f>#REF!</f>
        <v>#REF!</v>
      </c>
    </row>
    <row r="1067" spans="1:8">
      <c r="A1067" t="e">
        <f>#REF!</f>
        <v>#REF!</v>
      </c>
      <c r="B1067" t="e">
        <f>#REF!</f>
        <v>#REF!</v>
      </c>
      <c r="C1067" t="e">
        <f>#REF!</f>
        <v>#REF!</v>
      </c>
      <c r="D1067" t="e">
        <f>#REF!</f>
        <v>#REF!</v>
      </c>
      <c r="E1067" t="e">
        <f>#REF!</f>
        <v>#REF!</v>
      </c>
      <c r="F1067" t="e">
        <f>#REF!</f>
        <v>#REF!</v>
      </c>
      <c r="G1067" t="e">
        <f>#REF!</f>
        <v>#REF!</v>
      </c>
      <c r="H1067" t="e">
        <f>#REF!</f>
        <v>#REF!</v>
      </c>
    </row>
    <row r="1068" spans="1:8">
      <c r="A1068" t="e">
        <f>#REF!</f>
        <v>#REF!</v>
      </c>
      <c r="B1068" t="e">
        <f>#REF!</f>
        <v>#REF!</v>
      </c>
      <c r="C1068" t="e">
        <f>#REF!</f>
        <v>#REF!</v>
      </c>
      <c r="D1068" t="e">
        <f>#REF!</f>
        <v>#REF!</v>
      </c>
      <c r="E1068" t="e">
        <f>#REF!</f>
        <v>#REF!</v>
      </c>
      <c r="F1068" t="e">
        <f>#REF!</f>
        <v>#REF!</v>
      </c>
      <c r="G1068" t="e">
        <f>#REF!</f>
        <v>#REF!</v>
      </c>
      <c r="H1068" t="e">
        <f>#REF!</f>
        <v>#REF!</v>
      </c>
    </row>
    <row r="1069" spans="1:8">
      <c r="A1069" t="e">
        <f>#REF!</f>
        <v>#REF!</v>
      </c>
      <c r="B1069" t="e">
        <f>#REF!</f>
        <v>#REF!</v>
      </c>
      <c r="C1069" t="e">
        <f>#REF!</f>
        <v>#REF!</v>
      </c>
      <c r="D1069" t="e">
        <f>#REF!</f>
        <v>#REF!</v>
      </c>
      <c r="E1069" t="e">
        <f>#REF!</f>
        <v>#REF!</v>
      </c>
      <c r="F1069" t="e">
        <f>#REF!</f>
        <v>#REF!</v>
      </c>
      <c r="G1069" t="e">
        <f>#REF!</f>
        <v>#REF!</v>
      </c>
      <c r="H1069" t="e">
        <f>#REF!</f>
        <v>#REF!</v>
      </c>
    </row>
    <row r="1070" spans="1:8">
      <c r="A1070" t="e">
        <f>#REF!</f>
        <v>#REF!</v>
      </c>
      <c r="B1070" t="e">
        <f>#REF!</f>
        <v>#REF!</v>
      </c>
      <c r="C1070" t="e">
        <f>#REF!</f>
        <v>#REF!</v>
      </c>
      <c r="D1070" t="e">
        <f>#REF!</f>
        <v>#REF!</v>
      </c>
      <c r="E1070" t="e">
        <f>#REF!</f>
        <v>#REF!</v>
      </c>
      <c r="F1070" t="e">
        <f>#REF!</f>
        <v>#REF!</v>
      </c>
      <c r="G1070" t="e">
        <f>#REF!</f>
        <v>#REF!</v>
      </c>
      <c r="H1070" t="e">
        <f>#REF!</f>
        <v>#REF!</v>
      </c>
    </row>
    <row r="1071" spans="1:8">
      <c r="A1071" t="e">
        <f>#REF!</f>
        <v>#REF!</v>
      </c>
      <c r="B1071" t="e">
        <f>#REF!</f>
        <v>#REF!</v>
      </c>
      <c r="C1071" t="e">
        <f>#REF!</f>
        <v>#REF!</v>
      </c>
      <c r="D1071" t="e">
        <f>#REF!</f>
        <v>#REF!</v>
      </c>
      <c r="E1071" t="e">
        <f>#REF!</f>
        <v>#REF!</v>
      </c>
      <c r="F1071" t="e">
        <f>#REF!</f>
        <v>#REF!</v>
      </c>
      <c r="G1071" t="e">
        <f>#REF!</f>
        <v>#REF!</v>
      </c>
      <c r="H1071" t="e">
        <f>#REF!</f>
        <v>#REF!</v>
      </c>
    </row>
    <row r="1072" spans="1:8">
      <c r="A1072" t="e">
        <f>#REF!</f>
        <v>#REF!</v>
      </c>
      <c r="B1072" t="e">
        <f>#REF!</f>
        <v>#REF!</v>
      </c>
      <c r="C1072" t="e">
        <f>#REF!</f>
        <v>#REF!</v>
      </c>
      <c r="D1072" t="e">
        <f>#REF!</f>
        <v>#REF!</v>
      </c>
      <c r="E1072" t="e">
        <f>#REF!</f>
        <v>#REF!</v>
      </c>
      <c r="F1072" t="e">
        <f>#REF!</f>
        <v>#REF!</v>
      </c>
      <c r="G1072" t="e">
        <f>#REF!</f>
        <v>#REF!</v>
      </c>
      <c r="H1072" t="e">
        <f>#REF!</f>
        <v>#REF!</v>
      </c>
    </row>
    <row r="1073" spans="1:8">
      <c r="A1073" t="e">
        <f>#REF!</f>
        <v>#REF!</v>
      </c>
      <c r="B1073" t="e">
        <f>#REF!</f>
        <v>#REF!</v>
      </c>
      <c r="C1073" t="e">
        <f>#REF!</f>
        <v>#REF!</v>
      </c>
      <c r="D1073" t="e">
        <f>#REF!</f>
        <v>#REF!</v>
      </c>
      <c r="E1073" t="e">
        <f>#REF!</f>
        <v>#REF!</v>
      </c>
      <c r="F1073" t="e">
        <f>#REF!</f>
        <v>#REF!</v>
      </c>
      <c r="G1073" t="e">
        <f>#REF!</f>
        <v>#REF!</v>
      </c>
      <c r="H1073" t="e">
        <f>#REF!</f>
        <v>#REF!</v>
      </c>
    </row>
    <row r="1074" spans="1:8">
      <c r="A1074" t="e">
        <f>#REF!</f>
        <v>#REF!</v>
      </c>
      <c r="B1074" t="e">
        <f>#REF!</f>
        <v>#REF!</v>
      </c>
      <c r="C1074" t="e">
        <f>#REF!</f>
        <v>#REF!</v>
      </c>
      <c r="D1074" t="e">
        <f>#REF!</f>
        <v>#REF!</v>
      </c>
      <c r="E1074" t="e">
        <f>#REF!</f>
        <v>#REF!</v>
      </c>
      <c r="F1074" t="e">
        <f>#REF!</f>
        <v>#REF!</v>
      </c>
      <c r="G1074" t="e">
        <f>#REF!</f>
        <v>#REF!</v>
      </c>
      <c r="H1074" t="e">
        <f>#REF!</f>
        <v>#REF!</v>
      </c>
    </row>
    <row r="1075" spans="1:8">
      <c r="A1075" t="e">
        <f>#REF!</f>
        <v>#REF!</v>
      </c>
      <c r="B1075" t="e">
        <f>#REF!</f>
        <v>#REF!</v>
      </c>
      <c r="C1075" t="e">
        <f>#REF!</f>
        <v>#REF!</v>
      </c>
      <c r="D1075" t="e">
        <f>#REF!</f>
        <v>#REF!</v>
      </c>
      <c r="E1075" t="e">
        <f>#REF!</f>
        <v>#REF!</v>
      </c>
      <c r="F1075" t="e">
        <f>#REF!</f>
        <v>#REF!</v>
      </c>
      <c r="G1075" t="e">
        <f>#REF!</f>
        <v>#REF!</v>
      </c>
      <c r="H1075" t="e">
        <f>#REF!</f>
        <v>#REF!</v>
      </c>
    </row>
    <row r="1076" spans="1:8">
      <c r="A1076" t="e">
        <f>#REF!</f>
        <v>#REF!</v>
      </c>
      <c r="B1076" t="e">
        <f>#REF!</f>
        <v>#REF!</v>
      </c>
      <c r="C1076" t="e">
        <f>#REF!</f>
        <v>#REF!</v>
      </c>
      <c r="D1076" t="e">
        <f>#REF!</f>
        <v>#REF!</v>
      </c>
      <c r="E1076" t="e">
        <f>#REF!</f>
        <v>#REF!</v>
      </c>
      <c r="F1076" t="e">
        <f>#REF!</f>
        <v>#REF!</v>
      </c>
      <c r="G1076" t="e">
        <f>#REF!</f>
        <v>#REF!</v>
      </c>
      <c r="H1076" t="e">
        <f>#REF!</f>
        <v>#REF!</v>
      </c>
    </row>
    <row r="1077" spans="1:8">
      <c r="A1077" t="e">
        <f>#REF!</f>
        <v>#REF!</v>
      </c>
      <c r="B1077" t="e">
        <f>#REF!</f>
        <v>#REF!</v>
      </c>
      <c r="C1077" t="e">
        <f>#REF!</f>
        <v>#REF!</v>
      </c>
      <c r="D1077" t="e">
        <f>#REF!</f>
        <v>#REF!</v>
      </c>
      <c r="E1077" t="e">
        <f>#REF!</f>
        <v>#REF!</v>
      </c>
      <c r="F1077" t="e">
        <f>#REF!</f>
        <v>#REF!</v>
      </c>
      <c r="G1077" t="e">
        <f>#REF!</f>
        <v>#REF!</v>
      </c>
      <c r="H1077" t="e">
        <f>#REF!</f>
        <v>#REF!</v>
      </c>
    </row>
    <row r="1078" spans="1:8">
      <c r="A1078" t="e">
        <f>#REF!</f>
        <v>#REF!</v>
      </c>
      <c r="B1078" t="e">
        <f>#REF!</f>
        <v>#REF!</v>
      </c>
      <c r="C1078" t="e">
        <f>#REF!</f>
        <v>#REF!</v>
      </c>
      <c r="D1078" t="e">
        <f>#REF!</f>
        <v>#REF!</v>
      </c>
      <c r="E1078" t="e">
        <f>#REF!</f>
        <v>#REF!</v>
      </c>
      <c r="F1078" t="e">
        <f>#REF!</f>
        <v>#REF!</v>
      </c>
      <c r="G1078" t="e">
        <f>#REF!</f>
        <v>#REF!</v>
      </c>
      <c r="H1078" t="e">
        <f>#REF!</f>
        <v>#REF!</v>
      </c>
    </row>
    <row r="1079" spans="1:8">
      <c r="A1079" t="e">
        <f>#REF!</f>
        <v>#REF!</v>
      </c>
      <c r="B1079" t="e">
        <f>#REF!</f>
        <v>#REF!</v>
      </c>
      <c r="C1079" t="e">
        <f>#REF!</f>
        <v>#REF!</v>
      </c>
      <c r="D1079" t="e">
        <f>#REF!</f>
        <v>#REF!</v>
      </c>
      <c r="E1079" t="e">
        <f>#REF!</f>
        <v>#REF!</v>
      </c>
      <c r="F1079" t="e">
        <f>#REF!</f>
        <v>#REF!</v>
      </c>
      <c r="G1079" t="e">
        <f>#REF!</f>
        <v>#REF!</v>
      </c>
      <c r="H1079" t="e">
        <f>#REF!</f>
        <v>#REF!</v>
      </c>
    </row>
    <row r="1080" spans="1:8">
      <c r="A1080" t="e">
        <f>#REF!</f>
        <v>#REF!</v>
      </c>
      <c r="B1080" t="e">
        <f>#REF!</f>
        <v>#REF!</v>
      </c>
      <c r="C1080" t="e">
        <f>#REF!</f>
        <v>#REF!</v>
      </c>
      <c r="D1080" t="e">
        <f>#REF!</f>
        <v>#REF!</v>
      </c>
      <c r="E1080" t="e">
        <f>#REF!</f>
        <v>#REF!</v>
      </c>
      <c r="F1080" t="e">
        <f>#REF!</f>
        <v>#REF!</v>
      </c>
      <c r="G1080" t="e">
        <f>#REF!</f>
        <v>#REF!</v>
      </c>
      <c r="H1080" t="e">
        <f>#REF!</f>
        <v>#REF!</v>
      </c>
    </row>
    <row r="1081" spans="1:8">
      <c r="A1081" t="e">
        <f>#REF!</f>
        <v>#REF!</v>
      </c>
      <c r="B1081" t="e">
        <f>#REF!</f>
        <v>#REF!</v>
      </c>
      <c r="C1081" t="e">
        <f>#REF!</f>
        <v>#REF!</v>
      </c>
      <c r="D1081" t="e">
        <f>#REF!</f>
        <v>#REF!</v>
      </c>
      <c r="E1081" t="e">
        <f>#REF!</f>
        <v>#REF!</v>
      </c>
      <c r="F1081" t="e">
        <f>#REF!</f>
        <v>#REF!</v>
      </c>
      <c r="G1081" t="e">
        <f>#REF!</f>
        <v>#REF!</v>
      </c>
      <c r="H1081" t="e">
        <f>#REF!</f>
        <v>#REF!</v>
      </c>
    </row>
    <row r="1082" spans="1:8">
      <c r="A1082" t="e">
        <f>#REF!</f>
        <v>#REF!</v>
      </c>
      <c r="B1082" t="e">
        <f>#REF!</f>
        <v>#REF!</v>
      </c>
      <c r="C1082" t="e">
        <f>#REF!</f>
        <v>#REF!</v>
      </c>
      <c r="D1082" t="e">
        <f>#REF!</f>
        <v>#REF!</v>
      </c>
      <c r="E1082" t="e">
        <f>#REF!</f>
        <v>#REF!</v>
      </c>
      <c r="F1082" t="e">
        <f>#REF!</f>
        <v>#REF!</v>
      </c>
      <c r="G1082" t="e">
        <f>#REF!</f>
        <v>#REF!</v>
      </c>
      <c r="H1082" t="e">
        <f>#REF!</f>
        <v>#REF!</v>
      </c>
    </row>
    <row r="1083" spans="1:8">
      <c r="A1083" t="e">
        <f>#REF!</f>
        <v>#REF!</v>
      </c>
      <c r="B1083" t="e">
        <f>#REF!</f>
        <v>#REF!</v>
      </c>
      <c r="C1083" t="e">
        <f>#REF!</f>
        <v>#REF!</v>
      </c>
      <c r="D1083" t="e">
        <f>#REF!</f>
        <v>#REF!</v>
      </c>
      <c r="E1083" t="e">
        <f>#REF!</f>
        <v>#REF!</v>
      </c>
      <c r="F1083" t="e">
        <f>#REF!</f>
        <v>#REF!</v>
      </c>
      <c r="G1083" t="e">
        <f>#REF!</f>
        <v>#REF!</v>
      </c>
      <c r="H1083" t="e">
        <f>#REF!</f>
        <v>#REF!</v>
      </c>
    </row>
    <row r="1084" spans="1:8">
      <c r="A1084" t="e">
        <f>#REF!</f>
        <v>#REF!</v>
      </c>
      <c r="B1084" t="e">
        <f>#REF!</f>
        <v>#REF!</v>
      </c>
      <c r="C1084" t="e">
        <f>#REF!</f>
        <v>#REF!</v>
      </c>
      <c r="D1084" t="e">
        <f>#REF!</f>
        <v>#REF!</v>
      </c>
      <c r="E1084" t="e">
        <f>#REF!</f>
        <v>#REF!</v>
      </c>
      <c r="F1084" t="e">
        <f>#REF!</f>
        <v>#REF!</v>
      </c>
      <c r="G1084" t="e">
        <f>#REF!</f>
        <v>#REF!</v>
      </c>
      <c r="H1084" t="e">
        <f>#REF!</f>
        <v>#REF!</v>
      </c>
    </row>
    <row r="1085" spans="1:8">
      <c r="A1085" t="e">
        <f>#REF!</f>
        <v>#REF!</v>
      </c>
      <c r="B1085" t="e">
        <f>#REF!</f>
        <v>#REF!</v>
      </c>
      <c r="C1085" t="e">
        <f>#REF!</f>
        <v>#REF!</v>
      </c>
      <c r="D1085" t="e">
        <f>#REF!</f>
        <v>#REF!</v>
      </c>
      <c r="E1085" t="e">
        <f>#REF!</f>
        <v>#REF!</v>
      </c>
      <c r="F1085" t="e">
        <f>#REF!</f>
        <v>#REF!</v>
      </c>
      <c r="G1085" t="e">
        <f>#REF!</f>
        <v>#REF!</v>
      </c>
      <c r="H1085" t="e">
        <f>#REF!</f>
        <v>#REF!</v>
      </c>
    </row>
    <row r="1086" spans="1:8">
      <c r="A1086" t="e">
        <f>#REF!</f>
        <v>#REF!</v>
      </c>
      <c r="B1086" t="e">
        <f>#REF!</f>
        <v>#REF!</v>
      </c>
      <c r="C1086" t="e">
        <f>#REF!</f>
        <v>#REF!</v>
      </c>
      <c r="D1086" t="e">
        <f>#REF!</f>
        <v>#REF!</v>
      </c>
      <c r="E1086" t="e">
        <f>#REF!</f>
        <v>#REF!</v>
      </c>
      <c r="F1086" t="e">
        <f>#REF!</f>
        <v>#REF!</v>
      </c>
      <c r="G1086" t="e">
        <f>#REF!</f>
        <v>#REF!</v>
      </c>
      <c r="H1086" t="e">
        <f>#REF!</f>
        <v>#REF!</v>
      </c>
    </row>
    <row r="1087" spans="1:8">
      <c r="A1087" t="e">
        <f>#REF!</f>
        <v>#REF!</v>
      </c>
      <c r="B1087" t="e">
        <f>#REF!</f>
        <v>#REF!</v>
      </c>
      <c r="C1087" t="e">
        <f>#REF!</f>
        <v>#REF!</v>
      </c>
      <c r="D1087" t="e">
        <f>#REF!</f>
        <v>#REF!</v>
      </c>
      <c r="E1087" t="e">
        <f>#REF!</f>
        <v>#REF!</v>
      </c>
      <c r="F1087" t="e">
        <f>#REF!</f>
        <v>#REF!</v>
      </c>
      <c r="G1087" t="e">
        <f>#REF!</f>
        <v>#REF!</v>
      </c>
      <c r="H1087" t="e">
        <f>#REF!</f>
        <v>#REF!</v>
      </c>
    </row>
    <row r="1088" spans="1:8">
      <c r="A1088" t="e">
        <f>#REF!</f>
        <v>#REF!</v>
      </c>
      <c r="B1088" t="e">
        <f>#REF!</f>
        <v>#REF!</v>
      </c>
      <c r="C1088" t="e">
        <f>#REF!</f>
        <v>#REF!</v>
      </c>
      <c r="D1088" t="e">
        <f>#REF!</f>
        <v>#REF!</v>
      </c>
      <c r="E1088" t="e">
        <f>#REF!</f>
        <v>#REF!</v>
      </c>
      <c r="F1088" t="e">
        <f>#REF!</f>
        <v>#REF!</v>
      </c>
      <c r="G1088" t="e">
        <f>#REF!</f>
        <v>#REF!</v>
      </c>
      <c r="H1088" t="e">
        <f>#REF!</f>
        <v>#REF!</v>
      </c>
    </row>
    <row r="1089" spans="1:8">
      <c r="A1089" t="e">
        <f>#REF!</f>
        <v>#REF!</v>
      </c>
      <c r="B1089" t="e">
        <f>#REF!</f>
        <v>#REF!</v>
      </c>
      <c r="C1089" t="e">
        <f>#REF!</f>
        <v>#REF!</v>
      </c>
      <c r="D1089" t="e">
        <f>#REF!</f>
        <v>#REF!</v>
      </c>
      <c r="E1089" t="e">
        <f>#REF!</f>
        <v>#REF!</v>
      </c>
      <c r="F1089" t="e">
        <f>#REF!</f>
        <v>#REF!</v>
      </c>
      <c r="G1089" t="e">
        <f>#REF!</f>
        <v>#REF!</v>
      </c>
      <c r="H1089" t="e">
        <f>#REF!</f>
        <v>#REF!</v>
      </c>
    </row>
    <row r="1090" spans="1:8">
      <c r="A1090" t="e">
        <f>#REF!</f>
        <v>#REF!</v>
      </c>
      <c r="B1090" t="e">
        <f>#REF!</f>
        <v>#REF!</v>
      </c>
      <c r="C1090" t="e">
        <f>#REF!</f>
        <v>#REF!</v>
      </c>
      <c r="D1090" t="e">
        <f>#REF!</f>
        <v>#REF!</v>
      </c>
      <c r="E1090" t="e">
        <f>#REF!</f>
        <v>#REF!</v>
      </c>
      <c r="F1090" t="e">
        <f>#REF!</f>
        <v>#REF!</v>
      </c>
      <c r="G1090" t="e">
        <f>#REF!</f>
        <v>#REF!</v>
      </c>
      <c r="H1090" t="e">
        <f>#REF!</f>
        <v>#REF!</v>
      </c>
    </row>
    <row r="1091" spans="1:8">
      <c r="A1091" t="e">
        <f>#REF!</f>
        <v>#REF!</v>
      </c>
      <c r="B1091" t="e">
        <f>#REF!</f>
        <v>#REF!</v>
      </c>
      <c r="C1091" t="e">
        <f>#REF!</f>
        <v>#REF!</v>
      </c>
      <c r="D1091" t="e">
        <f>#REF!</f>
        <v>#REF!</v>
      </c>
      <c r="E1091" t="e">
        <f>#REF!</f>
        <v>#REF!</v>
      </c>
      <c r="F1091" t="e">
        <f>#REF!</f>
        <v>#REF!</v>
      </c>
      <c r="G1091" t="e">
        <f>#REF!</f>
        <v>#REF!</v>
      </c>
      <c r="H1091" t="e">
        <f>#REF!</f>
        <v>#REF!</v>
      </c>
    </row>
    <row r="1092" spans="1:8">
      <c r="A1092" t="e">
        <f>#REF!</f>
        <v>#REF!</v>
      </c>
      <c r="B1092" t="e">
        <f>#REF!</f>
        <v>#REF!</v>
      </c>
      <c r="C1092" t="e">
        <f>#REF!</f>
        <v>#REF!</v>
      </c>
      <c r="D1092" t="e">
        <f>#REF!</f>
        <v>#REF!</v>
      </c>
      <c r="E1092" t="e">
        <f>#REF!</f>
        <v>#REF!</v>
      </c>
      <c r="F1092" t="e">
        <f>#REF!</f>
        <v>#REF!</v>
      </c>
      <c r="G1092" t="e">
        <f>#REF!</f>
        <v>#REF!</v>
      </c>
      <c r="H1092" t="e">
        <f>#REF!</f>
        <v>#REF!</v>
      </c>
    </row>
    <row r="1093" spans="1:8">
      <c r="A1093" t="e">
        <f>#REF!</f>
        <v>#REF!</v>
      </c>
      <c r="B1093" t="e">
        <f>#REF!</f>
        <v>#REF!</v>
      </c>
      <c r="C1093" t="e">
        <f>#REF!</f>
        <v>#REF!</v>
      </c>
      <c r="D1093" t="e">
        <f>#REF!</f>
        <v>#REF!</v>
      </c>
      <c r="E1093" t="e">
        <f>#REF!</f>
        <v>#REF!</v>
      </c>
      <c r="F1093" t="e">
        <f>#REF!</f>
        <v>#REF!</v>
      </c>
      <c r="G1093" t="e">
        <f>#REF!</f>
        <v>#REF!</v>
      </c>
      <c r="H1093" t="e">
        <f>#REF!</f>
        <v>#REF!</v>
      </c>
    </row>
    <row r="1094" spans="1:8">
      <c r="A1094" t="e">
        <f>#REF!</f>
        <v>#REF!</v>
      </c>
      <c r="B1094" t="e">
        <f>#REF!</f>
        <v>#REF!</v>
      </c>
      <c r="C1094" t="e">
        <f>#REF!</f>
        <v>#REF!</v>
      </c>
      <c r="D1094" t="e">
        <f>#REF!</f>
        <v>#REF!</v>
      </c>
      <c r="E1094" t="e">
        <f>#REF!</f>
        <v>#REF!</v>
      </c>
      <c r="F1094" t="e">
        <f>#REF!</f>
        <v>#REF!</v>
      </c>
      <c r="G1094" t="e">
        <f>#REF!</f>
        <v>#REF!</v>
      </c>
      <c r="H1094" t="e">
        <f>#REF!</f>
        <v>#REF!</v>
      </c>
    </row>
    <row r="1095" spans="1:8">
      <c r="A1095" t="e">
        <f>#REF!</f>
        <v>#REF!</v>
      </c>
      <c r="B1095" t="e">
        <f>#REF!</f>
        <v>#REF!</v>
      </c>
      <c r="C1095" t="e">
        <f>#REF!</f>
        <v>#REF!</v>
      </c>
      <c r="D1095" t="e">
        <f>#REF!</f>
        <v>#REF!</v>
      </c>
      <c r="E1095" t="e">
        <f>#REF!</f>
        <v>#REF!</v>
      </c>
      <c r="F1095" t="e">
        <f>#REF!</f>
        <v>#REF!</v>
      </c>
      <c r="G1095" t="e">
        <f>#REF!</f>
        <v>#REF!</v>
      </c>
      <c r="H1095" t="e">
        <f>#REF!</f>
        <v>#REF!</v>
      </c>
    </row>
    <row r="1096" spans="1:8">
      <c r="A1096" t="e">
        <f>#REF!</f>
        <v>#REF!</v>
      </c>
      <c r="B1096" t="e">
        <f>#REF!</f>
        <v>#REF!</v>
      </c>
      <c r="C1096" t="e">
        <f>#REF!</f>
        <v>#REF!</v>
      </c>
      <c r="D1096" t="e">
        <f>#REF!</f>
        <v>#REF!</v>
      </c>
      <c r="E1096" t="e">
        <f>#REF!</f>
        <v>#REF!</v>
      </c>
      <c r="F1096" t="e">
        <f>#REF!</f>
        <v>#REF!</v>
      </c>
      <c r="G1096" t="e">
        <f>#REF!</f>
        <v>#REF!</v>
      </c>
      <c r="H1096" t="e">
        <f>#REF!</f>
        <v>#REF!</v>
      </c>
    </row>
    <row r="1097" spans="1:8">
      <c r="A1097" t="e">
        <f>#REF!</f>
        <v>#REF!</v>
      </c>
      <c r="B1097" t="e">
        <f>#REF!</f>
        <v>#REF!</v>
      </c>
      <c r="C1097" t="e">
        <f>#REF!</f>
        <v>#REF!</v>
      </c>
      <c r="D1097" t="e">
        <f>#REF!</f>
        <v>#REF!</v>
      </c>
      <c r="E1097" t="e">
        <f>#REF!</f>
        <v>#REF!</v>
      </c>
      <c r="F1097" t="e">
        <f>#REF!</f>
        <v>#REF!</v>
      </c>
      <c r="G1097" t="e">
        <f>#REF!</f>
        <v>#REF!</v>
      </c>
      <c r="H1097" t="e">
        <f>#REF!</f>
        <v>#REF!</v>
      </c>
    </row>
    <row r="1098" spans="1:8">
      <c r="A1098" t="e">
        <f>#REF!</f>
        <v>#REF!</v>
      </c>
      <c r="B1098" t="e">
        <f>#REF!</f>
        <v>#REF!</v>
      </c>
      <c r="C1098" t="e">
        <f>#REF!</f>
        <v>#REF!</v>
      </c>
      <c r="D1098" t="e">
        <f>#REF!</f>
        <v>#REF!</v>
      </c>
      <c r="E1098" t="e">
        <f>#REF!</f>
        <v>#REF!</v>
      </c>
      <c r="F1098" t="e">
        <f>#REF!</f>
        <v>#REF!</v>
      </c>
      <c r="G1098" t="e">
        <f>#REF!</f>
        <v>#REF!</v>
      </c>
      <c r="H1098" t="e">
        <f>#REF!</f>
        <v>#REF!</v>
      </c>
    </row>
    <row r="1099" spans="1:8">
      <c r="A1099" t="e">
        <f>#REF!</f>
        <v>#REF!</v>
      </c>
      <c r="B1099" t="e">
        <f>#REF!</f>
        <v>#REF!</v>
      </c>
      <c r="C1099" t="e">
        <f>#REF!</f>
        <v>#REF!</v>
      </c>
      <c r="D1099" t="e">
        <f>#REF!</f>
        <v>#REF!</v>
      </c>
      <c r="E1099" t="e">
        <f>#REF!</f>
        <v>#REF!</v>
      </c>
      <c r="F1099" t="e">
        <f>#REF!</f>
        <v>#REF!</v>
      </c>
      <c r="G1099" t="e">
        <f>#REF!</f>
        <v>#REF!</v>
      </c>
      <c r="H1099" t="e">
        <f>#REF!</f>
        <v>#REF!</v>
      </c>
    </row>
    <row r="1100" spans="1:8">
      <c r="A1100" t="e">
        <f>#REF!</f>
        <v>#REF!</v>
      </c>
      <c r="B1100" t="e">
        <f>#REF!</f>
        <v>#REF!</v>
      </c>
      <c r="C1100" t="e">
        <f>#REF!</f>
        <v>#REF!</v>
      </c>
      <c r="D1100" t="e">
        <f>#REF!</f>
        <v>#REF!</v>
      </c>
      <c r="E1100" t="e">
        <f>#REF!</f>
        <v>#REF!</v>
      </c>
      <c r="F1100" t="e">
        <f>#REF!</f>
        <v>#REF!</v>
      </c>
      <c r="G1100" t="e">
        <f>#REF!</f>
        <v>#REF!</v>
      </c>
      <c r="H1100" t="e">
        <f>#REF!</f>
        <v>#REF!</v>
      </c>
    </row>
    <row r="1101" spans="1:8">
      <c r="A1101" t="e">
        <f>#REF!</f>
        <v>#REF!</v>
      </c>
      <c r="B1101" t="e">
        <f>#REF!</f>
        <v>#REF!</v>
      </c>
      <c r="C1101" t="e">
        <f>#REF!</f>
        <v>#REF!</v>
      </c>
      <c r="D1101" t="e">
        <f>#REF!</f>
        <v>#REF!</v>
      </c>
      <c r="E1101" t="e">
        <f>#REF!</f>
        <v>#REF!</v>
      </c>
      <c r="F1101" t="e">
        <f>#REF!</f>
        <v>#REF!</v>
      </c>
      <c r="G1101" t="e">
        <f>#REF!</f>
        <v>#REF!</v>
      </c>
      <c r="H1101" t="e">
        <f>#REF!</f>
        <v>#REF!</v>
      </c>
    </row>
    <row r="1102" spans="1:8">
      <c r="A1102" t="e">
        <f>#REF!</f>
        <v>#REF!</v>
      </c>
      <c r="B1102" t="e">
        <f>#REF!</f>
        <v>#REF!</v>
      </c>
      <c r="C1102" t="e">
        <f>#REF!</f>
        <v>#REF!</v>
      </c>
      <c r="D1102" t="e">
        <f>#REF!</f>
        <v>#REF!</v>
      </c>
      <c r="E1102" t="e">
        <f>#REF!</f>
        <v>#REF!</v>
      </c>
      <c r="F1102" t="e">
        <f>#REF!</f>
        <v>#REF!</v>
      </c>
      <c r="G1102" t="e">
        <f>#REF!</f>
        <v>#REF!</v>
      </c>
      <c r="H1102" t="e">
        <f>#REF!</f>
        <v>#REF!</v>
      </c>
    </row>
    <row r="1103" spans="1:8">
      <c r="A1103" t="e">
        <f>#REF!</f>
        <v>#REF!</v>
      </c>
      <c r="B1103" t="e">
        <f>#REF!</f>
        <v>#REF!</v>
      </c>
      <c r="C1103" t="e">
        <f>#REF!</f>
        <v>#REF!</v>
      </c>
      <c r="D1103" t="e">
        <f>#REF!</f>
        <v>#REF!</v>
      </c>
      <c r="E1103" t="e">
        <f>#REF!</f>
        <v>#REF!</v>
      </c>
      <c r="F1103" t="e">
        <f>#REF!</f>
        <v>#REF!</v>
      </c>
      <c r="G1103" t="e">
        <f>#REF!</f>
        <v>#REF!</v>
      </c>
      <c r="H1103" t="e">
        <f>#REF!</f>
        <v>#REF!</v>
      </c>
    </row>
    <row r="1104" spans="1:8">
      <c r="A1104" t="e">
        <f>#REF!</f>
        <v>#REF!</v>
      </c>
      <c r="B1104" t="e">
        <f>#REF!</f>
        <v>#REF!</v>
      </c>
      <c r="C1104" t="e">
        <f>#REF!</f>
        <v>#REF!</v>
      </c>
      <c r="D1104" t="e">
        <f>#REF!</f>
        <v>#REF!</v>
      </c>
      <c r="E1104" t="e">
        <f>#REF!</f>
        <v>#REF!</v>
      </c>
      <c r="F1104" t="e">
        <f>#REF!</f>
        <v>#REF!</v>
      </c>
      <c r="G1104" t="e">
        <f>#REF!</f>
        <v>#REF!</v>
      </c>
      <c r="H1104" t="e">
        <f>#REF!</f>
        <v>#REF!</v>
      </c>
    </row>
    <row r="1105" spans="1:8">
      <c r="A1105" t="e">
        <f>#REF!</f>
        <v>#REF!</v>
      </c>
      <c r="B1105" t="e">
        <f>#REF!</f>
        <v>#REF!</v>
      </c>
      <c r="C1105" t="e">
        <f>#REF!</f>
        <v>#REF!</v>
      </c>
      <c r="D1105" t="e">
        <f>#REF!</f>
        <v>#REF!</v>
      </c>
      <c r="E1105" t="e">
        <f>#REF!</f>
        <v>#REF!</v>
      </c>
      <c r="F1105" t="e">
        <f>#REF!</f>
        <v>#REF!</v>
      </c>
      <c r="G1105" t="e">
        <f>#REF!</f>
        <v>#REF!</v>
      </c>
      <c r="H1105" t="e">
        <f>#REF!</f>
        <v>#REF!</v>
      </c>
    </row>
    <row r="1106" spans="1:8">
      <c r="A1106" t="e">
        <f>#REF!</f>
        <v>#REF!</v>
      </c>
      <c r="B1106" t="e">
        <f>#REF!</f>
        <v>#REF!</v>
      </c>
      <c r="C1106" t="e">
        <f>#REF!</f>
        <v>#REF!</v>
      </c>
      <c r="D1106" t="e">
        <f>#REF!</f>
        <v>#REF!</v>
      </c>
      <c r="E1106" t="e">
        <f>#REF!</f>
        <v>#REF!</v>
      </c>
      <c r="F1106" t="e">
        <f>#REF!</f>
        <v>#REF!</v>
      </c>
      <c r="G1106" t="e">
        <f>#REF!</f>
        <v>#REF!</v>
      </c>
      <c r="H1106" t="e">
        <f>#REF!</f>
        <v>#REF!</v>
      </c>
    </row>
    <row r="1107" spans="1:8">
      <c r="A1107" t="e">
        <f>#REF!</f>
        <v>#REF!</v>
      </c>
      <c r="B1107" t="e">
        <f>#REF!</f>
        <v>#REF!</v>
      </c>
      <c r="C1107" t="e">
        <f>#REF!</f>
        <v>#REF!</v>
      </c>
      <c r="D1107" t="e">
        <f>#REF!</f>
        <v>#REF!</v>
      </c>
      <c r="E1107" t="e">
        <f>#REF!</f>
        <v>#REF!</v>
      </c>
      <c r="F1107" t="e">
        <f>#REF!</f>
        <v>#REF!</v>
      </c>
      <c r="G1107" t="e">
        <f>#REF!</f>
        <v>#REF!</v>
      </c>
      <c r="H1107" t="e">
        <f>#REF!</f>
        <v>#REF!</v>
      </c>
    </row>
    <row r="1108" spans="1:8">
      <c r="A1108" t="e">
        <f>#REF!</f>
        <v>#REF!</v>
      </c>
      <c r="B1108" t="e">
        <f>#REF!</f>
        <v>#REF!</v>
      </c>
      <c r="C1108" t="e">
        <f>#REF!</f>
        <v>#REF!</v>
      </c>
      <c r="D1108" t="e">
        <f>#REF!</f>
        <v>#REF!</v>
      </c>
      <c r="E1108" t="e">
        <f>#REF!</f>
        <v>#REF!</v>
      </c>
      <c r="F1108" t="e">
        <f>#REF!</f>
        <v>#REF!</v>
      </c>
      <c r="G1108" t="e">
        <f>#REF!</f>
        <v>#REF!</v>
      </c>
      <c r="H1108" t="e">
        <f>#REF!</f>
        <v>#REF!</v>
      </c>
    </row>
    <row r="1109" spans="1:8">
      <c r="A1109" t="e">
        <f>#REF!</f>
        <v>#REF!</v>
      </c>
      <c r="B1109" t="e">
        <f>#REF!</f>
        <v>#REF!</v>
      </c>
      <c r="C1109" t="e">
        <f>#REF!</f>
        <v>#REF!</v>
      </c>
      <c r="D1109" t="e">
        <f>#REF!</f>
        <v>#REF!</v>
      </c>
      <c r="E1109" t="e">
        <f>#REF!</f>
        <v>#REF!</v>
      </c>
      <c r="F1109" t="e">
        <f>#REF!</f>
        <v>#REF!</v>
      </c>
      <c r="G1109" t="e">
        <f>#REF!</f>
        <v>#REF!</v>
      </c>
      <c r="H1109" t="e">
        <f>#REF!</f>
        <v>#REF!</v>
      </c>
    </row>
    <row r="1110" spans="1:8">
      <c r="A1110" t="e">
        <f>#REF!</f>
        <v>#REF!</v>
      </c>
      <c r="B1110" t="e">
        <f>#REF!</f>
        <v>#REF!</v>
      </c>
      <c r="C1110" t="e">
        <f>#REF!</f>
        <v>#REF!</v>
      </c>
      <c r="D1110" t="e">
        <f>#REF!</f>
        <v>#REF!</v>
      </c>
      <c r="E1110" t="e">
        <f>#REF!</f>
        <v>#REF!</v>
      </c>
      <c r="F1110" t="e">
        <f>#REF!</f>
        <v>#REF!</v>
      </c>
      <c r="G1110" t="e">
        <f>#REF!</f>
        <v>#REF!</v>
      </c>
      <c r="H1110" t="e">
        <f>#REF!</f>
        <v>#REF!</v>
      </c>
    </row>
    <row r="1111" spans="1:8">
      <c r="A1111" t="e">
        <f>#REF!</f>
        <v>#REF!</v>
      </c>
      <c r="B1111" t="e">
        <f>#REF!</f>
        <v>#REF!</v>
      </c>
      <c r="C1111" t="e">
        <f>#REF!</f>
        <v>#REF!</v>
      </c>
      <c r="D1111" t="e">
        <f>#REF!</f>
        <v>#REF!</v>
      </c>
      <c r="E1111" t="e">
        <f>#REF!</f>
        <v>#REF!</v>
      </c>
      <c r="F1111" t="e">
        <f>#REF!</f>
        <v>#REF!</v>
      </c>
      <c r="G1111" t="e">
        <f>#REF!</f>
        <v>#REF!</v>
      </c>
      <c r="H1111" t="e">
        <f>#REF!</f>
        <v>#REF!</v>
      </c>
    </row>
    <row r="1112" spans="1:8">
      <c r="A1112" t="e">
        <f>#REF!</f>
        <v>#REF!</v>
      </c>
      <c r="B1112" t="e">
        <f>#REF!</f>
        <v>#REF!</v>
      </c>
      <c r="C1112" t="e">
        <f>#REF!</f>
        <v>#REF!</v>
      </c>
      <c r="D1112" t="e">
        <f>#REF!</f>
        <v>#REF!</v>
      </c>
      <c r="E1112" t="e">
        <f>#REF!</f>
        <v>#REF!</v>
      </c>
      <c r="F1112" t="e">
        <f>#REF!</f>
        <v>#REF!</v>
      </c>
      <c r="G1112" t="e">
        <f>#REF!</f>
        <v>#REF!</v>
      </c>
      <c r="H1112" t="e">
        <f>#REF!</f>
        <v>#REF!</v>
      </c>
    </row>
    <row r="1113" spans="1:8">
      <c r="A1113" t="e">
        <f>#REF!</f>
        <v>#REF!</v>
      </c>
      <c r="B1113" t="e">
        <f>#REF!</f>
        <v>#REF!</v>
      </c>
      <c r="C1113" t="e">
        <f>#REF!</f>
        <v>#REF!</v>
      </c>
      <c r="D1113" t="e">
        <f>#REF!</f>
        <v>#REF!</v>
      </c>
      <c r="E1113" t="e">
        <f>#REF!</f>
        <v>#REF!</v>
      </c>
      <c r="F1113" t="e">
        <f>#REF!</f>
        <v>#REF!</v>
      </c>
      <c r="G1113" t="e">
        <f>#REF!</f>
        <v>#REF!</v>
      </c>
      <c r="H1113" t="e">
        <f>#REF!</f>
        <v>#REF!</v>
      </c>
    </row>
    <row r="1114" spans="1:8">
      <c r="A1114" t="e">
        <f>#REF!</f>
        <v>#REF!</v>
      </c>
      <c r="B1114" t="e">
        <f>#REF!</f>
        <v>#REF!</v>
      </c>
      <c r="C1114" t="e">
        <f>#REF!</f>
        <v>#REF!</v>
      </c>
      <c r="D1114" t="e">
        <f>#REF!</f>
        <v>#REF!</v>
      </c>
      <c r="E1114" t="e">
        <f>#REF!</f>
        <v>#REF!</v>
      </c>
      <c r="F1114" t="e">
        <f>#REF!</f>
        <v>#REF!</v>
      </c>
      <c r="G1114" t="e">
        <f>#REF!</f>
        <v>#REF!</v>
      </c>
      <c r="H1114" t="e">
        <f>#REF!</f>
        <v>#REF!</v>
      </c>
    </row>
    <row r="1115" spans="1:8">
      <c r="A1115" t="e">
        <f>#REF!</f>
        <v>#REF!</v>
      </c>
      <c r="B1115" t="e">
        <f>#REF!</f>
        <v>#REF!</v>
      </c>
      <c r="C1115" t="e">
        <f>#REF!</f>
        <v>#REF!</v>
      </c>
      <c r="D1115" t="e">
        <f>#REF!</f>
        <v>#REF!</v>
      </c>
      <c r="E1115" t="e">
        <f>#REF!</f>
        <v>#REF!</v>
      </c>
      <c r="F1115" t="e">
        <f>#REF!</f>
        <v>#REF!</v>
      </c>
      <c r="G1115" t="e">
        <f>#REF!</f>
        <v>#REF!</v>
      </c>
      <c r="H1115" t="e">
        <f>#REF!</f>
        <v>#REF!</v>
      </c>
    </row>
    <row r="1116" spans="1:8">
      <c r="A1116" t="e">
        <f>#REF!</f>
        <v>#REF!</v>
      </c>
      <c r="B1116" t="e">
        <f>#REF!</f>
        <v>#REF!</v>
      </c>
      <c r="C1116" t="e">
        <f>#REF!</f>
        <v>#REF!</v>
      </c>
      <c r="D1116" t="e">
        <f>#REF!</f>
        <v>#REF!</v>
      </c>
      <c r="E1116" t="e">
        <f>#REF!</f>
        <v>#REF!</v>
      </c>
      <c r="F1116" t="e">
        <f>#REF!</f>
        <v>#REF!</v>
      </c>
      <c r="G1116" t="e">
        <f>#REF!</f>
        <v>#REF!</v>
      </c>
      <c r="H1116" t="e">
        <f>#REF!</f>
        <v>#REF!</v>
      </c>
    </row>
    <row r="1117" spans="1:8">
      <c r="A1117" t="e">
        <f>#REF!</f>
        <v>#REF!</v>
      </c>
      <c r="B1117" t="e">
        <f>#REF!</f>
        <v>#REF!</v>
      </c>
      <c r="C1117" t="e">
        <f>#REF!</f>
        <v>#REF!</v>
      </c>
      <c r="D1117" t="e">
        <f>#REF!</f>
        <v>#REF!</v>
      </c>
      <c r="E1117" t="e">
        <f>#REF!</f>
        <v>#REF!</v>
      </c>
      <c r="F1117" t="e">
        <f>#REF!</f>
        <v>#REF!</v>
      </c>
      <c r="G1117" t="e">
        <f>#REF!</f>
        <v>#REF!</v>
      </c>
      <c r="H1117" t="e">
        <f>#REF!</f>
        <v>#REF!</v>
      </c>
    </row>
    <row r="1118" spans="1:8">
      <c r="A1118" t="e">
        <f>#REF!</f>
        <v>#REF!</v>
      </c>
      <c r="B1118" t="e">
        <f>#REF!</f>
        <v>#REF!</v>
      </c>
      <c r="C1118" t="e">
        <f>#REF!</f>
        <v>#REF!</v>
      </c>
      <c r="D1118" t="e">
        <f>#REF!</f>
        <v>#REF!</v>
      </c>
      <c r="E1118" t="e">
        <f>#REF!</f>
        <v>#REF!</v>
      </c>
      <c r="F1118" t="e">
        <f>#REF!</f>
        <v>#REF!</v>
      </c>
      <c r="G1118" t="e">
        <f>#REF!</f>
        <v>#REF!</v>
      </c>
      <c r="H1118" t="e">
        <f>#REF!</f>
        <v>#REF!</v>
      </c>
    </row>
    <row r="1119" spans="1:8">
      <c r="A1119" t="e">
        <f>#REF!</f>
        <v>#REF!</v>
      </c>
      <c r="B1119" t="e">
        <f>#REF!</f>
        <v>#REF!</v>
      </c>
      <c r="C1119" t="e">
        <f>#REF!</f>
        <v>#REF!</v>
      </c>
      <c r="D1119" t="e">
        <f>#REF!</f>
        <v>#REF!</v>
      </c>
      <c r="E1119" t="e">
        <f>#REF!</f>
        <v>#REF!</v>
      </c>
      <c r="F1119" t="e">
        <f>#REF!</f>
        <v>#REF!</v>
      </c>
      <c r="G1119" t="e">
        <f>#REF!</f>
        <v>#REF!</v>
      </c>
      <c r="H1119" t="e">
        <f>#REF!</f>
        <v>#REF!</v>
      </c>
    </row>
    <row r="1120" spans="1:8">
      <c r="A1120" t="e">
        <f>#REF!</f>
        <v>#REF!</v>
      </c>
      <c r="B1120" t="e">
        <f>#REF!</f>
        <v>#REF!</v>
      </c>
      <c r="C1120" t="e">
        <f>#REF!</f>
        <v>#REF!</v>
      </c>
      <c r="D1120" t="e">
        <f>#REF!</f>
        <v>#REF!</v>
      </c>
      <c r="E1120" t="e">
        <f>#REF!</f>
        <v>#REF!</v>
      </c>
      <c r="F1120" t="e">
        <f>#REF!</f>
        <v>#REF!</v>
      </c>
      <c r="G1120" t="e">
        <f>#REF!</f>
        <v>#REF!</v>
      </c>
      <c r="H1120" t="e">
        <f>#REF!</f>
        <v>#REF!</v>
      </c>
    </row>
    <row r="1121" spans="1:8">
      <c r="A1121" t="e">
        <f>#REF!</f>
        <v>#REF!</v>
      </c>
      <c r="B1121" t="e">
        <f>#REF!</f>
        <v>#REF!</v>
      </c>
      <c r="C1121" t="e">
        <f>#REF!</f>
        <v>#REF!</v>
      </c>
      <c r="D1121" t="e">
        <f>#REF!</f>
        <v>#REF!</v>
      </c>
      <c r="E1121" t="e">
        <f>#REF!</f>
        <v>#REF!</v>
      </c>
      <c r="F1121" t="e">
        <f>#REF!</f>
        <v>#REF!</v>
      </c>
      <c r="G1121" t="e">
        <f>#REF!</f>
        <v>#REF!</v>
      </c>
      <c r="H1121" t="e">
        <f>#REF!</f>
        <v>#REF!</v>
      </c>
    </row>
    <row r="1122" spans="1:8">
      <c r="A1122" t="e">
        <f>#REF!</f>
        <v>#REF!</v>
      </c>
      <c r="B1122" t="e">
        <f>#REF!</f>
        <v>#REF!</v>
      </c>
      <c r="C1122" t="e">
        <f>#REF!</f>
        <v>#REF!</v>
      </c>
      <c r="D1122" t="e">
        <f>#REF!</f>
        <v>#REF!</v>
      </c>
      <c r="E1122" t="e">
        <f>#REF!</f>
        <v>#REF!</v>
      </c>
      <c r="F1122" t="e">
        <f>#REF!</f>
        <v>#REF!</v>
      </c>
      <c r="G1122" t="e">
        <f>#REF!</f>
        <v>#REF!</v>
      </c>
      <c r="H1122" t="e">
        <f>#REF!</f>
        <v>#REF!</v>
      </c>
    </row>
    <row r="1123" spans="1:8">
      <c r="A1123" t="e">
        <f>#REF!</f>
        <v>#REF!</v>
      </c>
      <c r="B1123" t="e">
        <f>#REF!</f>
        <v>#REF!</v>
      </c>
      <c r="C1123" t="e">
        <f>#REF!</f>
        <v>#REF!</v>
      </c>
      <c r="D1123" t="e">
        <f>#REF!</f>
        <v>#REF!</v>
      </c>
      <c r="E1123" t="e">
        <f>#REF!</f>
        <v>#REF!</v>
      </c>
      <c r="F1123" t="e">
        <f>#REF!</f>
        <v>#REF!</v>
      </c>
      <c r="G1123" t="e">
        <f>#REF!</f>
        <v>#REF!</v>
      </c>
      <c r="H1123" t="e">
        <f>#REF!</f>
        <v>#REF!</v>
      </c>
    </row>
    <row r="1124" spans="1:8">
      <c r="A1124" t="e">
        <f>#REF!</f>
        <v>#REF!</v>
      </c>
      <c r="B1124" t="e">
        <f>#REF!</f>
        <v>#REF!</v>
      </c>
      <c r="C1124" t="e">
        <f>#REF!</f>
        <v>#REF!</v>
      </c>
      <c r="D1124" t="e">
        <f>#REF!</f>
        <v>#REF!</v>
      </c>
      <c r="E1124" t="e">
        <f>#REF!</f>
        <v>#REF!</v>
      </c>
      <c r="F1124" t="e">
        <f>#REF!</f>
        <v>#REF!</v>
      </c>
      <c r="G1124" t="e">
        <f>#REF!</f>
        <v>#REF!</v>
      </c>
      <c r="H1124" t="e">
        <f>#REF!</f>
        <v>#REF!</v>
      </c>
    </row>
    <row r="1125" spans="1:8">
      <c r="A1125" t="e">
        <f>#REF!</f>
        <v>#REF!</v>
      </c>
      <c r="B1125" t="e">
        <f>#REF!</f>
        <v>#REF!</v>
      </c>
      <c r="C1125" t="e">
        <f>#REF!</f>
        <v>#REF!</v>
      </c>
      <c r="D1125" t="e">
        <f>#REF!</f>
        <v>#REF!</v>
      </c>
      <c r="E1125" t="e">
        <f>#REF!</f>
        <v>#REF!</v>
      </c>
      <c r="F1125" t="e">
        <f>#REF!</f>
        <v>#REF!</v>
      </c>
      <c r="G1125" t="e">
        <f>#REF!</f>
        <v>#REF!</v>
      </c>
      <c r="H1125" t="e">
        <f>#REF!</f>
        <v>#REF!</v>
      </c>
    </row>
    <row r="1126" spans="1:8">
      <c r="A1126" t="e">
        <f>#REF!</f>
        <v>#REF!</v>
      </c>
      <c r="B1126" t="e">
        <f>#REF!</f>
        <v>#REF!</v>
      </c>
      <c r="C1126" t="e">
        <f>#REF!</f>
        <v>#REF!</v>
      </c>
      <c r="D1126" t="e">
        <f>#REF!</f>
        <v>#REF!</v>
      </c>
      <c r="E1126" t="e">
        <f>#REF!</f>
        <v>#REF!</v>
      </c>
      <c r="F1126" t="e">
        <f>#REF!</f>
        <v>#REF!</v>
      </c>
      <c r="G1126" t="e">
        <f>#REF!</f>
        <v>#REF!</v>
      </c>
      <c r="H1126" t="e">
        <f>#REF!</f>
        <v>#REF!</v>
      </c>
    </row>
    <row r="1127" spans="1:8">
      <c r="A1127" t="e">
        <f>#REF!</f>
        <v>#REF!</v>
      </c>
      <c r="B1127" t="e">
        <f>#REF!</f>
        <v>#REF!</v>
      </c>
      <c r="C1127" t="e">
        <f>#REF!</f>
        <v>#REF!</v>
      </c>
      <c r="D1127" t="e">
        <f>#REF!</f>
        <v>#REF!</v>
      </c>
      <c r="E1127" t="e">
        <f>#REF!</f>
        <v>#REF!</v>
      </c>
      <c r="F1127" t="e">
        <f>#REF!</f>
        <v>#REF!</v>
      </c>
      <c r="G1127" t="e">
        <f>#REF!</f>
        <v>#REF!</v>
      </c>
      <c r="H1127" t="e">
        <f>#REF!</f>
        <v>#REF!</v>
      </c>
    </row>
    <row r="1128" spans="1:8">
      <c r="A1128" t="e">
        <f>#REF!</f>
        <v>#REF!</v>
      </c>
      <c r="B1128" t="e">
        <f>#REF!</f>
        <v>#REF!</v>
      </c>
      <c r="C1128" t="e">
        <f>#REF!</f>
        <v>#REF!</v>
      </c>
      <c r="D1128" t="e">
        <f>#REF!</f>
        <v>#REF!</v>
      </c>
      <c r="E1128" t="e">
        <f>#REF!</f>
        <v>#REF!</v>
      </c>
      <c r="F1128" t="e">
        <f>#REF!</f>
        <v>#REF!</v>
      </c>
      <c r="G1128" t="e">
        <f>#REF!</f>
        <v>#REF!</v>
      </c>
      <c r="H1128" t="e">
        <f>#REF!</f>
        <v>#REF!</v>
      </c>
    </row>
    <row r="1129" spans="1:8">
      <c r="A1129" t="e">
        <f>#REF!</f>
        <v>#REF!</v>
      </c>
      <c r="B1129" t="e">
        <f>#REF!</f>
        <v>#REF!</v>
      </c>
      <c r="C1129" t="e">
        <f>#REF!</f>
        <v>#REF!</v>
      </c>
      <c r="D1129" t="e">
        <f>#REF!</f>
        <v>#REF!</v>
      </c>
      <c r="E1129" t="e">
        <f>#REF!</f>
        <v>#REF!</v>
      </c>
      <c r="F1129" t="e">
        <f>#REF!</f>
        <v>#REF!</v>
      </c>
      <c r="G1129" t="e">
        <f>#REF!</f>
        <v>#REF!</v>
      </c>
      <c r="H1129" t="e">
        <f>#REF!</f>
        <v>#REF!</v>
      </c>
    </row>
    <row r="1130" spans="1:8">
      <c r="A1130" t="e">
        <f>#REF!</f>
        <v>#REF!</v>
      </c>
      <c r="B1130" t="e">
        <f>#REF!</f>
        <v>#REF!</v>
      </c>
      <c r="C1130" t="e">
        <f>#REF!</f>
        <v>#REF!</v>
      </c>
      <c r="D1130" t="e">
        <f>#REF!</f>
        <v>#REF!</v>
      </c>
      <c r="E1130" t="e">
        <f>#REF!</f>
        <v>#REF!</v>
      </c>
      <c r="F1130" t="e">
        <f>#REF!</f>
        <v>#REF!</v>
      </c>
      <c r="G1130" t="e">
        <f>#REF!</f>
        <v>#REF!</v>
      </c>
      <c r="H1130" t="e">
        <f>#REF!</f>
        <v>#REF!</v>
      </c>
    </row>
    <row r="1131" spans="1:8">
      <c r="A1131" t="e">
        <f>#REF!</f>
        <v>#REF!</v>
      </c>
      <c r="B1131" t="e">
        <f>#REF!</f>
        <v>#REF!</v>
      </c>
      <c r="C1131" t="e">
        <f>#REF!</f>
        <v>#REF!</v>
      </c>
      <c r="D1131" t="e">
        <f>#REF!</f>
        <v>#REF!</v>
      </c>
      <c r="E1131" t="e">
        <f>#REF!</f>
        <v>#REF!</v>
      </c>
      <c r="F1131" t="e">
        <f>#REF!</f>
        <v>#REF!</v>
      </c>
      <c r="G1131" t="e">
        <f>#REF!</f>
        <v>#REF!</v>
      </c>
      <c r="H1131" t="e">
        <f>#REF!</f>
        <v>#REF!</v>
      </c>
    </row>
    <row r="1132" spans="1:8">
      <c r="A1132" t="e">
        <f>#REF!</f>
        <v>#REF!</v>
      </c>
      <c r="B1132" t="e">
        <f>#REF!</f>
        <v>#REF!</v>
      </c>
      <c r="C1132" t="e">
        <f>#REF!</f>
        <v>#REF!</v>
      </c>
      <c r="D1132" t="e">
        <f>#REF!</f>
        <v>#REF!</v>
      </c>
      <c r="E1132" t="e">
        <f>#REF!</f>
        <v>#REF!</v>
      </c>
      <c r="F1132" t="e">
        <f>#REF!</f>
        <v>#REF!</v>
      </c>
      <c r="G1132" t="e">
        <f>#REF!</f>
        <v>#REF!</v>
      </c>
      <c r="H1132" t="e">
        <f>#REF!</f>
        <v>#REF!</v>
      </c>
    </row>
    <row r="1133" spans="1:8">
      <c r="A1133" t="e">
        <f>#REF!</f>
        <v>#REF!</v>
      </c>
      <c r="B1133" t="e">
        <f>#REF!</f>
        <v>#REF!</v>
      </c>
      <c r="C1133" t="e">
        <f>#REF!</f>
        <v>#REF!</v>
      </c>
      <c r="D1133" t="e">
        <f>#REF!</f>
        <v>#REF!</v>
      </c>
      <c r="E1133" t="e">
        <f>#REF!</f>
        <v>#REF!</v>
      </c>
      <c r="F1133" t="e">
        <f>#REF!</f>
        <v>#REF!</v>
      </c>
      <c r="G1133" t="e">
        <f>#REF!</f>
        <v>#REF!</v>
      </c>
      <c r="H1133" t="e">
        <f>#REF!</f>
        <v>#REF!</v>
      </c>
    </row>
    <row r="1134" spans="1:8">
      <c r="A1134" t="e">
        <f>#REF!</f>
        <v>#REF!</v>
      </c>
      <c r="B1134" t="e">
        <f>#REF!</f>
        <v>#REF!</v>
      </c>
      <c r="C1134" t="e">
        <f>#REF!</f>
        <v>#REF!</v>
      </c>
      <c r="D1134" t="e">
        <f>#REF!</f>
        <v>#REF!</v>
      </c>
      <c r="E1134" t="e">
        <f>#REF!</f>
        <v>#REF!</v>
      </c>
      <c r="F1134" t="e">
        <f>#REF!</f>
        <v>#REF!</v>
      </c>
      <c r="G1134" t="e">
        <f>#REF!</f>
        <v>#REF!</v>
      </c>
      <c r="H1134" t="e">
        <f>#REF!</f>
        <v>#REF!</v>
      </c>
    </row>
    <row r="1135" spans="1:8">
      <c r="A1135" t="e">
        <f>#REF!</f>
        <v>#REF!</v>
      </c>
      <c r="B1135" t="e">
        <f>#REF!</f>
        <v>#REF!</v>
      </c>
      <c r="C1135" t="e">
        <f>#REF!</f>
        <v>#REF!</v>
      </c>
      <c r="D1135" t="e">
        <f>#REF!</f>
        <v>#REF!</v>
      </c>
      <c r="E1135" t="e">
        <f>#REF!</f>
        <v>#REF!</v>
      </c>
      <c r="F1135" t="e">
        <f>#REF!</f>
        <v>#REF!</v>
      </c>
      <c r="G1135" t="e">
        <f>#REF!</f>
        <v>#REF!</v>
      </c>
      <c r="H1135" t="e">
        <f>#REF!</f>
        <v>#REF!</v>
      </c>
    </row>
    <row r="1136" spans="1:8">
      <c r="A1136" t="e">
        <f>#REF!</f>
        <v>#REF!</v>
      </c>
      <c r="B1136" t="e">
        <f>#REF!</f>
        <v>#REF!</v>
      </c>
      <c r="C1136" t="e">
        <f>#REF!</f>
        <v>#REF!</v>
      </c>
      <c r="D1136" t="e">
        <f>#REF!</f>
        <v>#REF!</v>
      </c>
      <c r="E1136" t="e">
        <f>#REF!</f>
        <v>#REF!</v>
      </c>
      <c r="F1136" t="e">
        <f>#REF!</f>
        <v>#REF!</v>
      </c>
      <c r="G1136" t="e">
        <f>#REF!</f>
        <v>#REF!</v>
      </c>
      <c r="H1136" t="e">
        <f>#REF!</f>
        <v>#REF!</v>
      </c>
    </row>
    <row r="1137" spans="1:8">
      <c r="A1137" t="e">
        <f>#REF!</f>
        <v>#REF!</v>
      </c>
      <c r="B1137" t="e">
        <f>#REF!</f>
        <v>#REF!</v>
      </c>
      <c r="C1137" t="e">
        <f>#REF!</f>
        <v>#REF!</v>
      </c>
      <c r="D1137" t="e">
        <f>#REF!</f>
        <v>#REF!</v>
      </c>
      <c r="E1137" t="e">
        <f>#REF!</f>
        <v>#REF!</v>
      </c>
      <c r="F1137" t="e">
        <f>#REF!</f>
        <v>#REF!</v>
      </c>
      <c r="G1137" t="e">
        <f>#REF!</f>
        <v>#REF!</v>
      </c>
      <c r="H1137" t="e">
        <f>#REF!</f>
        <v>#REF!</v>
      </c>
    </row>
    <row r="1138" spans="1:8">
      <c r="A1138" t="e">
        <f>#REF!</f>
        <v>#REF!</v>
      </c>
      <c r="B1138" t="e">
        <f>#REF!</f>
        <v>#REF!</v>
      </c>
      <c r="C1138" t="e">
        <f>#REF!</f>
        <v>#REF!</v>
      </c>
      <c r="D1138" t="e">
        <f>#REF!</f>
        <v>#REF!</v>
      </c>
      <c r="E1138" t="e">
        <f>#REF!</f>
        <v>#REF!</v>
      </c>
      <c r="F1138" t="e">
        <f>#REF!</f>
        <v>#REF!</v>
      </c>
      <c r="G1138" t="e">
        <f>#REF!</f>
        <v>#REF!</v>
      </c>
      <c r="H1138" t="e">
        <f>#REF!</f>
        <v>#REF!</v>
      </c>
    </row>
    <row r="1139" spans="1:8">
      <c r="A1139" t="e">
        <f>#REF!</f>
        <v>#REF!</v>
      </c>
      <c r="B1139" t="e">
        <f>#REF!</f>
        <v>#REF!</v>
      </c>
      <c r="C1139" t="e">
        <f>#REF!</f>
        <v>#REF!</v>
      </c>
      <c r="D1139" t="e">
        <f>#REF!</f>
        <v>#REF!</v>
      </c>
      <c r="E1139" t="e">
        <f>#REF!</f>
        <v>#REF!</v>
      </c>
      <c r="F1139" t="e">
        <f>#REF!</f>
        <v>#REF!</v>
      </c>
      <c r="G1139" t="e">
        <f>#REF!</f>
        <v>#REF!</v>
      </c>
      <c r="H1139" t="e">
        <f>#REF!</f>
        <v>#REF!</v>
      </c>
    </row>
    <row r="1140" spans="1:8">
      <c r="A1140" t="e">
        <f>#REF!</f>
        <v>#REF!</v>
      </c>
      <c r="B1140" t="e">
        <f>#REF!</f>
        <v>#REF!</v>
      </c>
      <c r="C1140" t="e">
        <f>#REF!</f>
        <v>#REF!</v>
      </c>
      <c r="D1140" t="e">
        <f>#REF!</f>
        <v>#REF!</v>
      </c>
      <c r="E1140" t="e">
        <f>#REF!</f>
        <v>#REF!</v>
      </c>
      <c r="F1140" t="e">
        <f>#REF!</f>
        <v>#REF!</v>
      </c>
      <c r="G1140" t="e">
        <f>#REF!</f>
        <v>#REF!</v>
      </c>
      <c r="H1140" t="e">
        <f>#REF!</f>
        <v>#REF!</v>
      </c>
    </row>
    <row r="1141" spans="1:8">
      <c r="A1141" t="e">
        <f>#REF!</f>
        <v>#REF!</v>
      </c>
      <c r="B1141" t="e">
        <f>#REF!</f>
        <v>#REF!</v>
      </c>
      <c r="C1141" t="e">
        <f>#REF!</f>
        <v>#REF!</v>
      </c>
      <c r="D1141" t="e">
        <f>#REF!</f>
        <v>#REF!</v>
      </c>
      <c r="E1141" t="e">
        <f>#REF!</f>
        <v>#REF!</v>
      </c>
      <c r="F1141" t="e">
        <f>#REF!</f>
        <v>#REF!</v>
      </c>
      <c r="G1141" t="e">
        <f>#REF!</f>
        <v>#REF!</v>
      </c>
      <c r="H1141" t="e">
        <f>#REF!</f>
        <v>#REF!</v>
      </c>
    </row>
    <row r="1142" spans="1:8">
      <c r="A1142" t="e">
        <f>#REF!</f>
        <v>#REF!</v>
      </c>
      <c r="B1142" t="e">
        <f>#REF!</f>
        <v>#REF!</v>
      </c>
      <c r="C1142" t="e">
        <f>#REF!</f>
        <v>#REF!</v>
      </c>
      <c r="D1142" t="e">
        <f>#REF!</f>
        <v>#REF!</v>
      </c>
      <c r="E1142" t="e">
        <f>#REF!</f>
        <v>#REF!</v>
      </c>
      <c r="F1142" t="e">
        <f>#REF!</f>
        <v>#REF!</v>
      </c>
      <c r="G1142" t="e">
        <f>#REF!</f>
        <v>#REF!</v>
      </c>
      <c r="H1142" t="e">
        <f>#REF!</f>
        <v>#REF!</v>
      </c>
    </row>
    <row r="1143" spans="1:8">
      <c r="A1143" t="e">
        <f>#REF!</f>
        <v>#REF!</v>
      </c>
      <c r="B1143" t="e">
        <f>#REF!</f>
        <v>#REF!</v>
      </c>
      <c r="C1143" t="e">
        <f>#REF!</f>
        <v>#REF!</v>
      </c>
      <c r="D1143" t="e">
        <f>#REF!</f>
        <v>#REF!</v>
      </c>
      <c r="E1143" t="e">
        <f>#REF!</f>
        <v>#REF!</v>
      </c>
      <c r="F1143" t="e">
        <f>#REF!</f>
        <v>#REF!</v>
      </c>
      <c r="G1143" t="e">
        <f>#REF!</f>
        <v>#REF!</v>
      </c>
      <c r="H1143" t="e">
        <f>#REF!</f>
        <v>#REF!</v>
      </c>
    </row>
    <row r="1144" spans="1:8">
      <c r="A1144" t="e">
        <f>#REF!</f>
        <v>#REF!</v>
      </c>
      <c r="B1144" t="e">
        <f>#REF!</f>
        <v>#REF!</v>
      </c>
      <c r="C1144" t="e">
        <f>#REF!</f>
        <v>#REF!</v>
      </c>
      <c r="D1144" t="e">
        <f>#REF!</f>
        <v>#REF!</v>
      </c>
      <c r="E1144" t="e">
        <f>#REF!</f>
        <v>#REF!</v>
      </c>
      <c r="F1144" t="e">
        <f>#REF!</f>
        <v>#REF!</v>
      </c>
      <c r="G1144" t="e">
        <f>#REF!</f>
        <v>#REF!</v>
      </c>
      <c r="H1144" t="e">
        <f>#REF!</f>
        <v>#REF!</v>
      </c>
    </row>
    <row r="1145" spans="1:8">
      <c r="A1145" t="e">
        <f>#REF!</f>
        <v>#REF!</v>
      </c>
      <c r="B1145" t="e">
        <f>#REF!</f>
        <v>#REF!</v>
      </c>
      <c r="C1145" t="e">
        <f>#REF!</f>
        <v>#REF!</v>
      </c>
      <c r="D1145" t="e">
        <f>#REF!</f>
        <v>#REF!</v>
      </c>
      <c r="E1145" t="e">
        <f>#REF!</f>
        <v>#REF!</v>
      </c>
      <c r="F1145" t="e">
        <f>#REF!</f>
        <v>#REF!</v>
      </c>
      <c r="G1145" t="e">
        <f>#REF!</f>
        <v>#REF!</v>
      </c>
      <c r="H1145" t="e">
        <f>#REF!</f>
        <v>#REF!</v>
      </c>
    </row>
    <row r="1146" spans="1:8">
      <c r="A1146" t="e">
        <f>#REF!</f>
        <v>#REF!</v>
      </c>
      <c r="B1146" t="e">
        <f>#REF!</f>
        <v>#REF!</v>
      </c>
      <c r="C1146" t="e">
        <f>#REF!</f>
        <v>#REF!</v>
      </c>
      <c r="D1146" t="e">
        <f>#REF!</f>
        <v>#REF!</v>
      </c>
      <c r="E1146" t="e">
        <f>#REF!</f>
        <v>#REF!</v>
      </c>
      <c r="F1146" t="e">
        <f>#REF!</f>
        <v>#REF!</v>
      </c>
      <c r="G1146" t="e">
        <f>#REF!</f>
        <v>#REF!</v>
      </c>
      <c r="H1146" t="e">
        <f>#REF!</f>
        <v>#REF!</v>
      </c>
    </row>
    <row r="1147" spans="1:8">
      <c r="A1147" t="e">
        <f>#REF!</f>
        <v>#REF!</v>
      </c>
      <c r="B1147" t="e">
        <f>#REF!</f>
        <v>#REF!</v>
      </c>
      <c r="C1147" t="e">
        <f>#REF!</f>
        <v>#REF!</v>
      </c>
      <c r="D1147" t="e">
        <f>#REF!</f>
        <v>#REF!</v>
      </c>
      <c r="E1147" t="e">
        <f>#REF!</f>
        <v>#REF!</v>
      </c>
      <c r="F1147" t="e">
        <f>#REF!</f>
        <v>#REF!</v>
      </c>
      <c r="G1147" t="e">
        <f>#REF!</f>
        <v>#REF!</v>
      </c>
      <c r="H1147" t="e">
        <f>#REF!</f>
        <v>#REF!</v>
      </c>
    </row>
    <row r="1148" spans="1:8">
      <c r="A1148" t="e">
        <f>#REF!</f>
        <v>#REF!</v>
      </c>
      <c r="B1148" t="e">
        <f>#REF!</f>
        <v>#REF!</v>
      </c>
      <c r="C1148" t="e">
        <f>#REF!</f>
        <v>#REF!</v>
      </c>
      <c r="D1148" t="e">
        <f>#REF!</f>
        <v>#REF!</v>
      </c>
      <c r="E1148" t="e">
        <f>#REF!</f>
        <v>#REF!</v>
      </c>
      <c r="F1148" t="e">
        <f>#REF!</f>
        <v>#REF!</v>
      </c>
      <c r="G1148" t="e">
        <f>#REF!</f>
        <v>#REF!</v>
      </c>
      <c r="H1148" t="e">
        <f>#REF!</f>
        <v>#REF!</v>
      </c>
    </row>
    <row r="1149" spans="1:8">
      <c r="A1149" t="e">
        <f>#REF!</f>
        <v>#REF!</v>
      </c>
      <c r="B1149" t="e">
        <f>#REF!</f>
        <v>#REF!</v>
      </c>
      <c r="C1149" t="e">
        <f>#REF!</f>
        <v>#REF!</v>
      </c>
      <c r="D1149" t="e">
        <f>#REF!</f>
        <v>#REF!</v>
      </c>
      <c r="E1149" t="e">
        <f>#REF!</f>
        <v>#REF!</v>
      </c>
      <c r="F1149" t="e">
        <f>#REF!</f>
        <v>#REF!</v>
      </c>
      <c r="G1149" t="e">
        <f>#REF!</f>
        <v>#REF!</v>
      </c>
      <c r="H1149" t="e">
        <f>#REF!</f>
        <v>#REF!</v>
      </c>
    </row>
    <row r="1150" spans="1:8">
      <c r="A1150" t="e">
        <f>#REF!</f>
        <v>#REF!</v>
      </c>
      <c r="B1150" t="e">
        <f>#REF!</f>
        <v>#REF!</v>
      </c>
      <c r="C1150" t="e">
        <f>#REF!</f>
        <v>#REF!</v>
      </c>
      <c r="D1150" t="e">
        <f>#REF!</f>
        <v>#REF!</v>
      </c>
      <c r="E1150" t="e">
        <f>#REF!</f>
        <v>#REF!</v>
      </c>
      <c r="F1150" t="e">
        <f>#REF!</f>
        <v>#REF!</v>
      </c>
      <c r="G1150" t="e">
        <f>#REF!</f>
        <v>#REF!</v>
      </c>
      <c r="H1150" t="e">
        <f>#REF!</f>
        <v>#REF!</v>
      </c>
    </row>
    <row r="1151" spans="1:8">
      <c r="A1151" t="e">
        <f>#REF!</f>
        <v>#REF!</v>
      </c>
      <c r="B1151" t="e">
        <f>#REF!</f>
        <v>#REF!</v>
      </c>
      <c r="C1151" t="e">
        <f>#REF!</f>
        <v>#REF!</v>
      </c>
      <c r="D1151" t="e">
        <f>#REF!</f>
        <v>#REF!</v>
      </c>
      <c r="E1151" t="e">
        <f>#REF!</f>
        <v>#REF!</v>
      </c>
      <c r="F1151" t="e">
        <f>#REF!</f>
        <v>#REF!</v>
      </c>
      <c r="G1151" t="e">
        <f>#REF!</f>
        <v>#REF!</v>
      </c>
      <c r="H1151" t="e">
        <f>#REF!</f>
        <v>#REF!</v>
      </c>
    </row>
    <row r="1152" spans="1:8">
      <c r="A1152" t="e">
        <f>#REF!</f>
        <v>#REF!</v>
      </c>
      <c r="B1152" t="e">
        <f>#REF!</f>
        <v>#REF!</v>
      </c>
      <c r="C1152" t="e">
        <f>#REF!</f>
        <v>#REF!</v>
      </c>
      <c r="D1152" t="e">
        <f>#REF!</f>
        <v>#REF!</v>
      </c>
      <c r="E1152" t="e">
        <f>#REF!</f>
        <v>#REF!</v>
      </c>
      <c r="F1152" t="e">
        <f>#REF!</f>
        <v>#REF!</v>
      </c>
      <c r="G1152" t="e">
        <f>#REF!</f>
        <v>#REF!</v>
      </c>
      <c r="H1152" t="e">
        <f>#REF!</f>
        <v>#REF!</v>
      </c>
    </row>
    <row r="1153" spans="1:8">
      <c r="A1153" t="e">
        <f>#REF!</f>
        <v>#REF!</v>
      </c>
      <c r="B1153" t="e">
        <f>#REF!</f>
        <v>#REF!</v>
      </c>
      <c r="C1153" t="e">
        <f>#REF!</f>
        <v>#REF!</v>
      </c>
      <c r="D1153" t="e">
        <f>#REF!</f>
        <v>#REF!</v>
      </c>
      <c r="E1153" t="e">
        <f>#REF!</f>
        <v>#REF!</v>
      </c>
      <c r="F1153" t="e">
        <f>#REF!</f>
        <v>#REF!</v>
      </c>
      <c r="G1153" t="e">
        <f>#REF!</f>
        <v>#REF!</v>
      </c>
      <c r="H1153" t="e">
        <f>#REF!</f>
        <v>#REF!</v>
      </c>
    </row>
    <row r="1154" spans="1:8">
      <c r="A1154" t="e">
        <f>#REF!</f>
        <v>#REF!</v>
      </c>
      <c r="B1154" t="e">
        <f>#REF!</f>
        <v>#REF!</v>
      </c>
      <c r="C1154" t="e">
        <f>#REF!</f>
        <v>#REF!</v>
      </c>
      <c r="D1154" t="e">
        <f>#REF!</f>
        <v>#REF!</v>
      </c>
      <c r="E1154" t="e">
        <f>#REF!</f>
        <v>#REF!</v>
      </c>
      <c r="F1154" t="e">
        <f>#REF!</f>
        <v>#REF!</v>
      </c>
      <c r="G1154" t="e">
        <f>#REF!</f>
        <v>#REF!</v>
      </c>
      <c r="H1154" t="e">
        <f>#REF!</f>
        <v>#REF!</v>
      </c>
    </row>
    <row r="1155" spans="1:8">
      <c r="A1155" t="e">
        <f>#REF!</f>
        <v>#REF!</v>
      </c>
      <c r="B1155" t="e">
        <f>#REF!</f>
        <v>#REF!</v>
      </c>
      <c r="C1155" t="e">
        <f>#REF!</f>
        <v>#REF!</v>
      </c>
      <c r="D1155" t="e">
        <f>#REF!</f>
        <v>#REF!</v>
      </c>
      <c r="E1155" t="e">
        <f>#REF!</f>
        <v>#REF!</v>
      </c>
      <c r="F1155" t="e">
        <f>#REF!</f>
        <v>#REF!</v>
      </c>
      <c r="G1155" t="e">
        <f>#REF!</f>
        <v>#REF!</v>
      </c>
      <c r="H1155" t="e">
        <f>#REF!</f>
        <v>#REF!</v>
      </c>
    </row>
    <row r="1156" spans="1:8">
      <c r="A1156" t="e">
        <f>#REF!</f>
        <v>#REF!</v>
      </c>
      <c r="B1156" t="e">
        <f>#REF!</f>
        <v>#REF!</v>
      </c>
      <c r="C1156" t="e">
        <f>#REF!</f>
        <v>#REF!</v>
      </c>
      <c r="D1156" t="e">
        <f>#REF!</f>
        <v>#REF!</v>
      </c>
      <c r="E1156" t="e">
        <f>#REF!</f>
        <v>#REF!</v>
      </c>
      <c r="F1156" t="e">
        <f>#REF!</f>
        <v>#REF!</v>
      </c>
      <c r="G1156" t="e">
        <f>#REF!</f>
        <v>#REF!</v>
      </c>
      <c r="H1156" t="e">
        <f>#REF!</f>
        <v>#REF!</v>
      </c>
    </row>
    <row r="1157" spans="1:8">
      <c r="A1157" t="e">
        <f>#REF!</f>
        <v>#REF!</v>
      </c>
      <c r="B1157" t="e">
        <f>#REF!</f>
        <v>#REF!</v>
      </c>
      <c r="C1157" t="e">
        <f>#REF!</f>
        <v>#REF!</v>
      </c>
      <c r="D1157" t="e">
        <f>#REF!</f>
        <v>#REF!</v>
      </c>
      <c r="E1157" t="e">
        <f>#REF!</f>
        <v>#REF!</v>
      </c>
      <c r="F1157" t="e">
        <f>#REF!</f>
        <v>#REF!</v>
      </c>
      <c r="G1157" t="e">
        <f>#REF!</f>
        <v>#REF!</v>
      </c>
      <c r="H1157" t="e">
        <f>#REF!</f>
        <v>#REF!</v>
      </c>
    </row>
    <row r="1158" spans="1:8">
      <c r="A1158" t="e">
        <f>#REF!</f>
        <v>#REF!</v>
      </c>
      <c r="B1158" t="e">
        <f>#REF!</f>
        <v>#REF!</v>
      </c>
      <c r="C1158" t="e">
        <f>#REF!</f>
        <v>#REF!</v>
      </c>
      <c r="D1158" t="e">
        <f>#REF!</f>
        <v>#REF!</v>
      </c>
      <c r="E1158" t="e">
        <f>#REF!</f>
        <v>#REF!</v>
      </c>
      <c r="F1158" t="e">
        <f>#REF!</f>
        <v>#REF!</v>
      </c>
      <c r="G1158" t="e">
        <f>#REF!</f>
        <v>#REF!</v>
      </c>
      <c r="H1158" t="e">
        <f>#REF!</f>
        <v>#REF!</v>
      </c>
    </row>
    <row r="1159" spans="1:8">
      <c r="A1159" t="e">
        <f>#REF!</f>
        <v>#REF!</v>
      </c>
      <c r="B1159" t="e">
        <f>#REF!</f>
        <v>#REF!</v>
      </c>
      <c r="C1159" t="e">
        <f>#REF!</f>
        <v>#REF!</v>
      </c>
      <c r="D1159" t="e">
        <f>#REF!</f>
        <v>#REF!</v>
      </c>
      <c r="E1159" t="e">
        <f>#REF!</f>
        <v>#REF!</v>
      </c>
      <c r="F1159" t="e">
        <f>#REF!</f>
        <v>#REF!</v>
      </c>
      <c r="G1159" t="e">
        <f>#REF!</f>
        <v>#REF!</v>
      </c>
      <c r="H1159" t="e">
        <f>#REF!</f>
        <v>#REF!</v>
      </c>
    </row>
    <row r="1160" spans="1:8">
      <c r="A1160" t="e">
        <f>#REF!</f>
        <v>#REF!</v>
      </c>
      <c r="B1160" t="e">
        <f>#REF!</f>
        <v>#REF!</v>
      </c>
      <c r="C1160" t="e">
        <f>#REF!</f>
        <v>#REF!</v>
      </c>
      <c r="D1160" t="e">
        <f>#REF!</f>
        <v>#REF!</v>
      </c>
      <c r="E1160" t="e">
        <f>#REF!</f>
        <v>#REF!</v>
      </c>
      <c r="F1160" t="e">
        <f>#REF!</f>
        <v>#REF!</v>
      </c>
      <c r="G1160" t="e">
        <f>#REF!</f>
        <v>#REF!</v>
      </c>
      <c r="H1160" t="e">
        <f>#REF!</f>
        <v>#REF!</v>
      </c>
    </row>
    <row r="1161" spans="1:8">
      <c r="A1161" t="e">
        <f>#REF!</f>
        <v>#REF!</v>
      </c>
      <c r="B1161" t="e">
        <f>#REF!</f>
        <v>#REF!</v>
      </c>
      <c r="C1161" t="e">
        <f>#REF!</f>
        <v>#REF!</v>
      </c>
      <c r="D1161" t="e">
        <f>#REF!</f>
        <v>#REF!</v>
      </c>
      <c r="E1161" t="e">
        <f>#REF!</f>
        <v>#REF!</v>
      </c>
      <c r="F1161" t="e">
        <f>#REF!</f>
        <v>#REF!</v>
      </c>
      <c r="G1161" t="e">
        <f>#REF!</f>
        <v>#REF!</v>
      </c>
      <c r="H1161" t="e">
        <f>#REF!</f>
        <v>#REF!</v>
      </c>
    </row>
    <row r="1162" spans="1:8">
      <c r="A1162" t="e">
        <f>#REF!</f>
        <v>#REF!</v>
      </c>
      <c r="B1162" t="e">
        <f>#REF!</f>
        <v>#REF!</v>
      </c>
      <c r="C1162" t="e">
        <f>#REF!</f>
        <v>#REF!</v>
      </c>
      <c r="D1162" t="e">
        <f>#REF!</f>
        <v>#REF!</v>
      </c>
      <c r="E1162" t="e">
        <f>#REF!</f>
        <v>#REF!</v>
      </c>
      <c r="F1162" t="e">
        <f>#REF!</f>
        <v>#REF!</v>
      </c>
      <c r="G1162" t="e">
        <f>#REF!</f>
        <v>#REF!</v>
      </c>
      <c r="H1162" t="e">
        <f>#REF!</f>
        <v>#REF!</v>
      </c>
    </row>
    <row r="1163" spans="1:8">
      <c r="A1163" t="e">
        <f>#REF!</f>
        <v>#REF!</v>
      </c>
      <c r="B1163" t="e">
        <f>#REF!</f>
        <v>#REF!</v>
      </c>
      <c r="C1163" t="e">
        <f>#REF!</f>
        <v>#REF!</v>
      </c>
      <c r="D1163" t="e">
        <f>#REF!</f>
        <v>#REF!</v>
      </c>
      <c r="E1163" t="e">
        <f>#REF!</f>
        <v>#REF!</v>
      </c>
      <c r="F1163" t="e">
        <f>#REF!</f>
        <v>#REF!</v>
      </c>
      <c r="G1163" t="e">
        <f>#REF!</f>
        <v>#REF!</v>
      </c>
      <c r="H1163" t="e">
        <f>#REF!</f>
        <v>#REF!</v>
      </c>
    </row>
    <row r="1164" spans="1:8">
      <c r="A1164" t="e">
        <f>#REF!</f>
        <v>#REF!</v>
      </c>
      <c r="B1164" t="e">
        <f>#REF!</f>
        <v>#REF!</v>
      </c>
      <c r="C1164" t="e">
        <f>#REF!</f>
        <v>#REF!</v>
      </c>
      <c r="D1164" t="e">
        <f>#REF!</f>
        <v>#REF!</v>
      </c>
      <c r="E1164" t="e">
        <f>#REF!</f>
        <v>#REF!</v>
      </c>
      <c r="F1164" t="e">
        <f>#REF!</f>
        <v>#REF!</v>
      </c>
      <c r="G1164" t="e">
        <f>#REF!</f>
        <v>#REF!</v>
      </c>
      <c r="H1164" t="e">
        <f>#REF!</f>
        <v>#REF!</v>
      </c>
    </row>
    <row r="1165" spans="1:8">
      <c r="A1165" t="e">
        <f>#REF!</f>
        <v>#REF!</v>
      </c>
      <c r="B1165" t="e">
        <f>#REF!</f>
        <v>#REF!</v>
      </c>
      <c r="C1165" t="e">
        <f>#REF!</f>
        <v>#REF!</v>
      </c>
      <c r="D1165" t="e">
        <f>#REF!</f>
        <v>#REF!</v>
      </c>
      <c r="E1165" t="e">
        <f>#REF!</f>
        <v>#REF!</v>
      </c>
      <c r="F1165" t="e">
        <f>#REF!</f>
        <v>#REF!</v>
      </c>
      <c r="G1165" t="e">
        <f>#REF!</f>
        <v>#REF!</v>
      </c>
      <c r="H1165" t="e">
        <f>#REF!</f>
        <v>#REF!</v>
      </c>
    </row>
    <row r="1166" spans="1:8">
      <c r="A1166" t="e">
        <f>#REF!</f>
        <v>#REF!</v>
      </c>
      <c r="B1166" t="e">
        <f>#REF!</f>
        <v>#REF!</v>
      </c>
      <c r="C1166" t="e">
        <f>#REF!</f>
        <v>#REF!</v>
      </c>
      <c r="D1166" t="e">
        <f>#REF!</f>
        <v>#REF!</v>
      </c>
      <c r="E1166" t="e">
        <f>#REF!</f>
        <v>#REF!</v>
      </c>
      <c r="F1166" t="e">
        <f>#REF!</f>
        <v>#REF!</v>
      </c>
      <c r="G1166" t="e">
        <f>#REF!</f>
        <v>#REF!</v>
      </c>
      <c r="H1166" t="e">
        <f>#REF!</f>
        <v>#REF!</v>
      </c>
    </row>
    <row r="1167" spans="1:8">
      <c r="A1167" t="e">
        <f>#REF!</f>
        <v>#REF!</v>
      </c>
      <c r="B1167" t="e">
        <f>#REF!</f>
        <v>#REF!</v>
      </c>
      <c r="C1167" t="e">
        <f>#REF!</f>
        <v>#REF!</v>
      </c>
      <c r="D1167" t="e">
        <f>#REF!</f>
        <v>#REF!</v>
      </c>
      <c r="E1167" t="e">
        <f>#REF!</f>
        <v>#REF!</v>
      </c>
      <c r="F1167" t="e">
        <f>#REF!</f>
        <v>#REF!</v>
      </c>
      <c r="G1167" t="e">
        <f>#REF!</f>
        <v>#REF!</v>
      </c>
      <c r="H1167" t="e">
        <f>#REF!</f>
        <v>#REF!</v>
      </c>
    </row>
    <row r="1168" spans="1:8">
      <c r="A1168" t="e">
        <f>#REF!</f>
        <v>#REF!</v>
      </c>
      <c r="B1168" t="e">
        <f>#REF!</f>
        <v>#REF!</v>
      </c>
      <c r="C1168" t="e">
        <f>#REF!</f>
        <v>#REF!</v>
      </c>
      <c r="D1168" t="e">
        <f>#REF!</f>
        <v>#REF!</v>
      </c>
      <c r="E1168" t="e">
        <f>#REF!</f>
        <v>#REF!</v>
      </c>
      <c r="F1168" t="e">
        <f>#REF!</f>
        <v>#REF!</v>
      </c>
      <c r="G1168" t="e">
        <f>#REF!</f>
        <v>#REF!</v>
      </c>
      <c r="H1168" t="e">
        <f>#REF!</f>
        <v>#REF!</v>
      </c>
    </row>
    <row r="1169" spans="1:8">
      <c r="A1169" t="e">
        <f>#REF!</f>
        <v>#REF!</v>
      </c>
      <c r="B1169" t="e">
        <f>#REF!</f>
        <v>#REF!</v>
      </c>
      <c r="C1169" t="e">
        <f>#REF!</f>
        <v>#REF!</v>
      </c>
      <c r="D1169" t="e">
        <f>#REF!</f>
        <v>#REF!</v>
      </c>
      <c r="E1169" t="e">
        <f>#REF!</f>
        <v>#REF!</v>
      </c>
      <c r="F1169" t="e">
        <f>#REF!</f>
        <v>#REF!</v>
      </c>
      <c r="G1169" t="e">
        <f>#REF!</f>
        <v>#REF!</v>
      </c>
      <c r="H1169" t="e">
        <f>#REF!</f>
        <v>#REF!</v>
      </c>
    </row>
    <row r="1170" spans="1:8">
      <c r="A1170" t="e">
        <f>#REF!</f>
        <v>#REF!</v>
      </c>
      <c r="B1170" t="e">
        <f>#REF!</f>
        <v>#REF!</v>
      </c>
      <c r="C1170" t="e">
        <f>#REF!</f>
        <v>#REF!</v>
      </c>
      <c r="D1170" t="e">
        <f>#REF!</f>
        <v>#REF!</v>
      </c>
      <c r="E1170" t="e">
        <f>#REF!</f>
        <v>#REF!</v>
      </c>
      <c r="F1170" t="e">
        <f>#REF!</f>
        <v>#REF!</v>
      </c>
      <c r="G1170" t="e">
        <f>#REF!</f>
        <v>#REF!</v>
      </c>
      <c r="H1170" t="e">
        <f>#REF!</f>
        <v>#REF!</v>
      </c>
    </row>
    <row r="1171" spans="1:8">
      <c r="A1171" t="e">
        <f>#REF!</f>
        <v>#REF!</v>
      </c>
      <c r="B1171" t="e">
        <f>#REF!</f>
        <v>#REF!</v>
      </c>
      <c r="C1171" t="e">
        <f>#REF!</f>
        <v>#REF!</v>
      </c>
      <c r="D1171" t="e">
        <f>#REF!</f>
        <v>#REF!</v>
      </c>
      <c r="E1171" t="e">
        <f>#REF!</f>
        <v>#REF!</v>
      </c>
      <c r="F1171" t="e">
        <f>#REF!</f>
        <v>#REF!</v>
      </c>
      <c r="G1171" t="e">
        <f>#REF!</f>
        <v>#REF!</v>
      </c>
      <c r="H1171" t="e">
        <f>#REF!</f>
        <v>#REF!</v>
      </c>
    </row>
    <row r="1172" spans="1:8">
      <c r="A1172" t="e">
        <f>#REF!</f>
        <v>#REF!</v>
      </c>
      <c r="B1172" t="e">
        <f>#REF!</f>
        <v>#REF!</v>
      </c>
      <c r="C1172" t="e">
        <f>#REF!</f>
        <v>#REF!</v>
      </c>
      <c r="D1172" t="e">
        <f>#REF!</f>
        <v>#REF!</v>
      </c>
      <c r="E1172" t="e">
        <f>#REF!</f>
        <v>#REF!</v>
      </c>
      <c r="F1172" t="e">
        <f>#REF!</f>
        <v>#REF!</v>
      </c>
      <c r="G1172" t="e">
        <f>#REF!</f>
        <v>#REF!</v>
      </c>
      <c r="H1172" t="e">
        <f>#REF!</f>
        <v>#REF!</v>
      </c>
    </row>
    <row r="1173" spans="1:8">
      <c r="A1173" t="e">
        <f>#REF!</f>
        <v>#REF!</v>
      </c>
      <c r="B1173" t="e">
        <f>#REF!</f>
        <v>#REF!</v>
      </c>
      <c r="C1173" t="e">
        <f>#REF!</f>
        <v>#REF!</v>
      </c>
      <c r="D1173" t="e">
        <f>#REF!</f>
        <v>#REF!</v>
      </c>
      <c r="E1173" t="e">
        <f>#REF!</f>
        <v>#REF!</v>
      </c>
      <c r="F1173" t="e">
        <f>#REF!</f>
        <v>#REF!</v>
      </c>
      <c r="G1173" t="e">
        <f>#REF!</f>
        <v>#REF!</v>
      </c>
      <c r="H1173" t="e">
        <f>#REF!</f>
        <v>#REF!</v>
      </c>
    </row>
    <row r="1174" spans="1:8">
      <c r="A1174" t="e">
        <f>#REF!</f>
        <v>#REF!</v>
      </c>
      <c r="B1174" t="e">
        <f>#REF!</f>
        <v>#REF!</v>
      </c>
      <c r="C1174" t="e">
        <f>#REF!</f>
        <v>#REF!</v>
      </c>
      <c r="D1174" t="e">
        <f>#REF!</f>
        <v>#REF!</v>
      </c>
      <c r="E1174" t="e">
        <f>#REF!</f>
        <v>#REF!</v>
      </c>
      <c r="F1174" t="e">
        <f>#REF!</f>
        <v>#REF!</v>
      </c>
      <c r="G1174" t="e">
        <f>#REF!</f>
        <v>#REF!</v>
      </c>
      <c r="H1174" t="e">
        <f>#REF!</f>
        <v>#REF!</v>
      </c>
    </row>
    <row r="1175" spans="1:8">
      <c r="A1175" t="e">
        <f>#REF!</f>
        <v>#REF!</v>
      </c>
      <c r="B1175" t="e">
        <f>#REF!</f>
        <v>#REF!</v>
      </c>
      <c r="C1175" t="e">
        <f>#REF!</f>
        <v>#REF!</v>
      </c>
      <c r="D1175" t="e">
        <f>#REF!</f>
        <v>#REF!</v>
      </c>
      <c r="E1175" t="e">
        <f>#REF!</f>
        <v>#REF!</v>
      </c>
      <c r="F1175" t="e">
        <f>#REF!</f>
        <v>#REF!</v>
      </c>
      <c r="G1175" t="e">
        <f>#REF!</f>
        <v>#REF!</v>
      </c>
      <c r="H1175" t="e">
        <f>#REF!</f>
        <v>#REF!</v>
      </c>
    </row>
    <row r="1176" spans="1:8">
      <c r="A1176" t="e">
        <f>#REF!</f>
        <v>#REF!</v>
      </c>
      <c r="B1176" t="e">
        <f>#REF!</f>
        <v>#REF!</v>
      </c>
      <c r="C1176" t="e">
        <f>#REF!</f>
        <v>#REF!</v>
      </c>
      <c r="D1176" t="e">
        <f>#REF!</f>
        <v>#REF!</v>
      </c>
      <c r="E1176" t="e">
        <f>#REF!</f>
        <v>#REF!</v>
      </c>
      <c r="F1176" t="e">
        <f>#REF!</f>
        <v>#REF!</v>
      </c>
      <c r="G1176" t="e">
        <f>#REF!</f>
        <v>#REF!</v>
      </c>
      <c r="H1176" t="e">
        <f>#REF!</f>
        <v>#REF!</v>
      </c>
    </row>
    <row r="1177" spans="1:8">
      <c r="A1177" t="e">
        <f>#REF!</f>
        <v>#REF!</v>
      </c>
      <c r="B1177" t="e">
        <f>#REF!</f>
        <v>#REF!</v>
      </c>
      <c r="C1177" t="e">
        <f>#REF!</f>
        <v>#REF!</v>
      </c>
      <c r="D1177" t="e">
        <f>#REF!</f>
        <v>#REF!</v>
      </c>
      <c r="E1177" t="e">
        <f>#REF!</f>
        <v>#REF!</v>
      </c>
      <c r="F1177" t="e">
        <f>#REF!</f>
        <v>#REF!</v>
      </c>
      <c r="G1177" t="e">
        <f>#REF!</f>
        <v>#REF!</v>
      </c>
      <c r="H1177" t="e">
        <f>#REF!</f>
        <v>#REF!</v>
      </c>
    </row>
    <row r="1178" spans="1:8">
      <c r="A1178" t="e">
        <f>#REF!</f>
        <v>#REF!</v>
      </c>
      <c r="B1178" t="e">
        <f>#REF!</f>
        <v>#REF!</v>
      </c>
      <c r="C1178" t="e">
        <f>#REF!</f>
        <v>#REF!</v>
      </c>
      <c r="D1178" t="e">
        <f>#REF!</f>
        <v>#REF!</v>
      </c>
      <c r="E1178" t="e">
        <f>#REF!</f>
        <v>#REF!</v>
      </c>
      <c r="F1178" t="e">
        <f>#REF!</f>
        <v>#REF!</v>
      </c>
      <c r="G1178" t="e">
        <f>#REF!</f>
        <v>#REF!</v>
      </c>
      <c r="H1178" t="e">
        <f>#REF!</f>
        <v>#REF!</v>
      </c>
    </row>
    <row r="1179" spans="1:8">
      <c r="A1179" t="e">
        <f>#REF!</f>
        <v>#REF!</v>
      </c>
      <c r="B1179" t="e">
        <f>#REF!</f>
        <v>#REF!</v>
      </c>
      <c r="C1179" t="e">
        <f>#REF!</f>
        <v>#REF!</v>
      </c>
      <c r="D1179" t="e">
        <f>#REF!</f>
        <v>#REF!</v>
      </c>
      <c r="E1179" t="e">
        <f>#REF!</f>
        <v>#REF!</v>
      </c>
      <c r="F1179" t="e">
        <f>#REF!</f>
        <v>#REF!</v>
      </c>
      <c r="G1179" t="e">
        <f>#REF!</f>
        <v>#REF!</v>
      </c>
      <c r="H1179" t="e">
        <f>#REF!</f>
        <v>#REF!</v>
      </c>
    </row>
    <row r="1180" spans="1:8">
      <c r="A1180" t="e">
        <f>#REF!</f>
        <v>#REF!</v>
      </c>
      <c r="B1180" t="e">
        <f>#REF!</f>
        <v>#REF!</v>
      </c>
      <c r="C1180" t="e">
        <f>#REF!</f>
        <v>#REF!</v>
      </c>
      <c r="D1180" t="e">
        <f>#REF!</f>
        <v>#REF!</v>
      </c>
      <c r="E1180" t="e">
        <f>#REF!</f>
        <v>#REF!</v>
      </c>
      <c r="F1180" t="e">
        <f>#REF!</f>
        <v>#REF!</v>
      </c>
      <c r="G1180" t="e">
        <f>#REF!</f>
        <v>#REF!</v>
      </c>
      <c r="H1180" t="e">
        <f>#REF!</f>
        <v>#REF!</v>
      </c>
    </row>
    <row r="1181" spans="1:8">
      <c r="A1181" t="e">
        <f>#REF!</f>
        <v>#REF!</v>
      </c>
      <c r="B1181" t="e">
        <f>#REF!</f>
        <v>#REF!</v>
      </c>
      <c r="C1181" t="e">
        <f>#REF!</f>
        <v>#REF!</v>
      </c>
      <c r="D1181" t="e">
        <f>#REF!</f>
        <v>#REF!</v>
      </c>
      <c r="E1181" t="e">
        <f>#REF!</f>
        <v>#REF!</v>
      </c>
      <c r="F1181" t="e">
        <f>#REF!</f>
        <v>#REF!</v>
      </c>
      <c r="G1181" t="e">
        <f>#REF!</f>
        <v>#REF!</v>
      </c>
      <c r="H1181" t="e">
        <f>#REF!</f>
        <v>#REF!</v>
      </c>
    </row>
    <row r="1182" spans="1:8">
      <c r="A1182" t="e">
        <f>#REF!</f>
        <v>#REF!</v>
      </c>
      <c r="B1182" t="e">
        <f>#REF!</f>
        <v>#REF!</v>
      </c>
      <c r="C1182" t="e">
        <f>#REF!</f>
        <v>#REF!</v>
      </c>
      <c r="D1182" t="e">
        <f>#REF!</f>
        <v>#REF!</v>
      </c>
      <c r="E1182" t="e">
        <f>#REF!</f>
        <v>#REF!</v>
      </c>
      <c r="F1182" t="e">
        <f>#REF!</f>
        <v>#REF!</v>
      </c>
      <c r="G1182" t="e">
        <f>#REF!</f>
        <v>#REF!</v>
      </c>
      <c r="H1182" t="e">
        <f>#REF!</f>
        <v>#REF!</v>
      </c>
    </row>
    <row r="1183" spans="1:8">
      <c r="A1183" t="e">
        <f>#REF!</f>
        <v>#REF!</v>
      </c>
      <c r="B1183" t="e">
        <f>#REF!</f>
        <v>#REF!</v>
      </c>
      <c r="C1183" t="e">
        <f>#REF!</f>
        <v>#REF!</v>
      </c>
      <c r="D1183" t="e">
        <f>#REF!</f>
        <v>#REF!</v>
      </c>
      <c r="E1183" t="e">
        <f>#REF!</f>
        <v>#REF!</v>
      </c>
      <c r="F1183" t="e">
        <f>#REF!</f>
        <v>#REF!</v>
      </c>
      <c r="G1183" t="e">
        <f>#REF!</f>
        <v>#REF!</v>
      </c>
      <c r="H1183" t="e">
        <f>#REF!</f>
        <v>#REF!</v>
      </c>
    </row>
    <row r="1184" spans="1:8">
      <c r="A1184" t="e">
        <f>#REF!</f>
        <v>#REF!</v>
      </c>
      <c r="B1184" t="e">
        <f>#REF!</f>
        <v>#REF!</v>
      </c>
      <c r="C1184" t="e">
        <f>#REF!</f>
        <v>#REF!</v>
      </c>
      <c r="D1184" t="e">
        <f>#REF!</f>
        <v>#REF!</v>
      </c>
      <c r="E1184" t="e">
        <f>#REF!</f>
        <v>#REF!</v>
      </c>
      <c r="F1184" t="e">
        <f>#REF!</f>
        <v>#REF!</v>
      </c>
      <c r="G1184" t="e">
        <f>#REF!</f>
        <v>#REF!</v>
      </c>
      <c r="H1184" t="e">
        <f>#REF!</f>
        <v>#REF!</v>
      </c>
    </row>
    <row r="1185" spans="1:8">
      <c r="A1185" t="e">
        <f>#REF!</f>
        <v>#REF!</v>
      </c>
      <c r="B1185" t="e">
        <f>#REF!</f>
        <v>#REF!</v>
      </c>
      <c r="C1185" t="e">
        <f>#REF!</f>
        <v>#REF!</v>
      </c>
      <c r="D1185" t="e">
        <f>#REF!</f>
        <v>#REF!</v>
      </c>
      <c r="E1185" t="e">
        <f>#REF!</f>
        <v>#REF!</v>
      </c>
      <c r="F1185" t="e">
        <f>#REF!</f>
        <v>#REF!</v>
      </c>
      <c r="G1185" t="e">
        <f>#REF!</f>
        <v>#REF!</v>
      </c>
      <c r="H1185" t="e">
        <f>#REF!</f>
        <v>#REF!</v>
      </c>
    </row>
    <row r="1186" spans="1:8">
      <c r="A1186" t="e">
        <f>#REF!</f>
        <v>#REF!</v>
      </c>
      <c r="B1186" t="e">
        <f>#REF!</f>
        <v>#REF!</v>
      </c>
      <c r="C1186" t="e">
        <f>#REF!</f>
        <v>#REF!</v>
      </c>
      <c r="D1186" t="e">
        <f>#REF!</f>
        <v>#REF!</v>
      </c>
      <c r="E1186" t="e">
        <f>#REF!</f>
        <v>#REF!</v>
      </c>
      <c r="F1186" t="e">
        <f>#REF!</f>
        <v>#REF!</v>
      </c>
      <c r="G1186" t="e">
        <f>#REF!</f>
        <v>#REF!</v>
      </c>
      <c r="H1186" t="e">
        <f>#REF!</f>
        <v>#REF!</v>
      </c>
    </row>
    <row r="1187" spans="1:8">
      <c r="A1187" t="e">
        <f>#REF!</f>
        <v>#REF!</v>
      </c>
      <c r="B1187" t="e">
        <f>#REF!</f>
        <v>#REF!</v>
      </c>
      <c r="C1187" t="e">
        <f>#REF!</f>
        <v>#REF!</v>
      </c>
      <c r="D1187" t="e">
        <f>#REF!</f>
        <v>#REF!</v>
      </c>
      <c r="E1187" t="e">
        <f>#REF!</f>
        <v>#REF!</v>
      </c>
      <c r="F1187" t="e">
        <f>#REF!</f>
        <v>#REF!</v>
      </c>
      <c r="G1187" t="e">
        <f>#REF!</f>
        <v>#REF!</v>
      </c>
      <c r="H1187" t="e">
        <f>#REF!</f>
        <v>#REF!</v>
      </c>
    </row>
    <row r="1188" spans="1:8">
      <c r="A1188" t="e">
        <f>#REF!</f>
        <v>#REF!</v>
      </c>
      <c r="B1188" t="e">
        <f>#REF!</f>
        <v>#REF!</v>
      </c>
      <c r="C1188" t="e">
        <f>#REF!</f>
        <v>#REF!</v>
      </c>
      <c r="D1188" t="e">
        <f>#REF!</f>
        <v>#REF!</v>
      </c>
      <c r="E1188" t="e">
        <f>#REF!</f>
        <v>#REF!</v>
      </c>
      <c r="F1188" t="e">
        <f>#REF!</f>
        <v>#REF!</v>
      </c>
      <c r="G1188" t="e">
        <f>#REF!</f>
        <v>#REF!</v>
      </c>
      <c r="H1188" t="e">
        <f>#REF!</f>
        <v>#REF!</v>
      </c>
    </row>
    <row r="1189" spans="1:8">
      <c r="A1189" t="e">
        <f>#REF!</f>
        <v>#REF!</v>
      </c>
      <c r="B1189" t="e">
        <f>#REF!</f>
        <v>#REF!</v>
      </c>
      <c r="C1189" t="e">
        <f>#REF!</f>
        <v>#REF!</v>
      </c>
      <c r="D1189" t="e">
        <f>#REF!</f>
        <v>#REF!</v>
      </c>
      <c r="E1189" t="e">
        <f>#REF!</f>
        <v>#REF!</v>
      </c>
      <c r="F1189" t="e">
        <f>#REF!</f>
        <v>#REF!</v>
      </c>
      <c r="G1189" t="e">
        <f>#REF!</f>
        <v>#REF!</v>
      </c>
      <c r="H1189" t="e">
        <f>#REF!</f>
        <v>#REF!</v>
      </c>
    </row>
    <row r="1190" spans="1:8">
      <c r="A1190" t="e">
        <f>#REF!</f>
        <v>#REF!</v>
      </c>
      <c r="B1190" t="e">
        <f>#REF!</f>
        <v>#REF!</v>
      </c>
      <c r="C1190" t="e">
        <f>#REF!</f>
        <v>#REF!</v>
      </c>
      <c r="D1190" t="e">
        <f>#REF!</f>
        <v>#REF!</v>
      </c>
      <c r="E1190" t="e">
        <f>#REF!</f>
        <v>#REF!</v>
      </c>
      <c r="F1190" t="e">
        <f>#REF!</f>
        <v>#REF!</v>
      </c>
      <c r="G1190" t="e">
        <f>#REF!</f>
        <v>#REF!</v>
      </c>
      <c r="H1190" t="e">
        <f>#REF!</f>
        <v>#REF!</v>
      </c>
    </row>
    <row r="1191" spans="1:8">
      <c r="A1191" t="e">
        <f>#REF!</f>
        <v>#REF!</v>
      </c>
      <c r="B1191" t="e">
        <f>#REF!</f>
        <v>#REF!</v>
      </c>
      <c r="C1191" t="e">
        <f>#REF!</f>
        <v>#REF!</v>
      </c>
      <c r="D1191" t="e">
        <f>#REF!</f>
        <v>#REF!</v>
      </c>
      <c r="E1191" t="e">
        <f>#REF!</f>
        <v>#REF!</v>
      </c>
      <c r="F1191" t="e">
        <f>#REF!</f>
        <v>#REF!</v>
      </c>
      <c r="G1191" t="e">
        <f>#REF!</f>
        <v>#REF!</v>
      </c>
      <c r="H1191" t="e">
        <f>#REF!</f>
        <v>#REF!</v>
      </c>
    </row>
    <row r="1192" spans="1:8">
      <c r="A1192" t="e">
        <f>#REF!</f>
        <v>#REF!</v>
      </c>
      <c r="B1192" t="e">
        <f>#REF!</f>
        <v>#REF!</v>
      </c>
      <c r="C1192" t="e">
        <f>#REF!</f>
        <v>#REF!</v>
      </c>
      <c r="D1192" t="e">
        <f>#REF!</f>
        <v>#REF!</v>
      </c>
      <c r="E1192" t="e">
        <f>#REF!</f>
        <v>#REF!</v>
      </c>
      <c r="F1192" t="e">
        <f>#REF!</f>
        <v>#REF!</v>
      </c>
      <c r="G1192" t="e">
        <f>#REF!</f>
        <v>#REF!</v>
      </c>
      <c r="H1192" t="e">
        <f>#REF!</f>
        <v>#REF!</v>
      </c>
    </row>
    <row r="1193" spans="1:8">
      <c r="A1193" t="e">
        <f>#REF!</f>
        <v>#REF!</v>
      </c>
      <c r="B1193" t="e">
        <f>#REF!</f>
        <v>#REF!</v>
      </c>
      <c r="C1193" t="e">
        <f>#REF!</f>
        <v>#REF!</v>
      </c>
      <c r="D1193" t="e">
        <f>#REF!</f>
        <v>#REF!</v>
      </c>
      <c r="E1193" t="e">
        <f>#REF!</f>
        <v>#REF!</v>
      </c>
      <c r="F1193" t="e">
        <f>#REF!</f>
        <v>#REF!</v>
      </c>
      <c r="G1193" t="e">
        <f>#REF!</f>
        <v>#REF!</v>
      </c>
      <c r="H1193" t="e">
        <f>#REF!</f>
        <v>#REF!</v>
      </c>
    </row>
    <row r="1194" spans="1:8">
      <c r="A1194" t="e">
        <f>#REF!</f>
        <v>#REF!</v>
      </c>
      <c r="B1194" t="e">
        <f>#REF!</f>
        <v>#REF!</v>
      </c>
      <c r="C1194" t="e">
        <f>#REF!</f>
        <v>#REF!</v>
      </c>
      <c r="D1194" t="e">
        <f>#REF!</f>
        <v>#REF!</v>
      </c>
      <c r="E1194" t="e">
        <f>#REF!</f>
        <v>#REF!</v>
      </c>
      <c r="F1194" t="e">
        <f>#REF!</f>
        <v>#REF!</v>
      </c>
      <c r="G1194" t="e">
        <f>#REF!</f>
        <v>#REF!</v>
      </c>
      <c r="H1194" t="e">
        <f>#REF!</f>
        <v>#REF!</v>
      </c>
    </row>
    <row r="1195" spans="1:8">
      <c r="A1195" t="e">
        <f>#REF!</f>
        <v>#REF!</v>
      </c>
      <c r="B1195" t="e">
        <f>#REF!</f>
        <v>#REF!</v>
      </c>
      <c r="C1195" t="e">
        <f>#REF!</f>
        <v>#REF!</v>
      </c>
      <c r="D1195" t="e">
        <f>#REF!</f>
        <v>#REF!</v>
      </c>
      <c r="E1195" t="e">
        <f>#REF!</f>
        <v>#REF!</v>
      </c>
      <c r="F1195" t="e">
        <f>#REF!</f>
        <v>#REF!</v>
      </c>
      <c r="G1195" t="e">
        <f>#REF!</f>
        <v>#REF!</v>
      </c>
      <c r="H1195" t="e">
        <f>#REF!</f>
        <v>#REF!</v>
      </c>
    </row>
    <row r="1196" spans="1:8">
      <c r="A1196" t="e">
        <f>#REF!</f>
        <v>#REF!</v>
      </c>
      <c r="B1196" t="e">
        <f>#REF!</f>
        <v>#REF!</v>
      </c>
      <c r="C1196" t="e">
        <f>#REF!</f>
        <v>#REF!</v>
      </c>
      <c r="D1196" t="e">
        <f>#REF!</f>
        <v>#REF!</v>
      </c>
      <c r="E1196" t="e">
        <f>#REF!</f>
        <v>#REF!</v>
      </c>
      <c r="F1196" t="e">
        <f>#REF!</f>
        <v>#REF!</v>
      </c>
      <c r="G1196" t="e">
        <f>#REF!</f>
        <v>#REF!</v>
      </c>
      <c r="H1196" t="e">
        <f>#REF!</f>
        <v>#REF!</v>
      </c>
    </row>
    <row r="1197" spans="1:8">
      <c r="A1197" t="e">
        <f>#REF!</f>
        <v>#REF!</v>
      </c>
      <c r="B1197" t="e">
        <f>#REF!</f>
        <v>#REF!</v>
      </c>
      <c r="C1197" t="e">
        <f>#REF!</f>
        <v>#REF!</v>
      </c>
      <c r="D1197" t="e">
        <f>#REF!</f>
        <v>#REF!</v>
      </c>
      <c r="E1197" t="e">
        <f>#REF!</f>
        <v>#REF!</v>
      </c>
      <c r="F1197" t="e">
        <f>#REF!</f>
        <v>#REF!</v>
      </c>
      <c r="G1197" t="e">
        <f>#REF!</f>
        <v>#REF!</v>
      </c>
      <c r="H1197" t="e">
        <f>#REF!</f>
        <v>#REF!</v>
      </c>
    </row>
    <row r="1198" spans="1:8">
      <c r="A1198" t="e">
        <f>#REF!</f>
        <v>#REF!</v>
      </c>
      <c r="B1198" t="e">
        <f>#REF!</f>
        <v>#REF!</v>
      </c>
      <c r="C1198" t="e">
        <f>#REF!</f>
        <v>#REF!</v>
      </c>
      <c r="D1198" t="e">
        <f>#REF!</f>
        <v>#REF!</v>
      </c>
      <c r="E1198" t="e">
        <f>#REF!</f>
        <v>#REF!</v>
      </c>
      <c r="F1198" t="e">
        <f>#REF!</f>
        <v>#REF!</v>
      </c>
      <c r="G1198" t="e">
        <f>#REF!</f>
        <v>#REF!</v>
      </c>
      <c r="H1198" t="e">
        <f>#REF!</f>
        <v>#REF!</v>
      </c>
    </row>
    <row r="1199" spans="1:8">
      <c r="A1199" t="e">
        <f>#REF!</f>
        <v>#REF!</v>
      </c>
      <c r="B1199" t="e">
        <f>#REF!</f>
        <v>#REF!</v>
      </c>
      <c r="C1199" t="e">
        <f>#REF!</f>
        <v>#REF!</v>
      </c>
      <c r="D1199" t="e">
        <f>#REF!</f>
        <v>#REF!</v>
      </c>
      <c r="E1199" t="e">
        <f>#REF!</f>
        <v>#REF!</v>
      </c>
      <c r="F1199" t="e">
        <f>#REF!</f>
        <v>#REF!</v>
      </c>
      <c r="G1199" t="e">
        <f>#REF!</f>
        <v>#REF!</v>
      </c>
      <c r="H1199" t="e">
        <f>#REF!</f>
        <v>#REF!</v>
      </c>
    </row>
    <row r="1200" spans="1:8">
      <c r="A1200" t="e">
        <f>#REF!</f>
        <v>#REF!</v>
      </c>
      <c r="B1200" t="e">
        <f>#REF!</f>
        <v>#REF!</v>
      </c>
      <c r="C1200" t="e">
        <f>#REF!</f>
        <v>#REF!</v>
      </c>
      <c r="D1200" t="e">
        <f>#REF!</f>
        <v>#REF!</v>
      </c>
      <c r="E1200" t="e">
        <f>#REF!</f>
        <v>#REF!</v>
      </c>
      <c r="F1200" t="e">
        <f>#REF!</f>
        <v>#REF!</v>
      </c>
      <c r="G1200" t="e">
        <f>#REF!</f>
        <v>#REF!</v>
      </c>
      <c r="H1200" t="e">
        <f>#REF!</f>
        <v>#REF!</v>
      </c>
    </row>
    <row r="1201" spans="1:8">
      <c r="A1201" t="e">
        <f>#REF!</f>
        <v>#REF!</v>
      </c>
      <c r="B1201" t="e">
        <f>#REF!</f>
        <v>#REF!</v>
      </c>
      <c r="C1201" t="e">
        <f>#REF!</f>
        <v>#REF!</v>
      </c>
      <c r="D1201" t="e">
        <f>#REF!</f>
        <v>#REF!</v>
      </c>
      <c r="E1201" t="e">
        <f>#REF!</f>
        <v>#REF!</v>
      </c>
      <c r="F1201" t="e">
        <f>#REF!</f>
        <v>#REF!</v>
      </c>
      <c r="G1201" t="e">
        <f>#REF!</f>
        <v>#REF!</v>
      </c>
      <c r="H1201" t="e">
        <f>#REF!</f>
        <v>#REF!</v>
      </c>
    </row>
    <row r="1202" spans="1:8">
      <c r="A1202" t="e">
        <f>#REF!</f>
        <v>#REF!</v>
      </c>
      <c r="B1202" t="e">
        <f>#REF!</f>
        <v>#REF!</v>
      </c>
      <c r="C1202" t="e">
        <f>#REF!</f>
        <v>#REF!</v>
      </c>
      <c r="D1202" t="e">
        <f>#REF!</f>
        <v>#REF!</v>
      </c>
      <c r="E1202" t="e">
        <f>#REF!</f>
        <v>#REF!</v>
      </c>
      <c r="F1202" t="e">
        <f>#REF!</f>
        <v>#REF!</v>
      </c>
      <c r="G1202" t="e">
        <f>#REF!</f>
        <v>#REF!</v>
      </c>
      <c r="H1202" t="e">
        <f>#REF!</f>
        <v>#REF!</v>
      </c>
    </row>
    <row r="1203" spans="1:8">
      <c r="A1203" t="e">
        <f>#REF!</f>
        <v>#REF!</v>
      </c>
      <c r="B1203" t="e">
        <f>#REF!</f>
        <v>#REF!</v>
      </c>
      <c r="C1203" t="e">
        <f>#REF!</f>
        <v>#REF!</v>
      </c>
      <c r="D1203" t="e">
        <f>#REF!</f>
        <v>#REF!</v>
      </c>
      <c r="E1203" t="e">
        <f>#REF!</f>
        <v>#REF!</v>
      </c>
      <c r="F1203" t="e">
        <f>#REF!</f>
        <v>#REF!</v>
      </c>
      <c r="G1203" t="e">
        <f>#REF!</f>
        <v>#REF!</v>
      </c>
      <c r="H1203" t="e">
        <f>#REF!</f>
        <v>#REF!</v>
      </c>
    </row>
    <row r="1204" spans="1:8">
      <c r="A1204" t="e">
        <f>#REF!</f>
        <v>#REF!</v>
      </c>
      <c r="B1204" t="e">
        <f>#REF!</f>
        <v>#REF!</v>
      </c>
      <c r="C1204" t="e">
        <f>#REF!</f>
        <v>#REF!</v>
      </c>
      <c r="D1204" t="e">
        <f>#REF!</f>
        <v>#REF!</v>
      </c>
      <c r="E1204" t="e">
        <f>#REF!</f>
        <v>#REF!</v>
      </c>
      <c r="F1204" t="e">
        <f>#REF!</f>
        <v>#REF!</v>
      </c>
      <c r="G1204" t="e">
        <f>#REF!</f>
        <v>#REF!</v>
      </c>
      <c r="H1204" t="e">
        <f>#REF!</f>
        <v>#REF!</v>
      </c>
    </row>
    <row r="1205" spans="1:8">
      <c r="A1205" t="e">
        <f>#REF!</f>
        <v>#REF!</v>
      </c>
      <c r="B1205" t="e">
        <f>#REF!</f>
        <v>#REF!</v>
      </c>
      <c r="C1205" t="e">
        <f>#REF!</f>
        <v>#REF!</v>
      </c>
      <c r="D1205" t="e">
        <f>#REF!</f>
        <v>#REF!</v>
      </c>
      <c r="E1205" t="e">
        <f>#REF!</f>
        <v>#REF!</v>
      </c>
      <c r="F1205" t="e">
        <f>#REF!</f>
        <v>#REF!</v>
      </c>
      <c r="G1205" t="e">
        <f>#REF!</f>
        <v>#REF!</v>
      </c>
      <c r="H1205" t="e">
        <f>#REF!</f>
        <v>#REF!</v>
      </c>
    </row>
    <row r="1206" spans="1:8">
      <c r="A1206" t="e">
        <f>#REF!</f>
        <v>#REF!</v>
      </c>
      <c r="B1206" t="e">
        <f>#REF!</f>
        <v>#REF!</v>
      </c>
      <c r="C1206" t="e">
        <f>#REF!</f>
        <v>#REF!</v>
      </c>
      <c r="D1206" t="e">
        <f>#REF!</f>
        <v>#REF!</v>
      </c>
      <c r="E1206" t="e">
        <f>#REF!</f>
        <v>#REF!</v>
      </c>
      <c r="F1206" t="e">
        <f>#REF!</f>
        <v>#REF!</v>
      </c>
      <c r="G1206" t="e">
        <f>#REF!</f>
        <v>#REF!</v>
      </c>
      <c r="H1206" t="e">
        <f>#REF!</f>
        <v>#REF!</v>
      </c>
    </row>
    <row r="1207" spans="1:8">
      <c r="A1207" t="e">
        <f>#REF!</f>
        <v>#REF!</v>
      </c>
      <c r="B1207" t="e">
        <f>#REF!</f>
        <v>#REF!</v>
      </c>
      <c r="C1207" t="e">
        <f>#REF!</f>
        <v>#REF!</v>
      </c>
      <c r="D1207" t="e">
        <f>#REF!</f>
        <v>#REF!</v>
      </c>
      <c r="E1207" t="e">
        <f>#REF!</f>
        <v>#REF!</v>
      </c>
      <c r="F1207" t="e">
        <f>#REF!</f>
        <v>#REF!</v>
      </c>
      <c r="G1207" t="e">
        <f>#REF!</f>
        <v>#REF!</v>
      </c>
      <c r="H1207" t="e">
        <f>#REF!</f>
        <v>#REF!</v>
      </c>
    </row>
    <row r="1208" spans="1:8">
      <c r="A1208" t="e">
        <f>#REF!</f>
        <v>#REF!</v>
      </c>
      <c r="B1208" t="e">
        <f>#REF!</f>
        <v>#REF!</v>
      </c>
      <c r="C1208" t="e">
        <f>#REF!</f>
        <v>#REF!</v>
      </c>
      <c r="D1208" t="e">
        <f>#REF!</f>
        <v>#REF!</v>
      </c>
      <c r="E1208" t="e">
        <f>#REF!</f>
        <v>#REF!</v>
      </c>
      <c r="F1208" t="e">
        <f>#REF!</f>
        <v>#REF!</v>
      </c>
      <c r="G1208" t="e">
        <f>#REF!</f>
        <v>#REF!</v>
      </c>
      <c r="H1208" t="e">
        <f>#REF!</f>
        <v>#REF!</v>
      </c>
    </row>
    <row r="1209" spans="1:8">
      <c r="A1209" t="e">
        <f>#REF!</f>
        <v>#REF!</v>
      </c>
      <c r="B1209" t="e">
        <f>#REF!</f>
        <v>#REF!</v>
      </c>
      <c r="C1209" t="e">
        <f>#REF!</f>
        <v>#REF!</v>
      </c>
      <c r="D1209" t="e">
        <f>#REF!</f>
        <v>#REF!</v>
      </c>
      <c r="E1209" t="e">
        <f>#REF!</f>
        <v>#REF!</v>
      </c>
      <c r="F1209" t="e">
        <f>#REF!</f>
        <v>#REF!</v>
      </c>
      <c r="G1209" t="e">
        <f>#REF!</f>
        <v>#REF!</v>
      </c>
      <c r="H1209" t="e">
        <f>#REF!</f>
        <v>#REF!</v>
      </c>
    </row>
    <row r="1210" spans="1:8">
      <c r="A1210" t="e">
        <f>#REF!</f>
        <v>#REF!</v>
      </c>
      <c r="B1210" t="e">
        <f>#REF!</f>
        <v>#REF!</v>
      </c>
      <c r="C1210" t="e">
        <f>#REF!</f>
        <v>#REF!</v>
      </c>
      <c r="D1210" t="e">
        <f>#REF!</f>
        <v>#REF!</v>
      </c>
      <c r="E1210" t="e">
        <f>#REF!</f>
        <v>#REF!</v>
      </c>
      <c r="F1210" t="e">
        <f>#REF!</f>
        <v>#REF!</v>
      </c>
      <c r="G1210" t="e">
        <f>#REF!</f>
        <v>#REF!</v>
      </c>
      <c r="H1210" t="e">
        <f>#REF!</f>
        <v>#REF!</v>
      </c>
    </row>
    <row r="1211" spans="1:8">
      <c r="A1211" t="e">
        <f>#REF!</f>
        <v>#REF!</v>
      </c>
      <c r="B1211" t="e">
        <f>#REF!</f>
        <v>#REF!</v>
      </c>
      <c r="C1211" t="e">
        <f>#REF!</f>
        <v>#REF!</v>
      </c>
      <c r="D1211" t="e">
        <f>#REF!</f>
        <v>#REF!</v>
      </c>
      <c r="E1211" t="e">
        <f>#REF!</f>
        <v>#REF!</v>
      </c>
      <c r="F1211" t="e">
        <f>#REF!</f>
        <v>#REF!</v>
      </c>
      <c r="G1211" t="e">
        <f>#REF!</f>
        <v>#REF!</v>
      </c>
      <c r="H1211" t="e">
        <f>#REF!</f>
        <v>#REF!</v>
      </c>
    </row>
    <row r="1212" spans="1:8">
      <c r="A1212" t="e">
        <f>#REF!</f>
        <v>#REF!</v>
      </c>
      <c r="B1212" t="e">
        <f>#REF!</f>
        <v>#REF!</v>
      </c>
      <c r="C1212" t="e">
        <f>#REF!</f>
        <v>#REF!</v>
      </c>
      <c r="D1212" t="e">
        <f>#REF!</f>
        <v>#REF!</v>
      </c>
      <c r="E1212" t="e">
        <f>#REF!</f>
        <v>#REF!</v>
      </c>
      <c r="F1212" t="e">
        <f>#REF!</f>
        <v>#REF!</v>
      </c>
      <c r="G1212" t="e">
        <f>#REF!</f>
        <v>#REF!</v>
      </c>
      <c r="H1212" t="e">
        <f>#REF!</f>
        <v>#REF!</v>
      </c>
    </row>
    <row r="1213" spans="1:8">
      <c r="A1213" t="e">
        <f>#REF!</f>
        <v>#REF!</v>
      </c>
      <c r="B1213" t="e">
        <f>#REF!</f>
        <v>#REF!</v>
      </c>
      <c r="C1213" t="e">
        <f>#REF!</f>
        <v>#REF!</v>
      </c>
      <c r="D1213" t="e">
        <f>#REF!</f>
        <v>#REF!</v>
      </c>
      <c r="E1213" t="e">
        <f>#REF!</f>
        <v>#REF!</v>
      </c>
      <c r="F1213" t="e">
        <f>#REF!</f>
        <v>#REF!</v>
      </c>
      <c r="G1213" t="e">
        <f>#REF!</f>
        <v>#REF!</v>
      </c>
      <c r="H1213" t="e">
        <f>#REF!</f>
        <v>#REF!</v>
      </c>
    </row>
    <row r="1214" spans="1:8">
      <c r="A1214" t="e">
        <f>#REF!</f>
        <v>#REF!</v>
      </c>
      <c r="B1214" t="e">
        <f>#REF!</f>
        <v>#REF!</v>
      </c>
      <c r="C1214" t="e">
        <f>#REF!</f>
        <v>#REF!</v>
      </c>
      <c r="D1214" t="e">
        <f>#REF!</f>
        <v>#REF!</v>
      </c>
      <c r="E1214" t="e">
        <f>#REF!</f>
        <v>#REF!</v>
      </c>
      <c r="F1214" t="e">
        <f>#REF!</f>
        <v>#REF!</v>
      </c>
      <c r="G1214" t="e">
        <f>#REF!</f>
        <v>#REF!</v>
      </c>
      <c r="H1214" t="e">
        <f>#REF!</f>
        <v>#REF!</v>
      </c>
    </row>
    <row r="1215" spans="1:8">
      <c r="A1215" t="e">
        <f>#REF!</f>
        <v>#REF!</v>
      </c>
      <c r="B1215" t="e">
        <f>#REF!</f>
        <v>#REF!</v>
      </c>
      <c r="C1215" t="e">
        <f>#REF!</f>
        <v>#REF!</v>
      </c>
      <c r="D1215" t="e">
        <f>#REF!</f>
        <v>#REF!</v>
      </c>
      <c r="E1215" t="e">
        <f>#REF!</f>
        <v>#REF!</v>
      </c>
      <c r="F1215" t="e">
        <f>#REF!</f>
        <v>#REF!</v>
      </c>
      <c r="G1215" t="e">
        <f>#REF!</f>
        <v>#REF!</v>
      </c>
      <c r="H1215" t="e">
        <f>#REF!</f>
        <v>#REF!</v>
      </c>
    </row>
    <row r="1216" spans="1:8">
      <c r="A1216" t="e">
        <f>#REF!</f>
        <v>#REF!</v>
      </c>
      <c r="B1216" t="e">
        <f>#REF!</f>
        <v>#REF!</v>
      </c>
      <c r="C1216" t="e">
        <f>#REF!</f>
        <v>#REF!</v>
      </c>
      <c r="D1216" t="e">
        <f>#REF!</f>
        <v>#REF!</v>
      </c>
      <c r="E1216" t="e">
        <f>#REF!</f>
        <v>#REF!</v>
      </c>
      <c r="F1216" t="e">
        <f>#REF!</f>
        <v>#REF!</v>
      </c>
      <c r="G1216" t="e">
        <f>#REF!</f>
        <v>#REF!</v>
      </c>
      <c r="H1216" t="e">
        <f>#REF!</f>
        <v>#REF!</v>
      </c>
    </row>
    <row r="1217" spans="1:8">
      <c r="A1217" t="e">
        <f>#REF!</f>
        <v>#REF!</v>
      </c>
      <c r="B1217" t="e">
        <f>#REF!</f>
        <v>#REF!</v>
      </c>
      <c r="C1217" t="e">
        <f>#REF!</f>
        <v>#REF!</v>
      </c>
      <c r="D1217" t="e">
        <f>#REF!</f>
        <v>#REF!</v>
      </c>
      <c r="E1217" t="e">
        <f>#REF!</f>
        <v>#REF!</v>
      </c>
      <c r="F1217" t="e">
        <f>#REF!</f>
        <v>#REF!</v>
      </c>
      <c r="G1217" t="e">
        <f>#REF!</f>
        <v>#REF!</v>
      </c>
      <c r="H1217" t="e">
        <f>#REF!</f>
        <v>#REF!</v>
      </c>
    </row>
    <row r="1218" spans="1:8">
      <c r="A1218" t="e">
        <f>#REF!</f>
        <v>#REF!</v>
      </c>
      <c r="B1218" t="e">
        <f>#REF!</f>
        <v>#REF!</v>
      </c>
      <c r="C1218" t="e">
        <f>#REF!</f>
        <v>#REF!</v>
      </c>
      <c r="D1218" t="e">
        <f>#REF!</f>
        <v>#REF!</v>
      </c>
      <c r="E1218" t="e">
        <f>#REF!</f>
        <v>#REF!</v>
      </c>
      <c r="F1218" t="e">
        <f>#REF!</f>
        <v>#REF!</v>
      </c>
      <c r="G1218" t="e">
        <f>#REF!</f>
        <v>#REF!</v>
      </c>
      <c r="H1218" t="e">
        <f>#REF!</f>
        <v>#REF!</v>
      </c>
    </row>
    <row r="1219" spans="1:8">
      <c r="A1219" t="e">
        <f>#REF!</f>
        <v>#REF!</v>
      </c>
      <c r="B1219" t="e">
        <f>#REF!</f>
        <v>#REF!</v>
      </c>
      <c r="C1219" t="e">
        <f>#REF!</f>
        <v>#REF!</v>
      </c>
      <c r="D1219" t="e">
        <f>#REF!</f>
        <v>#REF!</v>
      </c>
      <c r="E1219" t="e">
        <f>#REF!</f>
        <v>#REF!</v>
      </c>
      <c r="F1219" t="e">
        <f>#REF!</f>
        <v>#REF!</v>
      </c>
      <c r="G1219" t="e">
        <f>#REF!</f>
        <v>#REF!</v>
      </c>
      <c r="H1219" t="e">
        <f>#REF!</f>
        <v>#REF!</v>
      </c>
    </row>
    <row r="1220" spans="1:8">
      <c r="A1220" t="e">
        <f>#REF!</f>
        <v>#REF!</v>
      </c>
      <c r="B1220" t="e">
        <f>#REF!</f>
        <v>#REF!</v>
      </c>
      <c r="C1220" t="e">
        <f>#REF!</f>
        <v>#REF!</v>
      </c>
      <c r="D1220" t="e">
        <f>#REF!</f>
        <v>#REF!</v>
      </c>
      <c r="E1220" t="e">
        <f>#REF!</f>
        <v>#REF!</v>
      </c>
      <c r="F1220" t="e">
        <f>#REF!</f>
        <v>#REF!</v>
      </c>
      <c r="G1220" t="e">
        <f>#REF!</f>
        <v>#REF!</v>
      </c>
      <c r="H1220" t="e">
        <f>#REF!</f>
        <v>#REF!</v>
      </c>
    </row>
    <row r="1221" spans="1:8">
      <c r="A1221" t="e">
        <f>#REF!</f>
        <v>#REF!</v>
      </c>
      <c r="B1221" t="e">
        <f>#REF!</f>
        <v>#REF!</v>
      </c>
      <c r="C1221" t="e">
        <f>#REF!</f>
        <v>#REF!</v>
      </c>
      <c r="D1221" t="e">
        <f>#REF!</f>
        <v>#REF!</v>
      </c>
      <c r="E1221" t="e">
        <f>#REF!</f>
        <v>#REF!</v>
      </c>
      <c r="F1221" t="e">
        <f>#REF!</f>
        <v>#REF!</v>
      </c>
      <c r="G1221" t="e">
        <f>#REF!</f>
        <v>#REF!</v>
      </c>
      <c r="H1221" t="e">
        <f>#REF!</f>
        <v>#REF!</v>
      </c>
    </row>
    <row r="1222" spans="1:8">
      <c r="A1222" t="e">
        <f>#REF!</f>
        <v>#REF!</v>
      </c>
      <c r="B1222" t="e">
        <f>#REF!</f>
        <v>#REF!</v>
      </c>
      <c r="C1222" t="e">
        <f>#REF!</f>
        <v>#REF!</v>
      </c>
      <c r="D1222" t="e">
        <f>#REF!</f>
        <v>#REF!</v>
      </c>
      <c r="E1222" t="e">
        <f>#REF!</f>
        <v>#REF!</v>
      </c>
      <c r="F1222" t="e">
        <f>#REF!</f>
        <v>#REF!</v>
      </c>
      <c r="G1222" t="e">
        <f>#REF!</f>
        <v>#REF!</v>
      </c>
      <c r="H1222" t="e">
        <f>#REF!</f>
        <v>#REF!</v>
      </c>
    </row>
    <row r="1223" spans="1:8">
      <c r="A1223" t="e">
        <f>#REF!</f>
        <v>#REF!</v>
      </c>
      <c r="B1223" t="e">
        <f>#REF!</f>
        <v>#REF!</v>
      </c>
      <c r="C1223" t="e">
        <f>#REF!</f>
        <v>#REF!</v>
      </c>
      <c r="D1223" t="e">
        <f>#REF!</f>
        <v>#REF!</v>
      </c>
      <c r="E1223" t="e">
        <f>#REF!</f>
        <v>#REF!</v>
      </c>
      <c r="F1223" t="e">
        <f>#REF!</f>
        <v>#REF!</v>
      </c>
      <c r="G1223" t="e">
        <f>#REF!</f>
        <v>#REF!</v>
      </c>
      <c r="H1223" t="e">
        <f>#REF!</f>
        <v>#REF!</v>
      </c>
    </row>
    <row r="1224" spans="1:8">
      <c r="A1224" t="e">
        <f>#REF!</f>
        <v>#REF!</v>
      </c>
      <c r="B1224" t="e">
        <f>#REF!</f>
        <v>#REF!</v>
      </c>
      <c r="C1224" t="e">
        <f>#REF!</f>
        <v>#REF!</v>
      </c>
      <c r="D1224" t="e">
        <f>#REF!</f>
        <v>#REF!</v>
      </c>
      <c r="E1224" t="e">
        <f>#REF!</f>
        <v>#REF!</v>
      </c>
      <c r="F1224" t="e">
        <f>#REF!</f>
        <v>#REF!</v>
      </c>
      <c r="G1224" t="e">
        <f>#REF!</f>
        <v>#REF!</v>
      </c>
      <c r="H1224" t="e">
        <f>#REF!</f>
        <v>#REF!</v>
      </c>
    </row>
    <row r="1225" spans="1:8">
      <c r="A1225" t="e">
        <f>#REF!</f>
        <v>#REF!</v>
      </c>
      <c r="B1225" t="e">
        <f>#REF!</f>
        <v>#REF!</v>
      </c>
      <c r="C1225" t="e">
        <f>#REF!</f>
        <v>#REF!</v>
      </c>
      <c r="D1225" t="e">
        <f>#REF!</f>
        <v>#REF!</v>
      </c>
      <c r="E1225" t="e">
        <f>#REF!</f>
        <v>#REF!</v>
      </c>
      <c r="F1225" t="e">
        <f>#REF!</f>
        <v>#REF!</v>
      </c>
      <c r="G1225" t="e">
        <f>#REF!</f>
        <v>#REF!</v>
      </c>
      <c r="H1225" t="e">
        <f>#REF!</f>
        <v>#REF!</v>
      </c>
    </row>
    <row r="1226" spans="1:8">
      <c r="A1226" t="e">
        <f>#REF!</f>
        <v>#REF!</v>
      </c>
      <c r="B1226" t="e">
        <f>#REF!</f>
        <v>#REF!</v>
      </c>
      <c r="C1226" t="e">
        <f>#REF!</f>
        <v>#REF!</v>
      </c>
      <c r="D1226" t="e">
        <f>#REF!</f>
        <v>#REF!</v>
      </c>
      <c r="E1226" t="e">
        <f>#REF!</f>
        <v>#REF!</v>
      </c>
      <c r="F1226" t="e">
        <f>#REF!</f>
        <v>#REF!</v>
      </c>
      <c r="G1226" t="e">
        <f>#REF!</f>
        <v>#REF!</v>
      </c>
      <c r="H1226" t="e">
        <f>#REF!</f>
        <v>#REF!</v>
      </c>
    </row>
    <row r="1227" spans="1:8">
      <c r="A1227" t="e">
        <f>#REF!</f>
        <v>#REF!</v>
      </c>
      <c r="B1227" t="e">
        <f>#REF!</f>
        <v>#REF!</v>
      </c>
      <c r="C1227" t="e">
        <f>#REF!</f>
        <v>#REF!</v>
      </c>
      <c r="D1227" t="e">
        <f>#REF!</f>
        <v>#REF!</v>
      </c>
      <c r="E1227" t="e">
        <f>#REF!</f>
        <v>#REF!</v>
      </c>
      <c r="F1227" t="e">
        <f>#REF!</f>
        <v>#REF!</v>
      </c>
      <c r="G1227" t="e">
        <f>#REF!</f>
        <v>#REF!</v>
      </c>
      <c r="H1227" t="e">
        <f>#REF!</f>
        <v>#REF!</v>
      </c>
    </row>
    <row r="1228" spans="1:8">
      <c r="A1228" t="e">
        <f>#REF!</f>
        <v>#REF!</v>
      </c>
      <c r="B1228" t="e">
        <f>#REF!</f>
        <v>#REF!</v>
      </c>
      <c r="C1228" t="e">
        <f>#REF!</f>
        <v>#REF!</v>
      </c>
      <c r="D1228" t="e">
        <f>#REF!</f>
        <v>#REF!</v>
      </c>
      <c r="E1228" t="e">
        <f>#REF!</f>
        <v>#REF!</v>
      </c>
      <c r="F1228" t="e">
        <f>#REF!</f>
        <v>#REF!</v>
      </c>
      <c r="G1228" t="e">
        <f>#REF!</f>
        <v>#REF!</v>
      </c>
      <c r="H1228" t="e">
        <f>#REF!</f>
        <v>#REF!</v>
      </c>
    </row>
    <row r="1229" spans="1:8">
      <c r="A1229" t="e">
        <f>#REF!</f>
        <v>#REF!</v>
      </c>
      <c r="B1229" t="e">
        <f>#REF!</f>
        <v>#REF!</v>
      </c>
      <c r="C1229" t="e">
        <f>#REF!</f>
        <v>#REF!</v>
      </c>
      <c r="D1229" t="e">
        <f>#REF!</f>
        <v>#REF!</v>
      </c>
      <c r="E1229" t="e">
        <f>#REF!</f>
        <v>#REF!</v>
      </c>
      <c r="F1229" t="e">
        <f>#REF!</f>
        <v>#REF!</v>
      </c>
      <c r="G1229" t="e">
        <f>#REF!</f>
        <v>#REF!</v>
      </c>
      <c r="H1229" t="e">
        <f>#REF!</f>
        <v>#REF!</v>
      </c>
    </row>
    <row r="1230" spans="1:8">
      <c r="A1230" t="e">
        <f>#REF!</f>
        <v>#REF!</v>
      </c>
      <c r="B1230" t="e">
        <f>#REF!</f>
        <v>#REF!</v>
      </c>
      <c r="C1230" t="e">
        <f>#REF!</f>
        <v>#REF!</v>
      </c>
      <c r="D1230" t="e">
        <f>#REF!</f>
        <v>#REF!</v>
      </c>
      <c r="E1230" t="e">
        <f>#REF!</f>
        <v>#REF!</v>
      </c>
      <c r="F1230" t="e">
        <f>#REF!</f>
        <v>#REF!</v>
      </c>
      <c r="G1230" t="e">
        <f>#REF!</f>
        <v>#REF!</v>
      </c>
      <c r="H1230" t="e">
        <f>#REF!</f>
        <v>#REF!</v>
      </c>
    </row>
    <row r="1231" spans="1:8">
      <c r="A1231" t="e">
        <f>#REF!</f>
        <v>#REF!</v>
      </c>
      <c r="B1231" t="e">
        <f>#REF!</f>
        <v>#REF!</v>
      </c>
      <c r="C1231" t="e">
        <f>#REF!</f>
        <v>#REF!</v>
      </c>
      <c r="D1231" t="e">
        <f>#REF!</f>
        <v>#REF!</v>
      </c>
      <c r="E1231" t="e">
        <f>#REF!</f>
        <v>#REF!</v>
      </c>
      <c r="F1231" t="e">
        <f>#REF!</f>
        <v>#REF!</v>
      </c>
      <c r="G1231" t="e">
        <f>#REF!</f>
        <v>#REF!</v>
      </c>
      <c r="H1231" t="e">
        <f>#REF!</f>
        <v>#REF!</v>
      </c>
    </row>
    <row r="1232" spans="1:8">
      <c r="A1232" t="e">
        <f>#REF!</f>
        <v>#REF!</v>
      </c>
      <c r="B1232" t="e">
        <f>#REF!</f>
        <v>#REF!</v>
      </c>
      <c r="C1232" t="e">
        <f>#REF!</f>
        <v>#REF!</v>
      </c>
      <c r="D1232" t="e">
        <f>#REF!</f>
        <v>#REF!</v>
      </c>
      <c r="E1232" t="e">
        <f>#REF!</f>
        <v>#REF!</v>
      </c>
      <c r="F1232" t="e">
        <f>#REF!</f>
        <v>#REF!</v>
      </c>
      <c r="G1232" t="e">
        <f>#REF!</f>
        <v>#REF!</v>
      </c>
      <c r="H1232" t="e">
        <f>#REF!</f>
        <v>#REF!</v>
      </c>
    </row>
    <row r="1233" spans="1:8">
      <c r="A1233" t="e">
        <f>#REF!</f>
        <v>#REF!</v>
      </c>
      <c r="B1233" t="e">
        <f>#REF!</f>
        <v>#REF!</v>
      </c>
      <c r="C1233" t="e">
        <f>#REF!</f>
        <v>#REF!</v>
      </c>
      <c r="D1233" t="e">
        <f>#REF!</f>
        <v>#REF!</v>
      </c>
      <c r="E1233" t="e">
        <f>#REF!</f>
        <v>#REF!</v>
      </c>
      <c r="F1233" t="e">
        <f>#REF!</f>
        <v>#REF!</v>
      </c>
      <c r="G1233" t="e">
        <f>#REF!</f>
        <v>#REF!</v>
      </c>
      <c r="H1233" t="e">
        <f>#REF!</f>
        <v>#REF!</v>
      </c>
    </row>
    <row r="1234" spans="1:8">
      <c r="A1234" t="e">
        <f>#REF!</f>
        <v>#REF!</v>
      </c>
      <c r="B1234" t="e">
        <f>#REF!</f>
        <v>#REF!</v>
      </c>
      <c r="C1234" t="e">
        <f>#REF!</f>
        <v>#REF!</v>
      </c>
      <c r="D1234" t="e">
        <f>#REF!</f>
        <v>#REF!</v>
      </c>
      <c r="E1234" t="e">
        <f>#REF!</f>
        <v>#REF!</v>
      </c>
      <c r="F1234" t="e">
        <f>#REF!</f>
        <v>#REF!</v>
      </c>
      <c r="G1234" t="e">
        <f>#REF!</f>
        <v>#REF!</v>
      </c>
      <c r="H1234" t="e">
        <f>#REF!</f>
        <v>#REF!</v>
      </c>
    </row>
    <row r="1235" spans="1:8">
      <c r="A1235" t="e">
        <f>#REF!</f>
        <v>#REF!</v>
      </c>
      <c r="B1235" t="e">
        <f>#REF!</f>
        <v>#REF!</v>
      </c>
      <c r="C1235" t="e">
        <f>#REF!</f>
        <v>#REF!</v>
      </c>
      <c r="D1235" t="e">
        <f>#REF!</f>
        <v>#REF!</v>
      </c>
      <c r="E1235" t="e">
        <f>#REF!</f>
        <v>#REF!</v>
      </c>
      <c r="F1235" t="e">
        <f>#REF!</f>
        <v>#REF!</v>
      </c>
      <c r="G1235" t="e">
        <f>#REF!</f>
        <v>#REF!</v>
      </c>
      <c r="H1235" t="e">
        <f>#REF!</f>
        <v>#REF!</v>
      </c>
    </row>
    <row r="1236" spans="1:8">
      <c r="A1236" t="e">
        <f>#REF!</f>
        <v>#REF!</v>
      </c>
      <c r="B1236" t="e">
        <f>#REF!</f>
        <v>#REF!</v>
      </c>
      <c r="C1236" t="e">
        <f>#REF!</f>
        <v>#REF!</v>
      </c>
      <c r="D1236" t="e">
        <f>#REF!</f>
        <v>#REF!</v>
      </c>
      <c r="E1236" t="e">
        <f>#REF!</f>
        <v>#REF!</v>
      </c>
      <c r="F1236" t="e">
        <f>#REF!</f>
        <v>#REF!</v>
      </c>
      <c r="G1236" t="e">
        <f>#REF!</f>
        <v>#REF!</v>
      </c>
      <c r="H1236" t="e">
        <f>#REF!</f>
        <v>#REF!</v>
      </c>
    </row>
    <row r="1237" spans="1:8">
      <c r="A1237" t="e">
        <f>#REF!</f>
        <v>#REF!</v>
      </c>
      <c r="B1237" t="e">
        <f>#REF!</f>
        <v>#REF!</v>
      </c>
      <c r="C1237" t="e">
        <f>#REF!</f>
        <v>#REF!</v>
      </c>
      <c r="D1237" t="e">
        <f>#REF!</f>
        <v>#REF!</v>
      </c>
      <c r="E1237" t="e">
        <f>#REF!</f>
        <v>#REF!</v>
      </c>
      <c r="F1237" t="e">
        <f>#REF!</f>
        <v>#REF!</v>
      </c>
      <c r="G1237" t="e">
        <f>#REF!</f>
        <v>#REF!</v>
      </c>
      <c r="H1237" t="e">
        <f>#REF!</f>
        <v>#REF!</v>
      </c>
    </row>
    <row r="1238" spans="1:8">
      <c r="A1238" t="e">
        <f>#REF!</f>
        <v>#REF!</v>
      </c>
      <c r="B1238" t="e">
        <f>#REF!</f>
        <v>#REF!</v>
      </c>
      <c r="C1238" t="e">
        <f>#REF!</f>
        <v>#REF!</v>
      </c>
      <c r="D1238" t="e">
        <f>#REF!</f>
        <v>#REF!</v>
      </c>
      <c r="E1238" t="e">
        <f>#REF!</f>
        <v>#REF!</v>
      </c>
      <c r="F1238" t="e">
        <f>#REF!</f>
        <v>#REF!</v>
      </c>
      <c r="G1238" t="e">
        <f>#REF!</f>
        <v>#REF!</v>
      </c>
      <c r="H1238" t="e">
        <f>#REF!</f>
        <v>#REF!</v>
      </c>
    </row>
    <row r="1239" spans="1:8">
      <c r="A1239" t="e">
        <f>#REF!</f>
        <v>#REF!</v>
      </c>
      <c r="B1239" t="e">
        <f>#REF!</f>
        <v>#REF!</v>
      </c>
      <c r="C1239" t="e">
        <f>#REF!</f>
        <v>#REF!</v>
      </c>
      <c r="D1239" t="e">
        <f>#REF!</f>
        <v>#REF!</v>
      </c>
      <c r="E1239" t="e">
        <f>#REF!</f>
        <v>#REF!</v>
      </c>
      <c r="F1239" t="e">
        <f>#REF!</f>
        <v>#REF!</v>
      </c>
      <c r="G1239" t="e">
        <f>#REF!</f>
        <v>#REF!</v>
      </c>
      <c r="H1239" t="e">
        <f>#REF!</f>
        <v>#REF!</v>
      </c>
    </row>
    <row r="1240" spans="1:8">
      <c r="A1240" t="e">
        <f>#REF!</f>
        <v>#REF!</v>
      </c>
      <c r="B1240" t="e">
        <f>#REF!</f>
        <v>#REF!</v>
      </c>
      <c r="C1240" t="e">
        <f>#REF!</f>
        <v>#REF!</v>
      </c>
      <c r="D1240" t="e">
        <f>#REF!</f>
        <v>#REF!</v>
      </c>
      <c r="E1240" t="e">
        <f>#REF!</f>
        <v>#REF!</v>
      </c>
      <c r="F1240" t="e">
        <f>#REF!</f>
        <v>#REF!</v>
      </c>
      <c r="G1240" t="e">
        <f>#REF!</f>
        <v>#REF!</v>
      </c>
      <c r="H1240" t="e">
        <f>#REF!</f>
        <v>#REF!</v>
      </c>
    </row>
    <row r="1241" spans="1:8">
      <c r="A1241" t="e">
        <f>#REF!</f>
        <v>#REF!</v>
      </c>
      <c r="B1241" t="e">
        <f>#REF!</f>
        <v>#REF!</v>
      </c>
      <c r="C1241" t="e">
        <f>#REF!</f>
        <v>#REF!</v>
      </c>
      <c r="D1241" t="e">
        <f>#REF!</f>
        <v>#REF!</v>
      </c>
      <c r="E1241" t="e">
        <f>#REF!</f>
        <v>#REF!</v>
      </c>
      <c r="F1241" t="e">
        <f>#REF!</f>
        <v>#REF!</v>
      </c>
      <c r="G1241" t="e">
        <f>#REF!</f>
        <v>#REF!</v>
      </c>
      <c r="H1241" t="e">
        <f>#REF!</f>
        <v>#REF!</v>
      </c>
    </row>
    <row r="1242" spans="1:8">
      <c r="A1242" t="e">
        <f>#REF!</f>
        <v>#REF!</v>
      </c>
      <c r="B1242" t="e">
        <f>#REF!</f>
        <v>#REF!</v>
      </c>
      <c r="C1242" t="e">
        <f>#REF!</f>
        <v>#REF!</v>
      </c>
      <c r="D1242" t="e">
        <f>#REF!</f>
        <v>#REF!</v>
      </c>
      <c r="E1242" t="e">
        <f>#REF!</f>
        <v>#REF!</v>
      </c>
      <c r="F1242" t="e">
        <f>#REF!</f>
        <v>#REF!</v>
      </c>
      <c r="G1242" t="e">
        <f>#REF!</f>
        <v>#REF!</v>
      </c>
      <c r="H1242" t="e">
        <f>#REF!</f>
        <v>#REF!</v>
      </c>
    </row>
    <row r="1243" spans="1:8">
      <c r="A1243" t="e">
        <f>#REF!</f>
        <v>#REF!</v>
      </c>
      <c r="B1243" t="e">
        <f>#REF!</f>
        <v>#REF!</v>
      </c>
      <c r="C1243" t="e">
        <f>#REF!</f>
        <v>#REF!</v>
      </c>
      <c r="D1243" t="e">
        <f>#REF!</f>
        <v>#REF!</v>
      </c>
      <c r="E1243" t="e">
        <f>#REF!</f>
        <v>#REF!</v>
      </c>
      <c r="F1243" t="e">
        <f>#REF!</f>
        <v>#REF!</v>
      </c>
      <c r="G1243" t="e">
        <f>#REF!</f>
        <v>#REF!</v>
      </c>
      <c r="H1243" t="e">
        <f>#REF!</f>
        <v>#REF!</v>
      </c>
    </row>
    <row r="1244" spans="1:8">
      <c r="A1244" t="e">
        <f>#REF!</f>
        <v>#REF!</v>
      </c>
      <c r="B1244" t="e">
        <f>#REF!</f>
        <v>#REF!</v>
      </c>
      <c r="C1244" t="e">
        <f>#REF!</f>
        <v>#REF!</v>
      </c>
      <c r="D1244" t="e">
        <f>#REF!</f>
        <v>#REF!</v>
      </c>
      <c r="E1244" t="e">
        <f>#REF!</f>
        <v>#REF!</v>
      </c>
      <c r="F1244" t="e">
        <f>#REF!</f>
        <v>#REF!</v>
      </c>
      <c r="G1244" t="e">
        <f>#REF!</f>
        <v>#REF!</v>
      </c>
      <c r="H1244" t="e">
        <f>#REF!</f>
        <v>#REF!</v>
      </c>
    </row>
    <row r="1245" spans="1:8">
      <c r="A1245" t="e">
        <f>#REF!</f>
        <v>#REF!</v>
      </c>
      <c r="B1245" t="e">
        <f>#REF!</f>
        <v>#REF!</v>
      </c>
      <c r="C1245" t="e">
        <f>#REF!</f>
        <v>#REF!</v>
      </c>
      <c r="D1245" t="e">
        <f>#REF!</f>
        <v>#REF!</v>
      </c>
      <c r="E1245" t="e">
        <f>#REF!</f>
        <v>#REF!</v>
      </c>
      <c r="F1245" t="e">
        <f>#REF!</f>
        <v>#REF!</v>
      </c>
      <c r="G1245" t="e">
        <f>#REF!</f>
        <v>#REF!</v>
      </c>
      <c r="H1245" t="e">
        <f>#REF!</f>
        <v>#REF!</v>
      </c>
    </row>
    <row r="1246" spans="1:8">
      <c r="A1246" t="e">
        <f>#REF!</f>
        <v>#REF!</v>
      </c>
      <c r="B1246" t="e">
        <f>#REF!</f>
        <v>#REF!</v>
      </c>
      <c r="C1246" t="e">
        <f>#REF!</f>
        <v>#REF!</v>
      </c>
      <c r="D1246" t="e">
        <f>#REF!</f>
        <v>#REF!</v>
      </c>
      <c r="E1246" t="e">
        <f>#REF!</f>
        <v>#REF!</v>
      </c>
      <c r="F1246" t="e">
        <f>#REF!</f>
        <v>#REF!</v>
      </c>
      <c r="G1246" t="e">
        <f>#REF!</f>
        <v>#REF!</v>
      </c>
      <c r="H1246" t="e">
        <f>#REF!</f>
        <v>#REF!</v>
      </c>
    </row>
    <row r="1247" spans="1:8">
      <c r="A1247" t="e">
        <f>#REF!</f>
        <v>#REF!</v>
      </c>
      <c r="B1247" t="e">
        <f>#REF!</f>
        <v>#REF!</v>
      </c>
      <c r="C1247" t="e">
        <f>#REF!</f>
        <v>#REF!</v>
      </c>
      <c r="D1247" t="e">
        <f>#REF!</f>
        <v>#REF!</v>
      </c>
      <c r="E1247" t="e">
        <f>#REF!</f>
        <v>#REF!</v>
      </c>
      <c r="F1247" t="e">
        <f>#REF!</f>
        <v>#REF!</v>
      </c>
      <c r="G1247" t="e">
        <f>#REF!</f>
        <v>#REF!</v>
      </c>
      <c r="H1247" t="e">
        <f>#REF!</f>
        <v>#REF!</v>
      </c>
    </row>
    <row r="1248" spans="1:8">
      <c r="A1248" t="e">
        <f>#REF!</f>
        <v>#REF!</v>
      </c>
      <c r="B1248" t="e">
        <f>#REF!</f>
        <v>#REF!</v>
      </c>
      <c r="C1248" t="e">
        <f>#REF!</f>
        <v>#REF!</v>
      </c>
      <c r="D1248" t="e">
        <f>#REF!</f>
        <v>#REF!</v>
      </c>
      <c r="E1248" t="e">
        <f>#REF!</f>
        <v>#REF!</v>
      </c>
      <c r="F1248" t="e">
        <f>#REF!</f>
        <v>#REF!</v>
      </c>
      <c r="G1248" t="e">
        <f>#REF!</f>
        <v>#REF!</v>
      </c>
      <c r="H1248" t="e">
        <f>#REF!</f>
        <v>#REF!</v>
      </c>
    </row>
    <row r="1249" spans="1:8">
      <c r="A1249" t="e">
        <f>#REF!</f>
        <v>#REF!</v>
      </c>
      <c r="B1249" t="e">
        <f>#REF!</f>
        <v>#REF!</v>
      </c>
      <c r="C1249" t="e">
        <f>#REF!</f>
        <v>#REF!</v>
      </c>
      <c r="D1249" t="e">
        <f>#REF!</f>
        <v>#REF!</v>
      </c>
      <c r="E1249" t="e">
        <f>#REF!</f>
        <v>#REF!</v>
      </c>
      <c r="F1249" t="e">
        <f>#REF!</f>
        <v>#REF!</v>
      </c>
      <c r="G1249" t="e">
        <f>#REF!</f>
        <v>#REF!</v>
      </c>
      <c r="H1249" t="e">
        <f>#REF!</f>
        <v>#REF!</v>
      </c>
    </row>
    <row r="1250" spans="1:8">
      <c r="A1250" t="e">
        <f>#REF!</f>
        <v>#REF!</v>
      </c>
      <c r="B1250" t="e">
        <f>#REF!</f>
        <v>#REF!</v>
      </c>
      <c r="C1250" t="e">
        <f>#REF!</f>
        <v>#REF!</v>
      </c>
      <c r="D1250" t="e">
        <f>#REF!</f>
        <v>#REF!</v>
      </c>
      <c r="E1250" t="e">
        <f>#REF!</f>
        <v>#REF!</v>
      </c>
      <c r="F1250" t="e">
        <f>#REF!</f>
        <v>#REF!</v>
      </c>
      <c r="G1250" t="e">
        <f>#REF!</f>
        <v>#REF!</v>
      </c>
      <c r="H1250" t="e">
        <f>#REF!</f>
        <v>#REF!</v>
      </c>
    </row>
    <row r="1251" spans="1:8">
      <c r="A1251" t="e">
        <f>#REF!</f>
        <v>#REF!</v>
      </c>
      <c r="B1251" t="e">
        <f>#REF!</f>
        <v>#REF!</v>
      </c>
      <c r="C1251" t="e">
        <f>#REF!</f>
        <v>#REF!</v>
      </c>
      <c r="D1251" t="e">
        <f>#REF!</f>
        <v>#REF!</v>
      </c>
      <c r="E1251" t="e">
        <f>#REF!</f>
        <v>#REF!</v>
      </c>
      <c r="F1251" t="e">
        <f>#REF!</f>
        <v>#REF!</v>
      </c>
      <c r="G1251" t="e">
        <f>#REF!</f>
        <v>#REF!</v>
      </c>
      <c r="H1251" t="e">
        <f>#REF!</f>
        <v>#REF!</v>
      </c>
    </row>
    <row r="1252" spans="1:8">
      <c r="A1252" t="e">
        <f>#REF!</f>
        <v>#REF!</v>
      </c>
      <c r="B1252" t="e">
        <f>#REF!</f>
        <v>#REF!</v>
      </c>
      <c r="C1252" t="e">
        <f>#REF!</f>
        <v>#REF!</v>
      </c>
      <c r="D1252" t="e">
        <f>#REF!</f>
        <v>#REF!</v>
      </c>
      <c r="E1252" t="e">
        <f>#REF!</f>
        <v>#REF!</v>
      </c>
      <c r="F1252" t="e">
        <f>#REF!</f>
        <v>#REF!</v>
      </c>
      <c r="G1252" t="e">
        <f>#REF!</f>
        <v>#REF!</v>
      </c>
      <c r="H1252" t="e">
        <f>#REF!</f>
        <v>#REF!</v>
      </c>
    </row>
    <row r="1253" spans="1:8">
      <c r="A1253" t="e">
        <f>#REF!</f>
        <v>#REF!</v>
      </c>
      <c r="B1253" t="e">
        <f>#REF!</f>
        <v>#REF!</v>
      </c>
      <c r="C1253" t="e">
        <f>#REF!</f>
        <v>#REF!</v>
      </c>
      <c r="D1253" t="e">
        <f>#REF!</f>
        <v>#REF!</v>
      </c>
      <c r="E1253" t="e">
        <f>#REF!</f>
        <v>#REF!</v>
      </c>
      <c r="F1253" t="e">
        <f>#REF!</f>
        <v>#REF!</v>
      </c>
      <c r="G1253" t="e">
        <f>#REF!</f>
        <v>#REF!</v>
      </c>
      <c r="H1253" t="e">
        <f>#REF!</f>
        <v>#REF!</v>
      </c>
    </row>
    <row r="1254" spans="1:8">
      <c r="A1254" t="e">
        <f>#REF!</f>
        <v>#REF!</v>
      </c>
      <c r="B1254" t="e">
        <f>#REF!</f>
        <v>#REF!</v>
      </c>
      <c r="C1254" t="e">
        <f>#REF!</f>
        <v>#REF!</v>
      </c>
      <c r="D1254" t="e">
        <f>#REF!</f>
        <v>#REF!</v>
      </c>
      <c r="E1254" t="e">
        <f>#REF!</f>
        <v>#REF!</v>
      </c>
      <c r="F1254" t="e">
        <f>#REF!</f>
        <v>#REF!</v>
      </c>
      <c r="G1254" t="e">
        <f>#REF!</f>
        <v>#REF!</v>
      </c>
      <c r="H1254" t="e">
        <f>#REF!</f>
        <v>#REF!</v>
      </c>
    </row>
    <row r="1255" spans="1:8">
      <c r="A1255" t="e">
        <f>#REF!</f>
        <v>#REF!</v>
      </c>
      <c r="B1255" t="e">
        <f>#REF!</f>
        <v>#REF!</v>
      </c>
      <c r="C1255" t="e">
        <f>#REF!</f>
        <v>#REF!</v>
      </c>
      <c r="D1255" t="e">
        <f>#REF!</f>
        <v>#REF!</v>
      </c>
      <c r="E1255" t="e">
        <f>#REF!</f>
        <v>#REF!</v>
      </c>
      <c r="F1255" t="e">
        <f>#REF!</f>
        <v>#REF!</v>
      </c>
      <c r="G1255" t="e">
        <f>#REF!</f>
        <v>#REF!</v>
      </c>
      <c r="H1255" t="e">
        <f>#REF!</f>
        <v>#REF!</v>
      </c>
    </row>
    <row r="1256" spans="1:8">
      <c r="A1256" t="e">
        <f>#REF!</f>
        <v>#REF!</v>
      </c>
      <c r="B1256" t="e">
        <f>#REF!</f>
        <v>#REF!</v>
      </c>
      <c r="C1256" t="e">
        <f>#REF!</f>
        <v>#REF!</v>
      </c>
      <c r="D1256" t="e">
        <f>#REF!</f>
        <v>#REF!</v>
      </c>
      <c r="E1256" t="e">
        <f>#REF!</f>
        <v>#REF!</v>
      </c>
      <c r="F1256" t="e">
        <f>#REF!</f>
        <v>#REF!</v>
      </c>
      <c r="G1256" t="e">
        <f>#REF!</f>
        <v>#REF!</v>
      </c>
      <c r="H1256" t="e">
        <f>#REF!</f>
        <v>#REF!</v>
      </c>
    </row>
    <row r="1257" spans="1:8">
      <c r="A1257" t="e">
        <f>#REF!</f>
        <v>#REF!</v>
      </c>
      <c r="B1257" t="e">
        <f>#REF!</f>
        <v>#REF!</v>
      </c>
      <c r="C1257" t="e">
        <f>#REF!</f>
        <v>#REF!</v>
      </c>
      <c r="D1257" t="e">
        <f>#REF!</f>
        <v>#REF!</v>
      </c>
      <c r="E1257" t="e">
        <f>#REF!</f>
        <v>#REF!</v>
      </c>
      <c r="F1257" t="e">
        <f>#REF!</f>
        <v>#REF!</v>
      </c>
      <c r="G1257" t="e">
        <f>#REF!</f>
        <v>#REF!</v>
      </c>
      <c r="H1257" t="e">
        <f>#REF!</f>
        <v>#REF!</v>
      </c>
    </row>
    <row r="1258" spans="1:8">
      <c r="A1258" t="e">
        <f>#REF!</f>
        <v>#REF!</v>
      </c>
      <c r="B1258" t="e">
        <f>#REF!</f>
        <v>#REF!</v>
      </c>
      <c r="C1258" t="e">
        <f>#REF!</f>
        <v>#REF!</v>
      </c>
      <c r="D1258" t="e">
        <f>#REF!</f>
        <v>#REF!</v>
      </c>
      <c r="E1258" t="e">
        <f>#REF!</f>
        <v>#REF!</v>
      </c>
      <c r="F1258" t="e">
        <f>#REF!</f>
        <v>#REF!</v>
      </c>
      <c r="G1258" t="e">
        <f>#REF!</f>
        <v>#REF!</v>
      </c>
      <c r="H1258" t="e">
        <f>#REF!</f>
        <v>#REF!</v>
      </c>
    </row>
    <row r="1259" spans="1:8">
      <c r="A1259" t="e">
        <f>#REF!</f>
        <v>#REF!</v>
      </c>
      <c r="B1259" t="e">
        <f>#REF!</f>
        <v>#REF!</v>
      </c>
      <c r="C1259" t="e">
        <f>#REF!</f>
        <v>#REF!</v>
      </c>
      <c r="D1259" t="e">
        <f>#REF!</f>
        <v>#REF!</v>
      </c>
      <c r="E1259" t="e">
        <f>#REF!</f>
        <v>#REF!</v>
      </c>
      <c r="F1259" t="e">
        <f>#REF!</f>
        <v>#REF!</v>
      </c>
      <c r="G1259" t="e">
        <f>#REF!</f>
        <v>#REF!</v>
      </c>
      <c r="H1259" t="e">
        <f>#REF!</f>
        <v>#REF!</v>
      </c>
    </row>
    <row r="1260" spans="1:8">
      <c r="A1260" t="e">
        <f>#REF!</f>
        <v>#REF!</v>
      </c>
      <c r="B1260" t="e">
        <f>#REF!</f>
        <v>#REF!</v>
      </c>
      <c r="C1260" t="e">
        <f>#REF!</f>
        <v>#REF!</v>
      </c>
      <c r="D1260" t="e">
        <f>#REF!</f>
        <v>#REF!</v>
      </c>
      <c r="E1260" t="e">
        <f>#REF!</f>
        <v>#REF!</v>
      </c>
      <c r="F1260" t="e">
        <f>#REF!</f>
        <v>#REF!</v>
      </c>
      <c r="G1260" t="e">
        <f>#REF!</f>
        <v>#REF!</v>
      </c>
      <c r="H1260" t="e">
        <f>#REF!</f>
        <v>#REF!</v>
      </c>
    </row>
    <row r="1261" spans="1:8">
      <c r="A1261" t="e">
        <f>#REF!</f>
        <v>#REF!</v>
      </c>
      <c r="B1261" t="e">
        <f>#REF!</f>
        <v>#REF!</v>
      </c>
      <c r="C1261" t="e">
        <f>#REF!</f>
        <v>#REF!</v>
      </c>
      <c r="D1261" t="e">
        <f>#REF!</f>
        <v>#REF!</v>
      </c>
      <c r="E1261" t="e">
        <f>#REF!</f>
        <v>#REF!</v>
      </c>
      <c r="F1261" t="e">
        <f>#REF!</f>
        <v>#REF!</v>
      </c>
      <c r="G1261" t="e">
        <f>#REF!</f>
        <v>#REF!</v>
      </c>
      <c r="H1261" t="e">
        <f>#REF!</f>
        <v>#REF!</v>
      </c>
    </row>
    <row r="1262" spans="1:8">
      <c r="A1262" t="e">
        <f>#REF!</f>
        <v>#REF!</v>
      </c>
      <c r="B1262" t="e">
        <f>#REF!</f>
        <v>#REF!</v>
      </c>
      <c r="C1262" t="e">
        <f>#REF!</f>
        <v>#REF!</v>
      </c>
      <c r="D1262" t="e">
        <f>#REF!</f>
        <v>#REF!</v>
      </c>
      <c r="E1262" t="e">
        <f>#REF!</f>
        <v>#REF!</v>
      </c>
      <c r="F1262" t="e">
        <f>#REF!</f>
        <v>#REF!</v>
      </c>
      <c r="G1262" t="e">
        <f>#REF!</f>
        <v>#REF!</v>
      </c>
      <c r="H1262" t="e">
        <f>#REF!</f>
        <v>#REF!</v>
      </c>
    </row>
    <row r="1263" spans="1:8">
      <c r="A1263" t="e">
        <f>#REF!</f>
        <v>#REF!</v>
      </c>
      <c r="B1263" t="e">
        <f>#REF!</f>
        <v>#REF!</v>
      </c>
      <c r="C1263" t="e">
        <f>#REF!</f>
        <v>#REF!</v>
      </c>
      <c r="D1263" t="e">
        <f>#REF!</f>
        <v>#REF!</v>
      </c>
      <c r="E1263" t="e">
        <f>#REF!</f>
        <v>#REF!</v>
      </c>
      <c r="F1263" t="e">
        <f>#REF!</f>
        <v>#REF!</v>
      </c>
      <c r="G1263" t="e">
        <f>#REF!</f>
        <v>#REF!</v>
      </c>
      <c r="H1263" t="e">
        <f>#REF!</f>
        <v>#REF!</v>
      </c>
    </row>
    <row r="1264" spans="1:8">
      <c r="A1264" t="e">
        <f>#REF!</f>
        <v>#REF!</v>
      </c>
      <c r="B1264" t="e">
        <f>#REF!</f>
        <v>#REF!</v>
      </c>
      <c r="C1264" t="e">
        <f>#REF!</f>
        <v>#REF!</v>
      </c>
      <c r="D1264" t="e">
        <f>#REF!</f>
        <v>#REF!</v>
      </c>
      <c r="E1264" t="e">
        <f>#REF!</f>
        <v>#REF!</v>
      </c>
      <c r="F1264" t="e">
        <f>#REF!</f>
        <v>#REF!</v>
      </c>
      <c r="G1264" t="e">
        <f>#REF!</f>
        <v>#REF!</v>
      </c>
      <c r="H1264" t="e">
        <f>#REF!</f>
        <v>#REF!</v>
      </c>
    </row>
    <row r="1265" spans="1:8">
      <c r="A1265" t="e">
        <f>#REF!</f>
        <v>#REF!</v>
      </c>
      <c r="B1265" t="e">
        <f>#REF!</f>
        <v>#REF!</v>
      </c>
      <c r="C1265" t="e">
        <f>#REF!</f>
        <v>#REF!</v>
      </c>
      <c r="D1265" t="e">
        <f>#REF!</f>
        <v>#REF!</v>
      </c>
      <c r="E1265" t="e">
        <f>#REF!</f>
        <v>#REF!</v>
      </c>
      <c r="F1265" t="e">
        <f>#REF!</f>
        <v>#REF!</v>
      </c>
      <c r="G1265" t="e">
        <f>#REF!</f>
        <v>#REF!</v>
      </c>
      <c r="H1265" t="e">
        <f>#REF!</f>
        <v>#REF!</v>
      </c>
    </row>
    <row r="1266" spans="1:8">
      <c r="A1266" t="e">
        <f>#REF!</f>
        <v>#REF!</v>
      </c>
      <c r="B1266" t="e">
        <f>#REF!</f>
        <v>#REF!</v>
      </c>
      <c r="C1266" t="e">
        <f>#REF!</f>
        <v>#REF!</v>
      </c>
      <c r="D1266" t="e">
        <f>#REF!</f>
        <v>#REF!</v>
      </c>
      <c r="E1266" t="e">
        <f>#REF!</f>
        <v>#REF!</v>
      </c>
      <c r="F1266" t="e">
        <f>#REF!</f>
        <v>#REF!</v>
      </c>
      <c r="G1266" t="e">
        <f>#REF!</f>
        <v>#REF!</v>
      </c>
      <c r="H1266" t="e">
        <f>#REF!</f>
        <v>#REF!</v>
      </c>
    </row>
    <row r="1267" spans="1:8">
      <c r="A1267" t="e">
        <f>#REF!</f>
        <v>#REF!</v>
      </c>
      <c r="B1267" t="e">
        <f>#REF!</f>
        <v>#REF!</v>
      </c>
      <c r="C1267" t="e">
        <f>#REF!</f>
        <v>#REF!</v>
      </c>
      <c r="D1267" t="e">
        <f>#REF!</f>
        <v>#REF!</v>
      </c>
      <c r="E1267" t="e">
        <f>#REF!</f>
        <v>#REF!</v>
      </c>
      <c r="F1267" t="e">
        <f>#REF!</f>
        <v>#REF!</v>
      </c>
      <c r="G1267" t="e">
        <f>#REF!</f>
        <v>#REF!</v>
      </c>
      <c r="H1267" t="e">
        <f>#REF!</f>
        <v>#REF!</v>
      </c>
    </row>
    <row r="1268" spans="1:8">
      <c r="A1268" t="e">
        <f>#REF!</f>
        <v>#REF!</v>
      </c>
      <c r="B1268" t="e">
        <f>#REF!</f>
        <v>#REF!</v>
      </c>
      <c r="C1268" t="e">
        <f>#REF!</f>
        <v>#REF!</v>
      </c>
      <c r="D1268" t="e">
        <f>#REF!</f>
        <v>#REF!</v>
      </c>
      <c r="E1268" t="e">
        <f>#REF!</f>
        <v>#REF!</v>
      </c>
      <c r="F1268" t="e">
        <f>#REF!</f>
        <v>#REF!</v>
      </c>
      <c r="G1268" t="e">
        <f>#REF!</f>
        <v>#REF!</v>
      </c>
      <c r="H1268" t="e">
        <f>#REF!</f>
        <v>#REF!</v>
      </c>
    </row>
    <row r="1269" spans="1:8">
      <c r="A1269" t="e">
        <f>#REF!</f>
        <v>#REF!</v>
      </c>
      <c r="B1269" t="e">
        <f>#REF!</f>
        <v>#REF!</v>
      </c>
      <c r="C1269" t="e">
        <f>#REF!</f>
        <v>#REF!</v>
      </c>
      <c r="D1269" t="e">
        <f>#REF!</f>
        <v>#REF!</v>
      </c>
      <c r="E1269" t="e">
        <f>#REF!</f>
        <v>#REF!</v>
      </c>
      <c r="F1269" t="e">
        <f>#REF!</f>
        <v>#REF!</v>
      </c>
      <c r="G1269" t="e">
        <f>#REF!</f>
        <v>#REF!</v>
      </c>
      <c r="H1269" t="e">
        <f>#REF!</f>
        <v>#REF!</v>
      </c>
    </row>
    <row r="1270" spans="1:8">
      <c r="A1270" t="e">
        <f>#REF!</f>
        <v>#REF!</v>
      </c>
      <c r="B1270" t="e">
        <f>#REF!</f>
        <v>#REF!</v>
      </c>
      <c r="C1270" t="e">
        <f>#REF!</f>
        <v>#REF!</v>
      </c>
      <c r="D1270" t="e">
        <f>#REF!</f>
        <v>#REF!</v>
      </c>
      <c r="E1270" t="e">
        <f>#REF!</f>
        <v>#REF!</v>
      </c>
      <c r="F1270" t="e">
        <f>#REF!</f>
        <v>#REF!</v>
      </c>
      <c r="G1270" t="e">
        <f>#REF!</f>
        <v>#REF!</v>
      </c>
      <c r="H1270" t="e">
        <f>#REF!</f>
        <v>#REF!</v>
      </c>
    </row>
    <row r="1271" spans="1:8">
      <c r="A1271" t="e">
        <f>#REF!</f>
        <v>#REF!</v>
      </c>
      <c r="B1271" t="e">
        <f>#REF!</f>
        <v>#REF!</v>
      </c>
      <c r="C1271" t="e">
        <f>#REF!</f>
        <v>#REF!</v>
      </c>
      <c r="D1271" t="e">
        <f>#REF!</f>
        <v>#REF!</v>
      </c>
      <c r="E1271" t="e">
        <f>#REF!</f>
        <v>#REF!</v>
      </c>
      <c r="F1271" t="e">
        <f>#REF!</f>
        <v>#REF!</v>
      </c>
      <c r="G1271" t="e">
        <f>#REF!</f>
        <v>#REF!</v>
      </c>
      <c r="H1271" t="e">
        <f>#REF!</f>
        <v>#REF!</v>
      </c>
    </row>
    <row r="1272" spans="1:8">
      <c r="A1272" t="e">
        <f>#REF!</f>
        <v>#REF!</v>
      </c>
      <c r="B1272" t="e">
        <f>#REF!</f>
        <v>#REF!</v>
      </c>
      <c r="C1272" t="e">
        <f>#REF!</f>
        <v>#REF!</v>
      </c>
      <c r="D1272" t="e">
        <f>#REF!</f>
        <v>#REF!</v>
      </c>
      <c r="E1272" t="e">
        <f>#REF!</f>
        <v>#REF!</v>
      </c>
      <c r="F1272" t="e">
        <f>#REF!</f>
        <v>#REF!</v>
      </c>
      <c r="G1272" t="e">
        <f>#REF!</f>
        <v>#REF!</v>
      </c>
      <c r="H1272" t="e">
        <f>#REF!</f>
        <v>#REF!</v>
      </c>
    </row>
    <row r="1273" spans="1:8">
      <c r="A1273" t="e">
        <f>#REF!</f>
        <v>#REF!</v>
      </c>
      <c r="B1273" t="e">
        <f>#REF!</f>
        <v>#REF!</v>
      </c>
      <c r="C1273" t="e">
        <f>#REF!</f>
        <v>#REF!</v>
      </c>
      <c r="D1273" t="e">
        <f>#REF!</f>
        <v>#REF!</v>
      </c>
      <c r="E1273" t="e">
        <f>#REF!</f>
        <v>#REF!</v>
      </c>
      <c r="F1273" t="e">
        <f>#REF!</f>
        <v>#REF!</v>
      </c>
      <c r="G1273" t="e">
        <f>#REF!</f>
        <v>#REF!</v>
      </c>
      <c r="H1273" t="e">
        <f>#REF!</f>
        <v>#REF!</v>
      </c>
    </row>
    <row r="1274" spans="1:8">
      <c r="A1274" t="e">
        <f>#REF!</f>
        <v>#REF!</v>
      </c>
      <c r="B1274" t="e">
        <f>#REF!</f>
        <v>#REF!</v>
      </c>
      <c r="C1274" t="e">
        <f>#REF!</f>
        <v>#REF!</v>
      </c>
      <c r="D1274" t="e">
        <f>#REF!</f>
        <v>#REF!</v>
      </c>
      <c r="E1274" t="e">
        <f>#REF!</f>
        <v>#REF!</v>
      </c>
      <c r="F1274" t="e">
        <f>#REF!</f>
        <v>#REF!</v>
      </c>
      <c r="G1274" t="e">
        <f>#REF!</f>
        <v>#REF!</v>
      </c>
      <c r="H1274" t="e">
        <f>#REF!</f>
        <v>#REF!</v>
      </c>
    </row>
    <row r="1275" spans="1:8">
      <c r="A1275" t="e">
        <f>#REF!</f>
        <v>#REF!</v>
      </c>
      <c r="B1275" t="e">
        <f>#REF!</f>
        <v>#REF!</v>
      </c>
      <c r="C1275" t="e">
        <f>#REF!</f>
        <v>#REF!</v>
      </c>
      <c r="D1275" t="e">
        <f>#REF!</f>
        <v>#REF!</v>
      </c>
      <c r="E1275" t="e">
        <f>#REF!</f>
        <v>#REF!</v>
      </c>
      <c r="F1275" t="e">
        <f>#REF!</f>
        <v>#REF!</v>
      </c>
      <c r="G1275" t="e">
        <f>#REF!</f>
        <v>#REF!</v>
      </c>
      <c r="H1275" t="e">
        <f>#REF!</f>
        <v>#REF!</v>
      </c>
    </row>
    <row r="1276" spans="1:8">
      <c r="A1276" t="e">
        <f>#REF!</f>
        <v>#REF!</v>
      </c>
      <c r="B1276" t="e">
        <f>#REF!</f>
        <v>#REF!</v>
      </c>
      <c r="C1276" t="e">
        <f>#REF!</f>
        <v>#REF!</v>
      </c>
      <c r="D1276" t="e">
        <f>#REF!</f>
        <v>#REF!</v>
      </c>
      <c r="E1276" t="e">
        <f>#REF!</f>
        <v>#REF!</v>
      </c>
      <c r="F1276" t="e">
        <f>#REF!</f>
        <v>#REF!</v>
      </c>
      <c r="G1276" t="e">
        <f>#REF!</f>
        <v>#REF!</v>
      </c>
      <c r="H1276" t="e">
        <f>#REF!</f>
        <v>#REF!</v>
      </c>
    </row>
    <row r="1277" spans="1:8">
      <c r="A1277" t="e">
        <f>#REF!</f>
        <v>#REF!</v>
      </c>
      <c r="B1277" t="e">
        <f>#REF!</f>
        <v>#REF!</v>
      </c>
      <c r="C1277" t="e">
        <f>#REF!</f>
        <v>#REF!</v>
      </c>
      <c r="D1277" t="e">
        <f>#REF!</f>
        <v>#REF!</v>
      </c>
      <c r="E1277" t="e">
        <f>#REF!</f>
        <v>#REF!</v>
      </c>
      <c r="F1277" t="e">
        <f>#REF!</f>
        <v>#REF!</v>
      </c>
      <c r="G1277" t="e">
        <f>#REF!</f>
        <v>#REF!</v>
      </c>
      <c r="H1277" t="e">
        <f>#REF!</f>
        <v>#REF!</v>
      </c>
    </row>
    <row r="1278" spans="1:8">
      <c r="A1278" t="e">
        <f>#REF!</f>
        <v>#REF!</v>
      </c>
      <c r="B1278" t="e">
        <f>#REF!</f>
        <v>#REF!</v>
      </c>
      <c r="C1278" t="e">
        <f>#REF!</f>
        <v>#REF!</v>
      </c>
      <c r="D1278" t="e">
        <f>#REF!</f>
        <v>#REF!</v>
      </c>
      <c r="E1278" t="e">
        <f>#REF!</f>
        <v>#REF!</v>
      </c>
      <c r="F1278" t="e">
        <f>#REF!</f>
        <v>#REF!</v>
      </c>
      <c r="G1278" t="e">
        <f>#REF!</f>
        <v>#REF!</v>
      </c>
      <c r="H1278" t="e">
        <f>#REF!</f>
        <v>#REF!</v>
      </c>
    </row>
    <row r="1279" spans="1:8">
      <c r="A1279" t="e">
        <f>#REF!</f>
        <v>#REF!</v>
      </c>
      <c r="B1279" t="e">
        <f>#REF!</f>
        <v>#REF!</v>
      </c>
      <c r="C1279" t="e">
        <f>#REF!</f>
        <v>#REF!</v>
      </c>
      <c r="D1279" t="e">
        <f>#REF!</f>
        <v>#REF!</v>
      </c>
      <c r="E1279" t="e">
        <f>#REF!</f>
        <v>#REF!</v>
      </c>
      <c r="F1279" t="e">
        <f>#REF!</f>
        <v>#REF!</v>
      </c>
      <c r="G1279" t="e">
        <f>#REF!</f>
        <v>#REF!</v>
      </c>
      <c r="H1279" t="e">
        <f>#REF!</f>
        <v>#REF!</v>
      </c>
    </row>
    <row r="1280" spans="1:8">
      <c r="A1280" t="e">
        <f>#REF!</f>
        <v>#REF!</v>
      </c>
      <c r="B1280" t="e">
        <f>#REF!</f>
        <v>#REF!</v>
      </c>
      <c r="C1280" t="e">
        <f>#REF!</f>
        <v>#REF!</v>
      </c>
      <c r="D1280" t="e">
        <f>#REF!</f>
        <v>#REF!</v>
      </c>
      <c r="E1280" t="e">
        <f>#REF!</f>
        <v>#REF!</v>
      </c>
      <c r="F1280" t="e">
        <f>#REF!</f>
        <v>#REF!</v>
      </c>
      <c r="G1280" t="e">
        <f>#REF!</f>
        <v>#REF!</v>
      </c>
      <c r="H1280" t="e">
        <f>#REF!</f>
        <v>#REF!</v>
      </c>
    </row>
    <row r="1281" spans="1:8">
      <c r="A1281" t="e">
        <f>#REF!</f>
        <v>#REF!</v>
      </c>
      <c r="B1281" t="e">
        <f>#REF!</f>
        <v>#REF!</v>
      </c>
      <c r="C1281" t="e">
        <f>#REF!</f>
        <v>#REF!</v>
      </c>
      <c r="D1281" t="e">
        <f>#REF!</f>
        <v>#REF!</v>
      </c>
      <c r="E1281" t="e">
        <f>#REF!</f>
        <v>#REF!</v>
      </c>
      <c r="F1281" t="e">
        <f>#REF!</f>
        <v>#REF!</v>
      </c>
      <c r="G1281" t="e">
        <f>#REF!</f>
        <v>#REF!</v>
      </c>
      <c r="H1281" t="e">
        <f>#REF!</f>
        <v>#REF!</v>
      </c>
    </row>
    <row r="1282" spans="1:8">
      <c r="A1282" t="e">
        <f>#REF!</f>
        <v>#REF!</v>
      </c>
      <c r="B1282" t="e">
        <f>#REF!</f>
        <v>#REF!</v>
      </c>
      <c r="C1282" t="e">
        <f>#REF!</f>
        <v>#REF!</v>
      </c>
      <c r="D1282" t="e">
        <f>#REF!</f>
        <v>#REF!</v>
      </c>
      <c r="E1282" t="e">
        <f>#REF!</f>
        <v>#REF!</v>
      </c>
      <c r="F1282" t="e">
        <f>#REF!</f>
        <v>#REF!</v>
      </c>
      <c r="G1282" t="e">
        <f>#REF!</f>
        <v>#REF!</v>
      </c>
      <c r="H1282" t="e">
        <f>#REF!</f>
        <v>#REF!</v>
      </c>
    </row>
    <row r="1283" spans="1:8">
      <c r="A1283" t="e">
        <f>#REF!</f>
        <v>#REF!</v>
      </c>
      <c r="B1283" t="e">
        <f>#REF!</f>
        <v>#REF!</v>
      </c>
      <c r="C1283" t="e">
        <f>#REF!</f>
        <v>#REF!</v>
      </c>
      <c r="D1283" t="e">
        <f>#REF!</f>
        <v>#REF!</v>
      </c>
      <c r="E1283" t="e">
        <f>#REF!</f>
        <v>#REF!</v>
      </c>
      <c r="F1283" t="e">
        <f>#REF!</f>
        <v>#REF!</v>
      </c>
      <c r="G1283" t="e">
        <f>#REF!</f>
        <v>#REF!</v>
      </c>
      <c r="H1283" t="e">
        <f>#REF!</f>
        <v>#REF!</v>
      </c>
    </row>
    <row r="1284" spans="1:8">
      <c r="A1284" t="e">
        <f>#REF!</f>
        <v>#REF!</v>
      </c>
      <c r="B1284" t="e">
        <f>#REF!</f>
        <v>#REF!</v>
      </c>
      <c r="C1284" t="e">
        <f>#REF!</f>
        <v>#REF!</v>
      </c>
      <c r="D1284" t="e">
        <f>#REF!</f>
        <v>#REF!</v>
      </c>
      <c r="E1284" t="e">
        <f>#REF!</f>
        <v>#REF!</v>
      </c>
      <c r="F1284" t="e">
        <f>#REF!</f>
        <v>#REF!</v>
      </c>
      <c r="G1284" t="e">
        <f>#REF!</f>
        <v>#REF!</v>
      </c>
      <c r="H1284" t="e">
        <f>#REF!</f>
        <v>#REF!</v>
      </c>
    </row>
    <row r="1285" spans="1:8">
      <c r="A1285" t="e">
        <f>#REF!</f>
        <v>#REF!</v>
      </c>
      <c r="B1285" t="e">
        <f>#REF!</f>
        <v>#REF!</v>
      </c>
      <c r="C1285" t="e">
        <f>#REF!</f>
        <v>#REF!</v>
      </c>
      <c r="D1285" t="e">
        <f>#REF!</f>
        <v>#REF!</v>
      </c>
      <c r="E1285" t="e">
        <f>#REF!</f>
        <v>#REF!</v>
      </c>
      <c r="F1285" t="e">
        <f>#REF!</f>
        <v>#REF!</v>
      </c>
      <c r="G1285" t="e">
        <f>#REF!</f>
        <v>#REF!</v>
      </c>
      <c r="H1285" t="e">
        <f>#REF!</f>
        <v>#REF!</v>
      </c>
    </row>
    <row r="1286" spans="1:8">
      <c r="A1286" t="e">
        <f>#REF!</f>
        <v>#REF!</v>
      </c>
      <c r="B1286" t="e">
        <f>#REF!</f>
        <v>#REF!</v>
      </c>
      <c r="C1286" t="e">
        <f>#REF!</f>
        <v>#REF!</v>
      </c>
      <c r="D1286" t="e">
        <f>#REF!</f>
        <v>#REF!</v>
      </c>
      <c r="E1286" t="e">
        <f>#REF!</f>
        <v>#REF!</v>
      </c>
      <c r="F1286" t="e">
        <f>#REF!</f>
        <v>#REF!</v>
      </c>
      <c r="G1286" t="e">
        <f>#REF!</f>
        <v>#REF!</v>
      </c>
      <c r="H1286" t="e">
        <f>#REF!</f>
        <v>#REF!</v>
      </c>
    </row>
    <row r="1287" spans="1:8">
      <c r="A1287" t="e">
        <f>#REF!</f>
        <v>#REF!</v>
      </c>
      <c r="B1287" t="e">
        <f>#REF!</f>
        <v>#REF!</v>
      </c>
      <c r="C1287" t="e">
        <f>#REF!</f>
        <v>#REF!</v>
      </c>
      <c r="D1287" t="e">
        <f>#REF!</f>
        <v>#REF!</v>
      </c>
      <c r="E1287" t="e">
        <f>#REF!</f>
        <v>#REF!</v>
      </c>
      <c r="F1287" t="e">
        <f>#REF!</f>
        <v>#REF!</v>
      </c>
      <c r="G1287" t="e">
        <f>#REF!</f>
        <v>#REF!</v>
      </c>
      <c r="H1287" t="e">
        <f>#REF!</f>
        <v>#REF!</v>
      </c>
    </row>
    <row r="1288" spans="1:8">
      <c r="A1288" t="e">
        <f>#REF!</f>
        <v>#REF!</v>
      </c>
      <c r="B1288" t="e">
        <f>#REF!</f>
        <v>#REF!</v>
      </c>
      <c r="C1288" t="e">
        <f>#REF!</f>
        <v>#REF!</v>
      </c>
      <c r="D1288" t="e">
        <f>#REF!</f>
        <v>#REF!</v>
      </c>
      <c r="E1288" t="e">
        <f>#REF!</f>
        <v>#REF!</v>
      </c>
      <c r="F1288" t="e">
        <f>#REF!</f>
        <v>#REF!</v>
      </c>
      <c r="G1288" t="e">
        <f>#REF!</f>
        <v>#REF!</v>
      </c>
      <c r="H1288" t="e">
        <f>#REF!</f>
        <v>#REF!</v>
      </c>
    </row>
    <row r="1289" spans="1:8">
      <c r="A1289" t="e">
        <f>#REF!</f>
        <v>#REF!</v>
      </c>
      <c r="B1289" t="e">
        <f>#REF!</f>
        <v>#REF!</v>
      </c>
      <c r="C1289" t="e">
        <f>#REF!</f>
        <v>#REF!</v>
      </c>
      <c r="D1289" t="e">
        <f>#REF!</f>
        <v>#REF!</v>
      </c>
      <c r="E1289" t="e">
        <f>#REF!</f>
        <v>#REF!</v>
      </c>
      <c r="F1289" t="e">
        <f>#REF!</f>
        <v>#REF!</v>
      </c>
      <c r="G1289" t="e">
        <f>#REF!</f>
        <v>#REF!</v>
      </c>
      <c r="H1289" t="e">
        <f>#REF!</f>
        <v>#REF!</v>
      </c>
    </row>
    <row r="1290" spans="1:8">
      <c r="A1290" t="e">
        <f>#REF!</f>
        <v>#REF!</v>
      </c>
      <c r="B1290" t="e">
        <f>#REF!</f>
        <v>#REF!</v>
      </c>
      <c r="C1290" t="e">
        <f>#REF!</f>
        <v>#REF!</v>
      </c>
      <c r="D1290" t="e">
        <f>#REF!</f>
        <v>#REF!</v>
      </c>
      <c r="E1290" t="e">
        <f>#REF!</f>
        <v>#REF!</v>
      </c>
      <c r="F1290" t="e">
        <f>#REF!</f>
        <v>#REF!</v>
      </c>
      <c r="G1290" t="e">
        <f>#REF!</f>
        <v>#REF!</v>
      </c>
      <c r="H1290" t="e">
        <f>#REF!</f>
        <v>#REF!</v>
      </c>
    </row>
    <row r="1291" spans="1:8">
      <c r="A1291" t="e">
        <f>#REF!</f>
        <v>#REF!</v>
      </c>
      <c r="B1291" t="e">
        <f>#REF!</f>
        <v>#REF!</v>
      </c>
      <c r="C1291" t="e">
        <f>#REF!</f>
        <v>#REF!</v>
      </c>
      <c r="D1291" t="e">
        <f>#REF!</f>
        <v>#REF!</v>
      </c>
      <c r="E1291" t="e">
        <f>#REF!</f>
        <v>#REF!</v>
      </c>
      <c r="F1291" t="e">
        <f>#REF!</f>
        <v>#REF!</v>
      </c>
      <c r="G1291" t="e">
        <f>#REF!</f>
        <v>#REF!</v>
      </c>
      <c r="H1291" t="e">
        <f>#REF!</f>
        <v>#REF!</v>
      </c>
    </row>
    <row r="1292" spans="1:8">
      <c r="A1292" t="e">
        <f>#REF!</f>
        <v>#REF!</v>
      </c>
      <c r="B1292" t="e">
        <f>#REF!</f>
        <v>#REF!</v>
      </c>
      <c r="C1292" t="e">
        <f>#REF!</f>
        <v>#REF!</v>
      </c>
      <c r="D1292" t="e">
        <f>#REF!</f>
        <v>#REF!</v>
      </c>
      <c r="E1292" t="e">
        <f>#REF!</f>
        <v>#REF!</v>
      </c>
      <c r="F1292" t="e">
        <f>#REF!</f>
        <v>#REF!</v>
      </c>
      <c r="G1292" t="e">
        <f>#REF!</f>
        <v>#REF!</v>
      </c>
      <c r="H1292" t="e">
        <f>#REF!</f>
        <v>#REF!</v>
      </c>
    </row>
    <row r="1293" spans="1:8">
      <c r="A1293" t="e">
        <f>#REF!</f>
        <v>#REF!</v>
      </c>
      <c r="B1293" t="e">
        <f>#REF!</f>
        <v>#REF!</v>
      </c>
      <c r="C1293" t="e">
        <f>#REF!</f>
        <v>#REF!</v>
      </c>
      <c r="D1293" t="e">
        <f>#REF!</f>
        <v>#REF!</v>
      </c>
      <c r="E1293" t="e">
        <f>#REF!</f>
        <v>#REF!</v>
      </c>
      <c r="F1293" t="e">
        <f>#REF!</f>
        <v>#REF!</v>
      </c>
      <c r="G1293" t="e">
        <f>#REF!</f>
        <v>#REF!</v>
      </c>
      <c r="H1293" t="e">
        <f>#REF!</f>
        <v>#REF!</v>
      </c>
    </row>
    <row r="1294" spans="1:8">
      <c r="A1294" t="e">
        <f>#REF!</f>
        <v>#REF!</v>
      </c>
      <c r="B1294" t="e">
        <f>#REF!</f>
        <v>#REF!</v>
      </c>
      <c r="C1294" t="e">
        <f>#REF!</f>
        <v>#REF!</v>
      </c>
      <c r="D1294" t="e">
        <f>#REF!</f>
        <v>#REF!</v>
      </c>
      <c r="E1294" t="e">
        <f>#REF!</f>
        <v>#REF!</v>
      </c>
      <c r="F1294" t="e">
        <f>#REF!</f>
        <v>#REF!</v>
      </c>
      <c r="G1294" t="e">
        <f>#REF!</f>
        <v>#REF!</v>
      </c>
      <c r="H1294" t="e">
        <f>#REF!</f>
        <v>#REF!</v>
      </c>
    </row>
    <row r="1295" spans="1:8">
      <c r="A1295" t="e">
        <f>#REF!</f>
        <v>#REF!</v>
      </c>
      <c r="B1295" t="e">
        <f>#REF!</f>
        <v>#REF!</v>
      </c>
      <c r="C1295" t="e">
        <f>#REF!</f>
        <v>#REF!</v>
      </c>
      <c r="D1295" t="e">
        <f>#REF!</f>
        <v>#REF!</v>
      </c>
      <c r="E1295" t="e">
        <f>#REF!</f>
        <v>#REF!</v>
      </c>
      <c r="F1295" t="e">
        <f>#REF!</f>
        <v>#REF!</v>
      </c>
      <c r="G1295" t="e">
        <f>#REF!</f>
        <v>#REF!</v>
      </c>
      <c r="H1295" t="e">
        <f>#REF!</f>
        <v>#REF!</v>
      </c>
    </row>
    <row r="1296" spans="1:8">
      <c r="A1296" t="e">
        <f>#REF!</f>
        <v>#REF!</v>
      </c>
      <c r="B1296" t="e">
        <f>#REF!</f>
        <v>#REF!</v>
      </c>
      <c r="C1296" t="e">
        <f>#REF!</f>
        <v>#REF!</v>
      </c>
      <c r="D1296" t="e">
        <f>#REF!</f>
        <v>#REF!</v>
      </c>
      <c r="E1296" t="e">
        <f>#REF!</f>
        <v>#REF!</v>
      </c>
      <c r="F1296" t="e">
        <f>#REF!</f>
        <v>#REF!</v>
      </c>
      <c r="G1296" t="e">
        <f>#REF!</f>
        <v>#REF!</v>
      </c>
      <c r="H1296" t="e">
        <f>#REF!</f>
        <v>#REF!</v>
      </c>
    </row>
    <row r="1297" spans="1:8">
      <c r="A1297" t="e">
        <f>#REF!</f>
        <v>#REF!</v>
      </c>
      <c r="B1297" t="e">
        <f>#REF!</f>
        <v>#REF!</v>
      </c>
      <c r="C1297" t="e">
        <f>#REF!</f>
        <v>#REF!</v>
      </c>
      <c r="D1297" t="e">
        <f>#REF!</f>
        <v>#REF!</v>
      </c>
      <c r="E1297" t="e">
        <f>#REF!</f>
        <v>#REF!</v>
      </c>
      <c r="F1297" t="e">
        <f>#REF!</f>
        <v>#REF!</v>
      </c>
      <c r="G1297" t="e">
        <f>#REF!</f>
        <v>#REF!</v>
      </c>
      <c r="H1297" t="e">
        <f>#REF!</f>
        <v>#REF!</v>
      </c>
    </row>
    <row r="1298" spans="1:8">
      <c r="A1298" t="e">
        <f>#REF!</f>
        <v>#REF!</v>
      </c>
      <c r="B1298" t="e">
        <f>#REF!</f>
        <v>#REF!</v>
      </c>
      <c r="C1298" t="e">
        <f>#REF!</f>
        <v>#REF!</v>
      </c>
      <c r="D1298" t="e">
        <f>#REF!</f>
        <v>#REF!</v>
      </c>
      <c r="E1298" t="e">
        <f>#REF!</f>
        <v>#REF!</v>
      </c>
      <c r="F1298" t="e">
        <f>#REF!</f>
        <v>#REF!</v>
      </c>
      <c r="G1298" t="e">
        <f>#REF!</f>
        <v>#REF!</v>
      </c>
      <c r="H1298" t="e">
        <f>#REF!</f>
        <v>#REF!</v>
      </c>
    </row>
    <row r="1299" spans="1:8">
      <c r="A1299" t="e">
        <f>#REF!</f>
        <v>#REF!</v>
      </c>
      <c r="B1299" t="e">
        <f>#REF!</f>
        <v>#REF!</v>
      </c>
      <c r="C1299" t="e">
        <f>#REF!</f>
        <v>#REF!</v>
      </c>
      <c r="D1299" t="e">
        <f>#REF!</f>
        <v>#REF!</v>
      </c>
      <c r="E1299" t="e">
        <f>#REF!</f>
        <v>#REF!</v>
      </c>
      <c r="F1299" t="e">
        <f>#REF!</f>
        <v>#REF!</v>
      </c>
      <c r="G1299" t="e">
        <f>#REF!</f>
        <v>#REF!</v>
      </c>
      <c r="H1299" t="e">
        <f>#REF!</f>
        <v>#REF!</v>
      </c>
    </row>
    <row r="1300" spans="1:8">
      <c r="A1300" t="e">
        <f>#REF!</f>
        <v>#REF!</v>
      </c>
      <c r="B1300" t="e">
        <f>#REF!</f>
        <v>#REF!</v>
      </c>
      <c r="C1300" t="e">
        <f>#REF!</f>
        <v>#REF!</v>
      </c>
      <c r="D1300" t="e">
        <f>#REF!</f>
        <v>#REF!</v>
      </c>
      <c r="E1300" t="e">
        <f>#REF!</f>
        <v>#REF!</v>
      </c>
      <c r="F1300" t="e">
        <f>#REF!</f>
        <v>#REF!</v>
      </c>
      <c r="G1300" t="e">
        <f>#REF!</f>
        <v>#REF!</v>
      </c>
      <c r="H1300" t="e">
        <f>#REF!</f>
        <v>#REF!</v>
      </c>
    </row>
    <row r="1301" spans="1:8">
      <c r="A1301" t="e">
        <f>#REF!</f>
        <v>#REF!</v>
      </c>
      <c r="B1301" t="e">
        <f>#REF!</f>
        <v>#REF!</v>
      </c>
      <c r="C1301" t="e">
        <f>#REF!</f>
        <v>#REF!</v>
      </c>
      <c r="D1301" t="e">
        <f>#REF!</f>
        <v>#REF!</v>
      </c>
      <c r="E1301" t="e">
        <f>#REF!</f>
        <v>#REF!</v>
      </c>
      <c r="F1301" t="e">
        <f>#REF!</f>
        <v>#REF!</v>
      </c>
      <c r="G1301" t="e">
        <f>#REF!</f>
        <v>#REF!</v>
      </c>
      <c r="H1301" t="e">
        <f>#REF!</f>
        <v>#REF!</v>
      </c>
    </row>
    <row r="1302" spans="1:8">
      <c r="A1302" t="e">
        <f>#REF!</f>
        <v>#REF!</v>
      </c>
      <c r="B1302" t="e">
        <f>#REF!</f>
        <v>#REF!</v>
      </c>
      <c r="C1302" t="e">
        <f>#REF!</f>
        <v>#REF!</v>
      </c>
      <c r="D1302" t="e">
        <f>#REF!</f>
        <v>#REF!</v>
      </c>
      <c r="E1302" t="e">
        <f>#REF!</f>
        <v>#REF!</v>
      </c>
      <c r="F1302" t="e">
        <f>#REF!</f>
        <v>#REF!</v>
      </c>
      <c r="G1302" t="e">
        <f>#REF!</f>
        <v>#REF!</v>
      </c>
      <c r="H1302" t="e">
        <f>#REF!</f>
        <v>#REF!</v>
      </c>
    </row>
    <row r="1303" spans="1:8">
      <c r="A1303" t="e">
        <f>#REF!</f>
        <v>#REF!</v>
      </c>
      <c r="B1303" t="e">
        <f>#REF!</f>
        <v>#REF!</v>
      </c>
      <c r="C1303" t="e">
        <f>#REF!</f>
        <v>#REF!</v>
      </c>
      <c r="D1303" t="e">
        <f>#REF!</f>
        <v>#REF!</v>
      </c>
      <c r="E1303" t="e">
        <f>#REF!</f>
        <v>#REF!</v>
      </c>
      <c r="F1303" t="e">
        <f>#REF!</f>
        <v>#REF!</v>
      </c>
      <c r="G1303" t="e">
        <f>#REF!</f>
        <v>#REF!</v>
      </c>
      <c r="H1303" t="e">
        <f>#REF!</f>
        <v>#REF!</v>
      </c>
    </row>
    <row r="1304" spans="1:8">
      <c r="A1304" t="e">
        <f>#REF!</f>
        <v>#REF!</v>
      </c>
      <c r="B1304" t="e">
        <f>#REF!</f>
        <v>#REF!</v>
      </c>
      <c r="C1304" t="e">
        <f>#REF!</f>
        <v>#REF!</v>
      </c>
      <c r="D1304" t="e">
        <f>#REF!</f>
        <v>#REF!</v>
      </c>
      <c r="E1304" t="e">
        <f>#REF!</f>
        <v>#REF!</v>
      </c>
      <c r="F1304" t="e">
        <f>#REF!</f>
        <v>#REF!</v>
      </c>
      <c r="G1304" t="e">
        <f>#REF!</f>
        <v>#REF!</v>
      </c>
      <c r="H1304" t="e">
        <f>#REF!</f>
        <v>#REF!</v>
      </c>
    </row>
    <row r="1305" spans="1:8">
      <c r="A1305" t="e">
        <f>#REF!</f>
        <v>#REF!</v>
      </c>
      <c r="B1305" t="e">
        <f>#REF!</f>
        <v>#REF!</v>
      </c>
      <c r="C1305" t="e">
        <f>#REF!</f>
        <v>#REF!</v>
      </c>
      <c r="D1305" t="e">
        <f>#REF!</f>
        <v>#REF!</v>
      </c>
      <c r="E1305" t="e">
        <f>#REF!</f>
        <v>#REF!</v>
      </c>
      <c r="F1305" t="e">
        <f>#REF!</f>
        <v>#REF!</v>
      </c>
      <c r="G1305" t="e">
        <f>#REF!</f>
        <v>#REF!</v>
      </c>
      <c r="H1305" t="e">
        <f>#REF!</f>
        <v>#REF!</v>
      </c>
    </row>
    <row r="1306" spans="1:8">
      <c r="A1306" t="e">
        <f>#REF!</f>
        <v>#REF!</v>
      </c>
      <c r="B1306" t="e">
        <f>#REF!</f>
        <v>#REF!</v>
      </c>
      <c r="C1306" t="e">
        <f>#REF!</f>
        <v>#REF!</v>
      </c>
      <c r="D1306" t="e">
        <f>#REF!</f>
        <v>#REF!</v>
      </c>
      <c r="E1306" t="e">
        <f>#REF!</f>
        <v>#REF!</v>
      </c>
      <c r="F1306" t="e">
        <f>#REF!</f>
        <v>#REF!</v>
      </c>
      <c r="G1306" t="e">
        <f>#REF!</f>
        <v>#REF!</v>
      </c>
      <c r="H1306" t="e">
        <f>#REF!</f>
        <v>#REF!</v>
      </c>
    </row>
    <row r="1307" spans="1:8">
      <c r="A1307" t="e">
        <f>#REF!</f>
        <v>#REF!</v>
      </c>
      <c r="B1307" t="e">
        <f>#REF!</f>
        <v>#REF!</v>
      </c>
      <c r="C1307" t="e">
        <f>#REF!</f>
        <v>#REF!</v>
      </c>
      <c r="D1307" t="e">
        <f>#REF!</f>
        <v>#REF!</v>
      </c>
      <c r="E1307" t="e">
        <f>#REF!</f>
        <v>#REF!</v>
      </c>
      <c r="F1307" t="e">
        <f>#REF!</f>
        <v>#REF!</v>
      </c>
      <c r="G1307" t="e">
        <f>#REF!</f>
        <v>#REF!</v>
      </c>
      <c r="H1307" t="e">
        <f>#REF!</f>
        <v>#REF!</v>
      </c>
    </row>
    <row r="1308" spans="1:8">
      <c r="A1308" t="e">
        <f>#REF!</f>
        <v>#REF!</v>
      </c>
      <c r="B1308" t="e">
        <f>#REF!</f>
        <v>#REF!</v>
      </c>
      <c r="C1308" t="e">
        <f>#REF!</f>
        <v>#REF!</v>
      </c>
      <c r="D1308" t="e">
        <f>#REF!</f>
        <v>#REF!</v>
      </c>
      <c r="E1308" t="e">
        <f>#REF!</f>
        <v>#REF!</v>
      </c>
      <c r="F1308" t="e">
        <f>#REF!</f>
        <v>#REF!</v>
      </c>
      <c r="G1308" t="e">
        <f>#REF!</f>
        <v>#REF!</v>
      </c>
      <c r="H1308" t="e">
        <f>#REF!</f>
        <v>#REF!</v>
      </c>
    </row>
    <row r="1309" spans="1:8">
      <c r="A1309" t="e">
        <f>#REF!</f>
        <v>#REF!</v>
      </c>
      <c r="B1309" t="e">
        <f>#REF!</f>
        <v>#REF!</v>
      </c>
      <c r="C1309" t="e">
        <f>#REF!</f>
        <v>#REF!</v>
      </c>
      <c r="D1309" t="e">
        <f>#REF!</f>
        <v>#REF!</v>
      </c>
      <c r="E1309" t="e">
        <f>#REF!</f>
        <v>#REF!</v>
      </c>
      <c r="F1309" t="e">
        <f>#REF!</f>
        <v>#REF!</v>
      </c>
      <c r="G1309" t="e">
        <f>#REF!</f>
        <v>#REF!</v>
      </c>
      <c r="H1309" t="e">
        <f>#REF!</f>
        <v>#REF!</v>
      </c>
    </row>
    <row r="1310" spans="1:8">
      <c r="A1310" t="e">
        <f>#REF!</f>
        <v>#REF!</v>
      </c>
      <c r="B1310" t="e">
        <f>#REF!</f>
        <v>#REF!</v>
      </c>
      <c r="C1310" t="e">
        <f>#REF!</f>
        <v>#REF!</v>
      </c>
      <c r="D1310" t="e">
        <f>#REF!</f>
        <v>#REF!</v>
      </c>
      <c r="E1310" t="e">
        <f>#REF!</f>
        <v>#REF!</v>
      </c>
      <c r="F1310" t="e">
        <f>#REF!</f>
        <v>#REF!</v>
      </c>
      <c r="G1310" t="e">
        <f>#REF!</f>
        <v>#REF!</v>
      </c>
      <c r="H1310" t="e">
        <f>#REF!</f>
        <v>#REF!</v>
      </c>
    </row>
    <row r="1311" spans="1:8">
      <c r="A1311" t="e">
        <f>#REF!</f>
        <v>#REF!</v>
      </c>
      <c r="B1311" t="e">
        <f>#REF!</f>
        <v>#REF!</v>
      </c>
      <c r="C1311" t="e">
        <f>#REF!</f>
        <v>#REF!</v>
      </c>
      <c r="D1311" t="e">
        <f>#REF!</f>
        <v>#REF!</v>
      </c>
      <c r="E1311" t="e">
        <f>#REF!</f>
        <v>#REF!</v>
      </c>
      <c r="F1311" t="e">
        <f>#REF!</f>
        <v>#REF!</v>
      </c>
      <c r="G1311" t="e">
        <f>#REF!</f>
        <v>#REF!</v>
      </c>
      <c r="H1311" t="e">
        <f>#REF!</f>
        <v>#REF!</v>
      </c>
    </row>
    <row r="1312" spans="1:8">
      <c r="A1312" t="e">
        <f>#REF!</f>
        <v>#REF!</v>
      </c>
      <c r="B1312" t="e">
        <f>#REF!</f>
        <v>#REF!</v>
      </c>
      <c r="C1312" t="e">
        <f>#REF!</f>
        <v>#REF!</v>
      </c>
      <c r="D1312" t="e">
        <f>#REF!</f>
        <v>#REF!</v>
      </c>
      <c r="E1312" t="e">
        <f>#REF!</f>
        <v>#REF!</v>
      </c>
      <c r="F1312" t="e">
        <f>#REF!</f>
        <v>#REF!</v>
      </c>
      <c r="G1312" t="e">
        <f>#REF!</f>
        <v>#REF!</v>
      </c>
      <c r="H1312" t="e">
        <f>#REF!</f>
        <v>#REF!</v>
      </c>
    </row>
    <row r="1313" spans="1:8">
      <c r="A1313" t="e">
        <f>#REF!</f>
        <v>#REF!</v>
      </c>
      <c r="B1313" t="e">
        <f>#REF!</f>
        <v>#REF!</v>
      </c>
      <c r="C1313" t="e">
        <f>#REF!</f>
        <v>#REF!</v>
      </c>
      <c r="D1313" t="e">
        <f>#REF!</f>
        <v>#REF!</v>
      </c>
      <c r="E1313" t="e">
        <f>#REF!</f>
        <v>#REF!</v>
      </c>
      <c r="F1313" t="e">
        <f>#REF!</f>
        <v>#REF!</v>
      </c>
      <c r="G1313" t="e">
        <f>#REF!</f>
        <v>#REF!</v>
      </c>
      <c r="H1313" t="e">
        <f>#REF!</f>
        <v>#REF!</v>
      </c>
    </row>
    <row r="1314" spans="1:8">
      <c r="A1314" t="e">
        <f>#REF!</f>
        <v>#REF!</v>
      </c>
      <c r="B1314" t="e">
        <f>#REF!</f>
        <v>#REF!</v>
      </c>
      <c r="C1314" t="e">
        <f>#REF!</f>
        <v>#REF!</v>
      </c>
      <c r="D1314" t="e">
        <f>#REF!</f>
        <v>#REF!</v>
      </c>
      <c r="E1314" t="e">
        <f>#REF!</f>
        <v>#REF!</v>
      </c>
      <c r="F1314" t="e">
        <f>#REF!</f>
        <v>#REF!</v>
      </c>
      <c r="G1314" t="e">
        <f>#REF!</f>
        <v>#REF!</v>
      </c>
      <c r="H1314" t="e">
        <f>#REF!</f>
        <v>#REF!</v>
      </c>
    </row>
    <row r="1315" spans="1:8">
      <c r="A1315" t="e">
        <f>#REF!</f>
        <v>#REF!</v>
      </c>
      <c r="B1315" t="e">
        <f>#REF!</f>
        <v>#REF!</v>
      </c>
      <c r="C1315" t="e">
        <f>#REF!</f>
        <v>#REF!</v>
      </c>
      <c r="D1315" t="e">
        <f>#REF!</f>
        <v>#REF!</v>
      </c>
      <c r="E1315" t="e">
        <f>#REF!</f>
        <v>#REF!</v>
      </c>
      <c r="F1315" t="e">
        <f>#REF!</f>
        <v>#REF!</v>
      </c>
      <c r="G1315" t="e">
        <f>#REF!</f>
        <v>#REF!</v>
      </c>
      <c r="H1315" t="e">
        <f>#REF!</f>
        <v>#REF!</v>
      </c>
    </row>
    <row r="1316" spans="1:8">
      <c r="A1316" t="e">
        <f>#REF!</f>
        <v>#REF!</v>
      </c>
      <c r="B1316" t="e">
        <f>#REF!</f>
        <v>#REF!</v>
      </c>
      <c r="C1316" t="e">
        <f>#REF!</f>
        <v>#REF!</v>
      </c>
      <c r="D1316" t="e">
        <f>#REF!</f>
        <v>#REF!</v>
      </c>
      <c r="E1316" t="e">
        <f>#REF!</f>
        <v>#REF!</v>
      </c>
      <c r="F1316" t="e">
        <f>#REF!</f>
        <v>#REF!</v>
      </c>
      <c r="G1316" t="e">
        <f>#REF!</f>
        <v>#REF!</v>
      </c>
      <c r="H1316" t="e">
        <f>#REF!</f>
        <v>#REF!</v>
      </c>
    </row>
    <row r="1317" spans="1:8">
      <c r="A1317" t="e">
        <f>#REF!</f>
        <v>#REF!</v>
      </c>
      <c r="B1317" t="e">
        <f>#REF!</f>
        <v>#REF!</v>
      </c>
      <c r="C1317" t="e">
        <f>#REF!</f>
        <v>#REF!</v>
      </c>
      <c r="D1317" t="e">
        <f>#REF!</f>
        <v>#REF!</v>
      </c>
      <c r="E1317" t="e">
        <f>#REF!</f>
        <v>#REF!</v>
      </c>
      <c r="F1317" t="e">
        <f>#REF!</f>
        <v>#REF!</v>
      </c>
      <c r="G1317" t="e">
        <f>#REF!</f>
        <v>#REF!</v>
      </c>
      <c r="H1317" t="e">
        <f>#REF!</f>
        <v>#REF!</v>
      </c>
    </row>
    <row r="1318" spans="1:8">
      <c r="A1318" t="e">
        <f>#REF!</f>
        <v>#REF!</v>
      </c>
      <c r="B1318" t="e">
        <f>#REF!</f>
        <v>#REF!</v>
      </c>
      <c r="C1318" t="e">
        <f>#REF!</f>
        <v>#REF!</v>
      </c>
      <c r="D1318" t="e">
        <f>#REF!</f>
        <v>#REF!</v>
      </c>
      <c r="E1318" t="e">
        <f>#REF!</f>
        <v>#REF!</v>
      </c>
      <c r="F1318" t="e">
        <f>#REF!</f>
        <v>#REF!</v>
      </c>
      <c r="G1318" t="e">
        <f>#REF!</f>
        <v>#REF!</v>
      </c>
      <c r="H1318" t="e">
        <f>#REF!</f>
        <v>#REF!</v>
      </c>
    </row>
    <row r="1319" spans="1:8">
      <c r="A1319" t="e">
        <f>#REF!</f>
        <v>#REF!</v>
      </c>
      <c r="B1319" t="e">
        <f>#REF!</f>
        <v>#REF!</v>
      </c>
      <c r="C1319" t="e">
        <f>#REF!</f>
        <v>#REF!</v>
      </c>
      <c r="D1319" t="e">
        <f>#REF!</f>
        <v>#REF!</v>
      </c>
      <c r="E1319" t="e">
        <f>#REF!</f>
        <v>#REF!</v>
      </c>
      <c r="F1319" t="e">
        <f>#REF!</f>
        <v>#REF!</v>
      </c>
      <c r="G1319" t="e">
        <f>#REF!</f>
        <v>#REF!</v>
      </c>
      <c r="H1319" t="e">
        <f>#REF!</f>
        <v>#REF!</v>
      </c>
    </row>
    <row r="1320" spans="1:8">
      <c r="A1320" t="e">
        <f>#REF!</f>
        <v>#REF!</v>
      </c>
      <c r="B1320" t="e">
        <f>#REF!</f>
        <v>#REF!</v>
      </c>
      <c r="C1320" t="e">
        <f>#REF!</f>
        <v>#REF!</v>
      </c>
      <c r="D1320" t="e">
        <f>#REF!</f>
        <v>#REF!</v>
      </c>
      <c r="E1320" t="e">
        <f>#REF!</f>
        <v>#REF!</v>
      </c>
      <c r="F1320" t="e">
        <f>#REF!</f>
        <v>#REF!</v>
      </c>
      <c r="G1320" t="e">
        <f>#REF!</f>
        <v>#REF!</v>
      </c>
      <c r="H1320" t="e">
        <f>#REF!</f>
        <v>#REF!</v>
      </c>
    </row>
    <row r="1321" spans="1:8">
      <c r="A1321" t="e">
        <f>#REF!</f>
        <v>#REF!</v>
      </c>
      <c r="B1321" t="e">
        <f>#REF!</f>
        <v>#REF!</v>
      </c>
      <c r="C1321" t="e">
        <f>#REF!</f>
        <v>#REF!</v>
      </c>
      <c r="D1321" t="e">
        <f>#REF!</f>
        <v>#REF!</v>
      </c>
      <c r="E1321" t="e">
        <f>#REF!</f>
        <v>#REF!</v>
      </c>
      <c r="F1321" t="e">
        <f>#REF!</f>
        <v>#REF!</v>
      </c>
      <c r="G1321" t="e">
        <f>#REF!</f>
        <v>#REF!</v>
      </c>
      <c r="H1321" t="e">
        <f>#REF!</f>
        <v>#REF!</v>
      </c>
    </row>
    <row r="1322" spans="1:8">
      <c r="A1322" t="e">
        <f>#REF!</f>
        <v>#REF!</v>
      </c>
      <c r="B1322" t="e">
        <f>#REF!</f>
        <v>#REF!</v>
      </c>
      <c r="C1322" t="e">
        <f>#REF!</f>
        <v>#REF!</v>
      </c>
      <c r="D1322" t="e">
        <f>#REF!</f>
        <v>#REF!</v>
      </c>
      <c r="E1322" t="e">
        <f>#REF!</f>
        <v>#REF!</v>
      </c>
      <c r="F1322" t="e">
        <f>#REF!</f>
        <v>#REF!</v>
      </c>
      <c r="G1322" t="e">
        <f>#REF!</f>
        <v>#REF!</v>
      </c>
      <c r="H1322" t="e">
        <f>#REF!</f>
        <v>#REF!</v>
      </c>
    </row>
    <row r="1323" spans="1:8">
      <c r="A1323" t="e">
        <f>#REF!</f>
        <v>#REF!</v>
      </c>
      <c r="B1323" t="e">
        <f>#REF!</f>
        <v>#REF!</v>
      </c>
      <c r="C1323" t="e">
        <f>#REF!</f>
        <v>#REF!</v>
      </c>
      <c r="D1323" t="e">
        <f>#REF!</f>
        <v>#REF!</v>
      </c>
      <c r="E1323" t="e">
        <f>#REF!</f>
        <v>#REF!</v>
      </c>
      <c r="F1323" t="e">
        <f>#REF!</f>
        <v>#REF!</v>
      </c>
      <c r="G1323" t="e">
        <f>#REF!</f>
        <v>#REF!</v>
      </c>
      <c r="H1323" t="e">
        <f>#REF!</f>
        <v>#REF!</v>
      </c>
    </row>
    <row r="1324" spans="1:8">
      <c r="A1324" t="e">
        <f>#REF!</f>
        <v>#REF!</v>
      </c>
      <c r="B1324" t="e">
        <f>#REF!</f>
        <v>#REF!</v>
      </c>
      <c r="C1324" t="e">
        <f>#REF!</f>
        <v>#REF!</v>
      </c>
      <c r="D1324" t="e">
        <f>#REF!</f>
        <v>#REF!</v>
      </c>
      <c r="E1324" t="e">
        <f>#REF!</f>
        <v>#REF!</v>
      </c>
      <c r="F1324" t="e">
        <f>#REF!</f>
        <v>#REF!</v>
      </c>
      <c r="G1324" t="e">
        <f>#REF!</f>
        <v>#REF!</v>
      </c>
      <c r="H1324" t="e">
        <f>#REF!</f>
        <v>#REF!</v>
      </c>
    </row>
    <row r="1325" spans="1:8">
      <c r="A1325" t="e">
        <f>#REF!</f>
        <v>#REF!</v>
      </c>
      <c r="B1325" t="e">
        <f>#REF!</f>
        <v>#REF!</v>
      </c>
      <c r="C1325" t="e">
        <f>#REF!</f>
        <v>#REF!</v>
      </c>
      <c r="D1325" t="e">
        <f>#REF!</f>
        <v>#REF!</v>
      </c>
      <c r="E1325" t="e">
        <f>#REF!</f>
        <v>#REF!</v>
      </c>
      <c r="F1325" t="e">
        <f>#REF!</f>
        <v>#REF!</v>
      </c>
      <c r="G1325" t="e">
        <f>#REF!</f>
        <v>#REF!</v>
      </c>
      <c r="H1325" t="e">
        <f>#REF!</f>
        <v>#REF!</v>
      </c>
    </row>
    <row r="1326" spans="1:8">
      <c r="A1326" t="e">
        <f>#REF!</f>
        <v>#REF!</v>
      </c>
      <c r="B1326" t="e">
        <f>#REF!</f>
        <v>#REF!</v>
      </c>
      <c r="C1326" t="e">
        <f>#REF!</f>
        <v>#REF!</v>
      </c>
      <c r="D1326" t="e">
        <f>#REF!</f>
        <v>#REF!</v>
      </c>
      <c r="E1326" t="e">
        <f>#REF!</f>
        <v>#REF!</v>
      </c>
      <c r="F1326" t="e">
        <f>#REF!</f>
        <v>#REF!</v>
      </c>
      <c r="G1326" t="e">
        <f>#REF!</f>
        <v>#REF!</v>
      </c>
      <c r="H1326" t="e">
        <f>#REF!</f>
        <v>#REF!</v>
      </c>
    </row>
    <row r="1327" spans="1:8">
      <c r="A1327" t="e">
        <f>#REF!</f>
        <v>#REF!</v>
      </c>
      <c r="B1327" t="e">
        <f>#REF!</f>
        <v>#REF!</v>
      </c>
      <c r="C1327" t="e">
        <f>#REF!</f>
        <v>#REF!</v>
      </c>
      <c r="D1327" t="e">
        <f>#REF!</f>
        <v>#REF!</v>
      </c>
      <c r="E1327" t="e">
        <f>#REF!</f>
        <v>#REF!</v>
      </c>
      <c r="F1327" t="e">
        <f>#REF!</f>
        <v>#REF!</v>
      </c>
      <c r="G1327" t="e">
        <f>#REF!</f>
        <v>#REF!</v>
      </c>
      <c r="H1327" t="e">
        <f>#REF!</f>
        <v>#REF!</v>
      </c>
    </row>
    <row r="1328" spans="1:8">
      <c r="A1328" t="e">
        <f>#REF!</f>
        <v>#REF!</v>
      </c>
      <c r="B1328" t="e">
        <f>#REF!</f>
        <v>#REF!</v>
      </c>
      <c r="C1328" t="e">
        <f>#REF!</f>
        <v>#REF!</v>
      </c>
      <c r="D1328" t="e">
        <f>#REF!</f>
        <v>#REF!</v>
      </c>
      <c r="E1328" t="e">
        <f>#REF!</f>
        <v>#REF!</v>
      </c>
      <c r="F1328" t="e">
        <f>#REF!</f>
        <v>#REF!</v>
      </c>
      <c r="G1328" t="e">
        <f>#REF!</f>
        <v>#REF!</v>
      </c>
      <c r="H1328" t="e">
        <f>#REF!</f>
        <v>#REF!</v>
      </c>
    </row>
    <row r="1329" spans="1:8">
      <c r="A1329" t="e">
        <f>#REF!</f>
        <v>#REF!</v>
      </c>
      <c r="B1329" t="e">
        <f>#REF!</f>
        <v>#REF!</v>
      </c>
      <c r="C1329" t="e">
        <f>#REF!</f>
        <v>#REF!</v>
      </c>
      <c r="D1329" t="e">
        <f>#REF!</f>
        <v>#REF!</v>
      </c>
      <c r="E1329" t="e">
        <f>#REF!</f>
        <v>#REF!</v>
      </c>
      <c r="F1329" t="e">
        <f>#REF!</f>
        <v>#REF!</v>
      </c>
      <c r="G1329" t="e">
        <f>#REF!</f>
        <v>#REF!</v>
      </c>
      <c r="H1329" t="e">
        <f>#REF!</f>
        <v>#REF!</v>
      </c>
    </row>
    <row r="1330" spans="1:8">
      <c r="A1330" t="e">
        <f>#REF!</f>
        <v>#REF!</v>
      </c>
      <c r="B1330" t="e">
        <f>#REF!</f>
        <v>#REF!</v>
      </c>
      <c r="C1330" t="e">
        <f>#REF!</f>
        <v>#REF!</v>
      </c>
      <c r="D1330" t="e">
        <f>#REF!</f>
        <v>#REF!</v>
      </c>
      <c r="E1330" t="e">
        <f>#REF!</f>
        <v>#REF!</v>
      </c>
      <c r="F1330" t="e">
        <f>#REF!</f>
        <v>#REF!</v>
      </c>
      <c r="G1330" t="e">
        <f>#REF!</f>
        <v>#REF!</v>
      </c>
      <c r="H1330" t="e">
        <f>#REF!</f>
        <v>#REF!</v>
      </c>
    </row>
    <row r="1331" spans="1:8">
      <c r="A1331" t="e">
        <f>#REF!</f>
        <v>#REF!</v>
      </c>
      <c r="B1331" t="e">
        <f>#REF!</f>
        <v>#REF!</v>
      </c>
      <c r="C1331" t="e">
        <f>#REF!</f>
        <v>#REF!</v>
      </c>
      <c r="D1331" t="e">
        <f>#REF!</f>
        <v>#REF!</v>
      </c>
      <c r="E1331" t="e">
        <f>#REF!</f>
        <v>#REF!</v>
      </c>
      <c r="F1331" t="e">
        <f>#REF!</f>
        <v>#REF!</v>
      </c>
      <c r="G1331" t="e">
        <f>#REF!</f>
        <v>#REF!</v>
      </c>
      <c r="H1331" t="e">
        <f>#REF!</f>
        <v>#REF!</v>
      </c>
    </row>
    <row r="1332" spans="1:8">
      <c r="A1332" t="e">
        <f>#REF!</f>
        <v>#REF!</v>
      </c>
      <c r="B1332" t="e">
        <f>#REF!</f>
        <v>#REF!</v>
      </c>
      <c r="C1332" t="e">
        <f>#REF!</f>
        <v>#REF!</v>
      </c>
      <c r="D1332" t="e">
        <f>#REF!</f>
        <v>#REF!</v>
      </c>
      <c r="E1332" t="e">
        <f>#REF!</f>
        <v>#REF!</v>
      </c>
      <c r="F1332" t="e">
        <f>#REF!</f>
        <v>#REF!</v>
      </c>
      <c r="G1332" t="e">
        <f>#REF!</f>
        <v>#REF!</v>
      </c>
      <c r="H1332" t="e">
        <f>#REF!</f>
        <v>#REF!</v>
      </c>
    </row>
    <row r="1333" spans="1:8">
      <c r="A1333" t="e">
        <f>#REF!</f>
        <v>#REF!</v>
      </c>
      <c r="B1333" t="e">
        <f>#REF!</f>
        <v>#REF!</v>
      </c>
      <c r="C1333" t="e">
        <f>#REF!</f>
        <v>#REF!</v>
      </c>
      <c r="D1333" t="e">
        <f>#REF!</f>
        <v>#REF!</v>
      </c>
      <c r="E1333" t="e">
        <f>#REF!</f>
        <v>#REF!</v>
      </c>
      <c r="F1333" t="e">
        <f>#REF!</f>
        <v>#REF!</v>
      </c>
      <c r="G1333" t="e">
        <f>#REF!</f>
        <v>#REF!</v>
      </c>
      <c r="H1333" t="e">
        <f>#REF!</f>
        <v>#REF!</v>
      </c>
    </row>
    <row r="1334" spans="1:8">
      <c r="A1334" t="e">
        <f>#REF!</f>
        <v>#REF!</v>
      </c>
      <c r="B1334" t="e">
        <f>#REF!</f>
        <v>#REF!</v>
      </c>
      <c r="C1334" t="e">
        <f>#REF!</f>
        <v>#REF!</v>
      </c>
      <c r="D1334" t="e">
        <f>#REF!</f>
        <v>#REF!</v>
      </c>
      <c r="E1334" t="e">
        <f>#REF!</f>
        <v>#REF!</v>
      </c>
      <c r="F1334" t="e">
        <f>#REF!</f>
        <v>#REF!</v>
      </c>
      <c r="G1334" t="e">
        <f>#REF!</f>
        <v>#REF!</v>
      </c>
      <c r="H1334" t="e">
        <f>#REF!</f>
        <v>#REF!</v>
      </c>
    </row>
    <row r="1335" spans="1:8">
      <c r="A1335" t="e">
        <f>#REF!</f>
        <v>#REF!</v>
      </c>
      <c r="B1335" t="e">
        <f>#REF!</f>
        <v>#REF!</v>
      </c>
      <c r="C1335" t="e">
        <f>#REF!</f>
        <v>#REF!</v>
      </c>
      <c r="D1335" t="e">
        <f>#REF!</f>
        <v>#REF!</v>
      </c>
      <c r="E1335" t="e">
        <f>#REF!</f>
        <v>#REF!</v>
      </c>
      <c r="F1335" t="e">
        <f>#REF!</f>
        <v>#REF!</v>
      </c>
      <c r="G1335" t="e">
        <f>#REF!</f>
        <v>#REF!</v>
      </c>
      <c r="H1335" t="e">
        <f>#REF!</f>
        <v>#REF!</v>
      </c>
    </row>
    <row r="1336" spans="1:8">
      <c r="A1336" t="e">
        <f>#REF!</f>
        <v>#REF!</v>
      </c>
      <c r="B1336" t="e">
        <f>#REF!</f>
        <v>#REF!</v>
      </c>
      <c r="C1336" t="e">
        <f>#REF!</f>
        <v>#REF!</v>
      </c>
      <c r="D1336" t="e">
        <f>#REF!</f>
        <v>#REF!</v>
      </c>
      <c r="E1336" t="e">
        <f>#REF!</f>
        <v>#REF!</v>
      </c>
      <c r="F1336" t="e">
        <f>#REF!</f>
        <v>#REF!</v>
      </c>
      <c r="G1336" t="e">
        <f>#REF!</f>
        <v>#REF!</v>
      </c>
      <c r="H1336" t="e">
        <f>#REF!</f>
        <v>#REF!</v>
      </c>
    </row>
    <row r="1337" spans="1:8">
      <c r="A1337" t="e">
        <f>#REF!</f>
        <v>#REF!</v>
      </c>
      <c r="B1337" t="e">
        <f>#REF!</f>
        <v>#REF!</v>
      </c>
      <c r="C1337" t="e">
        <f>#REF!</f>
        <v>#REF!</v>
      </c>
      <c r="D1337" t="e">
        <f>#REF!</f>
        <v>#REF!</v>
      </c>
      <c r="E1337" t="e">
        <f>#REF!</f>
        <v>#REF!</v>
      </c>
      <c r="F1337" t="e">
        <f>#REF!</f>
        <v>#REF!</v>
      </c>
      <c r="G1337" t="e">
        <f>#REF!</f>
        <v>#REF!</v>
      </c>
      <c r="H1337" t="e">
        <f>#REF!</f>
        <v>#REF!</v>
      </c>
    </row>
    <row r="1338" spans="1:8">
      <c r="A1338" t="e">
        <f>#REF!</f>
        <v>#REF!</v>
      </c>
      <c r="B1338" t="e">
        <f>#REF!</f>
        <v>#REF!</v>
      </c>
      <c r="C1338" t="e">
        <f>#REF!</f>
        <v>#REF!</v>
      </c>
      <c r="D1338" t="e">
        <f>#REF!</f>
        <v>#REF!</v>
      </c>
      <c r="E1338" t="e">
        <f>#REF!</f>
        <v>#REF!</v>
      </c>
      <c r="F1338" t="e">
        <f>#REF!</f>
        <v>#REF!</v>
      </c>
      <c r="G1338" t="e">
        <f>#REF!</f>
        <v>#REF!</v>
      </c>
      <c r="H1338" t="e">
        <f>#REF!</f>
        <v>#REF!</v>
      </c>
    </row>
    <row r="1339" spans="1:8">
      <c r="A1339" t="e">
        <f>#REF!</f>
        <v>#REF!</v>
      </c>
      <c r="B1339" t="e">
        <f>#REF!</f>
        <v>#REF!</v>
      </c>
      <c r="C1339" t="e">
        <f>#REF!</f>
        <v>#REF!</v>
      </c>
      <c r="D1339" t="e">
        <f>#REF!</f>
        <v>#REF!</v>
      </c>
      <c r="E1339" t="e">
        <f>#REF!</f>
        <v>#REF!</v>
      </c>
      <c r="F1339" t="e">
        <f>#REF!</f>
        <v>#REF!</v>
      </c>
      <c r="G1339" t="e">
        <f>#REF!</f>
        <v>#REF!</v>
      </c>
      <c r="H1339" t="e">
        <f>#REF!</f>
        <v>#REF!</v>
      </c>
    </row>
    <row r="1340" spans="1:8">
      <c r="A1340" t="e">
        <f>#REF!</f>
        <v>#REF!</v>
      </c>
      <c r="B1340" t="e">
        <f>#REF!</f>
        <v>#REF!</v>
      </c>
      <c r="C1340" t="e">
        <f>#REF!</f>
        <v>#REF!</v>
      </c>
      <c r="D1340" t="e">
        <f>#REF!</f>
        <v>#REF!</v>
      </c>
      <c r="E1340" t="e">
        <f>#REF!</f>
        <v>#REF!</v>
      </c>
      <c r="F1340" t="e">
        <f>#REF!</f>
        <v>#REF!</v>
      </c>
      <c r="G1340" t="e">
        <f>#REF!</f>
        <v>#REF!</v>
      </c>
      <c r="H1340" t="e">
        <f>#REF!</f>
        <v>#REF!</v>
      </c>
    </row>
    <row r="1341" spans="1:8">
      <c r="A1341" t="e">
        <f>#REF!</f>
        <v>#REF!</v>
      </c>
      <c r="B1341" t="e">
        <f>#REF!</f>
        <v>#REF!</v>
      </c>
      <c r="C1341" t="e">
        <f>#REF!</f>
        <v>#REF!</v>
      </c>
      <c r="D1341" t="e">
        <f>#REF!</f>
        <v>#REF!</v>
      </c>
      <c r="E1341" t="e">
        <f>#REF!</f>
        <v>#REF!</v>
      </c>
      <c r="F1341" t="e">
        <f>#REF!</f>
        <v>#REF!</v>
      </c>
      <c r="G1341" t="e">
        <f>#REF!</f>
        <v>#REF!</v>
      </c>
      <c r="H1341" t="e">
        <f>#REF!</f>
        <v>#REF!</v>
      </c>
    </row>
    <row r="1342" spans="1:8">
      <c r="A1342" t="e">
        <f>#REF!</f>
        <v>#REF!</v>
      </c>
      <c r="B1342" t="e">
        <f>#REF!</f>
        <v>#REF!</v>
      </c>
      <c r="C1342" t="e">
        <f>#REF!</f>
        <v>#REF!</v>
      </c>
      <c r="D1342" t="e">
        <f>#REF!</f>
        <v>#REF!</v>
      </c>
      <c r="E1342" t="e">
        <f>#REF!</f>
        <v>#REF!</v>
      </c>
      <c r="F1342" t="e">
        <f>#REF!</f>
        <v>#REF!</v>
      </c>
      <c r="G1342" t="e">
        <f>#REF!</f>
        <v>#REF!</v>
      </c>
      <c r="H1342" t="e">
        <f>#REF!</f>
        <v>#REF!</v>
      </c>
    </row>
    <row r="1343" spans="1:8">
      <c r="A1343" t="e">
        <f>#REF!</f>
        <v>#REF!</v>
      </c>
      <c r="B1343" t="e">
        <f>#REF!</f>
        <v>#REF!</v>
      </c>
      <c r="C1343" t="e">
        <f>#REF!</f>
        <v>#REF!</v>
      </c>
      <c r="D1343" t="e">
        <f>#REF!</f>
        <v>#REF!</v>
      </c>
      <c r="E1343" t="e">
        <f>#REF!</f>
        <v>#REF!</v>
      </c>
      <c r="F1343" t="e">
        <f>#REF!</f>
        <v>#REF!</v>
      </c>
      <c r="G1343" t="e">
        <f>#REF!</f>
        <v>#REF!</v>
      </c>
      <c r="H1343" t="e">
        <f>#REF!</f>
        <v>#REF!</v>
      </c>
    </row>
    <row r="1344" spans="1:8">
      <c r="A1344" t="e">
        <f>#REF!</f>
        <v>#REF!</v>
      </c>
      <c r="B1344" t="e">
        <f>#REF!</f>
        <v>#REF!</v>
      </c>
      <c r="C1344" t="e">
        <f>#REF!</f>
        <v>#REF!</v>
      </c>
      <c r="D1344" t="e">
        <f>#REF!</f>
        <v>#REF!</v>
      </c>
      <c r="E1344" t="e">
        <f>#REF!</f>
        <v>#REF!</v>
      </c>
      <c r="F1344" t="e">
        <f>#REF!</f>
        <v>#REF!</v>
      </c>
      <c r="G1344" t="e">
        <f>#REF!</f>
        <v>#REF!</v>
      </c>
      <c r="H1344" t="e">
        <f>#REF!</f>
        <v>#REF!</v>
      </c>
    </row>
    <row r="1345" spans="1:8">
      <c r="A1345" t="e">
        <f>#REF!</f>
        <v>#REF!</v>
      </c>
      <c r="B1345" t="e">
        <f>#REF!</f>
        <v>#REF!</v>
      </c>
      <c r="C1345" t="e">
        <f>#REF!</f>
        <v>#REF!</v>
      </c>
      <c r="D1345" t="e">
        <f>#REF!</f>
        <v>#REF!</v>
      </c>
      <c r="E1345" t="e">
        <f>#REF!</f>
        <v>#REF!</v>
      </c>
      <c r="F1345" t="e">
        <f>#REF!</f>
        <v>#REF!</v>
      </c>
      <c r="G1345" t="e">
        <f>#REF!</f>
        <v>#REF!</v>
      </c>
      <c r="H1345" t="e">
        <f>#REF!</f>
        <v>#REF!</v>
      </c>
    </row>
    <row r="1346" spans="1:8">
      <c r="A1346" t="e">
        <f>#REF!</f>
        <v>#REF!</v>
      </c>
      <c r="B1346" t="e">
        <f>#REF!</f>
        <v>#REF!</v>
      </c>
      <c r="C1346" t="e">
        <f>#REF!</f>
        <v>#REF!</v>
      </c>
      <c r="D1346" t="e">
        <f>#REF!</f>
        <v>#REF!</v>
      </c>
      <c r="E1346" t="e">
        <f>#REF!</f>
        <v>#REF!</v>
      </c>
      <c r="F1346" t="e">
        <f>#REF!</f>
        <v>#REF!</v>
      </c>
      <c r="G1346" t="e">
        <f>#REF!</f>
        <v>#REF!</v>
      </c>
      <c r="H1346" t="e">
        <f>#REF!</f>
        <v>#REF!</v>
      </c>
    </row>
    <row r="1347" spans="1:8">
      <c r="A1347" t="e">
        <f>#REF!</f>
        <v>#REF!</v>
      </c>
      <c r="B1347" t="e">
        <f>#REF!</f>
        <v>#REF!</v>
      </c>
      <c r="C1347" t="e">
        <f>#REF!</f>
        <v>#REF!</v>
      </c>
      <c r="D1347" t="e">
        <f>#REF!</f>
        <v>#REF!</v>
      </c>
      <c r="E1347" t="e">
        <f>#REF!</f>
        <v>#REF!</v>
      </c>
      <c r="F1347" t="e">
        <f>#REF!</f>
        <v>#REF!</v>
      </c>
      <c r="G1347" t="e">
        <f>#REF!</f>
        <v>#REF!</v>
      </c>
      <c r="H1347" t="e">
        <f>#REF!</f>
        <v>#REF!</v>
      </c>
    </row>
    <row r="1348" spans="1:8">
      <c r="A1348" t="e">
        <f>#REF!</f>
        <v>#REF!</v>
      </c>
      <c r="B1348" t="e">
        <f>#REF!</f>
        <v>#REF!</v>
      </c>
      <c r="C1348" t="e">
        <f>#REF!</f>
        <v>#REF!</v>
      </c>
      <c r="D1348" t="e">
        <f>#REF!</f>
        <v>#REF!</v>
      </c>
      <c r="E1348" t="e">
        <f>#REF!</f>
        <v>#REF!</v>
      </c>
      <c r="F1348" t="e">
        <f>#REF!</f>
        <v>#REF!</v>
      </c>
      <c r="G1348" t="e">
        <f>#REF!</f>
        <v>#REF!</v>
      </c>
      <c r="H1348" t="e">
        <f>#REF!</f>
        <v>#REF!</v>
      </c>
    </row>
    <row r="1349" spans="1:8">
      <c r="A1349" t="e">
        <f>#REF!</f>
        <v>#REF!</v>
      </c>
      <c r="B1349" t="e">
        <f>#REF!</f>
        <v>#REF!</v>
      </c>
      <c r="C1349" t="e">
        <f>#REF!</f>
        <v>#REF!</v>
      </c>
      <c r="D1349" t="e">
        <f>#REF!</f>
        <v>#REF!</v>
      </c>
      <c r="E1349" t="e">
        <f>#REF!</f>
        <v>#REF!</v>
      </c>
      <c r="F1349" t="e">
        <f>#REF!</f>
        <v>#REF!</v>
      </c>
      <c r="G1349" t="e">
        <f>#REF!</f>
        <v>#REF!</v>
      </c>
      <c r="H1349" t="e">
        <f>#REF!</f>
        <v>#REF!</v>
      </c>
    </row>
    <row r="1350" spans="1:8">
      <c r="A1350" t="e">
        <f>#REF!</f>
        <v>#REF!</v>
      </c>
      <c r="B1350" t="e">
        <f>#REF!</f>
        <v>#REF!</v>
      </c>
      <c r="C1350" t="e">
        <f>#REF!</f>
        <v>#REF!</v>
      </c>
      <c r="D1350" t="e">
        <f>#REF!</f>
        <v>#REF!</v>
      </c>
      <c r="E1350" t="e">
        <f>#REF!</f>
        <v>#REF!</v>
      </c>
      <c r="F1350" t="e">
        <f>#REF!</f>
        <v>#REF!</v>
      </c>
      <c r="G1350" t="e">
        <f>#REF!</f>
        <v>#REF!</v>
      </c>
      <c r="H1350" t="e">
        <f>#REF!</f>
        <v>#REF!</v>
      </c>
    </row>
    <row r="1351" spans="1:8">
      <c r="A1351" t="e">
        <f>#REF!</f>
        <v>#REF!</v>
      </c>
      <c r="B1351" t="e">
        <f>#REF!</f>
        <v>#REF!</v>
      </c>
      <c r="C1351" t="e">
        <f>#REF!</f>
        <v>#REF!</v>
      </c>
      <c r="D1351" t="e">
        <f>#REF!</f>
        <v>#REF!</v>
      </c>
      <c r="E1351" t="e">
        <f>#REF!</f>
        <v>#REF!</v>
      </c>
      <c r="F1351" t="e">
        <f>#REF!</f>
        <v>#REF!</v>
      </c>
      <c r="G1351" t="e">
        <f>#REF!</f>
        <v>#REF!</v>
      </c>
      <c r="H1351" t="e">
        <f>#REF!</f>
        <v>#REF!</v>
      </c>
    </row>
    <row r="1352" spans="1:8">
      <c r="A1352" t="e">
        <f>#REF!</f>
        <v>#REF!</v>
      </c>
      <c r="B1352" t="e">
        <f>#REF!</f>
        <v>#REF!</v>
      </c>
      <c r="C1352" t="e">
        <f>#REF!</f>
        <v>#REF!</v>
      </c>
      <c r="D1352" t="e">
        <f>#REF!</f>
        <v>#REF!</v>
      </c>
      <c r="E1352" t="e">
        <f>#REF!</f>
        <v>#REF!</v>
      </c>
      <c r="F1352" t="e">
        <f>#REF!</f>
        <v>#REF!</v>
      </c>
      <c r="G1352" t="e">
        <f>#REF!</f>
        <v>#REF!</v>
      </c>
      <c r="H1352" t="e">
        <f>#REF!</f>
        <v>#REF!</v>
      </c>
    </row>
    <row r="1353" spans="1:8">
      <c r="A1353" t="e">
        <f>#REF!</f>
        <v>#REF!</v>
      </c>
      <c r="B1353" t="e">
        <f>#REF!</f>
        <v>#REF!</v>
      </c>
      <c r="C1353" t="e">
        <f>#REF!</f>
        <v>#REF!</v>
      </c>
      <c r="D1353" t="e">
        <f>#REF!</f>
        <v>#REF!</v>
      </c>
      <c r="E1353" t="e">
        <f>#REF!</f>
        <v>#REF!</v>
      </c>
      <c r="F1353" t="e">
        <f>#REF!</f>
        <v>#REF!</v>
      </c>
      <c r="G1353" t="e">
        <f>#REF!</f>
        <v>#REF!</v>
      </c>
      <c r="H1353" t="e">
        <f>#REF!</f>
        <v>#REF!</v>
      </c>
    </row>
    <row r="1354" spans="1:8">
      <c r="A1354" t="e">
        <f>#REF!</f>
        <v>#REF!</v>
      </c>
      <c r="B1354" t="e">
        <f>#REF!</f>
        <v>#REF!</v>
      </c>
      <c r="C1354" t="e">
        <f>#REF!</f>
        <v>#REF!</v>
      </c>
      <c r="D1354" t="e">
        <f>#REF!</f>
        <v>#REF!</v>
      </c>
      <c r="E1354" t="e">
        <f>#REF!</f>
        <v>#REF!</v>
      </c>
      <c r="F1354" t="e">
        <f>#REF!</f>
        <v>#REF!</v>
      </c>
      <c r="G1354" t="e">
        <f>#REF!</f>
        <v>#REF!</v>
      </c>
      <c r="H1354" t="e">
        <f>#REF!</f>
        <v>#REF!</v>
      </c>
    </row>
    <row r="1355" spans="1:8">
      <c r="A1355" t="e">
        <f>#REF!</f>
        <v>#REF!</v>
      </c>
      <c r="B1355" t="e">
        <f>#REF!</f>
        <v>#REF!</v>
      </c>
      <c r="C1355" t="e">
        <f>#REF!</f>
        <v>#REF!</v>
      </c>
      <c r="D1355" t="e">
        <f>#REF!</f>
        <v>#REF!</v>
      </c>
      <c r="E1355" t="e">
        <f>#REF!</f>
        <v>#REF!</v>
      </c>
      <c r="F1355" t="e">
        <f>#REF!</f>
        <v>#REF!</v>
      </c>
      <c r="G1355" t="e">
        <f>#REF!</f>
        <v>#REF!</v>
      </c>
      <c r="H1355" t="e">
        <f>#REF!</f>
        <v>#REF!</v>
      </c>
    </row>
    <row r="1356" spans="1:8">
      <c r="A1356" t="e">
        <f>#REF!</f>
        <v>#REF!</v>
      </c>
      <c r="B1356" t="e">
        <f>#REF!</f>
        <v>#REF!</v>
      </c>
      <c r="C1356" t="e">
        <f>#REF!</f>
        <v>#REF!</v>
      </c>
      <c r="D1356" t="e">
        <f>#REF!</f>
        <v>#REF!</v>
      </c>
      <c r="E1356" t="e">
        <f>#REF!</f>
        <v>#REF!</v>
      </c>
      <c r="F1356" t="e">
        <f>#REF!</f>
        <v>#REF!</v>
      </c>
      <c r="G1356" t="e">
        <f>#REF!</f>
        <v>#REF!</v>
      </c>
      <c r="H1356" t="e">
        <f>#REF!</f>
        <v>#REF!</v>
      </c>
    </row>
    <row r="1357" spans="1:8">
      <c r="A1357" t="e">
        <f>#REF!</f>
        <v>#REF!</v>
      </c>
      <c r="B1357" t="e">
        <f>#REF!</f>
        <v>#REF!</v>
      </c>
      <c r="C1357" t="e">
        <f>#REF!</f>
        <v>#REF!</v>
      </c>
      <c r="D1357" t="e">
        <f>#REF!</f>
        <v>#REF!</v>
      </c>
      <c r="E1357" t="e">
        <f>#REF!</f>
        <v>#REF!</v>
      </c>
      <c r="F1357" t="e">
        <f>#REF!</f>
        <v>#REF!</v>
      </c>
      <c r="G1357" t="e">
        <f>#REF!</f>
        <v>#REF!</v>
      </c>
      <c r="H1357" t="e">
        <f>#REF!</f>
        <v>#REF!</v>
      </c>
    </row>
    <row r="1358" spans="1:8">
      <c r="A1358" t="e">
        <f>#REF!</f>
        <v>#REF!</v>
      </c>
      <c r="B1358" t="e">
        <f>#REF!</f>
        <v>#REF!</v>
      </c>
      <c r="C1358" t="e">
        <f>#REF!</f>
        <v>#REF!</v>
      </c>
      <c r="D1358" t="e">
        <f>#REF!</f>
        <v>#REF!</v>
      </c>
      <c r="E1358" t="e">
        <f>#REF!</f>
        <v>#REF!</v>
      </c>
      <c r="F1358" t="e">
        <f>#REF!</f>
        <v>#REF!</v>
      </c>
      <c r="G1358" t="e">
        <f>#REF!</f>
        <v>#REF!</v>
      </c>
      <c r="H1358" t="e">
        <f>#REF!</f>
        <v>#REF!</v>
      </c>
    </row>
    <row r="1359" spans="1:8">
      <c r="A1359" t="e">
        <f>#REF!</f>
        <v>#REF!</v>
      </c>
      <c r="B1359" t="e">
        <f>#REF!</f>
        <v>#REF!</v>
      </c>
      <c r="C1359" t="e">
        <f>#REF!</f>
        <v>#REF!</v>
      </c>
      <c r="D1359" t="e">
        <f>#REF!</f>
        <v>#REF!</v>
      </c>
      <c r="E1359" t="e">
        <f>#REF!</f>
        <v>#REF!</v>
      </c>
      <c r="F1359" t="e">
        <f>#REF!</f>
        <v>#REF!</v>
      </c>
      <c r="G1359" t="e">
        <f>#REF!</f>
        <v>#REF!</v>
      </c>
      <c r="H1359" t="e">
        <f>#REF!</f>
        <v>#REF!</v>
      </c>
    </row>
    <row r="1360" spans="1:8">
      <c r="A1360" t="e">
        <f>#REF!</f>
        <v>#REF!</v>
      </c>
      <c r="B1360" t="e">
        <f>#REF!</f>
        <v>#REF!</v>
      </c>
      <c r="C1360" t="e">
        <f>#REF!</f>
        <v>#REF!</v>
      </c>
      <c r="D1360" t="e">
        <f>#REF!</f>
        <v>#REF!</v>
      </c>
      <c r="E1360" t="e">
        <f>#REF!</f>
        <v>#REF!</v>
      </c>
      <c r="F1360" t="e">
        <f>#REF!</f>
        <v>#REF!</v>
      </c>
      <c r="G1360" t="e">
        <f>#REF!</f>
        <v>#REF!</v>
      </c>
      <c r="H1360" t="e">
        <f>#REF!</f>
        <v>#REF!</v>
      </c>
    </row>
    <row r="1361" spans="1:8">
      <c r="A1361" t="e">
        <f>#REF!</f>
        <v>#REF!</v>
      </c>
      <c r="B1361" t="e">
        <f>#REF!</f>
        <v>#REF!</v>
      </c>
      <c r="C1361" t="e">
        <f>#REF!</f>
        <v>#REF!</v>
      </c>
      <c r="D1361" t="e">
        <f>#REF!</f>
        <v>#REF!</v>
      </c>
      <c r="E1361" t="e">
        <f>#REF!</f>
        <v>#REF!</v>
      </c>
      <c r="F1361" t="e">
        <f>#REF!</f>
        <v>#REF!</v>
      </c>
      <c r="G1361" t="e">
        <f>#REF!</f>
        <v>#REF!</v>
      </c>
      <c r="H1361" t="e">
        <f>#REF!</f>
        <v>#REF!</v>
      </c>
    </row>
    <row r="1362" spans="1:8">
      <c r="A1362" t="e">
        <f>#REF!</f>
        <v>#REF!</v>
      </c>
      <c r="B1362" t="e">
        <f>#REF!</f>
        <v>#REF!</v>
      </c>
      <c r="C1362" t="e">
        <f>#REF!</f>
        <v>#REF!</v>
      </c>
      <c r="D1362" t="e">
        <f>#REF!</f>
        <v>#REF!</v>
      </c>
      <c r="E1362" t="e">
        <f>#REF!</f>
        <v>#REF!</v>
      </c>
      <c r="F1362" t="e">
        <f>#REF!</f>
        <v>#REF!</v>
      </c>
      <c r="G1362" t="e">
        <f>#REF!</f>
        <v>#REF!</v>
      </c>
      <c r="H1362" t="e">
        <f>#REF!</f>
        <v>#REF!</v>
      </c>
    </row>
    <row r="1363" spans="1:8">
      <c r="A1363" t="e">
        <f>#REF!</f>
        <v>#REF!</v>
      </c>
      <c r="B1363" t="e">
        <f>#REF!</f>
        <v>#REF!</v>
      </c>
      <c r="C1363" t="e">
        <f>#REF!</f>
        <v>#REF!</v>
      </c>
      <c r="D1363" t="e">
        <f>#REF!</f>
        <v>#REF!</v>
      </c>
      <c r="E1363" t="e">
        <f>#REF!</f>
        <v>#REF!</v>
      </c>
      <c r="F1363" t="e">
        <f>#REF!</f>
        <v>#REF!</v>
      </c>
      <c r="G1363" t="e">
        <f>#REF!</f>
        <v>#REF!</v>
      </c>
      <c r="H1363" t="e">
        <f>#REF!</f>
        <v>#REF!</v>
      </c>
    </row>
    <row r="1364" spans="1:8">
      <c r="A1364" t="e">
        <f>#REF!</f>
        <v>#REF!</v>
      </c>
      <c r="B1364" t="e">
        <f>#REF!</f>
        <v>#REF!</v>
      </c>
      <c r="C1364" t="e">
        <f>#REF!</f>
        <v>#REF!</v>
      </c>
      <c r="D1364" t="e">
        <f>#REF!</f>
        <v>#REF!</v>
      </c>
      <c r="E1364" t="e">
        <f>#REF!</f>
        <v>#REF!</v>
      </c>
      <c r="F1364" t="e">
        <f>#REF!</f>
        <v>#REF!</v>
      </c>
      <c r="G1364" t="e">
        <f>#REF!</f>
        <v>#REF!</v>
      </c>
      <c r="H1364" t="e">
        <f>#REF!</f>
        <v>#REF!</v>
      </c>
    </row>
    <row r="1365" spans="1:8">
      <c r="A1365" t="e">
        <f>#REF!</f>
        <v>#REF!</v>
      </c>
      <c r="B1365" t="e">
        <f>#REF!</f>
        <v>#REF!</v>
      </c>
      <c r="C1365" t="e">
        <f>#REF!</f>
        <v>#REF!</v>
      </c>
      <c r="D1365" t="e">
        <f>#REF!</f>
        <v>#REF!</v>
      </c>
      <c r="E1365" t="e">
        <f>#REF!</f>
        <v>#REF!</v>
      </c>
      <c r="F1365" t="e">
        <f>#REF!</f>
        <v>#REF!</v>
      </c>
      <c r="G1365" t="e">
        <f>#REF!</f>
        <v>#REF!</v>
      </c>
      <c r="H1365" t="e">
        <f>#REF!</f>
        <v>#REF!</v>
      </c>
    </row>
    <row r="1366" spans="1:8">
      <c r="A1366" t="e">
        <f>#REF!</f>
        <v>#REF!</v>
      </c>
      <c r="B1366" t="e">
        <f>#REF!</f>
        <v>#REF!</v>
      </c>
      <c r="C1366" t="e">
        <f>#REF!</f>
        <v>#REF!</v>
      </c>
      <c r="D1366" t="e">
        <f>#REF!</f>
        <v>#REF!</v>
      </c>
      <c r="E1366" t="e">
        <f>#REF!</f>
        <v>#REF!</v>
      </c>
      <c r="F1366" t="e">
        <f>#REF!</f>
        <v>#REF!</v>
      </c>
      <c r="G1366" t="e">
        <f>#REF!</f>
        <v>#REF!</v>
      </c>
      <c r="H1366" t="e">
        <f>#REF!</f>
        <v>#REF!</v>
      </c>
    </row>
    <row r="1367" spans="1:8">
      <c r="A1367" t="e">
        <f>#REF!</f>
        <v>#REF!</v>
      </c>
      <c r="B1367" t="e">
        <f>#REF!</f>
        <v>#REF!</v>
      </c>
      <c r="C1367" t="e">
        <f>#REF!</f>
        <v>#REF!</v>
      </c>
      <c r="D1367" t="e">
        <f>#REF!</f>
        <v>#REF!</v>
      </c>
      <c r="E1367" t="e">
        <f>#REF!</f>
        <v>#REF!</v>
      </c>
      <c r="F1367" t="e">
        <f>#REF!</f>
        <v>#REF!</v>
      </c>
      <c r="G1367" t="e">
        <f>#REF!</f>
        <v>#REF!</v>
      </c>
      <c r="H1367" t="e">
        <f>#REF!</f>
        <v>#REF!</v>
      </c>
    </row>
    <row r="1368" spans="1:8">
      <c r="A1368" t="e">
        <f>#REF!</f>
        <v>#REF!</v>
      </c>
      <c r="B1368" t="e">
        <f>#REF!</f>
        <v>#REF!</v>
      </c>
      <c r="C1368" t="e">
        <f>#REF!</f>
        <v>#REF!</v>
      </c>
      <c r="D1368" t="e">
        <f>#REF!</f>
        <v>#REF!</v>
      </c>
      <c r="E1368" t="e">
        <f>#REF!</f>
        <v>#REF!</v>
      </c>
      <c r="F1368" t="e">
        <f>#REF!</f>
        <v>#REF!</v>
      </c>
      <c r="G1368" t="e">
        <f>#REF!</f>
        <v>#REF!</v>
      </c>
      <c r="H1368" t="e">
        <f>#REF!</f>
        <v>#REF!</v>
      </c>
    </row>
    <row r="1369" spans="1:8">
      <c r="A1369" t="e">
        <f>#REF!</f>
        <v>#REF!</v>
      </c>
      <c r="B1369" t="e">
        <f>#REF!</f>
        <v>#REF!</v>
      </c>
      <c r="C1369" t="e">
        <f>#REF!</f>
        <v>#REF!</v>
      </c>
      <c r="D1369" t="e">
        <f>#REF!</f>
        <v>#REF!</v>
      </c>
      <c r="E1369" t="e">
        <f>#REF!</f>
        <v>#REF!</v>
      </c>
      <c r="F1369" t="e">
        <f>#REF!</f>
        <v>#REF!</v>
      </c>
      <c r="G1369" t="e">
        <f>#REF!</f>
        <v>#REF!</v>
      </c>
      <c r="H1369" t="e">
        <f>#REF!</f>
        <v>#REF!</v>
      </c>
    </row>
    <row r="1370" spans="1:8">
      <c r="A1370" t="e">
        <f>#REF!</f>
        <v>#REF!</v>
      </c>
      <c r="B1370" t="e">
        <f>#REF!</f>
        <v>#REF!</v>
      </c>
      <c r="C1370" t="e">
        <f>#REF!</f>
        <v>#REF!</v>
      </c>
      <c r="D1370" t="e">
        <f>#REF!</f>
        <v>#REF!</v>
      </c>
      <c r="E1370" t="e">
        <f>#REF!</f>
        <v>#REF!</v>
      </c>
      <c r="F1370" t="e">
        <f>#REF!</f>
        <v>#REF!</v>
      </c>
      <c r="G1370" t="e">
        <f>#REF!</f>
        <v>#REF!</v>
      </c>
      <c r="H1370" t="e">
        <f>#REF!</f>
        <v>#REF!</v>
      </c>
    </row>
    <row r="1371" spans="1:8">
      <c r="A1371" t="e">
        <f>#REF!</f>
        <v>#REF!</v>
      </c>
      <c r="B1371" t="e">
        <f>#REF!</f>
        <v>#REF!</v>
      </c>
      <c r="C1371" t="e">
        <f>#REF!</f>
        <v>#REF!</v>
      </c>
      <c r="D1371" t="e">
        <f>#REF!</f>
        <v>#REF!</v>
      </c>
      <c r="E1371" t="e">
        <f>#REF!</f>
        <v>#REF!</v>
      </c>
      <c r="F1371" t="e">
        <f>#REF!</f>
        <v>#REF!</v>
      </c>
      <c r="G1371" t="e">
        <f>#REF!</f>
        <v>#REF!</v>
      </c>
      <c r="H1371" t="e">
        <f>#REF!</f>
        <v>#REF!</v>
      </c>
    </row>
    <row r="1372" spans="1:8">
      <c r="A1372" t="e">
        <f>#REF!</f>
        <v>#REF!</v>
      </c>
      <c r="B1372" t="e">
        <f>#REF!</f>
        <v>#REF!</v>
      </c>
      <c r="C1372" t="e">
        <f>#REF!</f>
        <v>#REF!</v>
      </c>
      <c r="D1372" t="e">
        <f>#REF!</f>
        <v>#REF!</v>
      </c>
      <c r="E1372" t="e">
        <f>#REF!</f>
        <v>#REF!</v>
      </c>
      <c r="F1372" t="e">
        <f>#REF!</f>
        <v>#REF!</v>
      </c>
      <c r="G1372" t="e">
        <f>#REF!</f>
        <v>#REF!</v>
      </c>
      <c r="H1372" t="e">
        <f>#REF!</f>
        <v>#REF!</v>
      </c>
    </row>
    <row r="1373" spans="1:8">
      <c r="A1373" t="e">
        <f>#REF!</f>
        <v>#REF!</v>
      </c>
      <c r="B1373" t="e">
        <f>#REF!</f>
        <v>#REF!</v>
      </c>
      <c r="C1373" t="e">
        <f>#REF!</f>
        <v>#REF!</v>
      </c>
      <c r="D1373" t="e">
        <f>#REF!</f>
        <v>#REF!</v>
      </c>
      <c r="E1373" t="e">
        <f>#REF!</f>
        <v>#REF!</v>
      </c>
      <c r="F1373" t="e">
        <f>#REF!</f>
        <v>#REF!</v>
      </c>
      <c r="G1373" t="e">
        <f>#REF!</f>
        <v>#REF!</v>
      </c>
      <c r="H1373" t="e">
        <f>#REF!</f>
        <v>#REF!</v>
      </c>
    </row>
    <row r="1374" spans="1:8">
      <c r="A1374" t="e">
        <f>#REF!</f>
        <v>#REF!</v>
      </c>
      <c r="B1374" t="e">
        <f>#REF!</f>
        <v>#REF!</v>
      </c>
      <c r="C1374" t="e">
        <f>#REF!</f>
        <v>#REF!</v>
      </c>
      <c r="D1374" t="e">
        <f>#REF!</f>
        <v>#REF!</v>
      </c>
      <c r="E1374" t="e">
        <f>#REF!</f>
        <v>#REF!</v>
      </c>
      <c r="F1374" t="e">
        <f>#REF!</f>
        <v>#REF!</v>
      </c>
      <c r="G1374" t="e">
        <f>#REF!</f>
        <v>#REF!</v>
      </c>
      <c r="H1374" t="e">
        <f>#REF!</f>
        <v>#REF!</v>
      </c>
    </row>
    <row r="1375" spans="1:8">
      <c r="A1375" t="e">
        <f>#REF!</f>
        <v>#REF!</v>
      </c>
      <c r="B1375" t="e">
        <f>#REF!</f>
        <v>#REF!</v>
      </c>
      <c r="C1375" t="e">
        <f>#REF!</f>
        <v>#REF!</v>
      </c>
      <c r="D1375" t="e">
        <f>#REF!</f>
        <v>#REF!</v>
      </c>
      <c r="E1375" t="e">
        <f>#REF!</f>
        <v>#REF!</v>
      </c>
      <c r="F1375" t="e">
        <f>#REF!</f>
        <v>#REF!</v>
      </c>
      <c r="G1375" t="e">
        <f>#REF!</f>
        <v>#REF!</v>
      </c>
      <c r="H1375" t="e">
        <f>#REF!</f>
        <v>#REF!</v>
      </c>
    </row>
    <row r="1376" spans="1:8">
      <c r="A1376" t="e">
        <f>#REF!</f>
        <v>#REF!</v>
      </c>
      <c r="B1376" t="e">
        <f>#REF!</f>
        <v>#REF!</v>
      </c>
      <c r="C1376" t="e">
        <f>#REF!</f>
        <v>#REF!</v>
      </c>
      <c r="D1376" t="e">
        <f>#REF!</f>
        <v>#REF!</v>
      </c>
      <c r="E1376" t="e">
        <f>#REF!</f>
        <v>#REF!</v>
      </c>
      <c r="F1376" t="e">
        <f>#REF!</f>
        <v>#REF!</v>
      </c>
      <c r="G1376" t="e">
        <f>#REF!</f>
        <v>#REF!</v>
      </c>
      <c r="H1376" t="e">
        <f>#REF!</f>
        <v>#REF!</v>
      </c>
    </row>
    <row r="1377" spans="1:8">
      <c r="A1377" t="e">
        <f>#REF!</f>
        <v>#REF!</v>
      </c>
      <c r="B1377" t="e">
        <f>#REF!</f>
        <v>#REF!</v>
      </c>
      <c r="C1377" t="e">
        <f>#REF!</f>
        <v>#REF!</v>
      </c>
      <c r="D1377" t="e">
        <f>#REF!</f>
        <v>#REF!</v>
      </c>
      <c r="E1377" t="e">
        <f>#REF!</f>
        <v>#REF!</v>
      </c>
      <c r="F1377" t="e">
        <f>#REF!</f>
        <v>#REF!</v>
      </c>
      <c r="G1377" t="e">
        <f>#REF!</f>
        <v>#REF!</v>
      </c>
      <c r="H1377" t="e">
        <f>#REF!</f>
        <v>#REF!</v>
      </c>
    </row>
    <row r="1378" spans="1:8">
      <c r="A1378" t="e">
        <f>#REF!</f>
        <v>#REF!</v>
      </c>
      <c r="B1378" t="e">
        <f>#REF!</f>
        <v>#REF!</v>
      </c>
      <c r="C1378" t="e">
        <f>#REF!</f>
        <v>#REF!</v>
      </c>
      <c r="D1378" t="e">
        <f>#REF!</f>
        <v>#REF!</v>
      </c>
      <c r="E1378" t="e">
        <f>#REF!</f>
        <v>#REF!</v>
      </c>
      <c r="F1378" t="e">
        <f>#REF!</f>
        <v>#REF!</v>
      </c>
      <c r="G1378" t="e">
        <f>#REF!</f>
        <v>#REF!</v>
      </c>
      <c r="H1378" t="e">
        <f>#REF!</f>
        <v>#REF!</v>
      </c>
    </row>
    <row r="1379" spans="1:8">
      <c r="A1379" t="e">
        <f>#REF!</f>
        <v>#REF!</v>
      </c>
      <c r="B1379" t="e">
        <f>#REF!</f>
        <v>#REF!</v>
      </c>
      <c r="C1379" t="e">
        <f>#REF!</f>
        <v>#REF!</v>
      </c>
      <c r="D1379" t="e">
        <f>#REF!</f>
        <v>#REF!</v>
      </c>
      <c r="E1379" t="e">
        <f>#REF!</f>
        <v>#REF!</v>
      </c>
      <c r="F1379" t="e">
        <f>#REF!</f>
        <v>#REF!</v>
      </c>
      <c r="G1379" t="e">
        <f>#REF!</f>
        <v>#REF!</v>
      </c>
      <c r="H1379" t="e">
        <f>#REF!</f>
        <v>#REF!</v>
      </c>
    </row>
    <row r="1380" spans="1:8">
      <c r="A1380" t="e">
        <f>#REF!</f>
        <v>#REF!</v>
      </c>
      <c r="B1380" t="e">
        <f>#REF!</f>
        <v>#REF!</v>
      </c>
      <c r="C1380" t="e">
        <f>#REF!</f>
        <v>#REF!</v>
      </c>
      <c r="D1380" t="e">
        <f>#REF!</f>
        <v>#REF!</v>
      </c>
      <c r="E1380" t="e">
        <f>#REF!</f>
        <v>#REF!</v>
      </c>
      <c r="F1380" t="e">
        <f>#REF!</f>
        <v>#REF!</v>
      </c>
      <c r="G1380" t="e">
        <f>#REF!</f>
        <v>#REF!</v>
      </c>
      <c r="H1380" t="e">
        <f>#REF!</f>
        <v>#REF!</v>
      </c>
    </row>
    <row r="1381" spans="1:8">
      <c r="A1381" t="e">
        <f>#REF!</f>
        <v>#REF!</v>
      </c>
      <c r="B1381" t="e">
        <f>#REF!</f>
        <v>#REF!</v>
      </c>
      <c r="C1381" t="e">
        <f>#REF!</f>
        <v>#REF!</v>
      </c>
      <c r="D1381" t="e">
        <f>#REF!</f>
        <v>#REF!</v>
      </c>
      <c r="E1381" t="e">
        <f>#REF!</f>
        <v>#REF!</v>
      </c>
      <c r="F1381" t="e">
        <f>#REF!</f>
        <v>#REF!</v>
      </c>
      <c r="G1381" t="e">
        <f>#REF!</f>
        <v>#REF!</v>
      </c>
      <c r="H1381" t="e">
        <f>#REF!</f>
        <v>#REF!</v>
      </c>
    </row>
    <row r="1382" spans="1:8">
      <c r="A1382" t="e">
        <f>#REF!</f>
        <v>#REF!</v>
      </c>
      <c r="B1382" t="e">
        <f>#REF!</f>
        <v>#REF!</v>
      </c>
      <c r="C1382" t="e">
        <f>#REF!</f>
        <v>#REF!</v>
      </c>
      <c r="D1382" t="e">
        <f>#REF!</f>
        <v>#REF!</v>
      </c>
      <c r="E1382" t="e">
        <f>#REF!</f>
        <v>#REF!</v>
      </c>
      <c r="F1382" t="e">
        <f>#REF!</f>
        <v>#REF!</v>
      </c>
      <c r="G1382" t="e">
        <f>#REF!</f>
        <v>#REF!</v>
      </c>
      <c r="H1382" t="e">
        <f>#REF!</f>
        <v>#REF!</v>
      </c>
    </row>
    <row r="1383" spans="1:8">
      <c r="A1383" t="e">
        <f>#REF!</f>
        <v>#REF!</v>
      </c>
      <c r="B1383" t="e">
        <f>#REF!</f>
        <v>#REF!</v>
      </c>
      <c r="C1383" t="e">
        <f>#REF!</f>
        <v>#REF!</v>
      </c>
      <c r="D1383" t="e">
        <f>#REF!</f>
        <v>#REF!</v>
      </c>
      <c r="E1383" t="e">
        <f>#REF!</f>
        <v>#REF!</v>
      </c>
      <c r="F1383" t="e">
        <f>#REF!</f>
        <v>#REF!</v>
      </c>
      <c r="G1383" t="e">
        <f>#REF!</f>
        <v>#REF!</v>
      </c>
      <c r="H1383" t="e">
        <f>#REF!</f>
        <v>#REF!</v>
      </c>
    </row>
    <row r="1384" spans="1:8">
      <c r="A1384" t="e">
        <f>#REF!</f>
        <v>#REF!</v>
      </c>
      <c r="B1384" t="e">
        <f>#REF!</f>
        <v>#REF!</v>
      </c>
      <c r="C1384" t="e">
        <f>#REF!</f>
        <v>#REF!</v>
      </c>
      <c r="D1384" t="e">
        <f>#REF!</f>
        <v>#REF!</v>
      </c>
      <c r="E1384" t="e">
        <f>#REF!</f>
        <v>#REF!</v>
      </c>
      <c r="F1384" t="e">
        <f>#REF!</f>
        <v>#REF!</v>
      </c>
      <c r="G1384" t="e">
        <f>#REF!</f>
        <v>#REF!</v>
      </c>
      <c r="H1384" t="e">
        <f>#REF!</f>
        <v>#REF!</v>
      </c>
    </row>
    <row r="1385" spans="1:8">
      <c r="A1385" t="e">
        <f>#REF!</f>
        <v>#REF!</v>
      </c>
      <c r="B1385" t="e">
        <f>#REF!</f>
        <v>#REF!</v>
      </c>
      <c r="C1385" t="e">
        <f>#REF!</f>
        <v>#REF!</v>
      </c>
      <c r="D1385" t="e">
        <f>#REF!</f>
        <v>#REF!</v>
      </c>
      <c r="E1385" t="e">
        <f>#REF!</f>
        <v>#REF!</v>
      </c>
      <c r="F1385" t="e">
        <f>#REF!</f>
        <v>#REF!</v>
      </c>
      <c r="G1385" t="e">
        <f>#REF!</f>
        <v>#REF!</v>
      </c>
      <c r="H1385" t="e">
        <f>#REF!</f>
        <v>#REF!</v>
      </c>
    </row>
    <row r="1386" spans="1:8">
      <c r="A1386" t="e">
        <f>#REF!</f>
        <v>#REF!</v>
      </c>
      <c r="B1386" t="e">
        <f>#REF!</f>
        <v>#REF!</v>
      </c>
      <c r="C1386" t="e">
        <f>#REF!</f>
        <v>#REF!</v>
      </c>
      <c r="D1386" t="e">
        <f>#REF!</f>
        <v>#REF!</v>
      </c>
      <c r="E1386" t="e">
        <f>#REF!</f>
        <v>#REF!</v>
      </c>
      <c r="F1386" t="e">
        <f>#REF!</f>
        <v>#REF!</v>
      </c>
      <c r="G1386" t="e">
        <f>#REF!</f>
        <v>#REF!</v>
      </c>
      <c r="H1386" t="e">
        <f>#REF!</f>
        <v>#REF!</v>
      </c>
    </row>
    <row r="1387" spans="1:8">
      <c r="A1387" t="e">
        <f>#REF!</f>
        <v>#REF!</v>
      </c>
      <c r="B1387" t="e">
        <f>#REF!</f>
        <v>#REF!</v>
      </c>
      <c r="C1387" t="e">
        <f>#REF!</f>
        <v>#REF!</v>
      </c>
      <c r="D1387" t="e">
        <f>#REF!</f>
        <v>#REF!</v>
      </c>
      <c r="E1387" t="e">
        <f>#REF!</f>
        <v>#REF!</v>
      </c>
      <c r="F1387" t="e">
        <f>#REF!</f>
        <v>#REF!</v>
      </c>
      <c r="G1387" t="e">
        <f>#REF!</f>
        <v>#REF!</v>
      </c>
      <c r="H1387" t="e">
        <f>#REF!</f>
        <v>#REF!</v>
      </c>
    </row>
    <row r="1388" spans="1:8">
      <c r="A1388" t="e">
        <f>#REF!</f>
        <v>#REF!</v>
      </c>
      <c r="B1388" t="e">
        <f>#REF!</f>
        <v>#REF!</v>
      </c>
      <c r="C1388" t="e">
        <f>#REF!</f>
        <v>#REF!</v>
      </c>
      <c r="D1388" t="e">
        <f>#REF!</f>
        <v>#REF!</v>
      </c>
      <c r="E1388" t="e">
        <f>#REF!</f>
        <v>#REF!</v>
      </c>
      <c r="F1388" t="e">
        <f>#REF!</f>
        <v>#REF!</v>
      </c>
      <c r="G1388" t="e">
        <f>#REF!</f>
        <v>#REF!</v>
      </c>
      <c r="H1388" t="e">
        <f>#REF!</f>
        <v>#REF!</v>
      </c>
    </row>
    <row r="1389" spans="1:8">
      <c r="A1389" t="e">
        <f>#REF!</f>
        <v>#REF!</v>
      </c>
      <c r="B1389" t="e">
        <f>#REF!</f>
        <v>#REF!</v>
      </c>
      <c r="C1389" t="e">
        <f>#REF!</f>
        <v>#REF!</v>
      </c>
      <c r="D1389" t="e">
        <f>#REF!</f>
        <v>#REF!</v>
      </c>
      <c r="E1389" t="e">
        <f>#REF!</f>
        <v>#REF!</v>
      </c>
      <c r="F1389" t="e">
        <f>#REF!</f>
        <v>#REF!</v>
      </c>
      <c r="G1389" t="e">
        <f>#REF!</f>
        <v>#REF!</v>
      </c>
      <c r="H1389" t="e">
        <f>#REF!</f>
        <v>#REF!</v>
      </c>
    </row>
    <row r="1390" spans="1:8">
      <c r="A1390" t="e">
        <f>#REF!</f>
        <v>#REF!</v>
      </c>
      <c r="B1390" t="e">
        <f>#REF!</f>
        <v>#REF!</v>
      </c>
      <c r="C1390" t="e">
        <f>#REF!</f>
        <v>#REF!</v>
      </c>
      <c r="D1390" t="e">
        <f>#REF!</f>
        <v>#REF!</v>
      </c>
      <c r="E1390" t="e">
        <f>#REF!</f>
        <v>#REF!</v>
      </c>
      <c r="F1390" t="e">
        <f>#REF!</f>
        <v>#REF!</v>
      </c>
      <c r="G1390" t="e">
        <f>#REF!</f>
        <v>#REF!</v>
      </c>
      <c r="H1390" t="e">
        <f>#REF!</f>
        <v>#REF!</v>
      </c>
    </row>
    <row r="1391" spans="1:8">
      <c r="A1391" t="e">
        <f>#REF!</f>
        <v>#REF!</v>
      </c>
      <c r="B1391" t="e">
        <f>#REF!</f>
        <v>#REF!</v>
      </c>
      <c r="C1391" t="e">
        <f>#REF!</f>
        <v>#REF!</v>
      </c>
      <c r="D1391" t="e">
        <f>#REF!</f>
        <v>#REF!</v>
      </c>
      <c r="E1391" t="e">
        <f>#REF!</f>
        <v>#REF!</v>
      </c>
      <c r="F1391" t="e">
        <f>#REF!</f>
        <v>#REF!</v>
      </c>
      <c r="G1391" t="e">
        <f>#REF!</f>
        <v>#REF!</v>
      </c>
      <c r="H1391" t="e">
        <f>#REF!</f>
        <v>#REF!</v>
      </c>
    </row>
    <row r="1392" spans="1:8">
      <c r="A1392" t="e">
        <f>#REF!</f>
        <v>#REF!</v>
      </c>
      <c r="B1392" t="e">
        <f>#REF!</f>
        <v>#REF!</v>
      </c>
      <c r="C1392" t="e">
        <f>#REF!</f>
        <v>#REF!</v>
      </c>
      <c r="D1392" t="e">
        <f>#REF!</f>
        <v>#REF!</v>
      </c>
      <c r="E1392" t="e">
        <f>#REF!</f>
        <v>#REF!</v>
      </c>
      <c r="F1392" t="e">
        <f>#REF!</f>
        <v>#REF!</v>
      </c>
      <c r="G1392" t="e">
        <f>#REF!</f>
        <v>#REF!</v>
      </c>
      <c r="H1392" t="e">
        <f>#REF!</f>
        <v>#REF!</v>
      </c>
    </row>
    <row r="1393" spans="1:8">
      <c r="A1393" t="e">
        <f>#REF!</f>
        <v>#REF!</v>
      </c>
      <c r="B1393" t="e">
        <f>#REF!</f>
        <v>#REF!</v>
      </c>
      <c r="C1393" t="e">
        <f>#REF!</f>
        <v>#REF!</v>
      </c>
      <c r="D1393" t="e">
        <f>#REF!</f>
        <v>#REF!</v>
      </c>
      <c r="E1393" t="e">
        <f>#REF!</f>
        <v>#REF!</v>
      </c>
      <c r="F1393" t="e">
        <f>#REF!</f>
        <v>#REF!</v>
      </c>
      <c r="G1393" t="e">
        <f>#REF!</f>
        <v>#REF!</v>
      </c>
      <c r="H1393" t="e">
        <f>#REF!</f>
        <v>#REF!</v>
      </c>
    </row>
    <row r="1394" spans="1:8">
      <c r="A1394" t="e">
        <f>#REF!</f>
        <v>#REF!</v>
      </c>
      <c r="B1394" t="e">
        <f>#REF!</f>
        <v>#REF!</v>
      </c>
      <c r="C1394" t="e">
        <f>#REF!</f>
        <v>#REF!</v>
      </c>
      <c r="D1394" t="e">
        <f>#REF!</f>
        <v>#REF!</v>
      </c>
      <c r="E1394" t="e">
        <f>#REF!</f>
        <v>#REF!</v>
      </c>
      <c r="F1394" t="e">
        <f>#REF!</f>
        <v>#REF!</v>
      </c>
      <c r="G1394" t="e">
        <f>#REF!</f>
        <v>#REF!</v>
      </c>
      <c r="H1394" t="e">
        <f>#REF!</f>
        <v>#REF!</v>
      </c>
    </row>
    <row r="1395" spans="1:8">
      <c r="A1395" t="e">
        <f>#REF!</f>
        <v>#REF!</v>
      </c>
      <c r="B1395" t="e">
        <f>#REF!</f>
        <v>#REF!</v>
      </c>
      <c r="C1395" t="e">
        <f>#REF!</f>
        <v>#REF!</v>
      </c>
      <c r="D1395" t="e">
        <f>#REF!</f>
        <v>#REF!</v>
      </c>
      <c r="E1395" t="e">
        <f>#REF!</f>
        <v>#REF!</v>
      </c>
      <c r="F1395" t="e">
        <f>#REF!</f>
        <v>#REF!</v>
      </c>
      <c r="G1395" t="e">
        <f>#REF!</f>
        <v>#REF!</v>
      </c>
      <c r="H1395" t="e">
        <f>#REF!</f>
        <v>#REF!</v>
      </c>
    </row>
    <row r="1396" spans="1:8">
      <c r="A1396" t="e">
        <f>#REF!</f>
        <v>#REF!</v>
      </c>
      <c r="B1396" t="e">
        <f>#REF!</f>
        <v>#REF!</v>
      </c>
      <c r="C1396" t="e">
        <f>#REF!</f>
        <v>#REF!</v>
      </c>
      <c r="D1396" t="e">
        <f>#REF!</f>
        <v>#REF!</v>
      </c>
      <c r="E1396" t="e">
        <f>#REF!</f>
        <v>#REF!</v>
      </c>
      <c r="F1396" t="e">
        <f>#REF!</f>
        <v>#REF!</v>
      </c>
      <c r="G1396" t="e">
        <f>#REF!</f>
        <v>#REF!</v>
      </c>
      <c r="H1396" t="e">
        <f>#REF!</f>
        <v>#REF!</v>
      </c>
    </row>
    <row r="1397" spans="1:8">
      <c r="A1397" t="e">
        <f>#REF!</f>
        <v>#REF!</v>
      </c>
      <c r="B1397" t="e">
        <f>#REF!</f>
        <v>#REF!</v>
      </c>
      <c r="C1397" t="e">
        <f>#REF!</f>
        <v>#REF!</v>
      </c>
      <c r="D1397" t="e">
        <f>#REF!</f>
        <v>#REF!</v>
      </c>
      <c r="E1397" t="e">
        <f>#REF!</f>
        <v>#REF!</v>
      </c>
      <c r="F1397" t="e">
        <f>#REF!</f>
        <v>#REF!</v>
      </c>
      <c r="G1397" t="e">
        <f>#REF!</f>
        <v>#REF!</v>
      </c>
      <c r="H1397" t="e">
        <f>#REF!</f>
        <v>#REF!</v>
      </c>
    </row>
    <row r="1398" spans="1:8">
      <c r="A1398" t="e">
        <f>#REF!</f>
        <v>#REF!</v>
      </c>
      <c r="B1398" t="e">
        <f>#REF!</f>
        <v>#REF!</v>
      </c>
      <c r="C1398" t="e">
        <f>#REF!</f>
        <v>#REF!</v>
      </c>
      <c r="D1398" t="e">
        <f>#REF!</f>
        <v>#REF!</v>
      </c>
      <c r="E1398" t="e">
        <f>#REF!</f>
        <v>#REF!</v>
      </c>
      <c r="F1398" t="e">
        <f>#REF!</f>
        <v>#REF!</v>
      </c>
      <c r="G1398" t="e">
        <f>#REF!</f>
        <v>#REF!</v>
      </c>
      <c r="H1398" t="e">
        <f>#REF!</f>
        <v>#REF!</v>
      </c>
    </row>
    <row r="1399" spans="1:8">
      <c r="A1399" t="e">
        <f>#REF!</f>
        <v>#REF!</v>
      </c>
      <c r="B1399" t="e">
        <f>#REF!</f>
        <v>#REF!</v>
      </c>
      <c r="C1399" t="e">
        <f>#REF!</f>
        <v>#REF!</v>
      </c>
      <c r="D1399" t="e">
        <f>#REF!</f>
        <v>#REF!</v>
      </c>
      <c r="E1399" t="e">
        <f>#REF!</f>
        <v>#REF!</v>
      </c>
      <c r="F1399" t="e">
        <f>#REF!</f>
        <v>#REF!</v>
      </c>
      <c r="G1399" t="e">
        <f>#REF!</f>
        <v>#REF!</v>
      </c>
      <c r="H1399" t="e">
        <f>#REF!</f>
        <v>#REF!</v>
      </c>
    </row>
    <row r="1400" spans="1:8">
      <c r="A1400" t="e">
        <f>#REF!</f>
        <v>#REF!</v>
      </c>
      <c r="B1400" t="e">
        <f>#REF!</f>
        <v>#REF!</v>
      </c>
      <c r="C1400" t="e">
        <f>#REF!</f>
        <v>#REF!</v>
      </c>
      <c r="D1400" t="e">
        <f>#REF!</f>
        <v>#REF!</v>
      </c>
      <c r="E1400" t="e">
        <f>#REF!</f>
        <v>#REF!</v>
      </c>
      <c r="F1400" t="e">
        <f>#REF!</f>
        <v>#REF!</v>
      </c>
      <c r="G1400" t="e">
        <f>#REF!</f>
        <v>#REF!</v>
      </c>
      <c r="H1400" t="e">
        <f>#REF!</f>
        <v>#REF!</v>
      </c>
    </row>
    <row r="1401" spans="1:8">
      <c r="A1401" t="e">
        <f>#REF!</f>
        <v>#REF!</v>
      </c>
      <c r="B1401" t="e">
        <f>#REF!</f>
        <v>#REF!</v>
      </c>
      <c r="C1401" t="e">
        <f>#REF!</f>
        <v>#REF!</v>
      </c>
      <c r="D1401" t="e">
        <f>#REF!</f>
        <v>#REF!</v>
      </c>
      <c r="E1401" t="e">
        <f>#REF!</f>
        <v>#REF!</v>
      </c>
      <c r="F1401" t="e">
        <f>#REF!</f>
        <v>#REF!</v>
      </c>
      <c r="G1401" t="e">
        <f>#REF!</f>
        <v>#REF!</v>
      </c>
      <c r="H1401" t="e">
        <f>#REF!</f>
        <v>#REF!</v>
      </c>
    </row>
    <row r="1402" spans="1:8">
      <c r="A1402" t="e">
        <f>#REF!</f>
        <v>#REF!</v>
      </c>
      <c r="B1402" t="e">
        <f>#REF!</f>
        <v>#REF!</v>
      </c>
      <c r="C1402" t="e">
        <f>#REF!</f>
        <v>#REF!</v>
      </c>
      <c r="D1402" t="e">
        <f>#REF!</f>
        <v>#REF!</v>
      </c>
      <c r="E1402" t="e">
        <f>#REF!</f>
        <v>#REF!</v>
      </c>
      <c r="F1402" t="e">
        <f>#REF!</f>
        <v>#REF!</v>
      </c>
      <c r="G1402" t="e">
        <f>#REF!</f>
        <v>#REF!</v>
      </c>
      <c r="H1402" t="e">
        <f>#REF!</f>
        <v>#REF!</v>
      </c>
    </row>
    <row r="1403" spans="1:8">
      <c r="A1403" t="e">
        <f>#REF!</f>
        <v>#REF!</v>
      </c>
      <c r="B1403" t="e">
        <f>#REF!</f>
        <v>#REF!</v>
      </c>
      <c r="C1403" t="e">
        <f>#REF!</f>
        <v>#REF!</v>
      </c>
      <c r="D1403" t="e">
        <f>#REF!</f>
        <v>#REF!</v>
      </c>
      <c r="E1403" t="e">
        <f>#REF!</f>
        <v>#REF!</v>
      </c>
      <c r="F1403" t="e">
        <f>#REF!</f>
        <v>#REF!</v>
      </c>
      <c r="G1403" t="e">
        <f>#REF!</f>
        <v>#REF!</v>
      </c>
      <c r="H1403" t="e">
        <f>#REF!</f>
        <v>#REF!</v>
      </c>
    </row>
    <row r="1404" spans="1:8">
      <c r="A1404" t="e">
        <f>#REF!</f>
        <v>#REF!</v>
      </c>
      <c r="B1404" t="e">
        <f>#REF!</f>
        <v>#REF!</v>
      </c>
      <c r="C1404" t="e">
        <f>#REF!</f>
        <v>#REF!</v>
      </c>
      <c r="D1404" t="e">
        <f>#REF!</f>
        <v>#REF!</v>
      </c>
      <c r="E1404" t="e">
        <f>#REF!</f>
        <v>#REF!</v>
      </c>
      <c r="F1404" t="e">
        <f>#REF!</f>
        <v>#REF!</v>
      </c>
      <c r="G1404" t="e">
        <f>#REF!</f>
        <v>#REF!</v>
      </c>
      <c r="H1404" t="e">
        <f>#REF!</f>
        <v>#REF!</v>
      </c>
    </row>
    <row r="1405" spans="1:8">
      <c r="A1405" t="e">
        <f>#REF!</f>
        <v>#REF!</v>
      </c>
      <c r="B1405" t="e">
        <f>#REF!</f>
        <v>#REF!</v>
      </c>
      <c r="C1405" t="e">
        <f>#REF!</f>
        <v>#REF!</v>
      </c>
      <c r="D1405" t="e">
        <f>#REF!</f>
        <v>#REF!</v>
      </c>
      <c r="E1405" t="e">
        <f>#REF!</f>
        <v>#REF!</v>
      </c>
      <c r="F1405" t="e">
        <f>#REF!</f>
        <v>#REF!</v>
      </c>
      <c r="G1405" t="e">
        <f>#REF!</f>
        <v>#REF!</v>
      </c>
      <c r="H1405" t="e">
        <f>#REF!</f>
        <v>#REF!</v>
      </c>
    </row>
    <row r="1406" spans="1:8">
      <c r="A1406" t="e">
        <f>#REF!</f>
        <v>#REF!</v>
      </c>
      <c r="B1406" t="e">
        <f>#REF!</f>
        <v>#REF!</v>
      </c>
      <c r="C1406" t="e">
        <f>#REF!</f>
        <v>#REF!</v>
      </c>
      <c r="D1406" t="e">
        <f>#REF!</f>
        <v>#REF!</v>
      </c>
      <c r="E1406" t="e">
        <f>#REF!</f>
        <v>#REF!</v>
      </c>
      <c r="F1406" t="e">
        <f>#REF!</f>
        <v>#REF!</v>
      </c>
      <c r="G1406" t="e">
        <f>#REF!</f>
        <v>#REF!</v>
      </c>
      <c r="H1406" t="e">
        <f>#REF!</f>
        <v>#REF!</v>
      </c>
    </row>
    <row r="1407" spans="1:8">
      <c r="A1407" t="e">
        <f>#REF!</f>
        <v>#REF!</v>
      </c>
      <c r="B1407" t="e">
        <f>#REF!</f>
        <v>#REF!</v>
      </c>
      <c r="C1407" t="e">
        <f>#REF!</f>
        <v>#REF!</v>
      </c>
      <c r="D1407" t="e">
        <f>#REF!</f>
        <v>#REF!</v>
      </c>
      <c r="E1407" t="e">
        <f>#REF!</f>
        <v>#REF!</v>
      </c>
      <c r="F1407" t="e">
        <f>#REF!</f>
        <v>#REF!</v>
      </c>
      <c r="G1407" t="e">
        <f>#REF!</f>
        <v>#REF!</v>
      </c>
      <c r="H1407" t="e">
        <f>#REF!</f>
        <v>#REF!</v>
      </c>
    </row>
    <row r="1408" spans="1:8">
      <c r="A1408" t="e">
        <f>#REF!</f>
        <v>#REF!</v>
      </c>
      <c r="B1408" t="e">
        <f>#REF!</f>
        <v>#REF!</v>
      </c>
      <c r="C1408" t="e">
        <f>#REF!</f>
        <v>#REF!</v>
      </c>
      <c r="D1408" t="e">
        <f>#REF!</f>
        <v>#REF!</v>
      </c>
      <c r="E1408" t="e">
        <f>#REF!</f>
        <v>#REF!</v>
      </c>
      <c r="F1408" t="e">
        <f>#REF!</f>
        <v>#REF!</v>
      </c>
      <c r="G1408" t="e">
        <f>#REF!</f>
        <v>#REF!</v>
      </c>
      <c r="H1408" t="e">
        <f>#REF!</f>
        <v>#REF!</v>
      </c>
    </row>
    <row r="1409" spans="1:8">
      <c r="A1409" t="e">
        <f>#REF!</f>
        <v>#REF!</v>
      </c>
      <c r="B1409" t="e">
        <f>#REF!</f>
        <v>#REF!</v>
      </c>
      <c r="C1409" t="e">
        <f>#REF!</f>
        <v>#REF!</v>
      </c>
      <c r="D1409" t="e">
        <f>#REF!</f>
        <v>#REF!</v>
      </c>
      <c r="E1409" t="e">
        <f>#REF!</f>
        <v>#REF!</v>
      </c>
      <c r="F1409" t="e">
        <f>#REF!</f>
        <v>#REF!</v>
      </c>
      <c r="G1409" t="e">
        <f>#REF!</f>
        <v>#REF!</v>
      </c>
      <c r="H1409" t="e">
        <f>#REF!</f>
        <v>#REF!</v>
      </c>
    </row>
    <row r="1410" spans="1:8">
      <c r="A1410" t="e">
        <f>#REF!</f>
        <v>#REF!</v>
      </c>
      <c r="B1410" t="e">
        <f>#REF!</f>
        <v>#REF!</v>
      </c>
      <c r="C1410" t="e">
        <f>#REF!</f>
        <v>#REF!</v>
      </c>
      <c r="D1410" t="e">
        <f>#REF!</f>
        <v>#REF!</v>
      </c>
      <c r="E1410" t="e">
        <f>#REF!</f>
        <v>#REF!</v>
      </c>
      <c r="F1410" t="e">
        <f>#REF!</f>
        <v>#REF!</v>
      </c>
      <c r="G1410" t="e">
        <f>#REF!</f>
        <v>#REF!</v>
      </c>
      <c r="H1410" t="e">
        <f>#REF!</f>
        <v>#REF!</v>
      </c>
    </row>
    <row r="1411" spans="1:8">
      <c r="A1411" t="e">
        <f>#REF!</f>
        <v>#REF!</v>
      </c>
      <c r="B1411" t="e">
        <f>#REF!</f>
        <v>#REF!</v>
      </c>
      <c r="C1411" t="e">
        <f>#REF!</f>
        <v>#REF!</v>
      </c>
      <c r="D1411" t="e">
        <f>#REF!</f>
        <v>#REF!</v>
      </c>
      <c r="E1411" t="e">
        <f>#REF!</f>
        <v>#REF!</v>
      </c>
      <c r="F1411" t="e">
        <f>#REF!</f>
        <v>#REF!</v>
      </c>
      <c r="G1411" t="e">
        <f>#REF!</f>
        <v>#REF!</v>
      </c>
      <c r="H1411" t="e">
        <f>#REF!</f>
        <v>#REF!</v>
      </c>
    </row>
    <row r="1412" spans="1:8">
      <c r="A1412" t="e">
        <f>#REF!</f>
        <v>#REF!</v>
      </c>
      <c r="B1412" t="e">
        <f>#REF!</f>
        <v>#REF!</v>
      </c>
      <c r="C1412" t="e">
        <f>#REF!</f>
        <v>#REF!</v>
      </c>
      <c r="D1412" t="e">
        <f>#REF!</f>
        <v>#REF!</v>
      </c>
      <c r="E1412" t="e">
        <f>#REF!</f>
        <v>#REF!</v>
      </c>
      <c r="F1412" t="e">
        <f>#REF!</f>
        <v>#REF!</v>
      </c>
      <c r="G1412" t="e">
        <f>#REF!</f>
        <v>#REF!</v>
      </c>
      <c r="H1412" t="e">
        <f>#REF!</f>
        <v>#REF!</v>
      </c>
    </row>
    <row r="1413" spans="1:8">
      <c r="A1413" t="e">
        <f>#REF!</f>
        <v>#REF!</v>
      </c>
      <c r="B1413" t="e">
        <f>#REF!</f>
        <v>#REF!</v>
      </c>
      <c r="C1413" t="e">
        <f>#REF!</f>
        <v>#REF!</v>
      </c>
      <c r="D1413" t="e">
        <f>#REF!</f>
        <v>#REF!</v>
      </c>
      <c r="E1413" t="e">
        <f>#REF!</f>
        <v>#REF!</v>
      </c>
      <c r="F1413" t="e">
        <f>#REF!</f>
        <v>#REF!</v>
      </c>
      <c r="G1413" t="e">
        <f>#REF!</f>
        <v>#REF!</v>
      </c>
      <c r="H1413" t="e">
        <f>#REF!</f>
        <v>#REF!</v>
      </c>
    </row>
    <row r="1414" spans="1:8">
      <c r="A1414" t="e">
        <f>#REF!</f>
        <v>#REF!</v>
      </c>
      <c r="B1414" t="e">
        <f>#REF!</f>
        <v>#REF!</v>
      </c>
      <c r="C1414" t="e">
        <f>#REF!</f>
        <v>#REF!</v>
      </c>
      <c r="D1414" t="e">
        <f>#REF!</f>
        <v>#REF!</v>
      </c>
      <c r="E1414" t="e">
        <f>#REF!</f>
        <v>#REF!</v>
      </c>
      <c r="F1414" t="e">
        <f>#REF!</f>
        <v>#REF!</v>
      </c>
      <c r="G1414" t="e">
        <f>#REF!</f>
        <v>#REF!</v>
      </c>
      <c r="H1414" t="e">
        <f>#REF!</f>
        <v>#REF!</v>
      </c>
    </row>
    <row r="1415" spans="1:8">
      <c r="A1415" t="e">
        <f>#REF!</f>
        <v>#REF!</v>
      </c>
      <c r="B1415" t="e">
        <f>#REF!</f>
        <v>#REF!</v>
      </c>
      <c r="C1415" t="e">
        <f>#REF!</f>
        <v>#REF!</v>
      </c>
      <c r="D1415" t="e">
        <f>#REF!</f>
        <v>#REF!</v>
      </c>
      <c r="E1415" t="e">
        <f>#REF!</f>
        <v>#REF!</v>
      </c>
      <c r="F1415" t="e">
        <f>#REF!</f>
        <v>#REF!</v>
      </c>
      <c r="G1415" t="e">
        <f>#REF!</f>
        <v>#REF!</v>
      </c>
      <c r="H1415" t="e">
        <f>#REF!</f>
        <v>#REF!</v>
      </c>
    </row>
    <row r="1416" spans="1:8">
      <c r="A1416" t="e">
        <f>#REF!</f>
        <v>#REF!</v>
      </c>
      <c r="B1416" t="e">
        <f>#REF!</f>
        <v>#REF!</v>
      </c>
      <c r="C1416" t="e">
        <f>#REF!</f>
        <v>#REF!</v>
      </c>
      <c r="D1416" t="e">
        <f>#REF!</f>
        <v>#REF!</v>
      </c>
      <c r="E1416" t="e">
        <f>#REF!</f>
        <v>#REF!</v>
      </c>
      <c r="F1416" t="e">
        <f>#REF!</f>
        <v>#REF!</v>
      </c>
      <c r="G1416" t="e">
        <f>#REF!</f>
        <v>#REF!</v>
      </c>
      <c r="H1416" t="e">
        <f>#REF!</f>
        <v>#REF!</v>
      </c>
    </row>
    <row r="1417" spans="1:8">
      <c r="A1417" t="e">
        <f>#REF!</f>
        <v>#REF!</v>
      </c>
      <c r="B1417" t="e">
        <f>#REF!</f>
        <v>#REF!</v>
      </c>
      <c r="C1417" t="e">
        <f>#REF!</f>
        <v>#REF!</v>
      </c>
      <c r="D1417" t="e">
        <f>#REF!</f>
        <v>#REF!</v>
      </c>
      <c r="E1417" t="e">
        <f>#REF!</f>
        <v>#REF!</v>
      </c>
      <c r="F1417" t="e">
        <f>#REF!</f>
        <v>#REF!</v>
      </c>
      <c r="G1417" t="e">
        <f>#REF!</f>
        <v>#REF!</v>
      </c>
      <c r="H1417" t="e">
        <f>#REF!</f>
        <v>#REF!</v>
      </c>
    </row>
    <row r="1418" spans="1:8">
      <c r="A1418" t="e">
        <f>#REF!</f>
        <v>#REF!</v>
      </c>
      <c r="B1418" t="e">
        <f>#REF!</f>
        <v>#REF!</v>
      </c>
      <c r="C1418" t="e">
        <f>#REF!</f>
        <v>#REF!</v>
      </c>
      <c r="D1418" t="e">
        <f>#REF!</f>
        <v>#REF!</v>
      </c>
      <c r="E1418" t="e">
        <f>#REF!</f>
        <v>#REF!</v>
      </c>
      <c r="F1418" t="e">
        <f>#REF!</f>
        <v>#REF!</v>
      </c>
      <c r="G1418" t="e">
        <f>#REF!</f>
        <v>#REF!</v>
      </c>
      <c r="H1418" t="e">
        <f>#REF!</f>
        <v>#REF!</v>
      </c>
    </row>
    <row r="1419" spans="1:8">
      <c r="A1419" t="e">
        <f>#REF!</f>
        <v>#REF!</v>
      </c>
      <c r="B1419" t="e">
        <f>#REF!</f>
        <v>#REF!</v>
      </c>
      <c r="C1419" t="e">
        <f>#REF!</f>
        <v>#REF!</v>
      </c>
      <c r="D1419" t="e">
        <f>#REF!</f>
        <v>#REF!</v>
      </c>
      <c r="E1419" t="e">
        <f>#REF!</f>
        <v>#REF!</v>
      </c>
      <c r="F1419" t="e">
        <f>#REF!</f>
        <v>#REF!</v>
      </c>
      <c r="G1419" t="e">
        <f>#REF!</f>
        <v>#REF!</v>
      </c>
      <c r="H1419" t="e">
        <f>#REF!</f>
        <v>#REF!</v>
      </c>
    </row>
    <row r="1420" spans="1:8">
      <c r="A1420" t="e">
        <f>#REF!</f>
        <v>#REF!</v>
      </c>
      <c r="B1420" t="e">
        <f>#REF!</f>
        <v>#REF!</v>
      </c>
      <c r="C1420" t="e">
        <f>#REF!</f>
        <v>#REF!</v>
      </c>
      <c r="D1420" t="e">
        <f>#REF!</f>
        <v>#REF!</v>
      </c>
      <c r="E1420" t="e">
        <f>#REF!</f>
        <v>#REF!</v>
      </c>
      <c r="F1420" t="e">
        <f>#REF!</f>
        <v>#REF!</v>
      </c>
      <c r="G1420" t="e">
        <f>#REF!</f>
        <v>#REF!</v>
      </c>
      <c r="H1420" t="e">
        <f>#REF!</f>
        <v>#REF!</v>
      </c>
    </row>
    <row r="1421" spans="1:8">
      <c r="A1421" t="e">
        <f>#REF!</f>
        <v>#REF!</v>
      </c>
      <c r="B1421" t="e">
        <f>#REF!</f>
        <v>#REF!</v>
      </c>
      <c r="C1421" t="e">
        <f>#REF!</f>
        <v>#REF!</v>
      </c>
      <c r="D1421" t="e">
        <f>#REF!</f>
        <v>#REF!</v>
      </c>
      <c r="E1421" t="e">
        <f>#REF!</f>
        <v>#REF!</v>
      </c>
      <c r="F1421" t="e">
        <f>#REF!</f>
        <v>#REF!</v>
      </c>
      <c r="G1421" t="e">
        <f>#REF!</f>
        <v>#REF!</v>
      </c>
      <c r="H1421" t="e">
        <f>#REF!</f>
        <v>#REF!</v>
      </c>
    </row>
    <row r="1422" spans="1:8">
      <c r="A1422" t="e">
        <f>#REF!</f>
        <v>#REF!</v>
      </c>
      <c r="B1422" t="e">
        <f>#REF!</f>
        <v>#REF!</v>
      </c>
      <c r="C1422" t="e">
        <f>#REF!</f>
        <v>#REF!</v>
      </c>
      <c r="D1422" t="e">
        <f>#REF!</f>
        <v>#REF!</v>
      </c>
      <c r="E1422" t="e">
        <f>#REF!</f>
        <v>#REF!</v>
      </c>
      <c r="F1422" t="e">
        <f>#REF!</f>
        <v>#REF!</v>
      </c>
      <c r="G1422" t="e">
        <f>#REF!</f>
        <v>#REF!</v>
      </c>
      <c r="H1422" t="e">
        <f>#REF!</f>
        <v>#REF!</v>
      </c>
    </row>
    <row r="1423" spans="1:8">
      <c r="A1423" t="e">
        <f>#REF!</f>
        <v>#REF!</v>
      </c>
      <c r="B1423" t="e">
        <f>#REF!</f>
        <v>#REF!</v>
      </c>
      <c r="C1423" t="e">
        <f>#REF!</f>
        <v>#REF!</v>
      </c>
      <c r="D1423" t="e">
        <f>#REF!</f>
        <v>#REF!</v>
      </c>
      <c r="E1423" t="e">
        <f>#REF!</f>
        <v>#REF!</v>
      </c>
      <c r="F1423" t="e">
        <f>#REF!</f>
        <v>#REF!</v>
      </c>
      <c r="G1423" t="e">
        <f>#REF!</f>
        <v>#REF!</v>
      </c>
      <c r="H1423" t="e">
        <f>#REF!</f>
        <v>#REF!</v>
      </c>
    </row>
    <row r="1424" spans="1:8">
      <c r="A1424" t="e">
        <f>#REF!</f>
        <v>#REF!</v>
      </c>
      <c r="B1424" t="e">
        <f>#REF!</f>
        <v>#REF!</v>
      </c>
      <c r="C1424" t="e">
        <f>#REF!</f>
        <v>#REF!</v>
      </c>
      <c r="D1424" t="e">
        <f>#REF!</f>
        <v>#REF!</v>
      </c>
      <c r="E1424" t="e">
        <f>#REF!</f>
        <v>#REF!</v>
      </c>
      <c r="F1424" t="e">
        <f>#REF!</f>
        <v>#REF!</v>
      </c>
      <c r="G1424" t="e">
        <f>#REF!</f>
        <v>#REF!</v>
      </c>
      <c r="H1424" t="e">
        <f>#REF!</f>
        <v>#REF!</v>
      </c>
    </row>
    <row r="1425" spans="1:8">
      <c r="A1425" t="e">
        <f>#REF!</f>
        <v>#REF!</v>
      </c>
      <c r="B1425" t="e">
        <f>#REF!</f>
        <v>#REF!</v>
      </c>
      <c r="C1425" t="e">
        <f>#REF!</f>
        <v>#REF!</v>
      </c>
      <c r="D1425" t="e">
        <f>#REF!</f>
        <v>#REF!</v>
      </c>
      <c r="E1425" t="e">
        <f>#REF!</f>
        <v>#REF!</v>
      </c>
      <c r="F1425" t="e">
        <f>#REF!</f>
        <v>#REF!</v>
      </c>
      <c r="G1425" t="e">
        <f>#REF!</f>
        <v>#REF!</v>
      </c>
      <c r="H1425" t="e">
        <f>#REF!</f>
        <v>#REF!</v>
      </c>
    </row>
    <row r="1426" spans="1:8">
      <c r="A1426" t="e">
        <f>#REF!</f>
        <v>#REF!</v>
      </c>
      <c r="B1426" t="e">
        <f>#REF!</f>
        <v>#REF!</v>
      </c>
      <c r="C1426" t="e">
        <f>#REF!</f>
        <v>#REF!</v>
      </c>
      <c r="D1426" t="e">
        <f>#REF!</f>
        <v>#REF!</v>
      </c>
      <c r="E1426" t="e">
        <f>#REF!</f>
        <v>#REF!</v>
      </c>
      <c r="F1426" t="e">
        <f>#REF!</f>
        <v>#REF!</v>
      </c>
      <c r="G1426" t="e">
        <f>#REF!</f>
        <v>#REF!</v>
      </c>
      <c r="H1426" t="e">
        <f>#REF!</f>
        <v>#REF!</v>
      </c>
    </row>
    <row r="1427" spans="1:8">
      <c r="A1427" t="e">
        <f>#REF!</f>
        <v>#REF!</v>
      </c>
      <c r="B1427" t="e">
        <f>#REF!</f>
        <v>#REF!</v>
      </c>
      <c r="C1427" t="e">
        <f>#REF!</f>
        <v>#REF!</v>
      </c>
      <c r="D1427" t="e">
        <f>#REF!</f>
        <v>#REF!</v>
      </c>
      <c r="E1427" t="e">
        <f>#REF!</f>
        <v>#REF!</v>
      </c>
      <c r="F1427" t="e">
        <f>#REF!</f>
        <v>#REF!</v>
      </c>
      <c r="G1427" t="e">
        <f>#REF!</f>
        <v>#REF!</v>
      </c>
      <c r="H1427" t="e">
        <f>#REF!</f>
        <v>#REF!</v>
      </c>
    </row>
    <row r="1428" spans="1:8">
      <c r="A1428" t="e">
        <f>#REF!</f>
        <v>#REF!</v>
      </c>
      <c r="B1428" t="e">
        <f>#REF!</f>
        <v>#REF!</v>
      </c>
      <c r="C1428" t="e">
        <f>#REF!</f>
        <v>#REF!</v>
      </c>
      <c r="D1428" t="e">
        <f>#REF!</f>
        <v>#REF!</v>
      </c>
      <c r="E1428" t="e">
        <f>#REF!</f>
        <v>#REF!</v>
      </c>
      <c r="F1428" t="e">
        <f>#REF!</f>
        <v>#REF!</v>
      </c>
      <c r="G1428" t="e">
        <f>#REF!</f>
        <v>#REF!</v>
      </c>
      <c r="H1428" t="e">
        <f>#REF!</f>
        <v>#REF!</v>
      </c>
    </row>
    <row r="1429" spans="1:8">
      <c r="A1429" t="e">
        <f>#REF!</f>
        <v>#REF!</v>
      </c>
      <c r="B1429" t="e">
        <f>#REF!</f>
        <v>#REF!</v>
      </c>
      <c r="C1429" t="e">
        <f>#REF!</f>
        <v>#REF!</v>
      </c>
      <c r="D1429" t="e">
        <f>#REF!</f>
        <v>#REF!</v>
      </c>
      <c r="E1429" t="e">
        <f>#REF!</f>
        <v>#REF!</v>
      </c>
      <c r="F1429" t="e">
        <f>#REF!</f>
        <v>#REF!</v>
      </c>
      <c r="G1429" t="e">
        <f>#REF!</f>
        <v>#REF!</v>
      </c>
      <c r="H1429" t="e">
        <f>#REF!</f>
        <v>#REF!</v>
      </c>
    </row>
    <row r="1430" spans="1:8">
      <c r="A1430" t="e">
        <f>#REF!</f>
        <v>#REF!</v>
      </c>
      <c r="B1430" t="e">
        <f>#REF!</f>
        <v>#REF!</v>
      </c>
      <c r="C1430" t="e">
        <f>#REF!</f>
        <v>#REF!</v>
      </c>
      <c r="D1430" t="e">
        <f>#REF!</f>
        <v>#REF!</v>
      </c>
      <c r="E1430" t="e">
        <f>#REF!</f>
        <v>#REF!</v>
      </c>
      <c r="F1430" t="e">
        <f>#REF!</f>
        <v>#REF!</v>
      </c>
      <c r="G1430" t="e">
        <f>#REF!</f>
        <v>#REF!</v>
      </c>
      <c r="H1430" t="e">
        <f>#REF!</f>
        <v>#REF!</v>
      </c>
    </row>
    <row r="1431" spans="1:8">
      <c r="A1431" t="e">
        <f>#REF!</f>
        <v>#REF!</v>
      </c>
      <c r="B1431" t="e">
        <f>#REF!</f>
        <v>#REF!</v>
      </c>
      <c r="C1431" t="e">
        <f>#REF!</f>
        <v>#REF!</v>
      </c>
      <c r="D1431" t="e">
        <f>#REF!</f>
        <v>#REF!</v>
      </c>
      <c r="E1431" t="e">
        <f>#REF!</f>
        <v>#REF!</v>
      </c>
      <c r="F1431" t="e">
        <f>#REF!</f>
        <v>#REF!</v>
      </c>
      <c r="G1431" t="e">
        <f>#REF!</f>
        <v>#REF!</v>
      </c>
      <c r="H1431" t="e">
        <f>#REF!</f>
        <v>#REF!</v>
      </c>
    </row>
    <row r="1432" spans="1:8">
      <c r="A1432" t="e">
        <f>#REF!</f>
        <v>#REF!</v>
      </c>
      <c r="B1432" t="e">
        <f>#REF!</f>
        <v>#REF!</v>
      </c>
      <c r="C1432" t="e">
        <f>#REF!</f>
        <v>#REF!</v>
      </c>
      <c r="D1432" t="e">
        <f>#REF!</f>
        <v>#REF!</v>
      </c>
      <c r="E1432" t="e">
        <f>#REF!</f>
        <v>#REF!</v>
      </c>
      <c r="F1432" t="e">
        <f>#REF!</f>
        <v>#REF!</v>
      </c>
      <c r="G1432" t="e">
        <f>#REF!</f>
        <v>#REF!</v>
      </c>
      <c r="H1432" t="e">
        <f>#REF!</f>
        <v>#REF!</v>
      </c>
    </row>
    <row r="1433" spans="1:8">
      <c r="A1433" t="e">
        <f>#REF!</f>
        <v>#REF!</v>
      </c>
      <c r="B1433" t="e">
        <f>#REF!</f>
        <v>#REF!</v>
      </c>
      <c r="C1433" t="e">
        <f>#REF!</f>
        <v>#REF!</v>
      </c>
      <c r="D1433" t="e">
        <f>#REF!</f>
        <v>#REF!</v>
      </c>
      <c r="E1433" t="e">
        <f>#REF!</f>
        <v>#REF!</v>
      </c>
      <c r="F1433" t="e">
        <f>#REF!</f>
        <v>#REF!</v>
      </c>
      <c r="G1433" t="e">
        <f>#REF!</f>
        <v>#REF!</v>
      </c>
      <c r="H1433" t="e">
        <f>#REF!</f>
        <v>#REF!</v>
      </c>
    </row>
    <row r="1434" spans="1:8">
      <c r="A1434" t="e">
        <f>#REF!</f>
        <v>#REF!</v>
      </c>
      <c r="B1434" t="e">
        <f>#REF!</f>
        <v>#REF!</v>
      </c>
      <c r="C1434" t="e">
        <f>#REF!</f>
        <v>#REF!</v>
      </c>
      <c r="D1434" t="e">
        <f>#REF!</f>
        <v>#REF!</v>
      </c>
      <c r="E1434" t="e">
        <f>#REF!</f>
        <v>#REF!</v>
      </c>
      <c r="F1434" t="e">
        <f>#REF!</f>
        <v>#REF!</v>
      </c>
      <c r="G1434" t="e">
        <f>#REF!</f>
        <v>#REF!</v>
      </c>
      <c r="H1434" t="e">
        <f>#REF!</f>
        <v>#REF!</v>
      </c>
    </row>
    <row r="1435" spans="1:8">
      <c r="A1435" t="e">
        <f>#REF!</f>
        <v>#REF!</v>
      </c>
      <c r="B1435" t="e">
        <f>#REF!</f>
        <v>#REF!</v>
      </c>
      <c r="C1435" t="e">
        <f>#REF!</f>
        <v>#REF!</v>
      </c>
      <c r="D1435" t="e">
        <f>#REF!</f>
        <v>#REF!</v>
      </c>
      <c r="E1435" t="e">
        <f>#REF!</f>
        <v>#REF!</v>
      </c>
      <c r="F1435" t="e">
        <f>#REF!</f>
        <v>#REF!</v>
      </c>
      <c r="G1435" t="e">
        <f>#REF!</f>
        <v>#REF!</v>
      </c>
      <c r="H1435" t="e">
        <f>#REF!</f>
        <v>#REF!</v>
      </c>
    </row>
    <row r="1436" spans="1:8">
      <c r="A1436" t="e">
        <f>#REF!</f>
        <v>#REF!</v>
      </c>
      <c r="B1436" t="e">
        <f>#REF!</f>
        <v>#REF!</v>
      </c>
      <c r="C1436" t="e">
        <f>#REF!</f>
        <v>#REF!</v>
      </c>
      <c r="D1436" t="e">
        <f>#REF!</f>
        <v>#REF!</v>
      </c>
      <c r="E1436" t="e">
        <f>#REF!</f>
        <v>#REF!</v>
      </c>
      <c r="F1436" t="e">
        <f>#REF!</f>
        <v>#REF!</v>
      </c>
      <c r="G1436" t="e">
        <f>#REF!</f>
        <v>#REF!</v>
      </c>
      <c r="H1436" t="e">
        <f>#REF!</f>
        <v>#REF!</v>
      </c>
    </row>
    <row r="1437" spans="1:8">
      <c r="A1437" t="e">
        <f>#REF!</f>
        <v>#REF!</v>
      </c>
      <c r="B1437" t="e">
        <f>#REF!</f>
        <v>#REF!</v>
      </c>
      <c r="C1437" t="e">
        <f>#REF!</f>
        <v>#REF!</v>
      </c>
      <c r="D1437" t="e">
        <f>#REF!</f>
        <v>#REF!</v>
      </c>
      <c r="E1437" t="e">
        <f>#REF!</f>
        <v>#REF!</v>
      </c>
      <c r="F1437" t="e">
        <f>#REF!</f>
        <v>#REF!</v>
      </c>
      <c r="G1437" t="e">
        <f>#REF!</f>
        <v>#REF!</v>
      </c>
      <c r="H1437" t="e">
        <f>#REF!</f>
        <v>#REF!</v>
      </c>
    </row>
    <row r="1438" spans="1:8">
      <c r="A1438" t="e">
        <f>#REF!</f>
        <v>#REF!</v>
      </c>
      <c r="B1438" t="e">
        <f>#REF!</f>
        <v>#REF!</v>
      </c>
      <c r="C1438" t="e">
        <f>#REF!</f>
        <v>#REF!</v>
      </c>
      <c r="D1438" t="e">
        <f>#REF!</f>
        <v>#REF!</v>
      </c>
      <c r="E1438" t="e">
        <f>#REF!</f>
        <v>#REF!</v>
      </c>
      <c r="F1438" t="e">
        <f>#REF!</f>
        <v>#REF!</v>
      </c>
      <c r="G1438" t="e">
        <f>#REF!</f>
        <v>#REF!</v>
      </c>
      <c r="H1438" t="e">
        <f>#REF!</f>
        <v>#REF!</v>
      </c>
    </row>
    <row r="1439" spans="1:8">
      <c r="A1439" t="e">
        <f>#REF!</f>
        <v>#REF!</v>
      </c>
      <c r="B1439" t="e">
        <f>#REF!</f>
        <v>#REF!</v>
      </c>
      <c r="C1439" t="e">
        <f>#REF!</f>
        <v>#REF!</v>
      </c>
      <c r="D1439" t="e">
        <f>#REF!</f>
        <v>#REF!</v>
      </c>
      <c r="E1439" t="e">
        <f>#REF!</f>
        <v>#REF!</v>
      </c>
      <c r="F1439" t="e">
        <f>#REF!</f>
        <v>#REF!</v>
      </c>
      <c r="G1439" t="e">
        <f>#REF!</f>
        <v>#REF!</v>
      </c>
      <c r="H1439" t="e">
        <f>#REF!</f>
        <v>#REF!</v>
      </c>
    </row>
    <row r="1440" spans="1:8">
      <c r="A1440" t="e">
        <f>#REF!</f>
        <v>#REF!</v>
      </c>
      <c r="B1440" t="e">
        <f>#REF!</f>
        <v>#REF!</v>
      </c>
      <c r="C1440" t="e">
        <f>#REF!</f>
        <v>#REF!</v>
      </c>
      <c r="D1440" t="e">
        <f>#REF!</f>
        <v>#REF!</v>
      </c>
      <c r="E1440" t="e">
        <f>#REF!</f>
        <v>#REF!</v>
      </c>
      <c r="F1440" t="e">
        <f>#REF!</f>
        <v>#REF!</v>
      </c>
      <c r="G1440" t="e">
        <f>#REF!</f>
        <v>#REF!</v>
      </c>
      <c r="H1440" t="e">
        <f>#REF!</f>
        <v>#REF!</v>
      </c>
    </row>
    <row r="1441" spans="1:8">
      <c r="A1441" t="e">
        <f>#REF!</f>
        <v>#REF!</v>
      </c>
      <c r="B1441" t="e">
        <f>#REF!</f>
        <v>#REF!</v>
      </c>
      <c r="C1441" t="e">
        <f>#REF!</f>
        <v>#REF!</v>
      </c>
      <c r="D1441" t="e">
        <f>#REF!</f>
        <v>#REF!</v>
      </c>
      <c r="E1441" t="e">
        <f>#REF!</f>
        <v>#REF!</v>
      </c>
      <c r="F1441" t="e">
        <f>#REF!</f>
        <v>#REF!</v>
      </c>
      <c r="G1441" t="e">
        <f>#REF!</f>
        <v>#REF!</v>
      </c>
      <c r="H1441" t="e">
        <f>#REF!</f>
        <v>#REF!</v>
      </c>
    </row>
    <row r="1442" spans="1:8">
      <c r="A1442" t="e">
        <f>#REF!</f>
        <v>#REF!</v>
      </c>
      <c r="B1442" t="e">
        <f>#REF!</f>
        <v>#REF!</v>
      </c>
      <c r="C1442" t="e">
        <f>#REF!</f>
        <v>#REF!</v>
      </c>
      <c r="D1442" t="e">
        <f>#REF!</f>
        <v>#REF!</v>
      </c>
      <c r="E1442" t="e">
        <f>#REF!</f>
        <v>#REF!</v>
      </c>
      <c r="F1442" t="e">
        <f>#REF!</f>
        <v>#REF!</v>
      </c>
      <c r="G1442" t="e">
        <f>#REF!</f>
        <v>#REF!</v>
      </c>
      <c r="H1442" t="e">
        <f>#REF!</f>
        <v>#REF!</v>
      </c>
    </row>
    <row r="1443" spans="1:8">
      <c r="A1443" t="e">
        <f>#REF!</f>
        <v>#REF!</v>
      </c>
      <c r="B1443" t="e">
        <f>#REF!</f>
        <v>#REF!</v>
      </c>
      <c r="C1443" t="e">
        <f>#REF!</f>
        <v>#REF!</v>
      </c>
      <c r="D1443" t="e">
        <f>#REF!</f>
        <v>#REF!</v>
      </c>
      <c r="E1443" t="e">
        <f>#REF!</f>
        <v>#REF!</v>
      </c>
      <c r="F1443" t="e">
        <f>#REF!</f>
        <v>#REF!</v>
      </c>
      <c r="G1443" t="e">
        <f>#REF!</f>
        <v>#REF!</v>
      </c>
      <c r="H1443" t="e">
        <f>#REF!</f>
        <v>#REF!</v>
      </c>
    </row>
    <row r="1444" spans="1:8">
      <c r="A1444" t="e">
        <f>#REF!</f>
        <v>#REF!</v>
      </c>
      <c r="B1444" t="e">
        <f>#REF!</f>
        <v>#REF!</v>
      </c>
      <c r="C1444" t="e">
        <f>#REF!</f>
        <v>#REF!</v>
      </c>
      <c r="D1444" t="e">
        <f>#REF!</f>
        <v>#REF!</v>
      </c>
      <c r="E1444" t="e">
        <f>#REF!</f>
        <v>#REF!</v>
      </c>
      <c r="F1444" t="e">
        <f>#REF!</f>
        <v>#REF!</v>
      </c>
      <c r="G1444" t="e">
        <f>#REF!</f>
        <v>#REF!</v>
      </c>
      <c r="H1444" t="e">
        <f>#REF!</f>
        <v>#REF!</v>
      </c>
    </row>
    <row r="1445" spans="1:8">
      <c r="A1445" t="e">
        <f>#REF!</f>
        <v>#REF!</v>
      </c>
      <c r="B1445" t="e">
        <f>#REF!</f>
        <v>#REF!</v>
      </c>
      <c r="C1445" t="e">
        <f>#REF!</f>
        <v>#REF!</v>
      </c>
      <c r="D1445" t="e">
        <f>#REF!</f>
        <v>#REF!</v>
      </c>
      <c r="E1445" t="e">
        <f>#REF!</f>
        <v>#REF!</v>
      </c>
      <c r="F1445" t="e">
        <f>#REF!</f>
        <v>#REF!</v>
      </c>
      <c r="G1445" t="e">
        <f>#REF!</f>
        <v>#REF!</v>
      </c>
      <c r="H1445" t="e">
        <f>#REF!</f>
        <v>#REF!</v>
      </c>
    </row>
    <row r="1446" spans="1:8">
      <c r="A1446" t="e">
        <f>#REF!</f>
        <v>#REF!</v>
      </c>
      <c r="B1446" t="e">
        <f>#REF!</f>
        <v>#REF!</v>
      </c>
      <c r="C1446" t="e">
        <f>#REF!</f>
        <v>#REF!</v>
      </c>
      <c r="D1446" t="e">
        <f>#REF!</f>
        <v>#REF!</v>
      </c>
      <c r="E1446" t="e">
        <f>#REF!</f>
        <v>#REF!</v>
      </c>
      <c r="F1446" t="e">
        <f>#REF!</f>
        <v>#REF!</v>
      </c>
      <c r="G1446" t="e">
        <f>#REF!</f>
        <v>#REF!</v>
      </c>
      <c r="H1446" t="e">
        <f>#REF!</f>
        <v>#REF!</v>
      </c>
    </row>
    <row r="1447" spans="1:8">
      <c r="A1447" t="e">
        <f>#REF!</f>
        <v>#REF!</v>
      </c>
      <c r="B1447" t="e">
        <f>#REF!</f>
        <v>#REF!</v>
      </c>
      <c r="C1447" t="e">
        <f>#REF!</f>
        <v>#REF!</v>
      </c>
      <c r="D1447" t="e">
        <f>#REF!</f>
        <v>#REF!</v>
      </c>
      <c r="E1447" t="e">
        <f>#REF!</f>
        <v>#REF!</v>
      </c>
      <c r="F1447" t="e">
        <f>#REF!</f>
        <v>#REF!</v>
      </c>
      <c r="G1447" t="e">
        <f>#REF!</f>
        <v>#REF!</v>
      </c>
      <c r="H1447" t="e">
        <f>#REF!</f>
        <v>#REF!</v>
      </c>
    </row>
    <row r="1448" spans="1:8">
      <c r="A1448" t="e">
        <f>#REF!</f>
        <v>#REF!</v>
      </c>
      <c r="B1448" t="e">
        <f>#REF!</f>
        <v>#REF!</v>
      </c>
      <c r="C1448" t="e">
        <f>#REF!</f>
        <v>#REF!</v>
      </c>
      <c r="D1448" t="e">
        <f>#REF!</f>
        <v>#REF!</v>
      </c>
      <c r="E1448" t="e">
        <f>#REF!</f>
        <v>#REF!</v>
      </c>
      <c r="F1448" t="e">
        <f>#REF!</f>
        <v>#REF!</v>
      </c>
      <c r="G1448" t="e">
        <f>#REF!</f>
        <v>#REF!</v>
      </c>
      <c r="H1448" t="e">
        <f>#REF!</f>
        <v>#REF!</v>
      </c>
    </row>
    <row r="1449" spans="1:8">
      <c r="A1449" t="e">
        <f>#REF!</f>
        <v>#REF!</v>
      </c>
      <c r="B1449" t="e">
        <f>#REF!</f>
        <v>#REF!</v>
      </c>
      <c r="C1449" t="e">
        <f>#REF!</f>
        <v>#REF!</v>
      </c>
      <c r="D1449" t="e">
        <f>#REF!</f>
        <v>#REF!</v>
      </c>
      <c r="E1449" t="e">
        <f>#REF!</f>
        <v>#REF!</v>
      </c>
      <c r="F1449" t="e">
        <f>#REF!</f>
        <v>#REF!</v>
      </c>
      <c r="G1449" t="e">
        <f>#REF!</f>
        <v>#REF!</v>
      </c>
      <c r="H1449" t="e">
        <f>#REF!</f>
        <v>#REF!</v>
      </c>
    </row>
    <row r="1450" spans="1:8">
      <c r="A1450" t="e">
        <f>#REF!</f>
        <v>#REF!</v>
      </c>
      <c r="B1450" t="e">
        <f>#REF!</f>
        <v>#REF!</v>
      </c>
      <c r="C1450" t="e">
        <f>#REF!</f>
        <v>#REF!</v>
      </c>
      <c r="D1450" t="e">
        <f>#REF!</f>
        <v>#REF!</v>
      </c>
      <c r="E1450" t="e">
        <f>#REF!</f>
        <v>#REF!</v>
      </c>
      <c r="F1450" t="e">
        <f>#REF!</f>
        <v>#REF!</v>
      </c>
      <c r="G1450" t="e">
        <f>#REF!</f>
        <v>#REF!</v>
      </c>
      <c r="H1450" t="e">
        <f>#REF!</f>
        <v>#REF!</v>
      </c>
    </row>
    <row r="1451" spans="1:8">
      <c r="A1451" t="e">
        <f>#REF!</f>
        <v>#REF!</v>
      </c>
      <c r="B1451" t="e">
        <f>#REF!</f>
        <v>#REF!</v>
      </c>
      <c r="C1451" t="e">
        <f>#REF!</f>
        <v>#REF!</v>
      </c>
      <c r="D1451" t="e">
        <f>#REF!</f>
        <v>#REF!</v>
      </c>
      <c r="E1451" t="e">
        <f>#REF!</f>
        <v>#REF!</v>
      </c>
      <c r="F1451" t="e">
        <f>#REF!</f>
        <v>#REF!</v>
      </c>
      <c r="G1451" t="e">
        <f>#REF!</f>
        <v>#REF!</v>
      </c>
      <c r="H1451" t="e">
        <f>#REF!</f>
        <v>#REF!</v>
      </c>
    </row>
    <row r="1452" spans="1:8">
      <c r="A1452" t="e">
        <f>#REF!</f>
        <v>#REF!</v>
      </c>
      <c r="B1452" t="e">
        <f>#REF!</f>
        <v>#REF!</v>
      </c>
      <c r="C1452" t="e">
        <f>#REF!</f>
        <v>#REF!</v>
      </c>
      <c r="D1452" t="e">
        <f>#REF!</f>
        <v>#REF!</v>
      </c>
      <c r="E1452" t="e">
        <f>#REF!</f>
        <v>#REF!</v>
      </c>
      <c r="F1452" t="e">
        <f>#REF!</f>
        <v>#REF!</v>
      </c>
      <c r="G1452" t="e">
        <f>#REF!</f>
        <v>#REF!</v>
      </c>
      <c r="H1452" t="e">
        <f>#REF!</f>
        <v>#REF!</v>
      </c>
    </row>
    <row r="1453" spans="1:8">
      <c r="A1453" t="e">
        <f>#REF!</f>
        <v>#REF!</v>
      </c>
      <c r="B1453" t="e">
        <f>#REF!</f>
        <v>#REF!</v>
      </c>
      <c r="C1453" t="e">
        <f>#REF!</f>
        <v>#REF!</v>
      </c>
      <c r="D1453" t="e">
        <f>#REF!</f>
        <v>#REF!</v>
      </c>
      <c r="E1453" t="e">
        <f>#REF!</f>
        <v>#REF!</v>
      </c>
      <c r="F1453" t="e">
        <f>#REF!</f>
        <v>#REF!</v>
      </c>
      <c r="G1453" t="e">
        <f>#REF!</f>
        <v>#REF!</v>
      </c>
      <c r="H1453" t="e">
        <f>#REF!</f>
        <v>#REF!</v>
      </c>
    </row>
    <row r="1454" spans="1:8">
      <c r="A1454" t="e">
        <f>#REF!</f>
        <v>#REF!</v>
      </c>
      <c r="B1454" t="e">
        <f>#REF!</f>
        <v>#REF!</v>
      </c>
      <c r="C1454" t="e">
        <f>#REF!</f>
        <v>#REF!</v>
      </c>
      <c r="D1454" t="e">
        <f>#REF!</f>
        <v>#REF!</v>
      </c>
      <c r="E1454" t="e">
        <f>#REF!</f>
        <v>#REF!</v>
      </c>
      <c r="F1454" t="e">
        <f>#REF!</f>
        <v>#REF!</v>
      </c>
      <c r="G1454" t="e">
        <f>#REF!</f>
        <v>#REF!</v>
      </c>
      <c r="H1454" t="e">
        <f>#REF!</f>
        <v>#REF!</v>
      </c>
    </row>
    <row r="1455" spans="1:8">
      <c r="A1455" t="e">
        <f>#REF!</f>
        <v>#REF!</v>
      </c>
      <c r="B1455" t="e">
        <f>#REF!</f>
        <v>#REF!</v>
      </c>
      <c r="C1455" t="e">
        <f>#REF!</f>
        <v>#REF!</v>
      </c>
      <c r="D1455" t="e">
        <f>#REF!</f>
        <v>#REF!</v>
      </c>
      <c r="E1455" t="e">
        <f>#REF!</f>
        <v>#REF!</v>
      </c>
      <c r="F1455" t="e">
        <f>#REF!</f>
        <v>#REF!</v>
      </c>
      <c r="G1455" t="e">
        <f>#REF!</f>
        <v>#REF!</v>
      </c>
      <c r="H1455" t="e">
        <f>#REF!</f>
        <v>#REF!</v>
      </c>
    </row>
    <row r="1456" spans="1:8">
      <c r="A1456" t="e">
        <f>#REF!</f>
        <v>#REF!</v>
      </c>
      <c r="B1456" t="e">
        <f>#REF!</f>
        <v>#REF!</v>
      </c>
      <c r="C1456" t="e">
        <f>#REF!</f>
        <v>#REF!</v>
      </c>
      <c r="D1456" t="e">
        <f>#REF!</f>
        <v>#REF!</v>
      </c>
      <c r="E1456" t="e">
        <f>#REF!</f>
        <v>#REF!</v>
      </c>
      <c r="F1456" t="e">
        <f>#REF!</f>
        <v>#REF!</v>
      </c>
      <c r="G1456" t="e">
        <f>#REF!</f>
        <v>#REF!</v>
      </c>
      <c r="H1456" t="e">
        <f>#REF!</f>
        <v>#REF!</v>
      </c>
    </row>
    <row r="1457" spans="1:8">
      <c r="A1457" t="e">
        <f>#REF!</f>
        <v>#REF!</v>
      </c>
      <c r="B1457" t="e">
        <f>#REF!</f>
        <v>#REF!</v>
      </c>
      <c r="C1457" t="e">
        <f>#REF!</f>
        <v>#REF!</v>
      </c>
      <c r="D1457" t="e">
        <f>#REF!</f>
        <v>#REF!</v>
      </c>
      <c r="E1457" t="e">
        <f>#REF!</f>
        <v>#REF!</v>
      </c>
      <c r="F1457" t="e">
        <f>#REF!</f>
        <v>#REF!</v>
      </c>
      <c r="G1457" t="e">
        <f>#REF!</f>
        <v>#REF!</v>
      </c>
      <c r="H1457" t="e">
        <f>#REF!</f>
        <v>#REF!</v>
      </c>
    </row>
    <row r="1458" spans="1:8">
      <c r="A1458" t="e">
        <f>#REF!</f>
        <v>#REF!</v>
      </c>
      <c r="B1458" t="e">
        <f>#REF!</f>
        <v>#REF!</v>
      </c>
      <c r="C1458" t="e">
        <f>#REF!</f>
        <v>#REF!</v>
      </c>
      <c r="D1458" t="e">
        <f>#REF!</f>
        <v>#REF!</v>
      </c>
      <c r="E1458" t="e">
        <f>#REF!</f>
        <v>#REF!</v>
      </c>
      <c r="F1458" t="e">
        <f>#REF!</f>
        <v>#REF!</v>
      </c>
      <c r="G1458" t="e">
        <f>#REF!</f>
        <v>#REF!</v>
      </c>
      <c r="H1458" t="e">
        <f>#REF!</f>
        <v>#REF!</v>
      </c>
    </row>
    <row r="1459" spans="1:8">
      <c r="A1459" t="e">
        <f>#REF!</f>
        <v>#REF!</v>
      </c>
      <c r="B1459" t="e">
        <f>#REF!</f>
        <v>#REF!</v>
      </c>
      <c r="C1459" t="e">
        <f>#REF!</f>
        <v>#REF!</v>
      </c>
      <c r="D1459" t="e">
        <f>#REF!</f>
        <v>#REF!</v>
      </c>
      <c r="E1459" t="e">
        <f>#REF!</f>
        <v>#REF!</v>
      </c>
      <c r="F1459" t="e">
        <f>#REF!</f>
        <v>#REF!</v>
      </c>
      <c r="G1459" t="e">
        <f>#REF!</f>
        <v>#REF!</v>
      </c>
      <c r="H1459" t="e">
        <f>#REF!</f>
        <v>#REF!</v>
      </c>
    </row>
    <row r="1460" spans="1:8">
      <c r="A1460" t="e">
        <f>#REF!</f>
        <v>#REF!</v>
      </c>
      <c r="B1460" t="e">
        <f>#REF!</f>
        <v>#REF!</v>
      </c>
      <c r="C1460" t="e">
        <f>#REF!</f>
        <v>#REF!</v>
      </c>
      <c r="D1460" t="e">
        <f>#REF!</f>
        <v>#REF!</v>
      </c>
      <c r="E1460" t="e">
        <f>#REF!</f>
        <v>#REF!</v>
      </c>
      <c r="F1460" t="e">
        <f>#REF!</f>
        <v>#REF!</v>
      </c>
      <c r="G1460" t="e">
        <f>#REF!</f>
        <v>#REF!</v>
      </c>
      <c r="H1460" t="e">
        <f>#REF!</f>
        <v>#REF!</v>
      </c>
    </row>
    <row r="1461" spans="1:8">
      <c r="A1461" t="e">
        <f>#REF!</f>
        <v>#REF!</v>
      </c>
      <c r="B1461" t="e">
        <f>#REF!</f>
        <v>#REF!</v>
      </c>
      <c r="C1461" t="e">
        <f>#REF!</f>
        <v>#REF!</v>
      </c>
      <c r="D1461" t="e">
        <f>#REF!</f>
        <v>#REF!</v>
      </c>
      <c r="E1461" t="e">
        <f>#REF!</f>
        <v>#REF!</v>
      </c>
      <c r="F1461" t="e">
        <f>#REF!</f>
        <v>#REF!</v>
      </c>
      <c r="G1461" t="e">
        <f>#REF!</f>
        <v>#REF!</v>
      </c>
      <c r="H1461" t="e">
        <f>#REF!</f>
        <v>#REF!</v>
      </c>
    </row>
    <row r="1462" spans="1:8">
      <c r="A1462" t="e">
        <f>#REF!</f>
        <v>#REF!</v>
      </c>
      <c r="B1462" t="e">
        <f>#REF!</f>
        <v>#REF!</v>
      </c>
      <c r="C1462" t="e">
        <f>#REF!</f>
        <v>#REF!</v>
      </c>
      <c r="D1462" t="e">
        <f>#REF!</f>
        <v>#REF!</v>
      </c>
      <c r="E1462" t="e">
        <f>#REF!</f>
        <v>#REF!</v>
      </c>
      <c r="F1462" t="e">
        <f>#REF!</f>
        <v>#REF!</v>
      </c>
      <c r="G1462" t="e">
        <f>#REF!</f>
        <v>#REF!</v>
      </c>
      <c r="H1462" t="e">
        <f>#REF!</f>
        <v>#REF!</v>
      </c>
    </row>
    <row r="1463" spans="1:8">
      <c r="A1463" t="e">
        <f>#REF!</f>
        <v>#REF!</v>
      </c>
      <c r="B1463" t="e">
        <f>#REF!</f>
        <v>#REF!</v>
      </c>
      <c r="C1463" t="e">
        <f>#REF!</f>
        <v>#REF!</v>
      </c>
      <c r="D1463" t="e">
        <f>#REF!</f>
        <v>#REF!</v>
      </c>
      <c r="E1463" t="e">
        <f>#REF!</f>
        <v>#REF!</v>
      </c>
      <c r="F1463" t="e">
        <f>#REF!</f>
        <v>#REF!</v>
      </c>
      <c r="G1463" t="e">
        <f>#REF!</f>
        <v>#REF!</v>
      </c>
      <c r="H1463" t="e">
        <f>#REF!</f>
        <v>#REF!</v>
      </c>
    </row>
    <row r="1464" spans="1:8">
      <c r="A1464" t="e">
        <f>#REF!</f>
        <v>#REF!</v>
      </c>
      <c r="B1464" t="e">
        <f>#REF!</f>
        <v>#REF!</v>
      </c>
      <c r="C1464" t="e">
        <f>#REF!</f>
        <v>#REF!</v>
      </c>
      <c r="D1464" t="e">
        <f>#REF!</f>
        <v>#REF!</v>
      </c>
      <c r="E1464" t="e">
        <f>#REF!</f>
        <v>#REF!</v>
      </c>
      <c r="F1464" t="e">
        <f>#REF!</f>
        <v>#REF!</v>
      </c>
      <c r="G1464" t="e">
        <f>#REF!</f>
        <v>#REF!</v>
      </c>
      <c r="H1464" t="e">
        <f>#REF!</f>
        <v>#REF!</v>
      </c>
    </row>
    <row r="1465" spans="1:8">
      <c r="A1465" t="e">
        <f>#REF!</f>
        <v>#REF!</v>
      </c>
      <c r="B1465" t="e">
        <f>#REF!</f>
        <v>#REF!</v>
      </c>
      <c r="C1465" t="e">
        <f>#REF!</f>
        <v>#REF!</v>
      </c>
      <c r="D1465" t="e">
        <f>#REF!</f>
        <v>#REF!</v>
      </c>
      <c r="E1465" t="e">
        <f>#REF!</f>
        <v>#REF!</v>
      </c>
      <c r="F1465" t="e">
        <f>#REF!</f>
        <v>#REF!</v>
      </c>
      <c r="G1465" t="e">
        <f>#REF!</f>
        <v>#REF!</v>
      </c>
      <c r="H1465" t="e">
        <f>#REF!</f>
        <v>#REF!</v>
      </c>
    </row>
    <row r="1466" spans="1:8">
      <c r="A1466" t="e">
        <f>#REF!</f>
        <v>#REF!</v>
      </c>
      <c r="B1466" t="e">
        <f>#REF!</f>
        <v>#REF!</v>
      </c>
      <c r="C1466" t="e">
        <f>#REF!</f>
        <v>#REF!</v>
      </c>
      <c r="D1466" t="e">
        <f>#REF!</f>
        <v>#REF!</v>
      </c>
      <c r="E1466" t="e">
        <f>#REF!</f>
        <v>#REF!</v>
      </c>
      <c r="F1466" t="e">
        <f>#REF!</f>
        <v>#REF!</v>
      </c>
      <c r="G1466" t="e">
        <f>#REF!</f>
        <v>#REF!</v>
      </c>
      <c r="H1466" t="e">
        <f>#REF!</f>
        <v>#REF!</v>
      </c>
    </row>
    <row r="1467" spans="1:8">
      <c r="A1467" t="e">
        <f>#REF!</f>
        <v>#REF!</v>
      </c>
      <c r="B1467" t="e">
        <f>#REF!</f>
        <v>#REF!</v>
      </c>
      <c r="C1467" t="e">
        <f>#REF!</f>
        <v>#REF!</v>
      </c>
      <c r="D1467" t="e">
        <f>#REF!</f>
        <v>#REF!</v>
      </c>
      <c r="E1467" t="e">
        <f>#REF!</f>
        <v>#REF!</v>
      </c>
      <c r="F1467" t="e">
        <f>#REF!</f>
        <v>#REF!</v>
      </c>
      <c r="G1467" t="e">
        <f>#REF!</f>
        <v>#REF!</v>
      </c>
      <c r="H1467" t="e">
        <f>#REF!</f>
        <v>#REF!</v>
      </c>
    </row>
    <row r="1468" spans="1:8">
      <c r="A1468" t="e">
        <f>#REF!</f>
        <v>#REF!</v>
      </c>
      <c r="B1468" t="e">
        <f>#REF!</f>
        <v>#REF!</v>
      </c>
      <c r="C1468" t="e">
        <f>#REF!</f>
        <v>#REF!</v>
      </c>
      <c r="D1468" t="e">
        <f>#REF!</f>
        <v>#REF!</v>
      </c>
      <c r="E1468" t="e">
        <f>#REF!</f>
        <v>#REF!</v>
      </c>
      <c r="F1468" t="e">
        <f>#REF!</f>
        <v>#REF!</v>
      </c>
      <c r="G1468" t="e">
        <f>#REF!</f>
        <v>#REF!</v>
      </c>
      <c r="H1468" t="e">
        <f>#REF!</f>
        <v>#REF!</v>
      </c>
    </row>
    <row r="1469" spans="1:8">
      <c r="A1469" t="e">
        <f>#REF!</f>
        <v>#REF!</v>
      </c>
      <c r="B1469" t="e">
        <f>#REF!</f>
        <v>#REF!</v>
      </c>
      <c r="C1469" t="e">
        <f>#REF!</f>
        <v>#REF!</v>
      </c>
      <c r="D1469" t="e">
        <f>#REF!</f>
        <v>#REF!</v>
      </c>
      <c r="E1469" t="e">
        <f>#REF!</f>
        <v>#REF!</v>
      </c>
      <c r="F1469" t="e">
        <f>#REF!</f>
        <v>#REF!</v>
      </c>
      <c r="G1469" t="e">
        <f>#REF!</f>
        <v>#REF!</v>
      </c>
      <c r="H1469" t="e">
        <f>#REF!</f>
        <v>#REF!</v>
      </c>
    </row>
    <row r="1470" spans="1:8">
      <c r="A1470" t="e">
        <f>#REF!</f>
        <v>#REF!</v>
      </c>
      <c r="B1470" t="e">
        <f>#REF!</f>
        <v>#REF!</v>
      </c>
      <c r="C1470" t="e">
        <f>#REF!</f>
        <v>#REF!</v>
      </c>
      <c r="D1470" t="e">
        <f>#REF!</f>
        <v>#REF!</v>
      </c>
      <c r="E1470" t="e">
        <f>#REF!</f>
        <v>#REF!</v>
      </c>
      <c r="F1470" t="e">
        <f>#REF!</f>
        <v>#REF!</v>
      </c>
      <c r="G1470" t="e">
        <f>#REF!</f>
        <v>#REF!</v>
      </c>
      <c r="H1470" t="e">
        <f>#REF!</f>
        <v>#REF!</v>
      </c>
    </row>
    <row r="1471" spans="1:8">
      <c r="A1471" t="e">
        <f>#REF!</f>
        <v>#REF!</v>
      </c>
      <c r="B1471" t="e">
        <f>#REF!</f>
        <v>#REF!</v>
      </c>
      <c r="C1471" t="e">
        <f>#REF!</f>
        <v>#REF!</v>
      </c>
      <c r="D1471" t="e">
        <f>#REF!</f>
        <v>#REF!</v>
      </c>
      <c r="E1471" t="e">
        <f>#REF!</f>
        <v>#REF!</v>
      </c>
      <c r="F1471" t="e">
        <f>#REF!</f>
        <v>#REF!</v>
      </c>
      <c r="G1471" t="e">
        <f>#REF!</f>
        <v>#REF!</v>
      </c>
      <c r="H1471" t="e">
        <f>#REF!</f>
        <v>#REF!</v>
      </c>
    </row>
    <row r="1472" spans="1:8">
      <c r="A1472" t="e">
        <f>#REF!</f>
        <v>#REF!</v>
      </c>
      <c r="B1472" t="e">
        <f>#REF!</f>
        <v>#REF!</v>
      </c>
      <c r="C1472" t="e">
        <f>#REF!</f>
        <v>#REF!</v>
      </c>
      <c r="D1472" t="e">
        <f>#REF!</f>
        <v>#REF!</v>
      </c>
      <c r="E1472" t="e">
        <f>#REF!</f>
        <v>#REF!</v>
      </c>
      <c r="F1472" t="e">
        <f>#REF!</f>
        <v>#REF!</v>
      </c>
      <c r="G1472" t="e">
        <f>#REF!</f>
        <v>#REF!</v>
      </c>
      <c r="H1472" t="e">
        <f>#REF!</f>
        <v>#REF!</v>
      </c>
    </row>
    <row r="1473" spans="1:8">
      <c r="A1473" t="e">
        <f>#REF!</f>
        <v>#REF!</v>
      </c>
      <c r="B1473" t="e">
        <f>#REF!</f>
        <v>#REF!</v>
      </c>
      <c r="C1473" t="e">
        <f>#REF!</f>
        <v>#REF!</v>
      </c>
      <c r="D1473" t="e">
        <f>#REF!</f>
        <v>#REF!</v>
      </c>
      <c r="E1473" t="e">
        <f>#REF!</f>
        <v>#REF!</v>
      </c>
      <c r="F1473" t="e">
        <f>#REF!</f>
        <v>#REF!</v>
      </c>
      <c r="G1473" t="e">
        <f>#REF!</f>
        <v>#REF!</v>
      </c>
      <c r="H1473" t="e">
        <f>#REF!</f>
        <v>#REF!</v>
      </c>
    </row>
    <row r="1474" spans="1:8">
      <c r="A1474" t="e">
        <f>#REF!</f>
        <v>#REF!</v>
      </c>
      <c r="B1474" t="e">
        <f>#REF!</f>
        <v>#REF!</v>
      </c>
      <c r="C1474" t="e">
        <f>#REF!</f>
        <v>#REF!</v>
      </c>
      <c r="D1474" t="e">
        <f>#REF!</f>
        <v>#REF!</v>
      </c>
      <c r="E1474" t="e">
        <f>#REF!</f>
        <v>#REF!</v>
      </c>
      <c r="F1474" t="e">
        <f>#REF!</f>
        <v>#REF!</v>
      </c>
      <c r="G1474" t="e">
        <f>#REF!</f>
        <v>#REF!</v>
      </c>
      <c r="H1474" t="e">
        <f>#REF!</f>
        <v>#REF!</v>
      </c>
    </row>
    <row r="1475" spans="1:8">
      <c r="A1475" t="e">
        <f>#REF!</f>
        <v>#REF!</v>
      </c>
      <c r="B1475" t="e">
        <f>#REF!</f>
        <v>#REF!</v>
      </c>
      <c r="C1475" t="e">
        <f>#REF!</f>
        <v>#REF!</v>
      </c>
      <c r="D1475" t="e">
        <f>#REF!</f>
        <v>#REF!</v>
      </c>
      <c r="E1475" t="e">
        <f>#REF!</f>
        <v>#REF!</v>
      </c>
      <c r="F1475" t="e">
        <f>#REF!</f>
        <v>#REF!</v>
      </c>
      <c r="G1475" t="e">
        <f>#REF!</f>
        <v>#REF!</v>
      </c>
      <c r="H1475" t="e">
        <f>#REF!</f>
        <v>#REF!</v>
      </c>
    </row>
    <row r="1476" spans="1:8">
      <c r="A1476" t="e">
        <f>#REF!</f>
        <v>#REF!</v>
      </c>
      <c r="B1476" t="e">
        <f>#REF!</f>
        <v>#REF!</v>
      </c>
      <c r="C1476" t="e">
        <f>#REF!</f>
        <v>#REF!</v>
      </c>
      <c r="D1476" t="e">
        <f>#REF!</f>
        <v>#REF!</v>
      </c>
      <c r="E1476" t="e">
        <f>#REF!</f>
        <v>#REF!</v>
      </c>
      <c r="F1476" t="e">
        <f>#REF!</f>
        <v>#REF!</v>
      </c>
      <c r="G1476" t="e">
        <f>#REF!</f>
        <v>#REF!</v>
      </c>
      <c r="H1476" t="e">
        <f>#REF!</f>
        <v>#REF!</v>
      </c>
    </row>
    <row r="1477" spans="1:8">
      <c r="A1477" t="e">
        <f>#REF!</f>
        <v>#REF!</v>
      </c>
      <c r="B1477" t="e">
        <f>#REF!</f>
        <v>#REF!</v>
      </c>
      <c r="C1477" t="e">
        <f>#REF!</f>
        <v>#REF!</v>
      </c>
      <c r="D1477" t="e">
        <f>#REF!</f>
        <v>#REF!</v>
      </c>
      <c r="E1477" t="e">
        <f>#REF!</f>
        <v>#REF!</v>
      </c>
      <c r="F1477" t="e">
        <f>#REF!</f>
        <v>#REF!</v>
      </c>
      <c r="G1477" t="e">
        <f>#REF!</f>
        <v>#REF!</v>
      </c>
      <c r="H1477" t="e">
        <f>#REF!</f>
        <v>#REF!</v>
      </c>
    </row>
    <row r="1478" spans="1:8">
      <c r="A1478" t="e">
        <f>#REF!</f>
        <v>#REF!</v>
      </c>
      <c r="B1478" t="e">
        <f>#REF!</f>
        <v>#REF!</v>
      </c>
      <c r="C1478" t="e">
        <f>#REF!</f>
        <v>#REF!</v>
      </c>
      <c r="D1478" t="e">
        <f>#REF!</f>
        <v>#REF!</v>
      </c>
      <c r="E1478" t="e">
        <f>#REF!</f>
        <v>#REF!</v>
      </c>
      <c r="F1478" t="e">
        <f>#REF!</f>
        <v>#REF!</v>
      </c>
      <c r="G1478" t="e">
        <f>#REF!</f>
        <v>#REF!</v>
      </c>
      <c r="H1478" t="e">
        <f>#REF!</f>
        <v>#REF!</v>
      </c>
    </row>
    <row r="1479" spans="1:8">
      <c r="A1479" t="e">
        <f>#REF!</f>
        <v>#REF!</v>
      </c>
      <c r="B1479" t="e">
        <f>#REF!</f>
        <v>#REF!</v>
      </c>
      <c r="C1479" t="e">
        <f>#REF!</f>
        <v>#REF!</v>
      </c>
      <c r="D1479" t="e">
        <f>#REF!</f>
        <v>#REF!</v>
      </c>
      <c r="E1479" t="e">
        <f>#REF!</f>
        <v>#REF!</v>
      </c>
      <c r="F1479" t="e">
        <f>#REF!</f>
        <v>#REF!</v>
      </c>
      <c r="G1479" t="e">
        <f>#REF!</f>
        <v>#REF!</v>
      </c>
      <c r="H1479" t="e">
        <f>#REF!</f>
        <v>#REF!</v>
      </c>
    </row>
    <row r="1480" spans="1:8">
      <c r="A1480" t="e">
        <f>#REF!</f>
        <v>#REF!</v>
      </c>
      <c r="B1480" t="e">
        <f>#REF!</f>
        <v>#REF!</v>
      </c>
      <c r="C1480" t="e">
        <f>#REF!</f>
        <v>#REF!</v>
      </c>
      <c r="D1480" t="e">
        <f>#REF!</f>
        <v>#REF!</v>
      </c>
      <c r="E1480" t="e">
        <f>#REF!</f>
        <v>#REF!</v>
      </c>
      <c r="F1480" t="e">
        <f>#REF!</f>
        <v>#REF!</v>
      </c>
      <c r="G1480" t="e">
        <f>#REF!</f>
        <v>#REF!</v>
      </c>
      <c r="H1480" t="e">
        <f>#REF!</f>
        <v>#REF!</v>
      </c>
    </row>
    <row r="1481" spans="1:8">
      <c r="A1481" t="e">
        <f>#REF!</f>
        <v>#REF!</v>
      </c>
      <c r="B1481" t="e">
        <f>#REF!</f>
        <v>#REF!</v>
      </c>
      <c r="C1481" t="e">
        <f>#REF!</f>
        <v>#REF!</v>
      </c>
      <c r="D1481" t="e">
        <f>#REF!</f>
        <v>#REF!</v>
      </c>
      <c r="E1481" t="e">
        <f>#REF!</f>
        <v>#REF!</v>
      </c>
      <c r="F1481" t="e">
        <f>#REF!</f>
        <v>#REF!</v>
      </c>
      <c r="G1481" t="e">
        <f>#REF!</f>
        <v>#REF!</v>
      </c>
      <c r="H1481" t="e">
        <f>#REF!</f>
        <v>#REF!</v>
      </c>
    </row>
    <row r="1482" spans="1:8">
      <c r="A1482" t="e">
        <f>#REF!</f>
        <v>#REF!</v>
      </c>
      <c r="B1482" t="e">
        <f>#REF!</f>
        <v>#REF!</v>
      </c>
      <c r="C1482" t="e">
        <f>#REF!</f>
        <v>#REF!</v>
      </c>
      <c r="D1482" t="e">
        <f>#REF!</f>
        <v>#REF!</v>
      </c>
      <c r="E1482" t="e">
        <f>#REF!</f>
        <v>#REF!</v>
      </c>
      <c r="F1482" t="e">
        <f>#REF!</f>
        <v>#REF!</v>
      </c>
      <c r="G1482" t="e">
        <f>#REF!</f>
        <v>#REF!</v>
      </c>
      <c r="H1482" t="e">
        <f>#REF!</f>
        <v>#REF!</v>
      </c>
    </row>
    <row r="1483" spans="1:8">
      <c r="A1483" t="e">
        <f>#REF!</f>
        <v>#REF!</v>
      </c>
      <c r="B1483" t="e">
        <f>#REF!</f>
        <v>#REF!</v>
      </c>
      <c r="C1483" t="e">
        <f>#REF!</f>
        <v>#REF!</v>
      </c>
      <c r="D1483" t="e">
        <f>#REF!</f>
        <v>#REF!</v>
      </c>
      <c r="E1483" t="e">
        <f>#REF!</f>
        <v>#REF!</v>
      </c>
      <c r="F1483" t="e">
        <f>#REF!</f>
        <v>#REF!</v>
      </c>
      <c r="G1483" t="e">
        <f>#REF!</f>
        <v>#REF!</v>
      </c>
      <c r="H1483" t="e">
        <f>#REF!</f>
        <v>#REF!</v>
      </c>
    </row>
    <row r="1484" spans="1:8">
      <c r="A1484" t="e">
        <f>#REF!</f>
        <v>#REF!</v>
      </c>
      <c r="B1484" t="e">
        <f>#REF!</f>
        <v>#REF!</v>
      </c>
      <c r="C1484" t="e">
        <f>#REF!</f>
        <v>#REF!</v>
      </c>
      <c r="D1484" t="e">
        <f>#REF!</f>
        <v>#REF!</v>
      </c>
      <c r="E1484" t="e">
        <f>#REF!</f>
        <v>#REF!</v>
      </c>
      <c r="F1484" t="e">
        <f>#REF!</f>
        <v>#REF!</v>
      </c>
      <c r="G1484" t="e">
        <f>#REF!</f>
        <v>#REF!</v>
      </c>
      <c r="H1484" t="e">
        <f>#REF!</f>
        <v>#REF!</v>
      </c>
    </row>
    <row r="1485" spans="1:8">
      <c r="A1485" t="e">
        <f>#REF!</f>
        <v>#REF!</v>
      </c>
      <c r="B1485" t="e">
        <f>#REF!</f>
        <v>#REF!</v>
      </c>
      <c r="C1485" t="e">
        <f>#REF!</f>
        <v>#REF!</v>
      </c>
      <c r="D1485" t="e">
        <f>#REF!</f>
        <v>#REF!</v>
      </c>
      <c r="E1485" t="e">
        <f>#REF!</f>
        <v>#REF!</v>
      </c>
      <c r="F1485" t="e">
        <f>#REF!</f>
        <v>#REF!</v>
      </c>
      <c r="G1485" t="e">
        <f>#REF!</f>
        <v>#REF!</v>
      </c>
      <c r="H1485" t="e">
        <f>#REF!</f>
        <v>#REF!</v>
      </c>
    </row>
    <row r="1486" spans="1:8">
      <c r="A1486" t="e">
        <f>#REF!</f>
        <v>#REF!</v>
      </c>
      <c r="B1486" t="e">
        <f>#REF!</f>
        <v>#REF!</v>
      </c>
      <c r="C1486" t="e">
        <f>#REF!</f>
        <v>#REF!</v>
      </c>
      <c r="D1486" t="e">
        <f>#REF!</f>
        <v>#REF!</v>
      </c>
      <c r="E1486" t="e">
        <f>#REF!</f>
        <v>#REF!</v>
      </c>
      <c r="F1486" t="e">
        <f>#REF!</f>
        <v>#REF!</v>
      </c>
      <c r="G1486" t="e">
        <f>#REF!</f>
        <v>#REF!</v>
      </c>
      <c r="H1486" t="e">
        <f>#REF!</f>
        <v>#REF!</v>
      </c>
    </row>
    <row r="1487" spans="1:8">
      <c r="A1487" t="e">
        <f>#REF!</f>
        <v>#REF!</v>
      </c>
      <c r="B1487" t="e">
        <f>#REF!</f>
        <v>#REF!</v>
      </c>
      <c r="C1487" t="e">
        <f>#REF!</f>
        <v>#REF!</v>
      </c>
      <c r="D1487" t="e">
        <f>#REF!</f>
        <v>#REF!</v>
      </c>
      <c r="E1487" t="e">
        <f>#REF!</f>
        <v>#REF!</v>
      </c>
      <c r="F1487" t="e">
        <f>#REF!</f>
        <v>#REF!</v>
      </c>
      <c r="G1487" t="e">
        <f>#REF!</f>
        <v>#REF!</v>
      </c>
      <c r="H1487" t="e">
        <f>#REF!</f>
        <v>#REF!</v>
      </c>
    </row>
    <row r="1488" spans="1:8">
      <c r="A1488" t="e">
        <f>#REF!</f>
        <v>#REF!</v>
      </c>
      <c r="B1488" t="e">
        <f>#REF!</f>
        <v>#REF!</v>
      </c>
      <c r="C1488" t="e">
        <f>#REF!</f>
        <v>#REF!</v>
      </c>
      <c r="D1488" t="e">
        <f>#REF!</f>
        <v>#REF!</v>
      </c>
      <c r="E1488" t="e">
        <f>#REF!</f>
        <v>#REF!</v>
      </c>
      <c r="F1488" t="e">
        <f>#REF!</f>
        <v>#REF!</v>
      </c>
      <c r="G1488" t="e">
        <f>#REF!</f>
        <v>#REF!</v>
      </c>
      <c r="H1488" t="e">
        <f>#REF!</f>
        <v>#REF!</v>
      </c>
    </row>
    <row r="1489" spans="1:8">
      <c r="A1489" t="e">
        <f>#REF!</f>
        <v>#REF!</v>
      </c>
      <c r="B1489" t="e">
        <f>#REF!</f>
        <v>#REF!</v>
      </c>
      <c r="C1489" t="e">
        <f>#REF!</f>
        <v>#REF!</v>
      </c>
      <c r="D1489" t="e">
        <f>#REF!</f>
        <v>#REF!</v>
      </c>
      <c r="E1489" t="e">
        <f>#REF!</f>
        <v>#REF!</v>
      </c>
      <c r="F1489" t="e">
        <f>#REF!</f>
        <v>#REF!</v>
      </c>
      <c r="G1489" t="e">
        <f>#REF!</f>
        <v>#REF!</v>
      </c>
      <c r="H1489" t="e">
        <f>#REF!</f>
        <v>#REF!</v>
      </c>
    </row>
    <row r="1490" spans="1:8">
      <c r="A1490" t="e">
        <f>#REF!</f>
        <v>#REF!</v>
      </c>
      <c r="B1490" t="e">
        <f>#REF!</f>
        <v>#REF!</v>
      </c>
      <c r="C1490" t="e">
        <f>#REF!</f>
        <v>#REF!</v>
      </c>
      <c r="D1490" t="e">
        <f>#REF!</f>
        <v>#REF!</v>
      </c>
      <c r="E1490" t="e">
        <f>#REF!</f>
        <v>#REF!</v>
      </c>
      <c r="F1490" t="e">
        <f>#REF!</f>
        <v>#REF!</v>
      </c>
      <c r="G1490" t="e">
        <f>#REF!</f>
        <v>#REF!</v>
      </c>
      <c r="H1490" t="e">
        <f>#REF!</f>
        <v>#REF!</v>
      </c>
    </row>
    <row r="1491" spans="1:8">
      <c r="A1491" t="e">
        <f>#REF!</f>
        <v>#REF!</v>
      </c>
      <c r="B1491" t="e">
        <f>#REF!</f>
        <v>#REF!</v>
      </c>
      <c r="C1491" t="e">
        <f>#REF!</f>
        <v>#REF!</v>
      </c>
      <c r="D1491" t="e">
        <f>#REF!</f>
        <v>#REF!</v>
      </c>
      <c r="E1491" t="e">
        <f>#REF!</f>
        <v>#REF!</v>
      </c>
      <c r="F1491" t="e">
        <f>#REF!</f>
        <v>#REF!</v>
      </c>
      <c r="G1491" t="e">
        <f>#REF!</f>
        <v>#REF!</v>
      </c>
      <c r="H1491" t="e">
        <f>#REF!</f>
        <v>#REF!</v>
      </c>
    </row>
    <row r="1492" spans="1:8">
      <c r="A1492" t="e">
        <f>#REF!</f>
        <v>#REF!</v>
      </c>
      <c r="B1492" t="e">
        <f>#REF!</f>
        <v>#REF!</v>
      </c>
      <c r="C1492" t="e">
        <f>#REF!</f>
        <v>#REF!</v>
      </c>
      <c r="D1492" t="e">
        <f>#REF!</f>
        <v>#REF!</v>
      </c>
      <c r="E1492" t="e">
        <f>#REF!</f>
        <v>#REF!</v>
      </c>
      <c r="F1492" t="e">
        <f>#REF!</f>
        <v>#REF!</v>
      </c>
      <c r="G1492" t="e">
        <f>#REF!</f>
        <v>#REF!</v>
      </c>
      <c r="H1492" t="e">
        <f>#REF!</f>
        <v>#REF!</v>
      </c>
    </row>
    <row r="1493" spans="1:8">
      <c r="A1493" t="e">
        <f>#REF!</f>
        <v>#REF!</v>
      </c>
      <c r="B1493" t="e">
        <f>#REF!</f>
        <v>#REF!</v>
      </c>
      <c r="C1493" t="e">
        <f>#REF!</f>
        <v>#REF!</v>
      </c>
      <c r="D1493" t="e">
        <f>#REF!</f>
        <v>#REF!</v>
      </c>
      <c r="E1493" t="e">
        <f>#REF!</f>
        <v>#REF!</v>
      </c>
      <c r="F1493" t="e">
        <f>#REF!</f>
        <v>#REF!</v>
      </c>
      <c r="G1493" t="e">
        <f>#REF!</f>
        <v>#REF!</v>
      </c>
      <c r="H1493" t="e">
        <f>#REF!</f>
        <v>#REF!</v>
      </c>
    </row>
    <row r="1494" spans="1:8">
      <c r="A1494" t="e">
        <f>#REF!</f>
        <v>#REF!</v>
      </c>
      <c r="B1494" t="e">
        <f>#REF!</f>
        <v>#REF!</v>
      </c>
      <c r="C1494" t="e">
        <f>#REF!</f>
        <v>#REF!</v>
      </c>
      <c r="D1494" t="e">
        <f>#REF!</f>
        <v>#REF!</v>
      </c>
      <c r="E1494" t="e">
        <f>#REF!</f>
        <v>#REF!</v>
      </c>
      <c r="F1494" t="e">
        <f>#REF!</f>
        <v>#REF!</v>
      </c>
      <c r="G1494" t="e">
        <f>#REF!</f>
        <v>#REF!</v>
      </c>
      <c r="H1494" t="e">
        <f>#REF!</f>
        <v>#REF!</v>
      </c>
    </row>
    <row r="1495" spans="1:8">
      <c r="A1495" t="e">
        <f>#REF!</f>
        <v>#REF!</v>
      </c>
      <c r="B1495" t="e">
        <f>#REF!</f>
        <v>#REF!</v>
      </c>
      <c r="C1495" t="e">
        <f>#REF!</f>
        <v>#REF!</v>
      </c>
      <c r="D1495" t="e">
        <f>#REF!</f>
        <v>#REF!</v>
      </c>
      <c r="E1495" t="e">
        <f>#REF!</f>
        <v>#REF!</v>
      </c>
      <c r="F1495" t="e">
        <f>#REF!</f>
        <v>#REF!</v>
      </c>
      <c r="G1495" t="e">
        <f>#REF!</f>
        <v>#REF!</v>
      </c>
      <c r="H1495" t="e">
        <f>#REF!</f>
        <v>#REF!</v>
      </c>
    </row>
    <row r="1496" spans="1:8">
      <c r="A1496" t="e">
        <f>#REF!</f>
        <v>#REF!</v>
      </c>
      <c r="B1496" t="e">
        <f>#REF!</f>
        <v>#REF!</v>
      </c>
      <c r="C1496" t="e">
        <f>#REF!</f>
        <v>#REF!</v>
      </c>
      <c r="D1496" t="e">
        <f>#REF!</f>
        <v>#REF!</v>
      </c>
      <c r="E1496" t="e">
        <f>#REF!</f>
        <v>#REF!</v>
      </c>
      <c r="F1496" t="e">
        <f>#REF!</f>
        <v>#REF!</v>
      </c>
      <c r="G1496" t="e">
        <f>#REF!</f>
        <v>#REF!</v>
      </c>
      <c r="H1496" t="e">
        <f>#REF!</f>
        <v>#REF!</v>
      </c>
    </row>
    <row r="1497" spans="1:8">
      <c r="A1497" t="e">
        <f>#REF!</f>
        <v>#REF!</v>
      </c>
      <c r="B1497" t="e">
        <f>#REF!</f>
        <v>#REF!</v>
      </c>
      <c r="C1497" t="e">
        <f>#REF!</f>
        <v>#REF!</v>
      </c>
      <c r="D1497" t="e">
        <f>#REF!</f>
        <v>#REF!</v>
      </c>
      <c r="E1497" t="e">
        <f>#REF!</f>
        <v>#REF!</v>
      </c>
      <c r="F1497" t="e">
        <f>#REF!</f>
        <v>#REF!</v>
      </c>
      <c r="G1497" t="e">
        <f>#REF!</f>
        <v>#REF!</v>
      </c>
      <c r="H1497" t="e">
        <f>#REF!</f>
        <v>#REF!</v>
      </c>
    </row>
    <row r="1498" spans="1:8">
      <c r="A1498" t="e">
        <f>#REF!</f>
        <v>#REF!</v>
      </c>
      <c r="B1498" t="e">
        <f>#REF!</f>
        <v>#REF!</v>
      </c>
      <c r="C1498" t="e">
        <f>#REF!</f>
        <v>#REF!</v>
      </c>
      <c r="D1498" t="e">
        <f>#REF!</f>
        <v>#REF!</v>
      </c>
      <c r="E1498" t="e">
        <f>#REF!</f>
        <v>#REF!</v>
      </c>
      <c r="F1498" t="e">
        <f>#REF!</f>
        <v>#REF!</v>
      </c>
      <c r="G1498" t="e">
        <f>#REF!</f>
        <v>#REF!</v>
      </c>
      <c r="H1498" t="e">
        <f>#REF!</f>
        <v>#REF!</v>
      </c>
    </row>
    <row r="1499" spans="1:8">
      <c r="A1499" t="e">
        <f>#REF!</f>
        <v>#REF!</v>
      </c>
      <c r="B1499" t="e">
        <f>#REF!</f>
        <v>#REF!</v>
      </c>
      <c r="C1499" t="e">
        <f>#REF!</f>
        <v>#REF!</v>
      </c>
      <c r="D1499" t="e">
        <f>#REF!</f>
        <v>#REF!</v>
      </c>
      <c r="E1499" t="e">
        <f>#REF!</f>
        <v>#REF!</v>
      </c>
      <c r="F1499" t="e">
        <f>#REF!</f>
        <v>#REF!</v>
      </c>
      <c r="G1499" t="e">
        <f>#REF!</f>
        <v>#REF!</v>
      </c>
      <c r="H1499" t="e">
        <f>#REF!</f>
        <v>#REF!</v>
      </c>
    </row>
    <row r="1500" spans="1:8">
      <c r="A1500" t="e">
        <f>#REF!</f>
        <v>#REF!</v>
      </c>
      <c r="B1500" t="e">
        <f>#REF!</f>
        <v>#REF!</v>
      </c>
      <c r="C1500" t="e">
        <f>#REF!</f>
        <v>#REF!</v>
      </c>
      <c r="D1500" t="e">
        <f>#REF!</f>
        <v>#REF!</v>
      </c>
      <c r="E1500" t="e">
        <f>#REF!</f>
        <v>#REF!</v>
      </c>
      <c r="F1500" t="e">
        <f>#REF!</f>
        <v>#REF!</v>
      </c>
      <c r="G1500" t="e">
        <f>#REF!</f>
        <v>#REF!</v>
      </c>
      <c r="H1500" t="e">
        <f>#REF!</f>
        <v>#REF!</v>
      </c>
    </row>
    <row r="1501" spans="1:8">
      <c r="A1501" t="e">
        <f>#REF!</f>
        <v>#REF!</v>
      </c>
      <c r="B1501" t="e">
        <f>#REF!</f>
        <v>#REF!</v>
      </c>
      <c r="C1501" t="e">
        <f>#REF!</f>
        <v>#REF!</v>
      </c>
      <c r="D1501" t="e">
        <f>#REF!</f>
        <v>#REF!</v>
      </c>
      <c r="E1501" t="e">
        <f>#REF!</f>
        <v>#REF!</v>
      </c>
      <c r="F1501" t="e">
        <f>#REF!</f>
        <v>#REF!</v>
      </c>
      <c r="G1501" t="e">
        <f>#REF!</f>
        <v>#REF!</v>
      </c>
      <c r="H1501" t="e">
        <f>#REF!</f>
        <v>#REF!</v>
      </c>
    </row>
    <row r="1502" spans="1:8">
      <c r="A1502" t="e">
        <f>#REF!</f>
        <v>#REF!</v>
      </c>
      <c r="B1502" t="e">
        <f>#REF!</f>
        <v>#REF!</v>
      </c>
      <c r="C1502" t="e">
        <f>#REF!</f>
        <v>#REF!</v>
      </c>
      <c r="D1502" t="e">
        <f>#REF!</f>
        <v>#REF!</v>
      </c>
      <c r="E1502" t="e">
        <f>#REF!</f>
        <v>#REF!</v>
      </c>
      <c r="F1502" t="e">
        <f>#REF!</f>
        <v>#REF!</v>
      </c>
      <c r="G1502" t="e">
        <f>#REF!</f>
        <v>#REF!</v>
      </c>
      <c r="H1502" t="e">
        <f>#REF!</f>
        <v>#REF!</v>
      </c>
    </row>
    <row r="1503" spans="1:8">
      <c r="A1503" t="e">
        <f>#REF!</f>
        <v>#REF!</v>
      </c>
      <c r="B1503" t="e">
        <f>#REF!</f>
        <v>#REF!</v>
      </c>
      <c r="C1503" t="e">
        <f>#REF!</f>
        <v>#REF!</v>
      </c>
      <c r="D1503" t="e">
        <f>#REF!</f>
        <v>#REF!</v>
      </c>
      <c r="E1503" t="e">
        <f>#REF!</f>
        <v>#REF!</v>
      </c>
      <c r="F1503" t="e">
        <f>#REF!</f>
        <v>#REF!</v>
      </c>
      <c r="G1503" t="e">
        <f>#REF!</f>
        <v>#REF!</v>
      </c>
      <c r="H1503" t="e">
        <f>#REF!</f>
        <v>#REF!</v>
      </c>
    </row>
    <row r="1504" spans="1:8">
      <c r="A1504" t="e">
        <f>#REF!</f>
        <v>#REF!</v>
      </c>
      <c r="B1504" t="e">
        <f>#REF!</f>
        <v>#REF!</v>
      </c>
      <c r="C1504" t="e">
        <f>#REF!</f>
        <v>#REF!</v>
      </c>
      <c r="D1504" t="e">
        <f>#REF!</f>
        <v>#REF!</v>
      </c>
      <c r="E1504" t="e">
        <f>#REF!</f>
        <v>#REF!</v>
      </c>
      <c r="F1504" t="e">
        <f>#REF!</f>
        <v>#REF!</v>
      </c>
      <c r="G1504" t="e">
        <f>#REF!</f>
        <v>#REF!</v>
      </c>
      <c r="H1504" t="e">
        <f>#REF!</f>
        <v>#REF!</v>
      </c>
    </row>
    <row r="1505" spans="1:8">
      <c r="A1505" t="e">
        <f>#REF!</f>
        <v>#REF!</v>
      </c>
      <c r="B1505" t="e">
        <f>#REF!</f>
        <v>#REF!</v>
      </c>
      <c r="C1505" t="e">
        <f>#REF!</f>
        <v>#REF!</v>
      </c>
      <c r="D1505" t="e">
        <f>#REF!</f>
        <v>#REF!</v>
      </c>
      <c r="E1505" t="e">
        <f>#REF!</f>
        <v>#REF!</v>
      </c>
      <c r="F1505" t="e">
        <f>#REF!</f>
        <v>#REF!</v>
      </c>
      <c r="G1505" t="e">
        <f>#REF!</f>
        <v>#REF!</v>
      </c>
      <c r="H1505" t="e">
        <f>#REF!</f>
        <v>#REF!</v>
      </c>
    </row>
    <row r="1506" spans="1:8">
      <c r="A1506" t="e">
        <f>#REF!</f>
        <v>#REF!</v>
      </c>
      <c r="B1506" t="e">
        <f>#REF!</f>
        <v>#REF!</v>
      </c>
      <c r="C1506" t="e">
        <f>#REF!</f>
        <v>#REF!</v>
      </c>
      <c r="D1506" t="e">
        <f>#REF!</f>
        <v>#REF!</v>
      </c>
      <c r="E1506" t="e">
        <f>#REF!</f>
        <v>#REF!</v>
      </c>
      <c r="F1506" t="e">
        <f>#REF!</f>
        <v>#REF!</v>
      </c>
      <c r="G1506" t="e">
        <f>#REF!</f>
        <v>#REF!</v>
      </c>
      <c r="H1506" t="e">
        <f>#REF!</f>
        <v>#REF!</v>
      </c>
    </row>
    <row r="1507" spans="1:8">
      <c r="A1507" t="e">
        <f>#REF!</f>
        <v>#REF!</v>
      </c>
      <c r="B1507" t="e">
        <f>#REF!</f>
        <v>#REF!</v>
      </c>
      <c r="C1507" t="e">
        <f>#REF!</f>
        <v>#REF!</v>
      </c>
      <c r="D1507" t="e">
        <f>#REF!</f>
        <v>#REF!</v>
      </c>
      <c r="E1507" t="e">
        <f>#REF!</f>
        <v>#REF!</v>
      </c>
      <c r="F1507" t="e">
        <f>#REF!</f>
        <v>#REF!</v>
      </c>
      <c r="G1507" t="e">
        <f>#REF!</f>
        <v>#REF!</v>
      </c>
      <c r="H1507" t="e">
        <f>#REF!</f>
        <v>#REF!</v>
      </c>
    </row>
    <row r="1508" spans="1:8">
      <c r="A1508" t="e">
        <f>#REF!</f>
        <v>#REF!</v>
      </c>
      <c r="B1508" t="e">
        <f>#REF!</f>
        <v>#REF!</v>
      </c>
      <c r="C1508" t="e">
        <f>#REF!</f>
        <v>#REF!</v>
      </c>
      <c r="D1508" t="e">
        <f>#REF!</f>
        <v>#REF!</v>
      </c>
      <c r="E1508" t="e">
        <f>#REF!</f>
        <v>#REF!</v>
      </c>
      <c r="F1508" t="e">
        <f>#REF!</f>
        <v>#REF!</v>
      </c>
      <c r="G1508" t="e">
        <f>#REF!</f>
        <v>#REF!</v>
      </c>
      <c r="H1508" t="e">
        <f>#REF!</f>
        <v>#REF!</v>
      </c>
    </row>
    <row r="1509" spans="1:8">
      <c r="A1509" t="e">
        <f>#REF!</f>
        <v>#REF!</v>
      </c>
      <c r="B1509" t="e">
        <f>#REF!</f>
        <v>#REF!</v>
      </c>
      <c r="C1509" t="e">
        <f>#REF!</f>
        <v>#REF!</v>
      </c>
      <c r="D1509" t="e">
        <f>#REF!</f>
        <v>#REF!</v>
      </c>
      <c r="E1509" t="e">
        <f>#REF!</f>
        <v>#REF!</v>
      </c>
      <c r="F1509" t="e">
        <f>#REF!</f>
        <v>#REF!</v>
      </c>
      <c r="G1509" t="e">
        <f>#REF!</f>
        <v>#REF!</v>
      </c>
      <c r="H1509" t="e">
        <f>#REF!</f>
        <v>#REF!</v>
      </c>
    </row>
    <row r="1510" spans="1:8">
      <c r="A1510" t="e">
        <f>#REF!</f>
        <v>#REF!</v>
      </c>
      <c r="B1510" t="e">
        <f>#REF!</f>
        <v>#REF!</v>
      </c>
      <c r="C1510" t="e">
        <f>#REF!</f>
        <v>#REF!</v>
      </c>
      <c r="D1510" t="e">
        <f>#REF!</f>
        <v>#REF!</v>
      </c>
      <c r="E1510" t="e">
        <f>#REF!</f>
        <v>#REF!</v>
      </c>
      <c r="F1510" t="e">
        <f>#REF!</f>
        <v>#REF!</v>
      </c>
      <c r="G1510" t="e">
        <f>#REF!</f>
        <v>#REF!</v>
      </c>
      <c r="H1510" t="e">
        <f>#REF!</f>
        <v>#REF!</v>
      </c>
    </row>
    <row r="1511" spans="1:8">
      <c r="A1511" t="e">
        <f>#REF!</f>
        <v>#REF!</v>
      </c>
      <c r="B1511" t="e">
        <f>#REF!</f>
        <v>#REF!</v>
      </c>
      <c r="C1511" t="e">
        <f>#REF!</f>
        <v>#REF!</v>
      </c>
      <c r="D1511" t="e">
        <f>#REF!</f>
        <v>#REF!</v>
      </c>
      <c r="E1511" t="e">
        <f>#REF!</f>
        <v>#REF!</v>
      </c>
      <c r="F1511" t="e">
        <f>#REF!</f>
        <v>#REF!</v>
      </c>
      <c r="G1511" t="e">
        <f>#REF!</f>
        <v>#REF!</v>
      </c>
      <c r="H1511" t="e">
        <f>#REF!</f>
        <v>#REF!</v>
      </c>
    </row>
    <row r="1512" spans="1:8">
      <c r="A1512" t="e">
        <f>#REF!</f>
        <v>#REF!</v>
      </c>
      <c r="B1512" t="e">
        <f>#REF!</f>
        <v>#REF!</v>
      </c>
      <c r="C1512" t="e">
        <f>#REF!</f>
        <v>#REF!</v>
      </c>
      <c r="D1512" t="e">
        <f>#REF!</f>
        <v>#REF!</v>
      </c>
      <c r="E1512" t="e">
        <f>#REF!</f>
        <v>#REF!</v>
      </c>
      <c r="F1512" t="e">
        <f>#REF!</f>
        <v>#REF!</v>
      </c>
      <c r="G1512" t="e">
        <f>#REF!</f>
        <v>#REF!</v>
      </c>
      <c r="H1512" t="e">
        <f>#REF!</f>
        <v>#REF!</v>
      </c>
    </row>
    <row r="1513" spans="1:8">
      <c r="A1513" t="e">
        <f>#REF!</f>
        <v>#REF!</v>
      </c>
      <c r="B1513" t="e">
        <f>#REF!</f>
        <v>#REF!</v>
      </c>
      <c r="C1513" t="e">
        <f>#REF!</f>
        <v>#REF!</v>
      </c>
      <c r="D1513" t="e">
        <f>#REF!</f>
        <v>#REF!</v>
      </c>
      <c r="E1513" t="e">
        <f>#REF!</f>
        <v>#REF!</v>
      </c>
      <c r="F1513" t="e">
        <f>#REF!</f>
        <v>#REF!</v>
      </c>
      <c r="G1513" t="e">
        <f>#REF!</f>
        <v>#REF!</v>
      </c>
      <c r="H1513" t="e">
        <f>#REF!</f>
        <v>#REF!</v>
      </c>
    </row>
    <row r="1514" spans="1:8">
      <c r="A1514" t="e">
        <f>#REF!</f>
        <v>#REF!</v>
      </c>
      <c r="B1514" t="e">
        <f>#REF!</f>
        <v>#REF!</v>
      </c>
      <c r="C1514" t="e">
        <f>#REF!</f>
        <v>#REF!</v>
      </c>
      <c r="D1514" t="e">
        <f>#REF!</f>
        <v>#REF!</v>
      </c>
      <c r="E1514" t="e">
        <f>#REF!</f>
        <v>#REF!</v>
      </c>
      <c r="F1514" t="e">
        <f>#REF!</f>
        <v>#REF!</v>
      </c>
      <c r="G1514" t="e">
        <f>#REF!</f>
        <v>#REF!</v>
      </c>
      <c r="H1514" t="e">
        <f>#REF!</f>
        <v>#REF!</v>
      </c>
    </row>
    <row r="1515" spans="1:8">
      <c r="A1515" t="e">
        <f>#REF!</f>
        <v>#REF!</v>
      </c>
      <c r="B1515" t="e">
        <f>#REF!</f>
        <v>#REF!</v>
      </c>
      <c r="C1515" t="e">
        <f>#REF!</f>
        <v>#REF!</v>
      </c>
      <c r="D1515" t="e">
        <f>#REF!</f>
        <v>#REF!</v>
      </c>
      <c r="E1515" t="e">
        <f>#REF!</f>
        <v>#REF!</v>
      </c>
      <c r="F1515" t="e">
        <f>#REF!</f>
        <v>#REF!</v>
      </c>
      <c r="G1515" t="e">
        <f>#REF!</f>
        <v>#REF!</v>
      </c>
      <c r="H1515" t="e">
        <f>#REF!</f>
        <v>#REF!</v>
      </c>
    </row>
    <row r="1516" spans="1:8">
      <c r="A1516" t="e">
        <f>#REF!</f>
        <v>#REF!</v>
      </c>
      <c r="B1516" t="e">
        <f>#REF!</f>
        <v>#REF!</v>
      </c>
      <c r="C1516" t="e">
        <f>#REF!</f>
        <v>#REF!</v>
      </c>
      <c r="D1516" t="e">
        <f>#REF!</f>
        <v>#REF!</v>
      </c>
      <c r="E1516" t="e">
        <f>#REF!</f>
        <v>#REF!</v>
      </c>
      <c r="F1516" t="e">
        <f>#REF!</f>
        <v>#REF!</v>
      </c>
      <c r="G1516" t="e">
        <f>#REF!</f>
        <v>#REF!</v>
      </c>
      <c r="H1516" t="e">
        <f>#REF!</f>
        <v>#REF!</v>
      </c>
    </row>
    <row r="1517" spans="1:8">
      <c r="A1517" t="e">
        <f>#REF!</f>
        <v>#REF!</v>
      </c>
      <c r="B1517" t="e">
        <f>#REF!</f>
        <v>#REF!</v>
      </c>
      <c r="C1517" t="e">
        <f>#REF!</f>
        <v>#REF!</v>
      </c>
      <c r="D1517" t="e">
        <f>#REF!</f>
        <v>#REF!</v>
      </c>
      <c r="E1517" t="e">
        <f>#REF!</f>
        <v>#REF!</v>
      </c>
      <c r="F1517" t="e">
        <f>#REF!</f>
        <v>#REF!</v>
      </c>
      <c r="G1517" t="e">
        <f>#REF!</f>
        <v>#REF!</v>
      </c>
      <c r="H1517" t="e">
        <f>#REF!</f>
        <v>#REF!</v>
      </c>
    </row>
    <row r="1518" spans="1:8">
      <c r="A1518" t="e">
        <f>#REF!</f>
        <v>#REF!</v>
      </c>
      <c r="B1518" t="e">
        <f>#REF!</f>
        <v>#REF!</v>
      </c>
      <c r="C1518" t="e">
        <f>#REF!</f>
        <v>#REF!</v>
      </c>
      <c r="D1518" t="e">
        <f>#REF!</f>
        <v>#REF!</v>
      </c>
      <c r="E1518" t="e">
        <f>#REF!</f>
        <v>#REF!</v>
      </c>
      <c r="F1518" t="e">
        <f>#REF!</f>
        <v>#REF!</v>
      </c>
      <c r="G1518" t="e">
        <f>#REF!</f>
        <v>#REF!</v>
      </c>
      <c r="H1518" t="e">
        <f>#REF!</f>
        <v>#REF!</v>
      </c>
    </row>
    <row r="1519" spans="1:8">
      <c r="A1519" t="e">
        <f>#REF!</f>
        <v>#REF!</v>
      </c>
      <c r="B1519" t="e">
        <f>#REF!</f>
        <v>#REF!</v>
      </c>
      <c r="C1519" t="e">
        <f>#REF!</f>
        <v>#REF!</v>
      </c>
      <c r="D1519" t="e">
        <f>#REF!</f>
        <v>#REF!</v>
      </c>
      <c r="E1519" t="e">
        <f>#REF!</f>
        <v>#REF!</v>
      </c>
      <c r="F1519" t="e">
        <f>#REF!</f>
        <v>#REF!</v>
      </c>
      <c r="G1519" t="e">
        <f>#REF!</f>
        <v>#REF!</v>
      </c>
      <c r="H1519" t="e">
        <f>#REF!</f>
        <v>#REF!</v>
      </c>
    </row>
    <row r="1520" spans="1:8">
      <c r="A1520" t="e">
        <f>#REF!</f>
        <v>#REF!</v>
      </c>
      <c r="B1520" t="e">
        <f>#REF!</f>
        <v>#REF!</v>
      </c>
      <c r="C1520" t="e">
        <f>#REF!</f>
        <v>#REF!</v>
      </c>
      <c r="D1520" t="e">
        <f>#REF!</f>
        <v>#REF!</v>
      </c>
      <c r="E1520" t="e">
        <f>#REF!</f>
        <v>#REF!</v>
      </c>
      <c r="F1520" t="e">
        <f>#REF!</f>
        <v>#REF!</v>
      </c>
      <c r="G1520" t="e">
        <f>#REF!</f>
        <v>#REF!</v>
      </c>
      <c r="H1520" t="e">
        <f>#REF!</f>
        <v>#REF!</v>
      </c>
    </row>
    <row r="1521" spans="1:8">
      <c r="A1521" t="e">
        <f>#REF!</f>
        <v>#REF!</v>
      </c>
      <c r="B1521" t="e">
        <f>#REF!</f>
        <v>#REF!</v>
      </c>
      <c r="C1521" t="e">
        <f>#REF!</f>
        <v>#REF!</v>
      </c>
      <c r="D1521" t="e">
        <f>#REF!</f>
        <v>#REF!</v>
      </c>
      <c r="E1521" t="e">
        <f>#REF!</f>
        <v>#REF!</v>
      </c>
      <c r="F1521" t="e">
        <f>#REF!</f>
        <v>#REF!</v>
      </c>
      <c r="G1521" t="e">
        <f>#REF!</f>
        <v>#REF!</v>
      </c>
      <c r="H1521" t="e">
        <f>#REF!</f>
        <v>#REF!</v>
      </c>
    </row>
    <row r="1522" spans="1:8">
      <c r="A1522" t="e">
        <f>#REF!</f>
        <v>#REF!</v>
      </c>
      <c r="B1522" t="e">
        <f>#REF!</f>
        <v>#REF!</v>
      </c>
      <c r="C1522" t="e">
        <f>#REF!</f>
        <v>#REF!</v>
      </c>
      <c r="D1522" t="e">
        <f>#REF!</f>
        <v>#REF!</v>
      </c>
      <c r="E1522" t="e">
        <f>#REF!</f>
        <v>#REF!</v>
      </c>
      <c r="F1522" t="e">
        <f>#REF!</f>
        <v>#REF!</v>
      </c>
      <c r="G1522" t="e">
        <f>#REF!</f>
        <v>#REF!</v>
      </c>
      <c r="H1522" t="e">
        <f>#REF!</f>
        <v>#REF!</v>
      </c>
    </row>
    <row r="1523" spans="1:8">
      <c r="A1523" t="e">
        <f>#REF!</f>
        <v>#REF!</v>
      </c>
      <c r="B1523" t="e">
        <f>#REF!</f>
        <v>#REF!</v>
      </c>
      <c r="C1523" t="e">
        <f>#REF!</f>
        <v>#REF!</v>
      </c>
      <c r="D1523" t="e">
        <f>#REF!</f>
        <v>#REF!</v>
      </c>
      <c r="E1523" t="e">
        <f>#REF!</f>
        <v>#REF!</v>
      </c>
      <c r="F1523" t="e">
        <f>#REF!</f>
        <v>#REF!</v>
      </c>
      <c r="G1523" t="e">
        <f>#REF!</f>
        <v>#REF!</v>
      </c>
      <c r="H1523" t="e">
        <f>#REF!</f>
        <v>#REF!</v>
      </c>
    </row>
    <row r="1524" spans="1:8">
      <c r="A1524" t="e">
        <f>#REF!</f>
        <v>#REF!</v>
      </c>
      <c r="B1524" t="e">
        <f>#REF!</f>
        <v>#REF!</v>
      </c>
      <c r="C1524" t="e">
        <f>#REF!</f>
        <v>#REF!</v>
      </c>
      <c r="D1524" t="e">
        <f>#REF!</f>
        <v>#REF!</v>
      </c>
      <c r="E1524" t="e">
        <f>#REF!</f>
        <v>#REF!</v>
      </c>
      <c r="F1524" t="e">
        <f>#REF!</f>
        <v>#REF!</v>
      </c>
      <c r="G1524" t="e">
        <f>#REF!</f>
        <v>#REF!</v>
      </c>
      <c r="H1524" t="e">
        <f>#REF!</f>
        <v>#REF!</v>
      </c>
    </row>
    <row r="1525" spans="1:8">
      <c r="A1525" t="e">
        <f>#REF!</f>
        <v>#REF!</v>
      </c>
      <c r="B1525" t="e">
        <f>#REF!</f>
        <v>#REF!</v>
      </c>
      <c r="C1525" t="e">
        <f>#REF!</f>
        <v>#REF!</v>
      </c>
      <c r="D1525" t="e">
        <f>#REF!</f>
        <v>#REF!</v>
      </c>
      <c r="E1525" t="e">
        <f>#REF!</f>
        <v>#REF!</v>
      </c>
      <c r="F1525" t="e">
        <f>#REF!</f>
        <v>#REF!</v>
      </c>
      <c r="G1525" t="e">
        <f>#REF!</f>
        <v>#REF!</v>
      </c>
      <c r="H1525" t="e">
        <f>#REF!</f>
        <v>#REF!</v>
      </c>
    </row>
    <row r="1526" spans="1:8">
      <c r="A1526" t="e">
        <f>#REF!</f>
        <v>#REF!</v>
      </c>
      <c r="B1526" t="e">
        <f>#REF!</f>
        <v>#REF!</v>
      </c>
      <c r="C1526" t="e">
        <f>#REF!</f>
        <v>#REF!</v>
      </c>
      <c r="D1526" t="e">
        <f>#REF!</f>
        <v>#REF!</v>
      </c>
      <c r="E1526" t="e">
        <f>#REF!</f>
        <v>#REF!</v>
      </c>
      <c r="F1526" t="e">
        <f>#REF!</f>
        <v>#REF!</v>
      </c>
      <c r="G1526" t="e">
        <f>#REF!</f>
        <v>#REF!</v>
      </c>
      <c r="H1526" t="e">
        <f>#REF!</f>
        <v>#REF!</v>
      </c>
    </row>
    <row r="1527" spans="1:8">
      <c r="A1527" t="e">
        <f>#REF!</f>
        <v>#REF!</v>
      </c>
      <c r="B1527" t="e">
        <f>#REF!</f>
        <v>#REF!</v>
      </c>
      <c r="C1527" t="e">
        <f>#REF!</f>
        <v>#REF!</v>
      </c>
      <c r="D1527" t="e">
        <f>#REF!</f>
        <v>#REF!</v>
      </c>
      <c r="E1527" t="e">
        <f>#REF!</f>
        <v>#REF!</v>
      </c>
      <c r="F1527" t="e">
        <f>#REF!</f>
        <v>#REF!</v>
      </c>
      <c r="G1527" t="e">
        <f>#REF!</f>
        <v>#REF!</v>
      </c>
      <c r="H1527" t="e">
        <f>#REF!</f>
        <v>#REF!</v>
      </c>
    </row>
    <row r="1528" spans="1:8">
      <c r="A1528" t="e">
        <f>#REF!</f>
        <v>#REF!</v>
      </c>
      <c r="B1528" t="e">
        <f>#REF!</f>
        <v>#REF!</v>
      </c>
      <c r="C1528" t="e">
        <f>#REF!</f>
        <v>#REF!</v>
      </c>
      <c r="D1528" t="e">
        <f>#REF!</f>
        <v>#REF!</v>
      </c>
      <c r="E1528" t="e">
        <f>#REF!</f>
        <v>#REF!</v>
      </c>
      <c r="F1528" t="e">
        <f>#REF!</f>
        <v>#REF!</v>
      </c>
      <c r="G1528" t="e">
        <f>#REF!</f>
        <v>#REF!</v>
      </c>
      <c r="H1528" t="e">
        <f>#REF!</f>
        <v>#REF!</v>
      </c>
    </row>
    <row r="1529" spans="1:8">
      <c r="A1529" t="e">
        <f>#REF!</f>
        <v>#REF!</v>
      </c>
      <c r="B1529" t="e">
        <f>#REF!</f>
        <v>#REF!</v>
      </c>
      <c r="C1529" t="e">
        <f>#REF!</f>
        <v>#REF!</v>
      </c>
      <c r="D1529" t="e">
        <f>#REF!</f>
        <v>#REF!</v>
      </c>
      <c r="E1529" t="e">
        <f>#REF!</f>
        <v>#REF!</v>
      </c>
      <c r="F1529" t="e">
        <f>#REF!</f>
        <v>#REF!</v>
      </c>
      <c r="G1529" t="e">
        <f>#REF!</f>
        <v>#REF!</v>
      </c>
      <c r="H1529" t="e">
        <f>#REF!</f>
        <v>#REF!</v>
      </c>
    </row>
    <row r="1530" spans="1:8">
      <c r="A1530" t="e">
        <f>#REF!</f>
        <v>#REF!</v>
      </c>
      <c r="B1530" t="e">
        <f>#REF!</f>
        <v>#REF!</v>
      </c>
      <c r="C1530" t="e">
        <f>#REF!</f>
        <v>#REF!</v>
      </c>
      <c r="D1530" t="e">
        <f>#REF!</f>
        <v>#REF!</v>
      </c>
      <c r="E1530" t="e">
        <f>#REF!</f>
        <v>#REF!</v>
      </c>
      <c r="F1530" t="e">
        <f>#REF!</f>
        <v>#REF!</v>
      </c>
      <c r="G1530" t="e">
        <f>#REF!</f>
        <v>#REF!</v>
      </c>
      <c r="H1530" t="e">
        <f>#REF!</f>
        <v>#REF!</v>
      </c>
    </row>
    <row r="1531" spans="1:8">
      <c r="A1531" t="e">
        <f>#REF!</f>
        <v>#REF!</v>
      </c>
      <c r="B1531" t="e">
        <f>#REF!</f>
        <v>#REF!</v>
      </c>
      <c r="C1531" t="e">
        <f>#REF!</f>
        <v>#REF!</v>
      </c>
      <c r="D1531" t="e">
        <f>#REF!</f>
        <v>#REF!</v>
      </c>
      <c r="E1531" t="e">
        <f>#REF!</f>
        <v>#REF!</v>
      </c>
      <c r="F1531" t="e">
        <f>#REF!</f>
        <v>#REF!</v>
      </c>
      <c r="G1531" t="e">
        <f>#REF!</f>
        <v>#REF!</v>
      </c>
      <c r="H1531" t="e">
        <f>#REF!</f>
        <v>#REF!</v>
      </c>
    </row>
    <row r="1532" spans="1:8">
      <c r="A1532" t="e">
        <f>#REF!</f>
        <v>#REF!</v>
      </c>
      <c r="B1532" t="e">
        <f>#REF!</f>
        <v>#REF!</v>
      </c>
      <c r="C1532" t="e">
        <f>#REF!</f>
        <v>#REF!</v>
      </c>
      <c r="D1532" t="e">
        <f>#REF!</f>
        <v>#REF!</v>
      </c>
      <c r="E1532" t="e">
        <f>#REF!</f>
        <v>#REF!</v>
      </c>
      <c r="F1532" t="e">
        <f>#REF!</f>
        <v>#REF!</v>
      </c>
      <c r="G1532" t="e">
        <f>#REF!</f>
        <v>#REF!</v>
      </c>
      <c r="H1532" t="e">
        <f>#REF!</f>
        <v>#REF!</v>
      </c>
    </row>
    <row r="1533" spans="1:8">
      <c r="A1533" t="e">
        <f>#REF!</f>
        <v>#REF!</v>
      </c>
      <c r="B1533" t="e">
        <f>#REF!</f>
        <v>#REF!</v>
      </c>
      <c r="C1533" t="e">
        <f>#REF!</f>
        <v>#REF!</v>
      </c>
      <c r="D1533" t="e">
        <f>#REF!</f>
        <v>#REF!</v>
      </c>
      <c r="E1533" t="e">
        <f>#REF!</f>
        <v>#REF!</v>
      </c>
      <c r="F1533" t="e">
        <f>#REF!</f>
        <v>#REF!</v>
      </c>
      <c r="G1533" t="e">
        <f>#REF!</f>
        <v>#REF!</v>
      </c>
      <c r="H1533" t="e">
        <f>#REF!</f>
        <v>#REF!</v>
      </c>
    </row>
    <row r="1534" spans="1:8">
      <c r="A1534" t="e">
        <f>#REF!</f>
        <v>#REF!</v>
      </c>
      <c r="B1534" t="e">
        <f>#REF!</f>
        <v>#REF!</v>
      </c>
      <c r="C1534" t="e">
        <f>#REF!</f>
        <v>#REF!</v>
      </c>
      <c r="D1534" t="e">
        <f>#REF!</f>
        <v>#REF!</v>
      </c>
      <c r="E1534" t="e">
        <f>#REF!</f>
        <v>#REF!</v>
      </c>
      <c r="F1534" t="e">
        <f>#REF!</f>
        <v>#REF!</v>
      </c>
      <c r="G1534" t="e">
        <f>#REF!</f>
        <v>#REF!</v>
      </c>
      <c r="H1534" t="e">
        <f>#REF!</f>
        <v>#REF!</v>
      </c>
    </row>
    <row r="1535" spans="1:8">
      <c r="A1535" t="e">
        <f>#REF!</f>
        <v>#REF!</v>
      </c>
      <c r="B1535" t="e">
        <f>#REF!</f>
        <v>#REF!</v>
      </c>
      <c r="C1535" t="e">
        <f>#REF!</f>
        <v>#REF!</v>
      </c>
      <c r="D1535" t="e">
        <f>#REF!</f>
        <v>#REF!</v>
      </c>
      <c r="E1535" t="e">
        <f>#REF!</f>
        <v>#REF!</v>
      </c>
      <c r="F1535" t="e">
        <f>#REF!</f>
        <v>#REF!</v>
      </c>
      <c r="G1535" t="e">
        <f>#REF!</f>
        <v>#REF!</v>
      </c>
      <c r="H1535" t="e">
        <f>#REF!</f>
        <v>#REF!</v>
      </c>
    </row>
    <row r="1536" spans="1:8">
      <c r="A1536" t="e">
        <f>#REF!</f>
        <v>#REF!</v>
      </c>
      <c r="B1536" t="e">
        <f>#REF!</f>
        <v>#REF!</v>
      </c>
      <c r="C1536" t="e">
        <f>#REF!</f>
        <v>#REF!</v>
      </c>
      <c r="D1536" t="e">
        <f>#REF!</f>
        <v>#REF!</v>
      </c>
      <c r="E1536" t="e">
        <f>#REF!</f>
        <v>#REF!</v>
      </c>
      <c r="F1536" t="e">
        <f>#REF!</f>
        <v>#REF!</v>
      </c>
      <c r="G1536" t="e">
        <f>#REF!</f>
        <v>#REF!</v>
      </c>
      <c r="H1536" t="e">
        <f>#REF!</f>
        <v>#REF!</v>
      </c>
    </row>
    <row r="1537" spans="1:8">
      <c r="A1537" t="e">
        <f>#REF!</f>
        <v>#REF!</v>
      </c>
      <c r="B1537" t="e">
        <f>#REF!</f>
        <v>#REF!</v>
      </c>
      <c r="C1537" t="e">
        <f>#REF!</f>
        <v>#REF!</v>
      </c>
      <c r="D1537" t="e">
        <f>#REF!</f>
        <v>#REF!</v>
      </c>
      <c r="E1537" t="e">
        <f>#REF!</f>
        <v>#REF!</v>
      </c>
      <c r="F1537" t="e">
        <f>#REF!</f>
        <v>#REF!</v>
      </c>
      <c r="G1537" t="e">
        <f>#REF!</f>
        <v>#REF!</v>
      </c>
      <c r="H1537" t="e">
        <f>#REF!</f>
        <v>#REF!</v>
      </c>
    </row>
    <row r="1538" spans="1:8">
      <c r="A1538" t="e">
        <f>#REF!</f>
        <v>#REF!</v>
      </c>
      <c r="B1538" t="e">
        <f>#REF!</f>
        <v>#REF!</v>
      </c>
      <c r="C1538" t="e">
        <f>#REF!</f>
        <v>#REF!</v>
      </c>
      <c r="D1538" t="e">
        <f>#REF!</f>
        <v>#REF!</v>
      </c>
      <c r="E1538" t="e">
        <f>#REF!</f>
        <v>#REF!</v>
      </c>
      <c r="F1538" t="e">
        <f>#REF!</f>
        <v>#REF!</v>
      </c>
      <c r="G1538" t="e">
        <f>#REF!</f>
        <v>#REF!</v>
      </c>
      <c r="H1538" t="e">
        <f>#REF!</f>
        <v>#REF!</v>
      </c>
    </row>
    <row r="1539" spans="1:8">
      <c r="A1539" t="e">
        <f>#REF!</f>
        <v>#REF!</v>
      </c>
      <c r="B1539" t="e">
        <f>#REF!</f>
        <v>#REF!</v>
      </c>
      <c r="C1539" t="e">
        <f>#REF!</f>
        <v>#REF!</v>
      </c>
      <c r="D1539" t="e">
        <f>#REF!</f>
        <v>#REF!</v>
      </c>
      <c r="E1539" t="e">
        <f>#REF!</f>
        <v>#REF!</v>
      </c>
      <c r="F1539" t="e">
        <f>#REF!</f>
        <v>#REF!</v>
      </c>
      <c r="G1539" t="e">
        <f>#REF!</f>
        <v>#REF!</v>
      </c>
      <c r="H1539" t="e">
        <f>#REF!</f>
        <v>#REF!</v>
      </c>
    </row>
    <row r="1540" spans="1:8">
      <c r="A1540" t="e">
        <f>#REF!</f>
        <v>#REF!</v>
      </c>
      <c r="B1540" t="e">
        <f>#REF!</f>
        <v>#REF!</v>
      </c>
      <c r="C1540" t="e">
        <f>#REF!</f>
        <v>#REF!</v>
      </c>
      <c r="D1540" t="e">
        <f>#REF!</f>
        <v>#REF!</v>
      </c>
      <c r="E1540" t="e">
        <f>#REF!</f>
        <v>#REF!</v>
      </c>
      <c r="F1540" t="e">
        <f>#REF!</f>
        <v>#REF!</v>
      </c>
      <c r="G1540" t="e">
        <f>#REF!</f>
        <v>#REF!</v>
      </c>
      <c r="H1540" t="e">
        <f>#REF!</f>
        <v>#REF!</v>
      </c>
    </row>
    <row r="1541" spans="1:8">
      <c r="A1541" t="e">
        <f>#REF!</f>
        <v>#REF!</v>
      </c>
      <c r="B1541" t="e">
        <f>#REF!</f>
        <v>#REF!</v>
      </c>
      <c r="C1541" t="e">
        <f>#REF!</f>
        <v>#REF!</v>
      </c>
      <c r="D1541" t="e">
        <f>#REF!</f>
        <v>#REF!</v>
      </c>
      <c r="E1541" t="e">
        <f>#REF!</f>
        <v>#REF!</v>
      </c>
      <c r="F1541" t="e">
        <f>#REF!</f>
        <v>#REF!</v>
      </c>
      <c r="G1541" t="e">
        <f>#REF!</f>
        <v>#REF!</v>
      </c>
      <c r="H1541" t="e">
        <f>#REF!</f>
        <v>#REF!</v>
      </c>
    </row>
    <row r="1542" spans="1:8">
      <c r="A1542" t="e">
        <f>#REF!</f>
        <v>#REF!</v>
      </c>
      <c r="B1542" t="e">
        <f>#REF!</f>
        <v>#REF!</v>
      </c>
      <c r="C1542" t="e">
        <f>#REF!</f>
        <v>#REF!</v>
      </c>
      <c r="D1542" t="e">
        <f>#REF!</f>
        <v>#REF!</v>
      </c>
      <c r="E1542" t="e">
        <f>#REF!</f>
        <v>#REF!</v>
      </c>
      <c r="F1542" t="e">
        <f>#REF!</f>
        <v>#REF!</v>
      </c>
      <c r="G1542" t="e">
        <f>#REF!</f>
        <v>#REF!</v>
      </c>
      <c r="H1542" t="e">
        <f>#REF!</f>
        <v>#REF!</v>
      </c>
    </row>
    <row r="1543" spans="1:8">
      <c r="A1543" t="e">
        <f>#REF!</f>
        <v>#REF!</v>
      </c>
      <c r="B1543" t="e">
        <f>#REF!</f>
        <v>#REF!</v>
      </c>
      <c r="C1543" t="e">
        <f>#REF!</f>
        <v>#REF!</v>
      </c>
      <c r="D1543" t="e">
        <f>#REF!</f>
        <v>#REF!</v>
      </c>
      <c r="E1543" t="e">
        <f>#REF!</f>
        <v>#REF!</v>
      </c>
      <c r="F1543" t="e">
        <f>#REF!</f>
        <v>#REF!</v>
      </c>
      <c r="G1543" t="e">
        <f>#REF!</f>
        <v>#REF!</v>
      </c>
      <c r="H1543" t="e">
        <f>#REF!</f>
        <v>#REF!</v>
      </c>
    </row>
    <row r="1544" spans="1:8">
      <c r="A1544" t="e">
        <f>#REF!</f>
        <v>#REF!</v>
      </c>
      <c r="B1544" t="e">
        <f>#REF!</f>
        <v>#REF!</v>
      </c>
      <c r="C1544" t="e">
        <f>#REF!</f>
        <v>#REF!</v>
      </c>
      <c r="D1544" t="e">
        <f>#REF!</f>
        <v>#REF!</v>
      </c>
      <c r="E1544" t="e">
        <f>#REF!</f>
        <v>#REF!</v>
      </c>
      <c r="F1544" t="e">
        <f>#REF!</f>
        <v>#REF!</v>
      </c>
      <c r="G1544" t="e">
        <f>#REF!</f>
        <v>#REF!</v>
      </c>
      <c r="H1544" t="e">
        <f>#REF!</f>
        <v>#REF!</v>
      </c>
    </row>
    <row r="1545" spans="1:8">
      <c r="A1545" t="e">
        <f>#REF!</f>
        <v>#REF!</v>
      </c>
      <c r="B1545" t="e">
        <f>#REF!</f>
        <v>#REF!</v>
      </c>
      <c r="C1545" t="e">
        <f>#REF!</f>
        <v>#REF!</v>
      </c>
      <c r="D1545" t="e">
        <f>#REF!</f>
        <v>#REF!</v>
      </c>
      <c r="E1545" t="e">
        <f>#REF!</f>
        <v>#REF!</v>
      </c>
      <c r="F1545" t="e">
        <f>#REF!</f>
        <v>#REF!</v>
      </c>
      <c r="G1545" t="e">
        <f>#REF!</f>
        <v>#REF!</v>
      </c>
      <c r="H1545" t="e">
        <f>#REF!</f>
        <v>#REF!</v>
      </c>
    </row>
    <row r="1546" spans="1:8">
      <c r="A1546" t="e">
        <f>#REF!</f>
        <v>#REF!</v>
      </c>
      <c r="B1546" t="e">
        <f>#REF!</f>
        <v>#REF!</v>
      </c>
      <c r="C1546" t="e">
        <f>#REF!</f>
        <v>#REF!</v>
      </c>
      <c r="D1546" t="e">
        <f>#REF!</f>
        <v>#REF!</v>
      </c>
      <c r="E1546" t="e">
        <f>#REF!</f>
        <v>#REF!</v>
      </c>
      <c r="F1546" t="e">
        <f>#REF!</f>
        <v>#REF!</v>
      </c>
      <c r="G1546" t="e">
        <f>#REF!</f>
        <v>#REF!</v>
      </c>
      <c r="H1546" t="e">
        <f>#REF!</f>
        <v>#REF!</v>
      </c>
    </row>
    <row r="1547" spans="1:8">
      <c r="A1547" t="e">
        <f>#REF!</f>
        <v>#REF!</v>
      </c>
      <c r="B1547" t="e">
        <f>#REF!</f>
        <v>#REF!</v>
      </c>
      <c r="C1547" t="e">
        <f>#REF!</f>
        <v>#REF!</v>
      </c>
      <c r="D1547" t="e">
        <f>#REF!</f>
        <v>#REF!</v>
      </c>
      <c r="E1547" t="e">
        <f>#REF!</f>
        <v>#REF!</v>
      </c>
      <c r="F1547" t="e">
        <f>#REF!</f>
        <v>#REF!</v>
      </c>
      <c r="G1547" t="e">
        <f>#REF!</f>
        <v>#REF!</v>
      </c>
      <c r="H1547" t="e">
        <f>#REF!</f>
        <v>#REF!</v>
      </c>
    </row>
    <row r="1548" spans="1:8">
      <c r="A1548" t="e">
        <f>#REF!</f>
        <v>#REF!</v>
      </c>
      <c r="B1548" t="e">
        <f>#REF!</f>
        <v>#REF!</v>
      </c>
      <c r="C1548" t="e">
        <f>#REF!</f>
        <v>#REF!</v>
      </c>
      <c r="D1548" t="e">
        <f>#REF!</f>
        <v>#REF!</v>
      </c>
      <c r="E1548" t="e">
        <f>#REF!</f>
        <v>#REF!</v>
      </c>
      <c r="F1548" t="e">
        <f>#REF!</f>
        <v>#REF!</v>
      </c>
      <c r="G1548" t="e">
        <f>#REF!</f>
        <v>#REF!</v>
      </c>
      <c r="H1548" t="e">
        <f>#REF!</f>
        <v>#REF!</v>
      </c>
    </row>
    <row r="1549" spans="1:8">
      <c r="A1549" t="e">
        <f>#REF!</f>
        <v>#REF!</v>
      </c>
      <c r="B1549" t="e">
        <f>#REF!</f>
        <v>#REF!</v>
      </c>
      <c r="C1549" t="e">
        <f>#REF!</f>
        <v>#REF!</v>
      </c>
      <c r="D1549" t="e">
        <f>#REF!</f>
        <v>#REF!</v>
      </c>
      <c r="E1549" t="e">
        <f>#REF!</f>
        <v>#REF!</v>
      </c>
      <c r="F1549" t="e">
        <f>#REF!</f>
        <v>#REF!</v>
      </c>
      <c r="G1549" t="e">
        <f>#REF!</f>
        <v>#REF!</v>
      </c>
      <c r="H1549" t="e">
        <f>#REF!</f>
        <v>#REF!</v>
      </c>
    </row>
    <row r="1550" spans="1:8">
      <c r="A1550" t="e">
        <f>#REF!</f>
        <v>#REF!</v>
      </c>
      <c r="B1550" t="e">
        <f>#REF!</f>
        <v>#REF!</v>
      </c>
      <c r="C1550" t="e">
        <f>#REF!</f>
        <v>#REF!</v>
      </c>
      <c r="D1550" t="e">
        <f>#REF!</f>
        <v>#REF!</v>
      </c>
      <c r="E1550" t="e">
        <f>#REF!</f>
        <v>#REF!</v>
      </c>
      <c r="F1550" t="e">
        <f>#REF!</f>
        <v>#REF!</v>
      </c>
      <c r="G1550" t="e">
        <f>#REF!</f>
        <v>#REF!</v>
      </c>
      <c r="H1550" t="e">
        <f>#REF!</f>
        <v>#REF!</v>
      </c>
    </row>
    <row r="1551" spans="1:8">
      <c r="A1551" t="e">
        <f>#REF!</f>
        <v>#REF!</v>
      </c>
      <c r="B1551" t="e">
        <f>#REF!</f>
        <v>#REF!</v>
      </c>
      <c r="C1551" t="e">
        <f>#REF!</f>
        <v>#REF!</v>
      </c>
      <c r="D1551" t="e">
        <f>#REF!</f>
        <v>#REF!</v>
      </c>
      <c r="E1551" t="e">
        <f>#REF!</f>
        <v>#REF!</v>
      </c>
      <c r="F1551" t="e">
        <f>#REF!</f>
        <v>#REF!</v>
      </c>
      <c r="G1551" t="e">
        <f>#REF!</f>
        <v>#REF!</v>
      </c>
      <c r="H1551" t="e">
        <f>#REF!</f>
        <v>#REF!</v>
      </c>
    </row>
    <row r="1552" spans="1:8">
      <c r="A1552" t="e">
        <f>#REF!</f>
        <v>#REF!</v>
      </c>
      <c r="B1552" t="e">
        <f>#REF!</f>
        <v>#REF!</v>
      </c>
      <c r="C1552" t="e">
        <f>#REF!</f>
        <v>#REF!</v>
      </c>
      <c r="D1552" t="e">
        <f>#REF!</f>
        <v>#REF!</v>
      </c>
      <c r="E1552" t="e">
        <f>#REF!</f>
        <v>#REF!</v>
      </c>
      <c r="F1552" t="e">
        <f>#REF!</f>
        <v>#REF!</v>
      </c>
      <c r="G1552" t="e">
        <f>#REF!</f>
        <v>#REF!</v>
      </c>
      <c r="H1552" t="e">
        <f>#REF!</f>
        <v>#REF!</v>
      </c>
    </row>
    <row r="1553" spans="1:8">
      <c r="A1553" t="e">
        <f>#REF!</f>
        <v>#REF!</v>
      </c>
      <c r="B1553" t="e">
        <f>#REF!</f>
        <v>#REF!</v>
      </c>
      <c r="C1553" t="e">
        <f>#REF!</f>
        <v>#REF!</v>
      </c>
      <c r="D1553" t="e">
        <f>#REF!</f>
        <v>#REF!</v>
      </c>
      <c r="E1553" t="e">
        <f>#REF!</f>
        <v>#REF!</v>
      </c>
      <c r="F1553" t="e">
        <f>#REF!</f>
        <v>#REF!</v>
      </c>
      <c r="G1553" t="e">
        <f>#REF!</f>
        <v>#REF!</v>
      </c>
      <c r="H1553" t="e">
        <f>#REF!</f>
        <v>#REF!</v>
      </c>
    </row>
    <row r="1554" spans="1:8">
      <c r="A1554" t="e">
        <f>#REF!</f>
        <v>#REF!</v>
      </c>
      <c r="B1554" t="e">
        <f>#REF!</f>
        <v>#REF!</v>
      </c>
      <c r="C1554" t="e">
        <f>#REF!</f>
        <v>#REF!</v>
      </c>
      <c r="D1554" t="e">
        <f>#REF!</f>
        <v>#REF!</v>
      </c>
      <c r="E1554" t="e">
        <f>#REF!</f>
        <v>#REF!</v>
      </c>
      <c r="F1554" t="e">
        <f>#REF!</f>
        <v>#REF!</v>
      </c>
      <c r="G1554" t="e">
        <f>#REF!</f>
        <v>#REF!</v>
      </c>
      <c r="H1554" t="e">
        <f>#REF!</f>
        <v>#REF!</v>
      </c>
    </row>
    <row r="1555" spans="1:8">
      <c r="A1555" t="e">
        <f>#REF!</f>
        <v>#REF!</v>
      </c>
      <c r="B1555" t="e">
        <f>#REF!</f>
        <v>#REF!</v>
      </c>
      <c r="C1555" t="e">
        <f>#REF!</f>
        <v>#REF!</v>
      </c>
      <c r="D1555" t="e">
        <f>#REF!</f>
        <v>#REF!</v>
      </c>
      <c r="E1555" t="e">
        <f>#REF!</f>
        <v>#REF!</v>
      </c>
      <c r="F1555" t="e">
        <f>#REF!</f>
        <v>#REF!</v>
      </c>
      <c r="G1555" t="e">
        <f>#REF!</f>
        <v>#REF!</v>
      </c>
      <c r="H1555" t="e">
        <f>#REF!</f>
        <v>#REF!</v>
      </c>
    </row>
    <row r="1556" spans="1:8">
      <c r="A1556" t="e">
        <f>#REF!</f>
        <v>#REF!</v>
      </c>
      <c r="B1556" t="e">
        <f>#REF!</f>
        <v>#REF!</v>
      </c>
      <c r="C1556" t="e">
        <f>#REF!</f>
        <v>#REF!</v>
      </c>
      <c r="D1556" t="e">
        <f>#REF!</f>
        <v>#REF!</v>
      </c>
      <c r="E1556" t="e">
        <f>#REF!</f>
        <v>#REF!</v>
      </c>
      <c r="F1556" t="e">
        <f>#REF!</f>
        <v>#REF!</v>
      </c>
      <c r="G1556" t="e">
        <f>#REF!</f>
        <v>#REF!</v>
      </c>
      <c r="H1556" t="e">
        <f>#REF!</f>
        <v>#REF!</v>
      </c>
    </row>
    <row r="1557" spans="1:8">
      <c r="A1557" t="e">
        <f>#REF!</f>
        <v>#REF!</v>
      </c>
      <c r="B1557" t="e">
        <f>#REF!</f>
        <v>#REF!</v>
      </c>
      <c r="C1557" t="e">
        <f>#REF!</f>
        <v>#REF!</v>
      </c>
      <c r="D1557" t="e">
        <f>#REF!</f>
        <v>#REF!</v>
      </c>
      <c r="E1557" t="e">
        <f>#REF!</f>
        <v>#REF!</v>
      </c>
      <c r="F1557" t="e">
        <f>#REF!</f>
        <v>#REF!</v>
      </c>
      <c r="G1557" t="e">
        <f>#REF!</f>
        <v>#REF!</v>
      </c>
      <c r="H1557" t="e">
        <f>#REF!</f>
        <v>#REF!</v>
      </c>
    </row>
    <row r="1558" spans="1:8">
      <c r="A1558" t="e">
        <f>#REF!</f>
        <v>#REF!</v>
      </c>
      <c r="B1558" t="e">
        <f>#REF!</f>
        <v>#REF!</v>
      </c>
      <c r="C1558" t="e">
        <f>#REF!</f>
        <v>#REF!</v>
      </c>
      <c r="D1558" t="e">
        <f>#REF!</f>
        <v>#REF!</v>
      </c>
      <c r="E1558" t="e">
        <f>#REF!</f>
        <v>#REF!</v>
      </c>
      <c r="F1558" t="e">
        <f>#REF!</f>
        <v>#REF!</v>
      </c>
      <c r="G1558" t="e">
        <f>#REF!</f>
        <v>#REF!</v>
      </c>
      <c r="H1558" t="e">
        <f>#REF!</f>
        <v>#REF!</v>
      </c>
    </row>
    <row r="1559" spans="1:8">
      <c r="A1559" t="e">
        <f>#REF!</f>
        <v>#REF!</v>
      </c>
      <c r="B1559" t="e">
        <f>#REF!</f>
        <v>#REF!</v>
      </c>
      <c r="C1559" t="e">
        <f>#REF!</f>
        <v>#REF!</v>
      </c>
      <c r="D1559" t="e">
        <f>#REF!</f>
        <v>#REF!</v>
      </c>
      <c r="E1559" t="e">
        <f>#REF!</f>
        <v>#REF!</v>
      </c>
      <c r="F1559" t="e">
        <f>#REF!</f>
        <v>#REF!</v>
      </c>
      <c r="G1559" t="e">
        <f>#REF!</f>
        <v>#REF!</v>
      </c>
      <c r="H1559" t="e">
        <f>#REF!</f>
        <v>#REF!</v>
      </c>
    </row>
    <row r="1560" spans="1:8">
      <c r="A1560" t="e">
        <f>#REF!</f>
        <v>#REF!</v>
      </c>
      <c r="B1560" t="e">
        <f>#REF!</f>
        <v>#REF!</v>
      </c>
      <c r="C1560" t="e">
        <f>#REF!</f>
        <v>#REF!</v>
      </c>
      <c r="D1560" t="e">
        <f>#REF!</f>
        <v>#REF!</v>
      </c>
      <c r="E1560" t="e">
        <f>#REF!</f>
        <v>#REF!</v>
      </c>
      <c r="F1560" t="e">
        <f>#REF!</f>
        <v>#REF!</v>
      </c>
      <c r="G1560" t="e">
        <f>#REF!</f>
        <v>#REF!</v>
      </c>
      <c r="H1560" t="e">
        <f>#REF!</f>
        <v>#REF!</v>
      </c>
    </row>
    <row r="1561" spans="1:8">
      <c r="A1561" t="e">
        <f>#REF!</f>
        <v>#REF!</v>
      </c>
      <c r="B1561" t="e">
        <f>#REF!</f>
        <v>#REF!</v>
      </c>
      <c r="C1561" t="e">
        <f>#REF!</f>
        <v>#REF!</v>
      </c>
      <c r="D1561" t="e">
        <f>#REF!</f>
        <v>#REF!</v>
      </c>
      <c r="E1561" t="e">
        <f>#REF!</f>
        <v>#REF!</v>
      </c>
      <c r="F1561" t="e">
        <f>#REF!</f>
        <v>#REF!</v>
      </c>
      <c r="G1561" t="e">
        <f>#REF!</f>
        <v>#REF!</v>
      </c>
      <c r="H1561" t="e">
        <f>#REF!</f>
        <v>#REF!</v>
      </c>
    </row>
    <row r="1562" spans="1:8">
      <c r="A1562" t="e">
        <f>#REF!</f>
        <v>#REF!</v>
      </c>
      <c r="B1562" t="e">
        <f>#REF!</f>
        <v>#REF!</v>
      </c>
      <c r="C1562" t="e">
        <f>#REF!</f>
        <v>#REF!</v>
      </c>
      <c r="D1562" t="e">
        <f>#REF!</f>
        <v>#REF!</v>
      </c>
      <c r="E1562" t="e">
        <f>#REF!</f>
        <v>#REF!</v>
      </c>
      <c r="F1562" t="e">
        <f>#REF!</f>
        <v>#REF!</v>
      </c>
      <c r="G1562" t="e">
        <f>#REF!</f>
        <v>#REF!</v>
      </c>
      <c r="H1562" t="e">
        <f>#REF!</f>
        <v>#REF!</v>
      </c>
    </row>
    <row r="1563" spans="1:8">
      <c r="A1563" t="e">
        <f>#REF!</f>
        <v>#REF!</v>
      </c>
      <c r="B1563" t="e">
        <f>#REF!</f>
        <v>#REF!</v>
      </c>
      <c r="C1563" t="e">
        <f>#REF!</f>
        <v>#REF!</v>
      </c>
      <c r="D1563" t="e">
        <f>#REF!</f>
        <v>#REF!</v>
      </c>
      <c r="E1563" t="e">
        <f>#REF!</f>
        <v>#REF!</v>
      </c>
      <c r="F1563" t="e">
        <f>#REF!</f>
        <v>#REF!</v>
      </c>
      <c r="G1563" t="e">
        <f>#REF!</f>
        <v>#REF!</v>
      </c>
      <c r="H1563" t="e">
        <f>#REF!</f>
        <v>#REF!</v>
      </c>
    </row>
    <row r="1564" spans="1:8">
      <c r="A1564" t="e">
        <f>#REF!</f>
        <v>#REF!</v>
      </c>
      <c r="B1564" t="e">
        <f>#REF!</f>
        <v>#REF!</v>
      </c>
      <c r="C1564" t="e">
        <f>#REF!</f>
        <v>#REF!</v>
      </c>
      <c r="D1564" t="e">
        <f>#REF!</f>
        <v>#REF!</v>
      </c>
      <c r="E1564" t="e">
        <f>#REF!</f>
        <v>#REF!</v>
      </c>
      <c r="F1564" t="e">
        <f>#REF!</f>
        <v>#REF!</v>
      </c>
      <c r="G1564" t="e">
        <f>#REF!</f>
        <v>#REF!</v>
      </c>
      <c r="H1564" t="e">
        <f>#REF!</f>
        <v>#REF!</v>
      </c>
    </row>
    <row r="1565" spans="1:8">
      <c r="A1565" t="e">
        <f>#REF!</f>
        <v>#REF!</v>
      </c>
      <c r="B1565" t="e">
        <f>#REF!</f>
        <v>#REF!</v>
      </c>
      <c r="C1565" t="e">
        <f>#REF!</f>
        <v>#REF!</v>
      </c>
      <c r="D1565" t="e">
        <f>#REF!</f>
        <v>#REF!</v>
      </c>
      <c r="E1565" t="e">
        <f>#REF!</f>
        <v>#REF!</v>
      </c>
      <c r="F1565" t="e">
        <f>#REF!</f>
        <v>#REF!</v>
      </c>
      <c r="G1565" t="e">
        <f>#REF!</f>
        <v>#REF!</v>
      </c>
      <c r="H1565" t="e">
        <f>#REF!</f>
        <v>#REF!</v>
      </c>
    </row>
    <row r="1566" spans="1:8">
      <c r="A1566" t="e">
        <f>#REF!</f>
        <v>#REF!</v>
      </c>
      <c r="B1566" t="e">
        <f>#REF!</f>
        <v>#REF!</v>
      </c>
      <c r="C1566" t="e">
        <f>#REF!</f>
        <v>#REF!</v>
      </c>
      <c r="D1566" t="e">
        <f>#REF!</f>
        <v>#REF!</v>
      </c>
      <c r="E1566" t="e">
        <f>#REF!</f>
        <v>#REF!</v>
      </c>
      <c r="F1566" t="e">
        <f>#REF!</f>
        <v>#REF!</v>
      </c>
      <c r="G1566" t="e">
        <f>#REF!</f>
        <v>#REF!</v>
      </c>
      <c r="H1566" t="e">
        <f>#REF!</f>
        <v>#REF!</v>
      </c>
    </row>
    <row r="1567" spans="1:8">
      <c r="A1567" t="e">
        <f>#REF!</f>
        <v>#REF!</v>
      </c>
      <c r="B1567" t="e">
        <f>#REF!</f>
        <v>#REF!</v>
      </c>
      <c r="C1567" t="e">
        <f>#REF!</f>
        <v>#REF!</v>
      </c>
      <c r="D1567" t="e">
        <f>#REF!</f>
        <v>#REF!</v>
      </c>
      <c r="E1567" t="e">
        <f>#REF!</f>
        <v>#REF!</v>
      </c>
      <c r="F1567" t="e">
        <f>#REF!</f>
        <v>#REF!</v>
      </c>
      <c r="G1567" t="e">
        <f>#REF!</f>
        <v>#REF!</v>
      </c>
      <c r="H1567" t="e">
        <f>#REF!</f>
        <v>#REF!</v>
      </c>
    </row>
    <row r="1568" spans="1:8">
      <c r="A1568" t="e">
        <f>#REF!</f>
        <v>#REF!</v>
      </c>
      <c r="B1568" t="e">
        <f>#REF!</f>
        <v>#REF!</v>
      </c>
      <c r="C1568" t="e">
        <f>#REF!</f>
        <v>#REF!</v>
      </c>
      <c r="D1568" t="e">
        <f>#REF!</f>
        <v>#REF!</v>
      </c>
      <c r="E1568" t="e">
        <f>#REF!</f>
        <v>#REF!</v>
      </c>
      <c r="F1568" t="e">
        <f>#REF!</f>
        <v>#REF!</v>
      </c>
      <c r="G1568" t="e">
        <f>#REF!</f>
        <v>#REF!</v>
      </c>
      <c r="H1568" t="e">
        <f>#REF!</f>
        <v>#REF!</v>
      </c>
    </row>
    <row r="1569" spans="1:8">
      <c r="A1569" t="e">
        <f>#REF!</f>
        <v>#REF!</v>
      </c>
      <c r="B1569" t="e">
        <f>#REF!</f>
        <v>#REF!</v>
      </c>
      <c r="C1569" t="e">
        <f>#REF!</f>
        <v>#REF!</v>
      </c>
      <c r="D1569" t="e">
        <f>#REF!</f>
        <v>#REF!</v>
      </c>
      <c r="E1569" t="e">
        <f>#REF!</f>
        <v>#REF!</v>
      </c>
      <c r="F1569" t="e">
        <f>#REF!</f>
        <v>#REF!</v>
      </c>
      <c r="G1569" t="e">
        <f>#REF!</f>
        <v>#REF!</v>
      </c>
      <c r="H1569" t="e">
        <f>#REF!</f>
        <v>#REF!</v>
      </c>
    </row>
    <row r="1570" spans="1:8">
      <c r="A1570" t="e">
        <f>#REF!</f>
        <v>#REF!</v>
      </c>
      <c r="B1570" t="e">
        <f>#REF!</f>
        <v>#REF!</v>
      </c>
      <c r="C1570" t="e">
        <f>#REF!</f>
        <v>#REF!</v>
      </c>
      <c r="D1570" t="e">
        <f>#REF!</f>
        <v>#REF!</v>
      </c>
      <c r="E1570" t="e">
        <f>#REF!</f>
        <v>#REF!</v>
      </c>
      <c r="F1570" t="e">
        <f>#REF!</f>
        <v>#REF!</v>
      </c>
      <c r="G1570" t="e">
        <f>#REF!</f>
        <v>#REF!</v>
      </c>
      <c r="H1570" t="e">
        <f>#REF!</f>
        <v>#REF!</v>
      </c>
    </row>
    <row r="1571" spans="1:8">
      <c r="A1571" t="e">
        <f>#REF!</f>
        <v>#REF!</v>
      </c>
      <c r="B1571" t="e">
        <f>#REF!</f>
        <v>#REF!</v>
      </c>
      <c r="C1571" t="e">
        <f>#REF!</f>
        <v>#REF!</v>
      </c>
      <c r="D1571" t="e">
        <f>#REF!</f>
        <v>#REF!</v>
      </c>
      <c r="E1571" t="e">
        <f>#REF!</f>
        <v>#REF!</v>
      </c>
      <c r="F1571" t="e">
        <f>#REF!</f>
        <v>#REF!</v>
      </c>
      <c r="G1571" t="e">
        <f>#REF!</f>
        <v>#REF!</v>
      </c>
      <c r="H1571" t="e">
        <f>#REF!</f>
        <v>#REF!</v>
      </c>
    </row>
    <row r="1572" spans="1:8">
      <c r="A1572" t="e">
        <f>#REF!</f>
        <v>#REF!</v>
      </c>
      <c r="B1572" t="e">
        <f>#REF!</f>
        <v>#REF!</v>
      </c>
      <c r="C1572" t="e">
        <f>#REF!</f>
        <v>#REF!</v>
      </c>
      <c r="D1572" t="e">
        <f>#REF!</f>
        <v>#REF!</v>
      </c>
      <c r="E1572" t="e">
        <f>#REF!</f>
        <v>#REF!</v>
      </c>
      <c r="F1572" t="e">
        <f>#REF!</f>
        <v>#REF!</v>
      </c>
      <c r="G1572" t="e">
        <f>#REF!</f>
        <v>#REF!</v>
      </c>
      <c r="H1572" t="e">
        <f>#REF!</f>
        <v>#REF!</v>
      </c>
    </row>
    <row r="1573" spans="1:8">
      <c r="A1573" t="e">
        <f>#REF!</f>
        <v>#REF!</v>
      </c>
      <c r="B1573" t="e">
        <f>#REF!</f>
        <v>#REF!</v>
      </c>
      <c r="C1573" t="e">
        <f>#REF!</f>
        <v>#REF!</v>
      </c>
      <c r="D1573" t="e">
        <f>#REF!</f>
        <v>#REF!</v>
      </c>
      <c r="E1573" t="e">
        <f>#REF!</f>
        <v>#REF!</v>
      </c>
      <c r="F1573" t="e">
        <f>#REF!</f>
        <v>#REF!</v>
      </c>
      <c r="G1573" t="e">
        <f>#REF!</f>
        <v>#REF!</v>
      </c>
      <c r="H1573" t="e">
        <f>#REF!</f>
        <v>#REF!</v>
      </c>
    </row>
    <row r="1574" spans="1:8">
      <c r="A1574" t="e">
        <f>#REF!</f>
        <v>#REF!</v>
      </c>
      <c r="B1574" t="e">
        <f>#REF!</f>
        <v>#REF!</v>
      </c>
      <c r="C1574" t="e">
        <f>#REF!</f>
        <v>#REF!</v>
      </c>
      <c r="D1574" t="e">
        <f>#REF!</f>
        <v>#REF!</v>
      </c>
      <c r="E1574" t="e">
        <f>#REF!</f>
        <v>#REF!</v>
      </c>
      <c r="F1574" t="e">
        <f>#REF!</f>
        <v>#REF!</v>
      </c>
      <c r="G1574" t="e">
        <f>#REF!</f>
        <v>#REF!</v>
      </c>
      <c r="H1574" t="e">
        <f>#REF!</f>
        <v>#REF!</v>
      </c>
    </row>
    <row r="1575" spans="1:8">
      <c r="A1575" t="e">
        <f>#REF!</f>
        <v>#REF!</v>
      </c>
      <c r="B1575" t="e">
        <f>#REF!</f>
        <v>#REF!</v>
      </c>
      <c r="C1575" t="e">
        <f>#REF!</f>
        <v>#REF!</v>
      </c>
      <c r="D1575" t="e">
        <f>#REF!</f>
        <v>#REF!</v>
      </c>
      <c r="E1575" t="e">
        <f>#REF!</f>
        <v>#REF!</v>
      </c>
      <c r="F1575" t="e">
        <f>#REF!</f>
        <v>#REF!</v>
      </c>
      <c r="G1575" t="e">
        <f>#REF!</f>
        <v>#REF!</v>
      </c>
      <c r="H1575" t="e">
        <f>#REF!</f>
        <v>#REF!</v>
      </c>
    </row>
    <row r="1576" spans="1:8">
      <c r="A1576" t="e">
        <f>#REF!</f>
        <v>#REF!</v>
      </c>
      <c r="B1576" t="e">
        <f>#REF!</f>
        <v>#REF!</v>
      </c>
      <c r="C1576" t="e">
        <f>#REF!</f>
        <v>#REF!</v>
      </c>
      <c r="D1576" t="e">
        <f>#REF!</f>
        <v>#REF!</v>
      </c>
      <c r="E1576" t="e">
        <f>#REF!</f>
        <v>#REF!</v>
      </c>
      <c r="F1576" t="e">
        <f>#REF!</f>
        <v>#REF!</v>
      </c>
      <c r="G1576" t="e">
        <f>#REF!</f>
        <v>#REF!</v>
      </c>
      <c r="H1576" t="e">
        <f>#REF!</f>
        <v>#REF!</v>
      </c>
    </row>
    <row r="1577" spans="1:8">
      <c r="A1577" t="e">
        <f>#REF!</f>
        <v>#REF!</v>
      </c>
      <c r="B1577" t="e">
        <f>#REF!</f>
        <v>#REF!</v>
      </c>
      <c r="C1577" t="e">
        <f>#REF!</f>
        <v>#REF!</v>
      </c>
      <c r="D1577" t="e">
        <f>#REF!</f>
        <v>#REF!</v>
      </c>
      <c r="E1577" t="e">
        <f>#REF!</f>
        <v>#REF!</v>
      </c>
      <c r="F1577" t="e">
        <f>#REF!</f>
        <v>#REF!</v>
      </c>
      <c r="G1577" t="e">
        <f>#REF!</f>
        <v>#REF!</v>
      </c>
      <c r="H1577" t="e">
        <f>#REF!</f>
        <v>#REF!</v>
      </c>
    </row>
    <row r="1578" spans="1:8">
      <c r="A1578" t="e">
        <f>#REF!</f>
        <v>#REF!</v>
      </c>
      <c r="B1578" t="e">
        <f>#REF!</f>
        <v>#REF!</v>
      </c>
      <c r="C1578" t="e">
        <f>#REF!</f>
        <v>#REF!</v>
      </c>
      <c r="D1578" t="e">
        <f>#REF!</f>
        <v>#REF!</v>
      </c>
      <c r="E1578" t="e">
        <f>#REF!</f>
        <v>#REF!</v>
      </c>
      <c r="F1578" t="e">
        <f>#REF!</f>
        <v>#REF!</v>
      </c>
      <c r="G1578" t="e">
        <f>#REF!</f>
        <v>#REF!</v>
      </c>
      <c r="H1578" t="e">
        <f>#REF!</f>
        <v>#REF!</v>
      </c>
    </row>
    <row r="1579" spans="1:8">
      <c r="A1579" t="e">
        <f>#REF!</f>
        <v>#REF!</v>
      </c>
      <c r="B1579" t="e">
        <f>#REF!</f>
        <v>#REF!</v>
      </c>
      <c r="C1579" t="e">
        <f>#REF!</f>
        <v>#REF!</v>
      </c>
      <c r="D1579" t="e">
        <f>#REF!</f>
        <v>#REF!</v>
      </c>
      <c r="E1579" t="e">
        <f>#REF!</f>
        <v>#REF!</v>
      </c>
      <c r="F1579" t="e">
        <f>#REF!</f>
        <v>#REF!</v>
      </c>
      <c r="G1579" t="e">
        <f>#REF!</f>
        <v>#REF!</v>
      </c>
      <c r="H1579" t="e">
        <f>#REF!</f>
        <v>#REF!</v>
      </c>
    </row>
    <row r="1580" spans="1:8">
      <c r="A1580" t="e">
        <f>#REF!</f>
        <v>#REF!</v>
      </c>
      <c r="B1580" t="e">
        <f>#REF!</f>
        <v>#REF!</v>
      </c>
      <c r="C1580" t="e">
        <f>#REF!</f>
        <v>#REF!</v>
      </c>
      <c r="D1580" t="e">
        <f>#REF!</f>
        <v>#REF!</v>
      </c>
      <c r="E1580" t="e">
        <f>#REF!</f>
        <v>#REF!</v>
      </c>
      <c r="F1580" t="e">
        <f>#REF!</f>
        <v>#REF!</v>
      </c>
      <c r="G1580" t="e">
        <f>#REF!</f>
        <v>#REF!</v>
      </c>
      <c r="H1580" t="e">
        <f>#REF!</f>
        <v>#REF!</v>
      </c>
    </row>
    <row r="1581" spans="1:8">
      <c r="A1581" t="e">
        <f>#REF!</f>
        <v>#REF!</v>
      </c>
      <c r="B1581" t="e">
        <f>#REF!</f>
        <v>#REF!</v>
      </c>
      <c r="C1581" t="e">
        <f>#REF!</f>
        <v>#REF!</v>
      </c>
      <c r="D1581" t="e">
        <f>#REF!</f>
        <v>#REF!</v>
      </c>
      <c r="E1581" t="e">
        <f>#REF!</f>
        <v>#REF!</v>
      </c>
      <c r="F1581" t="e">
        <f>#REF!</f>
        <v>#REF!</v>
      </c>
      <c r="G1581" t="e">
        <f>#REF!</f>
        <v>#REF!</v>
      </c>
      <c r="H1581" t="e">
        <f>#REF!</f>
        <v>#REF!</v>
      </c>
    </row>
    <row r="1582" spans="1:8">
      <c r="A1582" t="e">
        <f>#REF!</f>
        <v>#REF!</v>
      </c>
      <c r="B1582" t="e">
        <f>#REF!</f>
        <v>#REF!</v>
      </c>
      <c r="C1582" t="e">
        <f>#REF!</f>
        <v>#REF!</v>
      </c>
      <c r="D1582" t="e">
        <f>#REF!</f>
        <v>#REF!</v>
      </c>
      <c r="E1582" t="e">
        <f>#REF!</f>
        <v>#REF!</v>
      </c>
      <c r="F1582" t="e">
        <f>#REF!</f>
        <v>#REF!</v>
      </c>
      <c r="G1582" t="e">
        <f>#REF!</f>
        <v>#REF!</v>
      </c>
      <c r="H1582" t="e">
        <f>#REF!</f>
        <v>#REF!</v>
      </c>
    </row>
    <row r="1583" spans="1:8">
      <c r="A1583" t="e">
        <f>#REF!</f>
        <v>#REF!</v>
      </c>
      <c r="B1583" t="e">
        <f>#REF!</f>
        <v>#REF!</v>
      </c>
      <c r="C1583" t="e">
        <f>#REF!</f>
        <v>#REF!</v>
      </c>
      <c r="D1583" t="e">
        <f>#REF!</f>
        <v>#REF!</v>
      </c>
      <c r="E1583" t="e">
        <f>#REF!</f>
        <v>#REF!</v>
      </c>
      <c r="F1583" t="e">
        <f>#REF!</f>
        <v>#REF!</v>
      </c>
      <c r="G1583" t="e">
        <f>#REF!</f>
        <v>#REF!</v>
      </c>
      <c r="H1583" t="e">
        <f>#REF!</f>
        <v>#REF!</v>
      </c>
    </row>
    <row r="1584" spans="1:8">
      <c r="A1584" t="e">
        <f>#REF!</f>
        <v>#REF!</v>
      </c>
      <c r="B1584" t="e">
        <f>#REF!</f>
        <v>#REF!</v>
      </c>
      <c r="C1584" t="e">
        <f>#REF!</f>
        <v>#REF!</v>
      </c>
      <c r="D1584" t="e">
        <f>#REF!</f>
        <v>#REF!</v>
      </c>
      <c r="E1584" t="e">
        <f>#REF!</f>
        <v>#REF!</v>
      </c>
      <c r="F1584" t="e">
        <f>#REF!</f>
        <v>#REF!</v>
      </c>
      <c r="G1584" t="e">
        <f>#REF!</f>
        <v>#REF!</v>
      </c>
      <c r="H1584" t="e">
        <f>#REF!</f>
        <v>#REF!</v>
      </c>
    </row>
    <row r="1585" spans="1:8">
      <c r="A1585" t="e">
        <f>#REF!</f>
        <v>#REF!</v>
      </c>
      <c r="B1585" t="e">
        <f>#REF!</f>
        <v>#REF!</v>
      </c>
      <c r="C1585" t="e">
        <f>#REF!</f>
        <v>#REF!</v>
      </c>
      <c r="D1585" t="e">
        <f>#REF!</f>
        <v>#REF!</v>
      </c>
      <c r="E1585" t="e">
        <f>#REF!</f>
        <v>#REF!</v>
      </c>
      <c r="F1585" t="e">
        <f>#REF!</f>
        <v>#REF!</v>
      </c>
      <c r="G1585" t="e">
        <f>#REF!</f>
        <v>#REF!</v>
      </c>
      <c r="H1585" t="e">
        <f>#REF!</f>
        <v>#REF!</v>
      </c>
    </row>
    <row r="1586" spans="1:8">
      <c r="A1586" t="e">
        <f>#REF!</f>
        <v>#REF!</v>
      </c>
      <c r="B1586" t="e">
        <f>#REF!</f>
        <v>#REF!</v>
      </c>
      <c r="C1586" t="e">
        <f>#REF!</f>
        <v>#REF!</v>
      </c>
      <c r="D1586" t="e">
        <f>#REF!</f>
        <v>#REF!</v>
      </c>
      <c r="E1586" t="e">
        <f>#REF!</f>
        <v>#REF!</v>
      </c>
      <c r="F1586" t="e">
        <f>#REF!</f>
        <v>#REF!</v>
      </c>
      <c r="G1586" t="e">
        <f>#REF!</f>
        <v>#REF!</v>
      </c>
      <c r="H1586" t="e">
        <f>#REF!</f>
        <v>#REF!</v>
      </c>
    </row>
    <row r="1587" spans="1:8">
      <c r="A1587" t="e">
        <f>#REF!</f>
        <v>#REF!</v>
      </c>
      <c r="B1587" t="e">
        <f>#REF!</f>
        <v>#REF!</v>
      </c>
      <c r="C1587" t="e">
        <f>#REF!</f>
        <v>#REF!</v>
      </c>
      <c r="D1587" t="e">
        <f>#REF!</f>
        <v>#REF!</v>
      </c>
      <c r="E1587" t="e">
        <f>#REF!</f>
        <v>#REF!</v>
      </c>
      <c r="F1587" t="e">
        <f>#REF!</f>
        <v>#REF!</v>
      </c>
      <c r="G1587" t="e">
        <f>#REF!</f>
        <v>#REF!</v>
      </c>
      <c r="H1587" t="e">
        <f>#REF!</f>
        <v>#REF!</v>
      </c>
    </row>
    <row r="1588" spans="1:8">
      <c r="A1588" t="e">
        <f>#REF!</f>
        <v>#REF!</v>
      </c>
      <c r="B1588" t="e">
        <f>#REF!</f>
        <v>#REF!</v>
      </c>
      <c r="C1588" t="e">
        <f>#REF!</f>
        <v>#REF!</v>
      </c>
      <c r="D1588" t="e">
        <f>#REF!</f>
        <v>#REF!</v>
      </c>
      <c r="E1588" t="e">
        <f>#REF!</f>
        <v>#REF!</v>
      </c>
      <c r="F1588" t="e">
        <f>#REF!</f>
        <v>#REF!</v>
      </c>
      <c r="G1588" t="e">
        <f>#REF!</f>
        <v>#REF!</v>
      </c>
      <c r="H1588" t="e">
        <f>#REF!</f>
        <v>#REF!</v>
      </c>
    </row>
    <row r="1589" spans="1:8">
      <c r="A1589" t="e">
        <f>#REF!</f>
        <v>#REF!</v>
      </c>
      <c r="B1589" t="e">
        <f>#REF!</f>
        <v>#REF!</v>
      </c>
      <c r="C1589" t="e">
        <f>#REF!</f>
        <v>#REF!</v>
      </c>
      <c r="D1589" t="e">
        <f>#REF!</f>
        <v>#REF!</v>
      </c>
      <c r="E1589" t="e">
        <f>#REF!</f>
        <v>#REF!</v>
      </c>
      <c r="F1589" t="e">
        <f>#REF!</f>
        <v>#REF!</v>
      </c>
      <c r="G1589" t="e">
        <f>#REF!</f>
        <v>#REF!</v>
      </c>
      <c r="H1589" t="e">
        <f>#REF!</f>
        <v>#REF!</v>
      </c>
    </row>
    <row r="1590" spans="1:8">
      <c r="A1590" t="e">
        <f>#REF!</f>
        <v>#REF!</v>
      </c>
      <c r="B1590" t="e">
        <f>#REF!</f>
        <v>#REF!</v>
      </c>
      <c r="C1590" t="e">
        <f>#REF!</f>
        <v>#REF!</v>
      </c>
      <c r="D1590" t="e">
        <f>#REF!</f>
        <v>#REF!</v>
      </c>
      <c r="E1590" t="e">
        <f>#REF!</f>
        <v>#REF!</v>
      </c>
      <c r="F1590" t="e">
        <f>#REF!</f>
        <v>#REF!</v>
      </c>
      <c r="G1590" t="e">
        <f>#REF!</f>
        <v>#REF!</v>
      </c>
      <c r="H1590" t="e">
        <f>#REF!</f>
        <v>#REF!</v>
      </c>
    </row>
    <row r="1591" spans="1:8">
      <c r="A1591" t="e">
        <f>#REF!</f>
        <v>#REF!</v>
      </c>
      <c r="B1591" t="e">
        <f>#REF!</f>
        <v>#REF!</v>
      </c>
      <c r="C1591" t="e">
        <f>#REF!</f>
        <v>#REF!</v>
      </c>
      <c r="D1591" t="e">
        <f>#REF!</f>
        <v>#REF!</v>
      </c>
      <c r="E1591" t="e">
        <f>#REF!</f>
        <v>#REF!</v>
      </c>
      <c r="F1591" t="e">
        <f>#REF!</f>
        <v>#REF!</v>
      </c>
      <c r="G1591" t="e">
        <f>#REF!</f>
        <v>#REF!</v>
      </c>
      <c r="H1591" t="e">
        <f>#REF!</f>
        <v>#REF!</v>
      </c>
    </row>
    <row r="1592" spans="1:8">
      <c r="A1592" t="e">
        <f>#REF!</f>
        <v>#REF!</v>
      </c>
      <c r="B1592" t="e">
        <f>#REF!</f>
        <v>#REF!</v>
      </c>
      <c r="C1592" t="e">
        <f>#REF!</f>
        <v>#REF!</v>
      </c>
      <c r="D1592" t="e">
        <f>#REF!</f>
        <v>#REF!</v>
      </c>
      <c r="E1592" t="e">
        <f>#REF!</f>
        <v>#REF!</v>
      </c>
      <c r="F1592" t="e">
        <f>#REF!</f>
        <v>#REF!</v>
      </c>
      <c r="G1592" t="e">
        <f>#REF!</f>
        <v>#REF!</v>
      </c>
      <c r="H1592" t="e">
        <f>#REF!</f>
        <v>#REF!</v>
      </c>
    </row>
    <row r="1593" spans="1:8">
      <c r="A1593" t="e">
        <f>#REF!</f>
        <v>#REF!</v>
      </c>
      <c r="B1593" t="e">
        <f>#REF!</f>
        <v>#REF!</v>
      </c>
      <c r="C1593" t="e">
        <f>#REF!</f>
        <v>#REF!</v>
      </c>
      <c r="D1593" t="e">
        <f>#REF!</f>
        <v>#REF!</v>
      </c>
      <c r="E1593" t="e">
        <f>#REF!</f>
        <v>#REF!</v>
      </c>
      <c r="F1593" t="e">
        <f>#REF!</f>
        <v>#REF!</v>
      </c>
      <c r="G1593" t="e">
        <f>#REF!</f>
        <v>#REF!</v>
      </c>
      <c r="H1593" t="e">
        <f>#REF!</f>
        <v>#REF!</v>
      </c>
    </row>
    <row r="1594" spans="1:8">
      <c r="A1594" t="e">
        <f>#REF!</f>
        <v>#REF!</v>
      </c>
      <c r="B1594" t="e">
        <f>#REF!</f>
        <v>#REF!</v>
      </c>
      <c r="C1594" t="e">
        <f>#REF!</f>
        <v>#REF!</v>
      </c>
      <c r="D1594" t="e">
        <f>#REF!</f>
        <v>#REF!</v>
      </c>
      <c r="E1594" t="e">
        <f>#REF!</f>
        <v>#REF!</v>
      </c>
      <c r="F1594" t="e">
        <f>#REF!</f>
        <v>#REF!</v>
      </c>
      <c r="G1594" t="e">
        <f>#REF!</f>
        <v>#REF!</v>
      </c>
      <c r="H1594" t="e">
        <f>#REF!</f>
        <v>#REF!</v>
      </c>
    </row>
    <row r="1595" spans="1:8">
      <c r="A1595" t="e">
        <f>#REF!</f>
        <v>#REF!</v>
      </c>
      <c r="B1595" t="e">
        <f>#REF!</f>
        <v>#REF!</v>
      </c>
      <c r="C1595" t="e">
        <f>#REF!</f>
        <v>#REF!</v>
      </c>
      <c r="D1595" t="e">
        <f>#REF!</f>
        <v>#REF!</v>
      </c>
      <c r="E1595" t="e">
        <f>#REF!</f>
        <v>#REF!</v>
      </c>
      <c r="F1595" t="e">
        <f>#REF!</f>
        <v>#REF!</v>
      </c>
      <c r="G1595" t="e">
        <f>#REF!</f>
        <v>#REF!</v>
      </c>
      <c r="H1595" t="e">
        <f>#REF!</f>
        <v>#REF!</v>
      </c>
    </row>
    <row r="1596" spans="1:8">
      <c r="A1596" t="e">
        <f>#REF!</f>
        <v>#REF!</v>
      </c>
      <c r="B1596" t="e">
        <f>#REF!</f>
        <v>#REF!</v>
      </c>
      <c r="C1596" t="e">
        <f>#REF!</f>
        <v>#REF!</v>
      </c>
      <c r="D1596" t="e">
        <f>#REF!</f>
        <v>#REF!</v>
      </c>
      <c r="E1596" t="e">
        <f>#REF!</f>
        <v>#REF!</v>
      </c>
      <c r="F1596" t="e">
        <f>#REF!</f>
        <v>#REF!</v>
      </c>
      <c r="G1596" t="e">
        <f>#REF!</f>
        <v>#REF!</v>
      </c>
      <c r="H1596" t="e">
        <f>#REF!</f>
        <v>#REF!</v>
      </c>
    </row>
    <row r="1597" spans="1:8">
      <c r="A1597" t="e">
        <f>#REF!</f>
        <v>#REF!</v>
      </c>
      <c r="B1597" t="e">
        <f>#REF!</f>
        <v>#REF!</v>
      </c>
      <c r="C1597" t="e">
        <f>#REF!</f>
        <v>#REF!</v>
      </c>
      <c r="D1597" t="e">
        <f>#REF!</f>
        <v>#REF!</v>
      </c>
      <c r="E1597" t="e">
        <f>#REF!</f>
        <v>#REF!</v>
      </c>
      <c r="F1597" t="e">
        <f>#REF!</f>
        <v>#REF!</v>
      </c>
      <c r="G1597" t="e">
        <f>#REF!</f>
        <v>#REF!</v>
      </c>
      <c r="H1597" t="e">
        <f>#REF!</f>
        <v>#REF!</v>
      </c>
    </row>
    <row r="1598" spans="1:8">
      <c r="A1598" t="e">
        <f>#REF!</f>
        <v>#REF!</v>
      </c>
      <c r="B1598" t="e">
        <f>#REF!</f>
        <v>#REF!</v>
      </c>
      <c r="C1598" t="e">
        <f>#REF!</f>
        <v>#REF!</v>
      </c>
      <c r="D1598" t="e">
        <f>#REF!</f>
        <v>#REF!</v>
      </c>
      <c r="E1598" t="e">
        <f>#REF!</f>
        <v>#REF!</v>
      </c>
      <c r="F1598" t="e">
        <f>#REF!</f>
        <v>#REF!</v>
      </c>
      <c r="G1598" t="e">
        <f>#REF!</f>
        <v>#REF!</v>
      </c>
      <c r="H1598" t="e">
        <f>#REF!</f>
        <v>#REF!</v>
      </c>
    </row>
    <row r="1599" spans="1:8">
      <c r="A1599" t="e">
        <f>#REF!</f>
        <v>#REF!</v>
      </c>
      <c r="B1599" t="e">
        <f>#REF!</f>
        <v>#REF!</v>
      </c>
      <c r="C1599" t="e">
        <f>#REF!</f>
        <v>#REF!</v>
      </c>
      <c r="D1599" t="e">
        <f>#REF!</f>
        <v>#REF!</v>
      </c>
      <c r="E1599" t="e">
        <f>#REF!</f>
        <v>#REF!</v>
      </c>
      <c r="F1599" t="e">
        <f>#REF!</f>
        <v>#REF!</v>
      </c>
      <c r="G1599" t="e">
        <f>#REF!</f>
        <v>#REF!</v>
      </c>
      <c r="H1599" t="e">
        <f>#REF!</f>
        <v>#REF!</v>
      </c>
    </row>
    <row r="1600" spans="1:8">
      <c r="A1600" t="e">
        <f>#REF!</f>
        <v>#REF!</v>
      </c>
      <c r="B1600" t="e">
        <f>#REF!</f>
        <v>#REF!</v>
      </c>
      <c r="C1600" t="e">
        <f>#REF!</f>
        <v>#REF!</v>
      </c>
      <c r="D1600" t="e">
        <f>#REF!</f>
        <v>#REF!</v>
      </c>
      <c r="E1600" t="e">
        <f>#REF!</f>
        <v>#REF!</v>
      </c>
      <c r="F1600" t="e">
        <f>#REF!</f>
        <v>#REF!</v>
      </c>
      <c r="G1600" t="e">
        <f>#REF!</f>
        <v>#REF!</v>
      </c>
      <c r="H1600" t="e">
        <f>#REF!</f>
        <v>#REF!</v>
      </c>
    </row>
    <row r="1601" spans="1:8">
      <c r="A1601" t="e">
        <f>#REF!</f>
        <v>#REF!</v>
      </c>
      <c r="B1601" t="e">
        <f>#REF!</f>
        <v>#REF!</v>
      </c>
      <c r="C1601" t="e">
        <f>#REF!</f>
        <v>#REF!</v>
      </c>
      <c r="D1601" t="e">
        <f>#REF!</f>
        <v>#REF!</v>
      </c>
      <c r="E1601" t="e">
        <f>#REF!</f>
        <v>#REF!</v>
      </c>
      <c r="F1601" t="e">
        <f>#REF!</f>
        <v>#REF!</v>
      </c>
      <c r="G1601" t="e">
        <f>#REF!</f>
        <v>#REF!</v>
      </c>
      <c r="H1601" t="e">
        <f>#REF!</f>
        <v>#REF!</v>
      </c>
    </row>
    <row r="1602" spans="1:8">
      <c r="A1602" t="e">
        <f>#REF!</f>
        <v>#REF!</v>
      </c>
      <c r="B1602" t="e">
        <f>#REF!</f>
        <v>#REF!</v>
      </c>
      <c r="C1602" t="e">
        <f>#REF!</f>
        <v>#REF!</v>
      </c>
      <c r="D1602" t="e">
        <f>#REF!</f>
        <v>#REF!</v>
      </c>
      <c r="E1602" t="e">
        <f>#REF!</f>
        <v>#REF!</v>
      </c>
      <c r="F1602" t="e">
        <f>#REF!</f>
        <v>#REF!</v>
      </c>
      <c r="G1602" t="e">
        <f>#REF!</f>
        <v>#REF!</v>
      </c>
      <c r="H1602" t="e">
        <f>#REF!</f>
        <v>#REF!</v>
      </c>
    </row>
    <row r="1603" spans="1:8">
      <c r="A1603" t="e">
        <f>#REF!</f>
        <v>#REF!</v>
      </c>
      <c r="B1603" t="e">
        <f>#REF!</f>
        <v>#REF!</v>
      </c>
      <c r="C1603" t="e">
        <f>#REF!</f>
        <v>#REF!</v>
      </c>
      <c r="D1603" t="e">
        <f>#REF!</f>
        <v>#REF!</v>
      </c>
      <c r="E1603" t="e">
        <f>#REF!</f>
        <v>#REF!</v>
      </c>
      <c r="F1603" t="e">
        <f>#REF!</f>
        <v>#REF!</v>
      </c>
      <c r="G1603" t="e">
        <f>#REF!</f>
        <v>#REF!</v>
      </c>
      <c r="H1603" t="e">
        <f>#REF!</f>
        <v>#REF!</v>
      </c>
    </row>
    <row r="1604" spans="1:8">
      <c r="A1604" t="e">
        <f>#REF!</f>
        <v>#REF!</v>
      </c>
      <c r="B1604" t="e">
        <f>#REF!</f>
        <v>#REF!</v>
      </c>
      <c r="C1604" t="e">
        <f>#REF!</f>
        <v>#REF!</v>
      </c>
      <c r="D1604" t="e">
        <f>#REF!</f>
        <v>#REF!</v>
      </c>
      <c r="E1604" t="e">
        <f>#REF!</f>
        <v>#REF!</v>
      </c>
      <c r="F1604" t="e">
        <f>#REF!</f>
        <v>#REF!</v>
      </c>
      <c r="G1604" t="e">
        <f>#REF!</f>
        <v>#REF!</v>
      </c>
      <c r="H1604" t="e">
        <f>#REF!</f>
        <v>#REF!</v>
      </c>
    </row>
    <row r="1605" spans="1:8">
      <c r="A1605" t="e">
        <f>#REF!</f>
        <v>#REF!</v>
      </c>
      <c r="B1605" t="e">
        <f>#REF!</f>
        <v>#REF!</v>
      </c>
      <c r="C1605" t="e">
        <f>#REF!</f>
        <v>#REF!</v>
      </c>
      <c r="D1605" t="e">
        <f>#REF!</f>
        <v>#REF!</v>
      </c>
      <c r="E1605" t="e">
        <f>#REF!</f>
        <v>#REF!</v>
      </c>
      <c r="F1605" t="e">
        <f>#REF!</f>
        <v>#REF!</v>
      </c>
      <c r="G1605" t="e">
        <f>#REF!</f>
        <v>#REF!</v>
      </c>
      <c r="H1605" t="e">
        <f>#REF!</f>
        <v>#REF!</v>
      </c>
    </row>
    <row r="1606" spans="1:8">
      <c r="A1606" t="e">
        <f>#REF!</f>
        <v>#REF!</v>
      </c>
      <c r="B1606" t="e">
        <f>#REF!</f>
        <v>#REF!</v>
      </c>
      <c r="C1606" t="e">
        <f>#REF!</f>
        <v>#REF!</v>
      </c>
      <c r="D1606" t="e">
        <f>#REF!</f>
        <v>#REF!</v>
      </c>
      <c r="E1606" t="e">
        <f>#REF!</f>
        <v>#REF!</v>
      </c>
      <c r="F1606" t="e">
        <f>#REF!</f>
        <v>#REF!</v>
      </c>
      <c r="G1606" t="e">
        <f>#REF!</f>
        <v>#REF!</v>
      </c>
      <c r="H1606" t="e">
        <f>#REF!</f>
        <v>#REF!</v>
      </c>
    </row>
    <row r="1607" spans="1:8">
      <c r="A1607" t="e">
        <f>#REF!</f>
        <v>#REF!</v>
      </c>
      <c r="B1607" t="e">
        <f>#REF!</f>
        <v>#REF!</v>
      </c>
      <c r="C1607" t="e">
        <f>#REF!</f>
        <v>#REF!</v>
      </c>
      <c r="D1607" t="e">
        <f>#REF!</f>
        <v>#REF!</v>
      </c>
      <c r="E1607" t="e">
        <f>#REF!</f>
        <v>#REF!</v>
      </c>
      <c r="F1607" t="e">
        <f>#REF!</f>
        <v>#REF!</v>
      </c>
      <c r="G1607" t="e">
        <f>#REF!</f>
        <v>#REF!</v>
      </c>
      <c r="H1607" t="e">
        <f>#REF!</f>
        <v>#REF!</v>
      </c>
    </row>
    <row r="1608" spans="1:8">
      <c r="A1608" t="e">
        <f>#REF!</f>
        <v>#REF!</v>
      </c>
      <c r="B1608" t="e">
        <f>#REF!</f>
        <v>#REF!</v>
      </c>
      <c r="C1608" t="e">
        <f>#REF!</f>
        <v>#REF!</v>
      </c>
      <c r="D1608" t="e">
        <f>#REF!</f>
        <v>#REF!</v>
      </c>
      <c r="E1608" t="e">
        <f>#REF!</f>
        <v>#REF!</v>
      </c>
      <c r="F1608" t="e">
        <f>#REF!</f>
        <v>#REF!</v>
      </c>
      <c r="G1608" t="e">
        <f>#REF!</f>
        <v>#REF!</v>
      </c>
      <c r="H1608" t="e">
        <f>#REF!</f>
        <v>#REF!</v>
      </c>
    </row>
    <row r="1609" spans="1:8">
      <c r="A1609" t="e">
        <f>#REF!</f>
        <v>#REF!</v>
      </c>
      <c r="B1609" t="e">
        <f>#REF!</f>
        <v>#REF!</v>
      </c>
      <c r="C1609" t="e">
        <f>#REF!</f>
        <v>#REF!</v>
      </c>
      <c r="D1609" t="e">
        <f>#REF!</f>
        <v>#REF!</v>
      </c>
      <c r="E1609" t="e">
        <f>#REF!</f>
        <v>#REF!</v>
      </c>
      <c r="F1609" t="e">
        <f>#REF!</f>
        <v>#REF!</v>
      </c>
      <c r="G1609" t="e">
        <f>#REF!</f>
        <v>#REF!</v>
      </c>
      <c r="H1609" t="e">
        <f>#REF!</f>
        <v>#REF!</v>
      </c>
    </row>
    <row r="1610" spans="1:8">
      <c r="A1610" t="e">
        <f>#REF!</f>
        <v>#REF!</v>
      </c>
      <c r="B1610" t="e">
        <f>#REF!</f>
        <v>#REF!</v>
      </c>
      <c r="C1610" t="e">
        <f>#REF!</f>
        <v>#REF!</v>
      </c>
      <c r="D1610" t="e">
        <f>#REF!</f>
        <v>#REF!</v>
      </c>
      <c r="E1610" t="e">
        <f>#REF!</f>
        <v>#REF!</v>
      </c>
      <c r="F1610" t="e">
        <f>#REF!</f>
        <v>#REF!</v>
      </c>
      <c r="G1610" t="e">
        <f>#REF!</f>
        <v>#REF!</v>
      </c>
      <c r="H1610" t="e">
        <f>#REF!</f>
        <v>#REF!</v>
      </c>
    </row>
    <row r="1611" spans="1:8">
      <c r="A1611" t="e">
        <f>#REF!</f>
        <v>#REF!</v>
      </c>
      <c r="B1611" t="e">
        <f>#REF!</f>
        <v>#REF!</v>
      </c>
      <c r="C1611" t="e">
        <f>#REF!</f>
        <v>#REF!</v>
      </c>
      <c r="D1611" t="e">
        <f>#REF!</f>
        <v>#REF!</v>
      </c>
      <c r="E1611" t="e">
        <f>#REF!</f>
        <v>#REF!</v>
      </c>
      <c r="F1611" t="e">
        <f>#REF!</f>
        <v>#REF!</v>
      </c>
      <c r="G1611" t="e">
        <f>#REF!</f>
        <v>#REF!</v>
      </c>
      <c r="H1611" t="e">
        <f>#REF!</f>
        <v>#REF!</v>
      </c>
    </row>
    <row r="1612" spans="1:8">
      <c r="A1612" t="e">
        <f>#REF!</f>
        <v>#REF!</v>
      </c>
      <c r="B1612" t="e">
        <f>#REF!</f>
        <v>#REF!</v>
      </c>
      <c r="C1612" t="e">
        <f>#REF!</f>
        <v>#REF!</v>
      </c>
      <c r="D1612" t="e">
        <f>#REF!</f>
        <v>#REF!</v>
      </c>
      <c r="E1612" t="e">
        <f>#REF!</f>
        <v>#REF!</v>
      </c>
      <c r="F1612" t="e">
        <f>#REF!</f>
        <v>#REF!</v>
      </c>
      <c r="G1612" t="e">
        <f>#REF!</f>
        <v>#REF!</v>
      </c>
      <c r="H1612" t="e">
        <f>#REF!</f>
        <v>#REF!</v>
      </c>
    </row>
    <row r="1613" spans="1:8">
      <c r="A1613" t="e">
        <f>#REF!</f>
        <v>#REF!</v>
      </c>
      <c r="B1613" t="e">
        <f>#REF!</f>
        <v>#REF!</v>
      </c>
      <c r="C1613" t="e">
        <f>#REF!</f>
        <v>#REF!</v>
      </c>
      <c r="D1613" t="e">
        <f>#REF!</f>
        <v>#REF!</v>
      </c>
      <c r="E1613" t="e">
        <f>#REF!</f>
        <v>#REF!</v>
      </c>
      <c r="F1613" t="e">
        <f>#REF!</f>
        <v>#REF!</v>
      </c>
      <c r="G1613" t="e">
        <f>#REF!</f>
        <v>#REF!</v>
      </c>
      <c r="H1613" t="e">
        <f>#REF!</f>
        <v>#REF!</v>
      </c>
    </row>
    <row r="1614" spans="1:8">
      <c r="A1614" t="e">
        <f>#REF!</f>
        <v>#REF!</v>
      </c>
      <c r="B1614" t="e">
        <f>#REF!</f>
        <v>#REF!</v>
      </c>
      <c r="C1614" t="e">
        <f>#REF!</f>
        <v>#REF!</v>
      </c>
      <c r="D1614" t="e">
        <f>#REF!</f>
        <v>#REF!</v>
      </c>
      <c r="E1614" t="e">
        <f>#REF!</f>
        <v>#REF!</v>
      </c>
      <c r="F1614" t="e">
        <f>#REF!</f>
        <v>#REF!</v>
      </c>
      <c r="G1614" t="e">
        <f>#REF!</f>
        <v>#REF!</v>
      </c>
      <c r="H1614" t="e">
        <f>#REF!</f>
        <v>#REF!</v>
      </c>
    </row>
    <row r="1615" spans="1:8">
      <c r="A1615" t="e">
        <f>#REF!</f>
        <v>#REF!</v>
      </c>
      <c r="B1615" t="e">
        <f>#REF!</f>
        <v>#REF!</v>
      </c>
      <c r="C1615" t="e">
        <f>#REF!</f>
        <v>#REF!</v>
      </c>
      <c r="D1615" t="e">
        <f>#REF!</f>
        <v>#REF!</v>
      </c>
      <c r="E1615" t="e">
        <f>#REF!</f>
        <v>#REF!</v>
      </c>
      <c r="F1615" t="e">
        <f>#REF!</f>
        <v>#REF!</v>
      </c>
      <c r="G1615" t="e">
        <f>#REF!</f>
        <v>#REF!</v>
      </c>
      <c r="H1615" t="e">
        <f>#REF!</f>
        <v>#REF!</v>
      </c>
    </row>
    <row r="1616" spans="1:8">
      <c r="A1616" t="e">
        <f>#REF!</f>
        <v>#REF!</v>
      </c>
      <c r="B1616" t="e">
        <f>#REF!</f>
        <v>#REF!</v>
      </c>
      <c r="C1616" t="e">
        <f>#REF!</f>
        <v>#REF!</v>
      </c>
      <c r="D1616" t="e">
        <f>#REF!</f>
        <v>#REF!</v>
      </c>
      <c r="E1616" t="e">
        <f>#REF!</f>
        <v>#REF!</v>
      </c>
      <c r="F1616" t="e">
        <f>#REF!</f>
        <v>#REF!</v>
      </c>
      <c r="G1616" t="e">
        <f>#REF!</f>
        <v>#REF!</v>
      </c>
      <c r="H1616" t="e">
        <f>#REF!</f>
        <v>#REF!</v>
      </c>
    </row>
    <row r="1617" spans="1:8">
      <c r="A1617" t="e">
        <f>#REF!</f>
        <v>#REF!</v>
      </c>
      <c r="B1617" t="e">
        <f>#REF!</f>
        <v>#REF!</v>
      </c>
      <c r="C1617" t="e">
        <f>#REF!</f>
        <v>#REF!</v>
      </c>
      <c r="D1617" t="e">
        <f>#REF!</f>
        <v>#REF!</v>
      </c>
      <c r="E1617" t="e">
        <f>#REF!</f>
        <v>#REF!</v>
      </c>
      <c r="F1617" t="e">
        <f>#REF!</f>
        <v>#REF!</v>
      </c>
      <c r="G1617" t="e">
        <f>#REF!</f>
        <v>#REF!</v>
      </c>
      <c r="H1617" t="e">
        <f>#REF!</f>
        <v>#REF!</v>
      </c>
    </row>
    <row r="1618" spans="1:8">
      <c r="A1618" t="e">
        <f>#REF!</f>
        <v>#REF!</v>
      </c>
      <c r="B1618" t="e">
        <f>#REF!</f>
        <v>#REF!</v>
      </c>
      <c r="C1618" t="e">
        <f>#REF!</f>
        <v>#REF!</v>
      </c>
      <c r="D1618" t="e">
        <f>#REF!</f>
        <v>#REF!</v>
      </c>
      <c r="E1618" t="e">
        <f>#REF!</f>
        <v>#REF!</v>
      </c>
      <c r="F1618" t="e">
        <f>#REF!</f>
        <v>#REF!</v>
      </c>
      <c r="G1618" t="e">
        <f>#REF!</f>
        <v>#REF!</v>
      </c>
      <c r="H1618" t="e">
        <f>#REF!</f>
        <v>#REF!</v>
      </c>
    </row>
    <row r="1619" spans="1:8">
      <c r="A1619" t="e">
        <f>#REF!</f>
        <v>#REF!</v>
      </c>
      <c r="B1619" t="e">
        <f>#REF!</f>
        <v>#REF!</v>
      </c>
      <c r="C1619" t="e">
        <f>#REF!</f>
        <v>#REF!</v>
      </c>
      <c r="D1619" t="e">
        <f>#REF!</f>
        <v>#REF!</v>
      </c>
      <c r="E1619" t="e">
        <f>#REF!</f>
        <v>#REF!</v>
      </c>
      <c r="F1619" t="e">
        <f>#REF!</f>
        <v>#REF!</v>
      </c>
      <c r="G1619" t="e">
        <f>#REF!</f>
        <v>#REF!</v>
      </c>
      <c r="H1619" t="e">
        <f>#REF!</f>
        <v>#REF!</v>
      </c>
    </row>
    <row r="1620" spans="1:8">
      <c r="A1620" t="e">
        <f>#REF!</f>
        <v>#REF!</v>
      </c>
      <c r="B1620" t="e">
        <f>#REF!</f>
        <v>#REF!</v>
      </c>
      <c r="C1620" t="e">
        <f>#REF!</f>
        <v>#REF!</v>
      </c>
      <c r="D1620" t="e">
        <f>#REF!</f>
        <v>#REF!</v>
      </c>
      <c r="E1620" t="e">
        <f>#REF!</f>
        <v>#REF!</v>
      </c>
      <c r="F1620" t="e">
        <f>#REF!</f>
        <v>#REF!</v>
      </c>
      <c r="G1620" t="e">
        <f>#REF!</f>
        <v>#REF!</v>
      </c>
      <c r="H1620" t="e">
        <f>#REF!</f>
        <v>#REF!</v>
      </c>
    </row>
    <row r="1621" spans="1:8">
      <c r="A1621" t="e">
        <f>#REF!</f>
        <v>#REF!</v>
      </c>
      <c r="B1621" t="e">
        <f>#REF!</f>
        <v>#REF!</v>
      </c>
      <c r="C1621" t="e">
        <f>#REF!</f>
        <v>#REF!</v>
      </c>
      <c r="D1621" t="e">
        <f>#REF!</f>
        <v>#REF!</v>
      </c>
      <c r="E1621" t="e">
        <f>#REF!</f>
        <v>#REF!</v>
      </c>
      <c r="F1621" t="e">
        <f>#REF!</f>
        <v>#REF!</v>
      </c>
      <c r="G1621" t="e">
        <f>#REF!</f>
        <v>#REF!</v>
      </c>
      <c r="H1621" t="e">
        <f>#REF!</f>
        <v>#REF!</v>
      </c>
    </row>
    <row r="1622" spans="1:8">
      <c r="A1622" t="e">
        <f>#REF!</f>
        <v>#REF!</v>
      </c>
      <c r="B1622" t="e">
        <f>#REF!</f>
        <v>#REF!</v>
      </c>
      <c r="C1622" t="e">
        <f>#REF!</f>
        <v>#REF!</v>
      </c>
      <c r="D1622" t="e">
        <f>#REF!</f>
        <v>#REF!</v>
      </c>
      <c r="E1622" t="e">
        <f>#REF!</f>
        <v>#REF!</v>
      </c>
      <c r="F1622" t="e">
        <f>#REF!</f>
        <v>#REF!</v>
      </c>
      <c r="G1622" t="e">
        <f>#REF!</f>
        <v>#REF!</v>
      </c>
      <c r="H1622" t="e">
        <f>#REF!</f>
        <v>#REF!</v>
      </c>
    </row>
    <row r="1623" spans="1:8">
      <c r="A1623" t="e">
        <f>#REF!</f>
        <v>#REF!</v>
      </c>
      <c r="B1623" t="e">
        <f>#REF!</f>
        <v>#REF!</v>
      </c>
      <c r="C1623" t="e">
        <f>#REF!</f>
        <v>#REF!</v>
      </c>
      <c r="D1623" t="e">
        <f>#REF!</f>
        <v>#REF!</v>
      </c>
      <c r="E1623" t="e">
        <f>#REF!</f>
        <v>#REF!</v>
      </c>
      <c r="F1623" t="e">
        <f>#REF!</f>
        <v>#REF!</v>
      </c>
      <c r="G1623" t="e">
        <f>#REF!</f>
        <v>#REF!</v>
      </c>
      <c r="H1623" t="e">
        <f>#REF!</f>
        <v>#REF!</v>
      </c>
    </row>
    <row r="1624" spans="1:8">
      <c r="A1624" t="e">
        <f>#REF!</f>
        <v>#REF!</v>
      </c>
      <c r="B1624" t="e">
        <f>#REF!</f>
        <v>#REF!</v>
      </c>
      <c r="C1624" t="e">
        <f>#REF!</f>
        <v>#REF!</v>
      </c>
      <c r="D1624" t="e">
        <f>#REF!</f>
        <v>#REF!</v>
      </c>
      <c r="E1624" t="e">
        <f>#REF!</f>
        <v>#REF!</v>
      </c>
      <c r="F1624" t="e">
        <f>#REF!</f>
        <v>#REF!</v>
      </c>
      <c r="G1624" t="e">
        <f>#REF!</f>
        <v>#REF!</v>
      </c>
      <c r="H1624" t="e">
        <f>#REF!</f>
        <v>#REF!</v>
      </c>
    </row>
    <row r="1625" spans="1:8">
      <c r="A1625" t="e">
        <f>#REF!</f>
        <v>#REF!</v>
      </c>
      <c r="B1625" t="e">
        <f>#REF!</f>
        <v>#REF!</v>
      </c>
      <c r="C1625" t="e">
        <f>#REF!</f>
        <v>#REF!</v>
      </c>
      <c r="D1625" t="e">
        <f>#REF!</f>
        <v>#REF!</v>
      </c>
      <c r="E1625" t="e">
        <f>#REF!</f>
        <v>#REF!</v>
      </c>
      <c r="F1625" t="e">
        <f>#REF!</f>
        <v>#REF!</v>
      </c>
      <c r="G1625" t="e">
        <f>#REF!</f>
        <v>#REF!</v>
      </c>
      <c r="H1625" t="e">
        <f>#REF!</f>
        <v>#REF!</v>
      </c>
    </row>
    <row r="1626" spans="1:8">
      <c r="A1626" t="e">
        <f>#REF!</f>
        <v>#REF!</v>
      </c>
      <c r="B1626" t="e">
        <f>#REF!</f>
        <v>#REF!</v>
      </c>
      <c r="C1626" t="e">
        <f>#REF!</f>
        <v>#REF!</v>
      </c>
      <c r="D1626" t="e">
        <f>#REF!</f>
        <v>#REF!</v>
      </c>
      <c r="E1626" t="e">
        <f>#REF!</f>
        <v>#REF!</v>
      </c>
      <c r="F1626" t="e">
        <f>#REF!</f>
        <v>#REF!</v>
      </c>
      <c r="G1626" t="e">
        <f>#REF!</f>
        <v>#REF!</v>
      </c>
      <c r="H1626" t="e">
        <f>#REF!</f>
        <v>#REF!</v>
      </c>
    </row>
    <row r="1627" spans="1:8">
      <c r="A1627" t="e">
        <f>#REF!</f>
        <v>#REF!</v>
      </c>
      <c r="B1627" t="e">
        <f>#REF!</f>
        <v>#REF!</v>
      </c>
      <c r="C1627" t="e">
        <f>#REF!</f>
        <v>#REF!</v>
      </c>
      <c r="D1627" t="e">
        <f>#REF!</f>
        <v>#REF!</v>
      </c>
      <c r="E1627" t="e">
        <f>#REF!</f>
        <v>#REF!</v>
      </c>
      <c r="F1627" t="e">
        <f>#REF!</f>
        <v>#REF!</v>
      </c>
      <c r="G1627" t="e">
        <f>#REF!</f>
        <v>#REF!</v>
      </c>
      <c r="H1627" t="e">
        <f>#REF!</f>
        <v>#REF!</v>
      </c>
    </row>
    <row r="1628" spans="1:8">
      <c r="A1628" t="e">
        <f>#REF!</f>
        <v>#REF!</v>
      </c>
      <c r="B1628" t="e">
        <f>#REF!</f>
        <v>#REF!</v>
      </c>
      <c r="C1628" t="e">
        <f>#REF!</f>
        <v>#REF!</v>
      </c>
      <c r="D1628" t="e">
        <f>#REF!</f>
        <v>#REF!</v>
      </c>
      <c r="E1628" t="e">
        <f>#REF!</f>
        <v>#REF!</v>
      </c>
      <c r="F1628" t="e">
        <f>#REF!</f>
        <v>#REF!</v>
      </c>
      <c r="G1628" t="e">
        <f>#REF!</f>
        <v>#REF!</v>
      </c>
      <c r="H1628" t="e">
        <f>#REF!</f>
        <v>#REF!</v>
      </c>
    </row>
    <row r="1629" spans="1:8">
      <c r="A1629" t="e">
        <f>#REF!</f>
        <v>#REF!</v>
      </c>
      <c r="B1629" t="e">
        <f>#REF!</f>
        <v>#REF!</v>
      </c>
      <c r="C1629" t="e">
        <f>#REF!</f>
        <v>#REF!</v>
      </c>
      <c r="D1629" t="e">
        <f>#REF!</f>
        <v>#REF!</v>
      </c>
      <c r="E1629" t="e">
        <f>#REF!</f>
        <v>#REF!</v>
      </c>
      <c r="F1629" t="e">
        <f>#REF!</f>
        <v>#REF!</v>
      </c>
      <c r="G1629" t="e">
        <f>#REF!</f>
        <v>#REF!</v>
      </c>
      <c r="H1629" t="e">
        <f>#REF!</f>
        <v>#REF!</v>
      </c>
    </row>
    <row r="1630" spans="1:8">
      <c r="A1630" t="e">
        <f>#REF!</f>
        <v>#REF!</v>
      </c>
      <c r="B1630" t="e">
        <f>#REF!</f>
        <v>#REF!</v>
      </c>
      <c r="C1630" t="e">
        <f>#REF!</f>
        <v>#REF!</v>
      </c>
      <c r="D1630" t="e">
        <f>#REF!</f>
        <v>#REF!</v>
      </c>
      <c r="E1630" t="e">
        <f>#REF!</f>
        <v>#REF!</v>
      </c>
      <c r="F1630" t="e">
        <f>#REF!</f>
        <v>#REF!</v>
      </c>
      <c r="G1630" t="e">
        <f>#REF!</f>
        <v>#REF!</v>
      </c>
      <c r="H1630" t="e">
        <f>#REF!</f>
        <v>#REF!</v>
      </c>
    </row>
    <row r="1631" spans="1:8">
      <c r="A1631" t="e">
        <f>#REF!</f>
        <v>#REF!</v>
      </c>
      <c r="B1631" t="e">
        <f>#REF!</f>
        <v>#REF!</v>
      </c>
      <c r="C1631" t="e">
        <f>#REF!</f>
        <v>#REF!</v>
      </c>
      <c r="D1631" t="e">
        <f>#REF!</f>
        <v>#REF!</v>
      </c>
      <c r="E1631" t="e">
        <f>#REF!</f>
        <v>#REF!</v>
      </c>
      <c r="F1631" t="e">
        <f>#REF!</f>
        <v>#REF!</v>
      </c>
      <c r="G1631" t="e">
        <f>#REF!</f>
        <v>#REF!</v>
      </c>
      <c r="H1631" t="e">
        <f>#REF!</f>
        <v>#REF!</v>
      </c>
    </row>
    <row r="1632" spans="1:8">
      <c r="A1632" t="e">
        <f>#REF!</f>
        <v>#REF!</v>
      </c>
      <c r="B1632" t="e">
        <f>#REF!</f>
        <v>#REF!</v>
      </c>
      <c r="C1632" t="e">
        <f>#REF!</f>
        <v>#REF!</v>
      </c>
      <c r="D1632" t="e">
        <f>#REF!</f>
        <v>#REF!</v>
      </c>
      <c r="E1632" t="e">
        <f>#REF!</f>
        <v>#REF!</v>
      </c>
      <c r="F1632" t="e">
        <f>#REF!</f>
        <v>#REF!</v>
      </c>
      <c r="G1632" t="e">
        <f>#REF!</f>
        <v>#REF!</v>
      </c>
      <c r="H1632" t="e">
        <f>#REF!</f>
        <v>#REF!</v>
      </c>
    </row>
    <row r="1633" spans="1:8">
      <c r="A1633" t="e">
        <f>#REF!</f>
        <v>#REF!</v>
      </c>
      <c r="B1633" t="e">
        <f>#REF!</f>
        <v>#REF!</v>
      </c>
      <c r="C1633" t="e">
        <f>#REF!</f>
        <v>#REF!</v>
      </c>
      <c r="D1633" t="e">
        <f>#REF!</f>
        <v>#REF!</v>
      </c>
      <c r="E1633" t="e">
        <f>#REF!</f>
        <v>#REF!</v>
      </c>
      <c r="F1633" t="e">
        <f>#REF!</f>
        <v>#REF!</v>
      </c>
      <c r="G1633" t="e">
        <f>#REF!</f>
        <v>#REF!</v>
      </c>
      <c r="H1633" t="e">
        <f>#REF!</f>
        <v>#REF!</v>
      </c>
    </row>
    <row r="1634" spans="1:8">
      <c r="A1634" t="e">
        <f>#REF!</f>
        <v>#REF!</v>
      </c>
      <c r="B1634" t="e">
        <f>#REF!</f>
        <v>#REF!</v>
      </c>
      <c r="C1634" t="e">
        <f>#REF!</f>
        <v>#REF!</v>
      </c>
      <c r="D1634" t="e">
        <f>#REF!</f>
        <v>#REF!</v>
      </c>
      <c r="E1634" t="e">
        <f>#REF!</f>
        <v>#REF!</v>
      </c>
      <c r="F1634" t="e">
        <f>#REF!</f>
        <v>#REF!</v>
      </c>
      <c r="G1634" t="e">
        <f>#REF!</f>
        <v>#REF!</v>
      </c>
      <c r="H1634" t="e">
        <f>#REF!</f>
        <v>#REF!</v>
      </c>
    </row>
    <row r="1635" spans="1:8">
      <c r="A1635" t="e">
        <f>#REF!</f>
        <v>#REF!</v>
      </c>
      <c r="B1635" t="e">
        <f>#REF!</f>
        <v>#REF!</v>
      </c>
      <c r="C1635" t="e">
        <f>#REF!</f>
        <v>#REF!</v>
      </c>
      <c r="D1635" t="e">
        <f>#REF!</f>
        <v>#REF!</v>
      </c>
      <c r="E1635" t="e">
        <f>#REF!</f>
        <v>#REF!</v>
      </c>
      <c r="F1635" t="e">
        <f>#REF!</f>
        <v>#REF!</v>
      </c>
      <c r="G1635" t="e">
        <f>#REF!</f>
        <v>#REF!</v>
      </c>
      <c r="H1635" t="e">
        <f>#REF!</f>
        <v>#REF!</v>
      </c>
    </row>
    <row r="1636" spans="1:8">
      <c r="A1636" t="e">
        <f>#REF!</f>
        <v>#REF!</v>
      </c>
      <c r="B1636" t="e">
        <f>#REF!</f>
        <v>#REF!</v>
      </c>
      <c r="C1636" t="e">
        <f>#REF!</f>
        <v>#REF!</v>
      </c>
      <c r="D1636" t="e">
        <f>#REF!</f>
        <v>#REF!</v>
      </c>
      <c r="E1636" t="e">
        <f>#REF!</f>
        <v>#REF!</v>
      </c>
      <c r="F1636" t="e">
        <f>#REF!</f>
        <v>#REF!</v>
      </c>
      <c r="G1636" t="e">
        <f>#REF!</f>
        <v>#REF!</v>
      </c>
      <c r="H1636" t="e">
        <f>#REF!</f>
        <v>#REF!</v>
      </c>
    </row>
    <row r="1637" spans="1:8">
      <c r="A1637" t="e">
        <f>#REF!</f>
        <v>#REF!</v>
      </c>
      <c r="B1637" t="e">
        <f>#REF!</f>
        <v>#REF!</v>
      </c>
      <c r="C1637" t="e">
        <f>#REF!</f>
        <v>#REF!</v>
      </c>
      <c r="D1637" t="e">
        <f>#REF!</f>
        <v>#REF!</v>
      </c>
      <c r="E1637" t="e">
        <f>#REF!</f>
        <v>#REF!</v>
      </c>
      <c r="F1637" t="e">
        <f>#REF!</f>
        <v>#REF!</v>
      </c>
      <c r="G1637" t="e">
        <f>#REF!</f>
        <v>#REF!</v>
      </c>
      <c r="H1637" t="e">
        <f>#REF!</f>
        <v>#REF!</v>
      </c>
    </row>
    <row r="1638" spans="1:8">
      <c r="A1638" t="e">
        <f>#REF!</f>
        <v>#REF!</v>
      </c>
      <c r="B1638" t="e">
        <f>#REF!</f>
        <v>#REF!</v>
      </c>
      <c r="C1638" t="e">
        <f>#REF!</f>
        <v>#REF!</v>
      </c>
      <c r="D1638" t="e">
        <f>#REF!</f>
        <v>#REF!</v>
      </c>
      <c r="E1638" t="e">
        <f>#REF!</f>
        <v>#REF!</v>
      </c>
      <c r="F1638" t="e">
        <f>#REF!</f>
        <v>#REF!</v>
      </c>
      <c r="G1638" t="e">
        <f>#REF!</f>
        <v>#REF!</v>
      </c>
      <c r="H1638" t="e">
        <f>#REF!</f>
        <v>#REF!</v>
      </c>
    </row>
    <row r="1639" spans="1:8">
      <c r="A1639" t="e">
        <f>#REF!</f>
        <v>#REF!</v>
      </c>
      <c r="B1639" t="e">
        <f>#REF!</f>
        <v>#REF!</v>
      </c>
      <c r="C1639" t="e">
        <f>#REF!</f>
        <v>#REF!</v>
      </c>
      <c r="D1639" t="e">
        <f>#REF!</f>
        <v>#REF!</v>
      </c>
      <c r="E1639" t="e">
        <f>#REF!</f>
        <v>#REF!</v>
      </c>
      <c r="F1639" t="e">
        <f>#REF!</f>
        <v>#REF!</v>
      </c>
      <c r="G1639" t="e">
        <f>#REF!</f>
        <v>#REF!</v>
      </c>
      <c r="H1639" t="e">
        <f>#REF!</f>
        <v>#REF!</v>
      </c>
    </row>
    <row r="1640" spans="1:8">
      <c r="A1640" t="e">
        <f>#REF!</f>
        <v>#REF!</v>
      </c>
      <c r="B1640" t="e">
        <f>#REF!</f>
        <v>#REF!</v>
      </c>
      <c r="C1640" t="e">
        <f>#REF!</f>
        <v>#REF!</v>
      </c>
      <c r="D1640" t="e">
        <f>#REF!</f>
        <v>#REF!</v>
      </c>
      <c r="E1640" t="e">
        <f>#REF!</f>
        <v>#REF!</v>
      </c>
      <c r="F1640" t="e">
        <f>#REF!</f>
        <v>#REF!</v>
      </c>
      <c r="G1640" t="e">
        <f>#REF!</f>
        <v>#REF!</v>
      </c>
      <c r="H1640" t="e">
        <f>#REF!</f>
        <v>#REF!</v>
      </c>
    </row>
    <row r="1641" spans="1:8">
      <c r="A1641" t="e">
        <f>#REF!</f>
        <v>#REF!</v>
      </c>
      <c r="B1641" t="e">
        <f>#REF!</f>
        <v>#REF!</v>
      </c>
      <c r="C1641" t="e">
        <f>#REF!</f>
        <v>#REF!</v>
      </c>
      <c r="D1641" t="e">
        <f>#REF!</f>
        <v>#REF!</v>
      </c>
      <c r="E1641" t="e">
        <f>#REF!</f>
        <v>#REF!</v>
      </c>
      <c r="F1641" t="e">
        <f>#REF!</f>
        <v>#REF!</v>
      </c>
      <c r="G1641" t="e">
        <f>#REF!</f>
        <v>#REF!</v>
      </c>
      <c r="H1641" t="e">
        <f>#REF!</f>
        <v>#REF!</v>
      </c>
    </row>
    <row r="1642" spans="1:8">
      <c r="A1642" t="e">
        <f>#REF!</f>
        <v>#REF!</v>
      </c>
      <c r="B1642" t="e">
        <f>#REF!</f>
        <v>#REF!</v>
      </c>
      <c r="C1642" t="e">
        <f>#REF!</f>
        <v>#REF!</v>
      </c>
      <c r="D1642" t="e">
        <f>#REF!</f>
        <v>#REF!</v>
      </c>
      <c r="E1642" t="e">
        <f>#REF!</f>
        <v>#REF!</v>
      </c>
      <c r="F1642" t="e">
        <f>#REF!</f>
        <v>#REF!</v>
      </c>
      <c r="G1642" t="e">
        <f>#REF!</f>
        <v>#REF!</v>
      </c>
      <c r="H1642" t="e">
        <f>#REF!</f>
        <v>#REF!</v>
      </c>
    </row>
    <row r="1643" spans="1:8">
      <c r="A1643" t="e">
        <f>#REF!</f>
        <v>#REF!</v>
      </c>
      <c r="B1643" t="e">
        <f>#REF!</f>
        <v>#REF!</v>
      </c>
      <c r="C1643" t="e">
        <f>#REF!</f>
        <v>#REF!</v>
      </c>
      <c r="D1643" t="e">
        <f>#REF!</f>
        <v>#REF!</v>
      </c>
      <c r="E1643" t="e">
        <f>#REF!</f>
        <v>#REF!</v>
      </c>
      <c r="F1643" t="e">
        <f>#REF!</f>
        <v>#REF!</v>
      </c>
      <c r="G1643" t="e">
        <f>#REF!</f>
        <v>#REF!</v>
      </c>
      <c r="H1643" t="e">
        <f>#REF!</f>
        <v>#REF!</v>
      </c>
    </row>
    <row r="1644" spans="1:8">
      <c r="A1644" t="e">
        <f>#REF!</f>
        <v>#REF!</v>
      </c>
      <c r="B1644" t="e">
        <f>#REF!</f>
        <v>#REF!</v>
      </c>
      <c r="C1644" t="e">
        <f>#REF!</f>
        <v>#REF!</v>
      </c>
      <c r="D1644" t="e">
        <f>#REF!</f>
        <v>#REF!</v>
      </c>
      <c r="E1644" t="e">
        <f>#REF!</f>
        <v>#REF!</v>
      </c>
      <c r="F1644" t="e">
        <f>#REF!</f>
        <v>#REF!</v>
      </c>
      <c r="G1644" t="e">
        <f>#REF!</f>
        <v>#REF!</v>
      </c>
      <c r="H1644" t="e">
        <f>#REF!</f>
        <v>#REF!</v>
      </c>
    </row>
    <row r="1645" spans="1:8">
      <c r="A1645" t="e">
        <f>#REF!</f>
        <v>#REF!</v>
      </c>
      <c r="B1645" t="e">
        <f>#REF!</f>
        <v>#REF!</v>
      </c>
      <c r="C1645" t="e">
        <f>#REF!</f>
        <v>#REF!</v>
      </c>
      <c r="D1645" t="e">
        <f>#REF!</f>
        <v>#REF!</v>
      </c>
      <c r="E1645" t="e">
        <f>#REF!</f>
        <v>#REF!</v>
      </c>
      <c r="F1645" t="e">
        <f>#REF!</f>
        <v>#REF!</v>
      </c>
      <c r="G1645" t="e">
        <f>#REF!</f>
        <v>#REF!</v>
      </c>
      <c r="H1645" t="e">
        <f>#REF!</f>
        <v>#REF!</v>
      </c>
    </row>
    <row r="1646" spans="1:8">
      <c r="A1646" t="e">
        <f>#REF!</f>
        <v>#REF!</v>
      </c>
      <c r="B1646" t="e">
        <f>#REF!</f>
        <v>#REF!</v>
      </c>
      <c r="C1646" t="e">
        <f>#REF!</f>
        <v>#REF!</v>
      </c>
      <c r="D1646" t="e">
        <f>#REF!</f>
        <v>#REF!</v>
      </c>
      <c r="E1646" t="e">
        <f>#REF!</f>
        <v>#REF!</v>
      </c>
      <c r="F1646" t="e">
        <f>#REF!</f>
        <v>#REF!</v>
      </c>
      <c r="G1646" t="e">
        <f>#REF!</f>
        <v>#REF!</v>
      </c>
      <c r="H1646" t="e">
        <f>#REF!</f>
        <v>#REF!</v>
      </c>
    </row>
    <row r="1647" spans="1:8">
      <c r="A1647" t="e">
        <f>#REF!</f>
        <v>#REF!</v>
      </c>
      <c r="B1647" t="e">
        <f>#REF!</f>
        <v>#REF!</v>
      </c>
      <c r="C1647" t="e">
        <f>#REF!</f>
        <v>#REF!</v>
      </c>
      <c r="D1647" t="e">
        <f>#REF!</f>
        <v>#REF!</v>
      </c>
      <c r="E1647" t="e">
        <f>#REF!</f>
        <v>#REF!</v>
      </c>
      <c r="F1647" t="e">
        <f>#REF!</f>
        <v>#REF!</v>
      </c>
      <c r="G1647" t="e">
        <f>#REF!</f>
        <v>#REF!</v>
      </c>
      <c r="H1647" t="e">
        <f>#REF!</f>
        <v>#REF!</v>
      </c>
    </row>
    <row r="1648" spans="1:8">
      <c r="A1648" t="e">
        <f>#REF!</f>
        <v>#REF!</v>
      </c>
      <c r="B1648" t="e">
        <f>#REF!</f>
        <v>#REF!</v>
      </c>
      <c r="C1648" t="e">
        <f>#REF!</f>
        <v>#REF!</v>
      </c>
      <c r="D1648" t="e">
        <f>#REF!</f>
        <v>#REF!</v>
      </c>
      <c r="E1648" t="e">
        <f>#REF!</f>
        <v>#REF!</v>
      </c>
      <c r="F1648" t="e">
        <f>#REF!</f>
        <v>#REF!</v>
      </c>
      <c r="G1648" t="e">
        <f>#REF!</f>
        <v>#REF!</v>
      </c>
      <c r="H1648" t="e">
        <f>#REF!</f>
        <v>#REF!</v>
      </c>
    </row>
    <row r="1649" spans="1:8">
      <c r="A1649" t="e">
        <f>#REF!</f>
        <v>#REF!</v>
      </c>
      <c r="B1649" t="e">
        <f>#REF!</f>
        <v>#REF!</v>
      </c>
      <c r="C1649" t="e">
        <f>#REF!</f>
        <v>#REF!</v>
      </c>
      <c r="D1649" t="e">
        <f>#REF!</f>
        <v>#REF!</v>
      </c>
      <c r="E1649" t="e">
        <f>#REF!</f>
        <v>#REF!</v>
      </c>
      <c r="F1649" t="e">
        <f>#REF!</f>
        <v>#REF!</v>
      </c>
      <c r="G1649" t="e">
        <f>#REF!</f>
        <v>#REF!</v>
      </c>
      <c r="H1649" t="e">
        <f>#REF!</f>
        <v>#REF!</v>
      </c>
    </row>
    <row r="1650" spans="1:8">
      <c r="A1650" t="e">
        <f>#REF!</f>
        <v>#REF!</v>
      </c>
      <c r="B1650" t="e">
        <f>#REF!</f>
        <v>#REF!</v>
      </c>
      <c r="C1650" t="e">
        <f>#REF!</f>
        <v>#REF!</v>
      </c>
      <c r="D1650" t="e">
        <f>#REF!</f>
        <v>#REF!</v>
      </c>
      <c r="E1650" t="e">
        <f>#REF!</f>
        <v>#REF!</v>
      </c>
      <c r="F1650" t="e">
        <f>#REF!</f>
        <v>#REF!</v>
      </c>
      <c r="G1650" t="e">
        <f>#REF!</f>
        <v>#REF!</v>
      </c>
      <c r="H1650" t="e">
        <f>#REF!</f>
        <v>#REF!</v>
      </c>
    </row>
    <row r="1651" spans="1:8">
      <c r="A1651" t="e">
        <f>#REF!</f>
        <v>#REF!</v>
      </c>
      <c r="B1651" t="e">
        <f>#REF!</f>
        <v>#REF!</v>
      </c>
      <c r="C1651" t="e">
        <f>#REF!</f>
        <v>#REF!</v>
      </c>
      <c r="D1651" t="e">
        <f>#REF!</f>
        <v>#REF!</v>
      </c>
      <c r="E1651" t="e">
        <f>#REF!</f>
        <v>#REF!</v>
      </c>
      <c r="F1651" t="e">
        <f>#REF!</f>
        <v>#REF!</v>
      </c>
      <c r="G1651" t="e">
        <f>#REF!</f>
        <v>#REF!</v>
      </c>
      <c r="H1651" t="e">
        <f>#REF!</f>
        <v>#REF!</v>
      </c>
    </row>
    <row r="1652" spans="1:8">
      <c r="A1652" t="e">
        <f>#REF!</f>
        <v>#REF!</v>
      </c>
      <c r="B1652" t="e">
        <f>#REF!</f>
        <v>#REF!</v>
      </c>
      <c r="C1652" t="e">
        <f>#REF!</f>
        <v>#REF!</v>
      </c>
      <c r="D1652" t="e">
        <f>#REF!</f>
        <v>#REF!</v>
      </c>
      <c r="E1652" t="e">
        <f>#REF!</f>
        <v>#REF!</v>
      </c>
      <c r="F1652" t="e">
        <f>#REF!</f>
        <v>#REF!</v>
      </c>
      <c r="G1652" t="e">
        <f>#REF!</f>
        <v>#REF!</v>
      </c>
      <c r="H1652" t="e">
        <f>#REF!</f>
        <v>#REF!</v>
      </c>
    </row>
    <row r="1653" spans="1:8">
      <c r="A1653" t="e">
        <f>#REF!</f>
        <v>#REF!</v>
      </c>
      <c r="B1653" t="e">
        <f>#REF!</f>
        <v>#REF!</v>
      </c>
      <c r="C1653" t="e">
        <f>#REF!</f>
        <v>#REF!</v>
      </c>
      <c r="D1653" t="e">
        <f>#REF!</f>
        <v>#REF!</v>
      </c>
      <c r="E1653" t="e">
        <f>#REF!</f>
        <v>#REF!</v>
      </c>
      <c r="F1653" t="e">
        <f>#REF!</f>
        <v>#REF!</v>
      </c>
      <c r="G1653" t="e">
        <f>#REF!</f>
        <v>#REF!</v>
      </c>
      <c r="H1653" t="e">
        <f>#REF!</f>
        <v>#REF!</v>
      </c>
    </row>
    <row r="1654" spans="1:8">
      <c r="A1654" t="e">
        <f>#REF!</f>
        <v>#REF!</v>
      </c>
      <c r="B1654" t="e">
        <f>#REF!</f>
        <v>#REF!</v>
      </c>
      <c r="C1654" t="e">
        <f>#REF!</f>
        <v>#REF!</v>
      </c>
      <c r="D1654" t="e">
        <f>#REF!</f>
        <v>#REF!</v>
      </c>
      <c r="E1654" t="e">
        <f>#REF!</f>
        <v>#REF!</v>
      </c>
      <c r="F1654" t="e">
        <f>#REF!</f>
        <v>#REF!</v>
      </c>
      <c r="G1654" t="e">
        <f>#REF!</f>
        <v>#REF!</v>
      </c>
      <c r="H1654" t="e">
        <f>#REF!</f>
        <v>#REF!</v>
      </c>
    </row>
    <row r="1655" spans="1:8">
      <c r="A1655" t="e">
        <f>#REF!</f>
        <v>#REF!</v>
      </c>
      <c r="B1655" t="e">
        <f>#REF!</f>
        <v>#REF!</v>
      </c>
      <c r="C1655" t="e">
        <f>#REF!</f>
        <v>#REF!</v>
      </c>
      <c r="D1655" t="e">
        <f>#REF!</f>
        <v>#REF!</v>
      </c>
      <c r="E1655" t="e">
        <f>#REF!</f>
        <v>#REF!</v>
      </c>
      <c r="F1655" t="e">
        <f>#REF!</f>
        <v>#REF!</v>
      </c>
      <c r="G1655" t="e">
        <f>#REF!</f>
        <v>#REF!</v>
      </c>
      <c r="H1655" t="e">
        <f>#REF!</f>
        <v>#REF!</v>
      </c>
    </row>
    <row r="1656" spans="1:8">
      <c r="A1656" t="e">
        <f>#REF!</f>
        <v>#REF!</v>
      </c>
      <c r="B1656" t="e">
        <f>#REF!</f>
        <v>#REF!</v>
      </c>
      <c r="C1656" t="e">
        <f>#REF!</f>
        <v>#REF!</v>
      </c>
      <c r="D1656" t="e">
        <f>#REF!</f>
        <v>#REF!</v>
      </c>
      <c r="E1656" t="e">
        <f>#REF!</f>
        <v>#REF!</v>
      </c>
      <c r="F1656" t="e">
        <f>#REF!</f>
        <v>#REF!</v>
      </c>
      <c r="G1656" t="e">
        <f>#REF!</f>
        <v>#REF!</v>
      </c>
      <c r="H1656" t="e">
        <f>#REF!</f>
        <v>#REF!</v>
      </c>
    </row>
    <row r="1657" spans="1:8">
      <c r="A1657" t="e">
        <f>#REF!</f>
        <v>#REF!</v>
      </c>
      <c r="B1657" t="e">
        <f>#REF!</f>
        <v>#REF!</v>
      </c>
      <c r="C1657" t="e">
        <f>#REF!</f>
        <v>#REF!</v>
      </c>
      <c r="D1657" t="e">
        <f>#REF!</f>
        <v>#REF!</v>
      </c>
      <c r="E1657" t="e">
        <f>#REF!</f>
        <v>#REF!</v>
      </c>
      <c r="F1657" t="e">
        <f>#REF!</f>
        <v>#REF!</v>
      </c>
      <c r="G1657" t="e">
        <f>#REF!</f>
        <v>#REF!</v>
      </c>
      <c r="H1657" t="e">
        <f>#REF!</f>
        <v>#REF!</v>
      </c>
    </row>
    <row r="1658" spans="1:8">
      <c r="A1658" t="e">
        <f>#REF!</f>
        <v>#REF!</v>
      </c>
      <c r="B1658" t="e">
        <f>#REF!</f>
        <v>#REF!</v>
      </c>
      <c r="C1658" t="e">
        <f>#REF!</f>
        <v>#REF!</v>
      </c>
      <c r="D1658" t="e">
        <f>#REF!</f>
        <v>#REF!</v>
      </c>
      <c r="E1658" t="e">
        <f>#REF!</f>
        <v>#REF!</v>
      </c>
      <c r="F1658" t="e">
        <f>#REF!</f>
        <v>#REF!</v>
      </c>
      <c r="G1658" t="e">
        <f>#REF!</f>
        <v>#REF!</v>
      </c>
      <c r="H1658" t="e">
        <f>#REF!</f>
        <v>#REF!</v>
      </c>
    </row>
    <row r="1659" spans="1:8">
      <c r="A1659" t="e">
        <f>#REF!</f>
        <v>#REF!</v>
      </c>
      <c r="B1659" t="e">
        <f>#REF!</f>
        <v>#REF!</v>
      </c>
      <c r="C1659" t="e">
        <f>#REF!</f>
        <v>#REF!</v>
      </c>
      <c r="D1659" t="e">
        <f>#REF!</f>
        <v>#REF!</v>
      </c>
      <c r="E1659" t="e">
        <f>#REF!</f>
        <v>#REF!</v>
      </c>
      <c r="F1659" t="e">
        <f>#REF!</f>
        <v>#REF!</v>
      </c>
      <c r="G1659" t="e">
        <f>#REF!</f>
        <v>#REF!</v>
      </c>
      <c r="H1659" t="e">
        <f>#REF!</f>
        <v>#REF!</v>
      </c>
    </row>
    <row r="1660" spans="1:8">
      <c r="A1660" t="e">
        <f>#REF!</f>
        <v>#REF!</v>
      </c>
      <c r="B1660" t="e">
        <f>#REF!</f>
        <v>#REF!</v>
      </c>
      <c r="C1660" t="e">
        <f>#REF!</f>
        <v>#REF!</v>
      </c>
      <c r="D1660" t="e">
        <f>#REF!</f>
        <v>#REF!</v>
      </c>
      <c r="E1660" t="e">
        <f>#REF!</f>
        <v>#REF!</v>
      </c>
      <c r="F1660" t="e">
        <f>#REF!</f>
        <v>#REF!</v>
      </c>
      <c r="G1660" t="e">
        <f>#REF!</f>
        <v>#REF!</v>
      </c>
      <c r="H1660" t="e">
        <f>#REF!</f>
        <v>#REF!</v>
      </c>
    </row>
    <row r="1661" spans="1:8">
      <c r="A1661" t="e">
        <f>#REF!</f>
        <v>#REF!</v>
      </c>
      <c r="B1661" t="e">
        <f>#REF!</f>
        <v>#REF!</v>
      </c>
      <c r="C1661" t="e">
        <f>#REF!</f>
        <v>#REF!</v>
      </c>
      <c r="D1661" t="e">
        <f>#REF!</f>
        <v>#REF!</v>
      </c>
      <c r="E1661" t="e">
        <f>#REF!</f>
        <v>#REF!</v>
      </c>
      <c r="F1661" t="e">
        <f>#REF!</f>
        <v>#REF!</v>
      </c>
      <c r="G1661" t="e">
        <f>#REF!</f>
        <v>#REF!</v>
      </c>
      <c r="H1661" t="e">
        <f>#REF!</f>
        <v>#REF!</v>
      </c>
    </row>
    <row r="1662" spans="1:8">
      <c r="A1662" t="e">
        <f>#REF!</f>
        <v>#REF!</v>
      </c>
      <c r="B1662" t="e">
        <f>#REF!</f>
        <v>#REF!</v>
      </c>
      <c r="C1662" t="e">
        <f>#REF!</f>
        <v>#REF!</v>
      </c>
      <c r="D1662" t="e">
        <f>#REF!</f>
        <v>#REF!</v>
      </c>
      <c r="E1662" t="e">
        <f>#REF!</f>
        <v>#REF!</v>
      </c>
      <c r="F1662" t="e">
        <f>#REF!</f>
        <v>#REF!</v>
      </c>
      <c r="G1662" t="e">
        <f>#REF!</f>
        <v>#REF!</v>
      </c>
      <c r="H1662" t="e">
        <f>#REF!</f>
        <v>#REF!</v>
      </c>
    </row>
    <row r="1663" spans="1:8">
      <c r="A1663" t="e">
        <f>#REF!</f>
        <v>#REF!</v>
      </c>
      <c r="B1663" t="e">
        <f>#REF!</f>
        <v>#REF!</v>
      </c>
      <c r="C1663" t="e">
        <f>#REF!</f>
        <v>#REF!</v>
      </c>
      <c r="D1663" t="e">
        <f>#REF!</f>
        <v>#REF!</v>
      </c>
      <c r="E1663" t="e">
        <f>#REF!</f>
        <v>#REF!</v>
      </c>
      <c r="F1663" t="e">
        <f>#REF!</f>
        <v>#REF!</v>
      </c>
      <c r="G1663" t="e">
        <f>#REF!</f>
        <v>#REF!</v>
      </c>
      <c r="H1663" t="e">
        <f>#REF!</f>
        <v>#REF!</v>
      </c>
    </row>
    <row r="1664" spans="1:8">
      <c r="A1664" t="e">
        <f>#REF!</f>
        <v>#REF!</v>
      </c>
      <c r="B1664" t="e">
        <f>#REF!</f>
        <v>#REF!</v>
      </c>
      <c r="C1664" t="e">
        <f>#REF!</f>
        <v>#REF!</v>
      </c>
      <c r="D1664" t="e">
        <f>#REF!</f>
        <v>#REF!</v>
      </c>
      <c r="E1664" t="e">
        <f>#REF!</f>
        <v>#REF!</v>
      </c>
      <c r="F1664" t="e">
        <f>#REF!</f>
        <v>#REF!</v>
      </c>
      <c r="G1664" t="e">
        <f>#REF!</f>
        <v>#REF!</v>
      </c>
      <c r="H1664" t="e">
        <f>#REF!</f>
        <v>#REF!</v>
      </c>
    </row>
    <row r="1665" spans="1:8">
      <c r="A1665" t="e">
        <f>#REF!</f>
        <v>#REF!</v>
      </c>
      <c r="B1665" t="e">
        <f>#REF!</f>
        <v>#REF!</v>
      </c>
      <c r="C1665" t="e">
        <f>#REF!</f>
        <v>#REF!</v>
      </c>
      <c r="D1665" t="e">
        <f>#REF!</f>
        <v>#REF!</v>
      </c>
      <c r="E1665" t="e">
        <f>#REF!</f>
        <v>#REF!</v>
      </c>
      <c r="F1665" t="e">
        <f>#REF!</f>
        <v>#REF!</v>
      </c>
      <c r="G1665" t="e">
        <f>#REF!</f>
        <v>#REF!</v>
      </c>
      <c r="H1665" t="e">
        <f>#REF!</f>
        <v>#REF!</v>
      </c>
    </row>
    <row r="1666" spans="1:8">
      <c r="A1666" t="e">
        <f>#REF!</f>
        <v>#REF!</v>
      </c>
      <c r="B1666" t="e">
        <f>#REF!</f>
        <v>#REF!</v>
      </c>
      <c r="C1666" t="e">
        <f>#REF!</f>
        <v>#REF!</v>
      </c>
      <c r="D1666" t="e">
        <f>#REF!</f>
        <v>#REF!</v>
      </c>
      <c r="E1666" t="e">
        <f>#REF!</f>
        <v>#REF!</v>
      </c>
      <c r="F1666" t="e">
        <f>#REF!</f>
        <v>#REF!</v>
      </c>
      <c r="G1666" t="e">
        <f>#REF!</f>
        <v>#REF!</v>
      </c>
      <c r="H1666" t="e">
        <f>#REF!</f>
        <v>#REF!</v>
      </c>
    </row>
    <row r="1667" spans="1:8">
      <c r="A1667" t="e">
        <f>#REF!</f>
        <v>#REF!</v>
      </c>
      <c r="B1667" t="e">
        <f>#REF!</f>
        <v>#REF!</v>
      </c>
      <c r="C1667" t="e">
        <f>#REF!</f>
        <v>#REF!</v>
      </c>
      <c r="D1667" t="e">
        <f>#REF!</f>
        <v>#REF!</v>
      </c>
      <c r="E1667" t="e">
        <f>#REF!</f>
        <v>#REF!</v>
      </c>
      <c r="F1667" t="e">
        <f>#REF!</f>
        <v>#REF!</v>
      </c>
      <c r="G1667" t="e">
        <f>#REF!</f>
        <v>#REF!</v>
      </c>
      <c r="H1667" t="e">
        <f>#REF!</f>
        <v>#REF!</v>
      </c>
    </row>
    <row r="1668" spans="1:8">
      <c r="A1668" t="e">
        <f>#REF!</f>
        <v>#REF!</v>
      </c>
      <c r="B1668" t="e">
        <f>#REF!</f>
        <v>#REF!</v>
      </c>
      <c r="C1668" t="e">
        <f>#REF!</f>
        <v>#REF!</v>
      </c>
      <c r="D1668" t="e">
        <f>#REF!</f>
        <v>#REF!</v>
      </c>
      <c r="E1668" t="e">
        <f>#REF!</f>
        <v>#REF!</v>
      </c>
      <c r="F1668" t="e">
        <f>#REF!</f>
        <v>#REF!</v>
      </c>
      <c r="G1668" t="e">
        <f>#REF!</f>
        <v>#REF!</v>
      </c>
      <c r="H1668" t="e">
        <f>#REF!</f>
        <v>#REF!</v>
      </c>
    </row>
    <row r="1669" spans="1:8">
      <c r="A1669" t="e">
        <f>#REF!</f>
        <v>#REF!</v>
      </c>
      <c r="B1669" t="e">
        <f>#REF!</f>
        <v>#REF!</v>
      </c>
      <c r="C1669" t="e">
        <f>#REF!</f>
        <v>#REF!</v>
      </c>
      <c r="D1669" t="e">
        <f>#REF!</f>
        <v>#REF!</v>
      </c>
      <c r="E1669" t="e">
        <f>#REF!</f>
        <v>#REF!</v>
      </c>
      <c r="F1669" t="e">
        <f>#REF!</f>
        <v>#REF!</v>
      </c>
      <c r="G1669" t="e">
        <f>#REF!</f>
        <v>#REF!</v>
      </c>
      <c r="H1669" t="e">
        <f>#REF!</f>
        <v>#REF!</v>
      </c>
    </row>
    <row r="1670" spans="1:8">
      <c r="A1670" t="e">
        <f>#REF!</f>
        <v>#REF!</v>
      </c>
      <c r="B1670" t="e">
        <f>#REF!</f>
        <v>#REF!</v>
      </c>
      <c r="C1670" t="e">
        <f>#REF!</f>
        <v>#REF!</v>
      </c>
      <c r="D1670" t="e">
        <f>#REF!</f>
        <v>#REF!</v>
      </c>
      <c r="E1670" t="e">
        <f>#REF!</f>
        <v>#REF!</v>
      </c>
      <c r="F1670" t="e">
        <f>#REF!</f>
        <v>#REF!</v>
      </c>
      <c r="G1670" t="e">
        <f>#REF!</f>
        <v>#REF!</v>
      </c>
      <c r="H1670" t="e">
        <f>#REF!</f>
        <v>#REF!</v>
      </c>
    </row>
    <row r="1671" spans="1:8">
      <c r="A1671" t="e">
        <f>#REF!</f>
        <v>#REF!</v>
      </c>
      <c r="B1671" t="e">
        <f>#REF!</f>
        <v>#REF!</v>
      </c>
      <c r="C1671" t="e">
        <f>#REF!</f>
        <v>#REF!</v>
      </c>
      <c r="D1671" t="e">
        <f>#REF!</f>
        <v>#REF!</v>
      </c>
      <c r="E1671" t="e">
        <f>#REF!</f>
        <v>#REF!</v>
      </c>
      <c r="F1671" t="e">
        <f>#REF!</f>
        <v>#REF!</v>
      </c>
      <c r="G1671" t="e">
        <f>#REF!</f>
        <v>#REF!</v>
      </c>
      <c r="H1671" t="e">
        <f>#REF!</f>
        <v>#REF!</v>
      </c>
    </row>
    <row r="1672" spans="1:8">
      <c r="A1672" t="e">
        <f>#REF!</f>
        <v>#REF!</v>
      </c>
      <c r="B1672" t="e">
        <f>#REF!</f>
        <v>#REF!</v>
      </c>
      <c r="C1672" t="e">
        <f>#REF!</f>
        <v>#REF!</v>
      </c>
      <c r="D1672" t="e">
        <f>#REF!</f>
        <v>#REF!</v>
      </c>
      <c r="E1672" t="e">
        <f>#REF!</f>
        <v>#REF!</v>
      </c>
      <c r="F1672" t="e">
        <f>#REF!</f>
        <v>#REF!</v>
      </c>
      <c r="G1672" t="e">
        <f>#REF!</f>
        <v>#REF!</v>
      </c>
      <c r="H1672" t="e">
        <f>#REF!</f>
        <v>#REF!</v>
      </c>
    </row>
    <row r="1673" spans="1:8">
      <c r="A1673" t="e">
        <f>#REF!</f>
        <v>#REF!</v>
      </c>
      <c r="B1673" t="e">
        <f>#REF!</f>
        <v>#REF!</v>
      </c>
      <c r="C1673" t="e">
        <f>#REF!</f>
        <v>#REF!</v>
      </c>
      <c r="D1673" t="e">
        <f>#REF!</f>
        <v>#REF!</v>
      </c>
      <c r="E1673" t="e">
        <f>#REF!</f>
        <v>#REF!</v>
      </c>
      <c r="F1673" t="e">
        <f>#REF!</f>
        <v>#REF!</v>
      </c>
      <c r="G1673" t="e">
        <f>#REF!</f>
        <v>#REF!</v>
      </c>
      <c r="H1673" t="e">
        <f>#REF!</f>
        <v>#REF!</v>
      </c>
    </row>
    <row r="1674" spans="1:8">
      <c r="A1674" t="e">
        <f>#REF!</f>
        <v>#REF!</v>
      </c>
      <c r="B1674" t="e">
        <f>#REF!</f>
        <v>#REF!</v>
      </c>
      <c r="C1674" t="e">
        <f>#REF!</f>
        <v>#REF!</v>
      </c>
      <c r="D1674" t="e">
        <f>#REF!</f>
        <v>#REF!</v>
      </c>
      <c r="E1674" t="e">
        <f>#REF!</f>
        <v>#REF!</v>
      </c>
      <c r="F1674" t="e">
        <f>#REF!</f>
        <v>#REF!</v>
      </c>
      <c r="G1674" t="e">
        <f>#REF!</f>
        <v>#REF!</v>
      </c>
      <c r="H1674" t="e">
        <f>#REF!</f>
        <v>#REF!</v>
      </c>
    </row>
    <row r="1675" spans="1:8">
      <c r="A1675" t="e">
        <f>#REF!</f>
        <v>#REF!</v>
      </c>
      <c r="B1675" t="e">
        <f>#REF!</f>
        <v>#REF!</v>
      </c>
      <c r="C1675" t="e">
        <f>#REF!</f>
        <v>#REF!</v>
      </c>
      <c r="D1675" t="e">
        <f>#REF!</f>
        <v>#REF!</v>
      </c>
      <c r="E1675" t="e">
        <f>#REF!</f>
        <v>#REF!</v>
      </c>
      <c r="F1675" t="e">
        <f>#REF!</f>
        <v>#REF!</v>
      </c>
      <c r="G1675" t="e">
        <f>#REF!</f>
        <v>#REF!</v>
      </c>
      <c r="H1675" t="e">
        <f>#REF!</f>
        <v>#REF!</v>
      </c>
    </row>
    <row r="1676" spans="1:8">
      <c r="A1676" t="e">
        <f>#REF!</f>
        <v>#REF!</v>
      </c>
      <c r="B1676" t="e">
        <f>#REF!</f>
        <v>#REF!</v>
      </c>
      <c r="C1676" t="e">
        <f>#REF!</f>
        <v>#REF!</v>
      </c>
      <c r="D1676" t="e">
        <f>#REF!</f>
        <v>#REF!</v>
      </c>
      <c r="E1676" t="e">
        <f>#REF!</f>
        <v>#REF!</v>
      </c>
      <c r="F1676" t="e">
        <f>#REF!</f>
        <v>#REF!</v>
      </c>
      <c r="G1676" t="e">
        <f>#REF!</f>
        <v>#REF!</v>
      </c>
      <c r="H1676" t="e">
        <f>#REF!</f>
        <v>#REF!</v>
      </c>
    </row>
    <row r="1677" spans="1:8">
      <c r="A1677" t="e">
        <f>#REF!</f>
        <v>#REF!</v>
      </c>
      <c r="B1677" t="e">
        <f>#REF!</f>
        <v>#REF!</v>
      </c>
      <c r="C1677" t="e">
        <f>#REF!</f>
        <v>#REF!</v>
      </c>
      <c r="D1677" t="e">
        <f>#REF!</f>
        <v>#REF!</v>
      </c>
      <c r="E1677" t="e">
        <f>#REF!</f>
        <v>#REF!</v>
      </c>
      <c r="F1677" t="e">
        <f>#REF!</f>
        <v>#REF!</v>
      </c>
      <c r="G1677" t="e">
        <f>#REF!</f>
        <v>#REF!</v>
      </c>
      <c r="H1677" t="e">
        <f>#REF!</f>
        <v>#REF!</v>
      </c>
    </row>
    <row r="1678" spans="1:8">
      <c r="A1678" t="e">
        <f>#REF!</f>
        <v>#REF!</v>
      </c>
      <c r="B1678" t="e">
        <f>#REF!</f>
        <v>#REF!</v>
      </c>
      <c r="C1678" t="e">
        <f>#REF!</f>
        <v>#REF!</v>
      </c>
      <c r="D1678" t="e">
        <f>#REF!</f>
        <v>#REF!</v>
      </c>
      <c r="E1678" t="e">
        <f>#REF!</f>
        <v>#REF!</v>
      </c>
      <c r="F1678" t="e">
        <f>#REF!</f>
        <v>#REF!</v>
      </c>
      <c r="G1678" t="e">
        <f>#REF!</f>
        <v>#REF!</v>
      </c>
      <c r="H1678" t="e">
        <f>#REF!</f>
        <v>#REF!</v>
      </c>
    </row>
    <row r="1679" spans="1:8">
      <c r="A1679" t="e">
        <f>#REF!</f>
        <v>#REF!</v>
      </c>
      <c r="B1679" t="e">
        <f>#REF!</f>
        <v>#REF!</v>
      </c>
      <c r="C1679" t="e">
        <f>#REF!</f>
        <v>#REF!</v>
      </c>
      <c r="D1679" t="e">
        <f>#REF!</f>
        <v>#REF!</v>
      </c>
      <c r="E1679" t="e">
        <f>#REF!</f>
        <v>#REF!</v>
      </c>
      <c r="F1679" t="e">
        <f>#REF!</f>
        <v>#REF!</v>
      </c>
      <c r="G1679" t="e">
        <f>#REF!</f>
        <v>#REF!</v>
      </c>
      <c r="H1679" t="e">
        <f>#REF!</f>
        <v>#REF!</v>
      </c>
    </row>
    <row r="1680" spans="1:8">
      <c r="A1680" t="e">
        <f>#REF!</f>
        <v>#REF!</v>
      </c>
      <c r="B1680" t="e">
        <f>#REF!</f>
        <v>#REF!</v>
      </c>
      <c r="C1680" t="e">
        <f>#REF!</f>
        <v>#REF!</v>
      </c>
      <c r="D1680" t="e">
        <f>#REF!</f>
        <v>#REF!</v>
      </c>
      <c r="E1680" t="e">
        <f>#REF!</f>
        <v>#REF!</v>
      </c>
      <c r="F1680" t="e">
        <f>#REF!</f>
        <v>#REF!</v>
      </c>
      <c r="G1680" t="e">
        <f>#REF!</f>
        <v>#REF!</v>
      </c>
      <c r="H1680" t="e">
        <f>#REF!</f>
        <v>#REF!</v>
      </c>
    </row>
    <row r="1681" spans="1:8">
      <c r="A1681" t="e">
        <f>#REF!</f>
        <v>#REF!</v>
      </c>
      <c r="B1681" t="e">
        <f>#REF!</f>
        <v>#REF!</v>
      </c>
      <c r="C1681" t="e">
        <f>#REF!</f>
        <v>#REF!</v>
      </c>
      <c r="D1681" t="e">
        <f>#REF!</f>
        <v>#REF!</v>
      </c>
      <c r="E1681" t="e">
        <f>#REF!</f>
        <v>#REF!</v>
      </c>
      <c r="F1681" t="e">
        <f>#REF!</f>
        <v>#REF!</v>
      </c>
      <c r="G1681" t="e">
        <f>#REF!</f>
        <v>#REF!</v>
      </c>
      <c r="H1681" t="e">
        <f>#REF!</f>
        <v>#REF!</v>
      </c>
    </row>
    <row r="1682" spans="1:8">
      <c r="A1682" t="e">
        <f>#REF!</f>
        <v>#REF!</v>
      </c>
      <c r="B1682" t="e">
        <f>#REF!</f>
        <v>#REF!</v>
      </c>
      <c r="C1682" t="e">
        <f>#REF!</f>
        <v>#REF!</v>
      </c>
      <c r="D1682" t="e">
        <f>#REF!</f>
        <v>#REF!</v>
      </c>
      <c r="E1682" t="e">
        <f>#REF!</f>
        <v>#REF!</v>
      </c>
      <c r="F1682" t="e">
        <f>#REF!</f>
        <v>#REF!</v>
      </c>
      <c r="G1682" t="e">
        <f>#REF!</f>
        <v>#REF!</v>
      </c>
      <c r="H1682" t="e">
        <f>#REF!</f>
        <v>#REF!</v>
      </c>
    </row>
    <row r="1683" spans="1:8">
      <c r="A1683" t="e">
        <f>#REF!</f>
        <v>#REF!</v>
      </c>
      <c r="B1683" t="e">
        <f>#REF!</f>
        <v>#REF!</v>
      </c>
      <c r="C1683" t="e">
        <f>#REF!</f>
        <v>#REF!</v>
      </c>
      <c r="D1683" t="e">
        <f>#REF!</f>
        <v>#REF!</v>
      </c>
      <c r="E1683" t="e">
        <f>#REF!</f>
        <v>#REF!</v>
      </c>
      <c r="F1683" t="e">
        <f>#REF!</f>
        <v>#REF!</v>
      </c>
      <c r="G1683" t="e">
        <f>#REF!</f>
        <v>#REF!</v>
      </c>
      <c r="H1683" t="e">
        <f>#REF!</f>
        <v>#REF!</v>
      </c>
    </row>
    <row r="1684" spans="1:8">
      <c r="A1684" t="e">
        <f>#REF!</f>
        <v>#REF!</v>
      </c>
      <c r="B1684" t="e">
        <f>#REF!</f>
        <v>#REF!</v>
      </c>
      <c r="C1684" t="e">
        <f>#REF!</f>
        <v>#REF!</v>
      </c>
      <c r="D1684" t="e">
        <f>#REF!</f>
        <v>#REF!</v>
      </c>
      <c r="E1684" t="e">
        <f>#REF!</f>
        <v>#REF!</v>
      </c>
      <c r="F1684" t="e">
        <f>#REF!</f>
        <v>#REF!</v>
      </c>
      <c r="G1684" t="e">
        <f>#REF!</f>
        <v>#REF!</v>
      </c>
      <c r="H1684" t="e">
        <f>#REF!</f>
        <v>#REF!</v>
      </c>
    </row>
    <row r="1685" spans="1:8">
      <c r="A1685" t="e">
        <f>#REF!</f>
        <v>#REF!</v>
      </c>
      <c r="B1685" t="e">
        <f>#REF!</f>
        <v>#REF!</v>
      </c>
      <c r="C1685" t="e">
        <f>#REF!</f>
        <v>#REF!</v>
      </c>
      <c r="D1685" t="e">
        <f>#REF!</f>
        <v>#REF!</v>
      </c>
      <c r="E1685" t="e">
        <f>#REF!</f>
        <v>#REF!</v>
      </c>
      <c r="F1685" t="e">
        <f>#REF!</f>
        <v>#REF!</v>
      </c>
      <c r="G1685" t="e">
        <f>#REF!</f>
        <v>#REF!</v>
      </c>
      <c r="H1685" t="e">
        <f>#REF!</f>
        <v>#REF!</v>
      </c>
    </row>
    <row r="1686" spans="1:8">
      <c r="A1686" t="e">
        <f>#REF!</f>
        <v>#REF!</v>
      </c>
      <c r="B1686" t="e">
        <f>#REF!</f>
        <v>#REF!</v>
      </c>
      <c r="C1686" t="e">
        <f>#REF!</f>
        <v>#REF!</v>
      </c>
      <c r="D1686" t="e">
        <f>#REF!</f>
        <v>#REF!</v>
      </c>
      <c r="E1686" t="e">
        <f>#REF!</f>
        <v>#REF!</v>
      </c>
      <c r="F1686" t="e">
        <f>#REF!</f>
        <v>#REF!</v>
      </c>
      <c r="G1686" t="e">
        <f>#REF!</f>
        <v>#REF!</v>
      </c>
      <c r="H1686" t="e">
        <f>#REF!</f>
        <v>#REF!</v>
      </c>
    </row>
    <row r="1687" spans="1:8">
      <c r="A1687" t="e">
        <f>#REF!</f>
        <v>#REF!</v>
      </c>
      <c r="B1687" t="e">
        <f>#REF!</f>
        <v>#REF!</v>
      </c>
      <c r="C1687" t="e">
        <f>#REF!</f>
        <v>#REF!</v>
      </c>
      <c r="D1687" t="e">
        <f>#REF!</f>
        <v>#REF!</v>
      </c>
      <c r="E1687" t="e">
        <f>#REF!</f>
        <v>#REF!</v>
      </c>
      <c r="F1687" t="e">
        <f>#REF!</f>
        <v>#REF!</v>
      </c>
      <c r="G1687" t="e">
        <f>#REF!</f>
        <v>#REF!</v>
      </c>
      <c r="H1687" t="e">
        <f>#REF!</f>
        <v>#REF!</v>
      </c>
    </row>
    <row r="1688" spans="1:8">
      <c r="A1688" t="e">
        <f>#REF!</f>
        <v>#REF!</v>
      </c>
      <c r="B1688" t="e">
        <f>#REF!</f>
        <v>#REF!</v>
      </c>
      <c r="C1688" t="e">
        <f>#REF!</f>
        <v>#REF!</v>
      </c>
      <c r="D1688" t="e">
        <f>#REF!</f>
        <v>#REF!</v>
      </c>
      <c r="E1688" t="e">
        <f>#REF!</f>
        <v>#REF!</v>
      </c>
      <c r="F1688" t="e">
        <f>#REF!</f>
        <v>#REF!</v>
      </c>
      <c r="G1688" t="e">
        <f>#REF!</f>
        <v>#REF!</v>
      </c>
      <c r="H1688" t="e">
        <f>#REF!</f>
        <v>#REF!</v>
      </c>
    </row>
    <row r="1689" spans="1:8">
      <c r="A1689" t="e">
        <f>#REF!</f>
        <v>#REF!</v>
      </c>
      <c r="B1689" t="e">
        <f>#REF!</f>
        <v>#REF!</v>
      </c>
      <c r="C1689" t="e">
        <f>#REF!</f>
        <v>#REF!</v>
      </c>
      <c r="D1689" t="e">
        <f>#REF!</f>
        <v>#REF!</v>
      </c>
      <c r="E1689" t="e">
        <f>#REF!</f>
        <v>#REF!</v>
      </c>
      <c r="F1689" t="e">
        <f>#REF!</f>
        <v>#REF!</v>
      </c>
      <c r="G1689" t="e">
        <f>#REF!</f>
        <v>#REF!</v>
      </c>
      <c r="H1689" t="e">
        <f>#REF!</f>
        <v>#REF!</v>
      </c>
    </row>
    <row r="1690" spans="1:8">
      <c r="A1690" t="e">
        <f>#REF!</f>
        <v>#REF!</v>
      </c>
      <c r="B1690" t="e">
        <f>#REF!</f>
        <v>#REF!</v>
      </c>
      <c r="C1690" t="e">
        <f>#REF!</f>
        <v>#REF!</v>
      </c>
      <c r="D1690" t="e">
        <f>#REF!</f>
        <v>#REF!</v>
      </c>
      <c r="E1690" t="e">
        <f>#REF!</f>
        <v>#REF!</v>
      </c>
      <c r="F1690" t="e">
        <f>#REF!</f>
        <v>#REF!</v>
      </c>
      <c r="G1690" t="e">
        <f>#REF!</f>
        <v>#REF!</v>
      </c>
      <c r="H1690" t="e">
        <f>#REF!</f>
        <v>#REF!</v>
      </c>
    </row>
    <row r="1691" spans="1:8">
      <c r="A1691" t="e">
        <f>#REF!</f>
        <v>#REF!</v>
      </c>
      <c r="B1691" t="e">
        <f>#REF!</f>
        <v>#REF!</v>
      </c>
      <c r="C1691" t="e">
        <f>#REF!</f>
        <v>#REF!</v>
      </c>
      <c r="D1691" t="e">
        <f>#REF!</f>
        <v>#REF!</v>
      </c>
      <c r="E1691" t="e">
        <f>#REF!</f>
        <v>#REF!</v>
      </c>
      <c r="F1691" t="e">
        <f>#REF!</f>
        <v>#REF!</v>
      </c>
      <c r="G1691" t="e">
        <f>#REF!</f>
        <v>#REF!</v>
      </c>
      <c r="H1691" t="e">
        <f>#REF!</f>
        <v>#REF!</v>
      </c>
    </row>
    <row r="1692" spans="1:8">
      <c r="A1692" t="e">
        <f>#REF!</f>
        <v>#REF!</v>
      </c>
      <c r="B1692" t="e">
        <f>#REF!</f>
        <v>#REF!</v>
      </c>
      <c r="C1692" t="e">
        <f>#REF!</f>
        <v>#REF!</v>
      </c>
      <c r="D1692" t="e">
        <f>#REF!</f>
        <v>#REF!</v>
      </c>
      <c r="E1692" t="e">
        <f>#REF!</f>
        <v>#REF!</v>
      </c>
      <c r="F1692" t="e">
        <f>#REF!</f>
        <v>#REF!</v>
      </c>
      <c r="G1692" t="e">
        <f>#REF!</f>
        <v>#REF!</v>
      </c>
      <c r="H1692" t="e">
        <f>#REF!</f>
        <v>#REF!</v>
      </c>
    </row>
    <row r="1693" spans="1:8">
      <c r="A1693" t="e">
        <f>#REF!</f>
        <v>#REF!</v>
      </c>
      <c r="B1693" t="e">
        <f>#REF!</f>
        <v>#REF!</v>
      </c>
      <c r="C1693" t="e">
        <f>#REF!</f>
        <v>#REF!</v>
      </c>
      <c r="D1693" t="e">
        <f>#REF!</f>
        <v>#REF!</v>
      </c>
      <c r="E1693" t="e">
        <f>#REF!</f>
        <v>#REF!</v>
      </c>
      <c r="F1693" t="e">
        <f>#REF!</f>
        <v>#REF!</v>
      </c>
      <c r="G1693" t="e">
        <f>#REF!</f>
        <v>#REF!</v>
      </c>
      <c r="H1693" t="e">
        <f>#REF!</f>
        <v>#REF!</v>
      </c>
    </row>
    <row r="1694" spans="1:8">
      <c r="A1694" t="e">
        <f>#REF!</f>
        <v>#REF!</v>
      </c>
      <c r="B1694" t="e">
        <f>#REF!</f>
        <v>#REF!</v>
      </c>
      <c r="C1694" t="e">
        <f>#REF!</f>
        <v>#REF!</v>
      </c>
      <c r="D1694" t="e">
        <f>#REF!</f>
        <v>#REF!</v>
      </c>
      <c r="E1694" t="e">
        <f>#REF!</f>
        <v>#REF!</v>
      </c>
      <c r="F1694" t="e">
        <f>#REF!</f>
        <v>#REF!</v>
      </c>
      <c r="G1694" t="e">
        <f>#REF!</f>
        <v>#REF!</v>
      </c>
      <c r="H1694" t="e">
        <f>#REF!</f>
        <v>#REF!</v>
      </c>
    </row>
    <row r="1695" spans="1:8">
      <c r="A1695" t="e">
        <f>#REF!</f>
        <v>#REF!</v>
      </c>
      <c r="B1695" t="e">
        <f>#REF!</f>
        <v>#REF!</v>
      </c>
      <c r="C1695" t="e">
        <f>#REF!</f>
        <v>#REF!</v>
      </c>
      <c r="D1695" t="e">
        <f>#REF!</f>
        <v>#REF!</v>
      </c>
      <c r="E1695" t="e">
        <f>#REF!</f>
        <v>#REF!</v>
      </c>
      <c r="F1695" t="e">
        <f>#REF!</f>
        <v>#REF!</v>
      </c>
      <c r="G1695" t="e">
        <f>#REF!</f>
        <v>#REF!</v>
      </c>
      <c r="H1695" t="e">
        <f>#REF!</f>
        <v>#REF!</v>
      </c>
    </row>
    <row r="1696" spans="1:8">
      <c r="A1696" t="e">
        <f>#REF!</f>
        <v>#REF!</v>
      </c>
      <c r="B1696" t="e">
        <f>#REF!</f>
        <v>#REF!</v>
      </c>
      <c r="C1696" t="e">
        <f>#REF!</f>
        <v>#REF!</v>
      </c>
      <c r="D1696" t="e">
        <f>#REF!</f>
        <v>#REF!</v>
      </c>
      <c r="E1696" t="e">
        <f>#REF!</f>
        <v>#REF!</v>
      </c>
      <c r="F1696" t="e">
        <f>#REF!</f>
        <v>#REF!</v>
      </c>
      <c r="G1696" t="e">
        <f>#REF!</f>
        <v>#REF!</v>
      </c>
      <c r="H1696" t="e">
        <f>#REF!</f>
        <v>#REF!</v>
      </c>
    </row>
    <row r="1697" spans="1:8">
      <c r="A1697" t="e">
        <f>#REF!</f>
        <v>#REF!</v>
      </c>
      <c r="B1697" t="e">
        <f>#REF!</f>
        <v>#REF!</v>
      </c>
      <c r="C1697" t="e">
        <f>#REF!</f>
        <v>#REF!</v>
      </c>
      <c r="D1697" t="e">
        <f>#REF!</f>
        <v>#REF!</v>
      </c>
      <c r="E1697" t="e">
        <f>#REF!</f>
        <v>#REF!</v>
      </c>
      <c r="F1697" t="e">
        <f>#REF!</f>
        <v>#REF!</v>
      </c>
      <c r="G1697" t="e">
        <f>#REF!</f>
        <v>#REF!</v>
      </c>
      <c r="H1697" t="e">
        <f>#REF!</f>
        <v>#REF!</v>
      </c>
    </row>
    <row r="1698" spans="1:8">
      <c r="A1698" t="e">
        <f>#REF!</f>
        <v>#REF!</v>
      </c>
      <c r="B1698" t="e">
        <f>#REF!</f>
        <v>#REF!</v>
      </c>
      <c r="C1698" t="e">
        <f>#REF!</f>
        <v>#REF!</v>
      </c>
      <c r="D1698" t="e">
        <f>#REF!</f>
        <v>#REF!</v>
      </c>
      <c r="E1698" t="e">
        <f>#REF!</f>
        <v>#REF!</v>
      </c>
      <c r="F1698" t="e">
        <f>#REF!</f>
        <v>#REF!</v>
      </c>
      <c r="G1698" t="e">
        <f>#REF!</f>
        <v>#REF!</v>
      </c>
      <c r="H1698" t="e">
        <f>#REF!</f>
        <v>#REF!</v>
      </c>
    </row>
    <row r="1699" spans="1:8">
      <c r="A1699" t="e">
        <f>#REF!</f>
        <v>#REF!</v>
      </c>
      <c r="B1699" t="e">
        <f>#REF!</f>
        <v>#REF!</v>
      </c>
      <c r="C1699" t="e">
        <f>#REF!</f>
        <v>#REF!</v>
      </c>
      <c r="D1699" t="e">
        <f>#REF!</f>
        <v>#REF!</v>
      </c>
      <c r="E1699" t="e">
        <f>#REF!</f>
        <v>#REF!</v>
      </c>
      <c r="F1699" t="e">
        <f>#REF!</f>
        <v>#REF!</v>
      </c>
      <c r="G1699" t="e">
        <f>#REF!</f>
        <v>#REF!</v>
      </c>
      <c r="H1699" t="e">
        <f>#REF!</f>
        <v>#REF!</v>
      </c>
    </row>
    <row r="1700" spans="1:8">
      <c r="A1700" t="e">
        <f>#REF!</f>
        <v>#REF!</v>
      </c>
      <c r="B1700" t="e">
        <f>#REF!</f>
        <v>#REF!</v>
      </c>
      <c r="C1700" t="e">
        <f>#REF!</f>
        <v>#REF!</v>
      </c>
      <c r="D1700" t="e">
        <f>#REF!</f>
        <v>#REF!</v>
      </c>
      <c r="E1700" t="e">
        <f>#REF!</f>
        <v>#REF!</v>
      </c>
      <c r="F1700" t="e">
        <f>#REF!</f>
        <v>#REF!</v>
      </c>
      <c r="G1700" t="e">
        <f>#REF!</f>
        <v>#REF!</v>
      </c>
      <c r="H1700" t="e">
        <f>#REF!</f>
        <v>#REF!</v>
      </c>
    </row>
    <row r="1701" spans="1:8">
      <c r="A1701" t="e">
        <f>#REF!</f>
        <v>#REF!</v>
      </c>
      <c r="B1701" t="e">
        <f>#REF!</f>
        <v>#REF!</v>
      </c>
      <c r="C1701" t="e">
        <f>#REF!</f>
        <v>#REF!</v>
      </c>
      <c r="D1701" t="e">
        <f>#REF!</f>
        <v>#REF!</v>
      </c>
      <c r="E1701" t="e">
        <f>#REF!</f>
        <v>#REF!</v>
      </c>
      <c r="F1701" t="e">
        <f>#REF!</f>
        <v>#REF!</v>
      </c>
      <c r="G1701" t="e">
        <f>#REF!</f>
        <v>#REF!</v>
      </c>
      <c r="H1701" t="e">
        <f>#REF!</f>
        <v>#REF!</v>
      </c>
    </row>
    <row r="1702" spans="1:8">
      <c r="A1702" t="e">
        <f>#REF!</f>
        <v>#REF!</v>
      </c>
      <c r="B1702" t="e">
        <f>#REF!</f>
        <v>#REF!</v>
      </c>
      <c r="C1702" t="e">
        <f>#REF!</f>
        <v>#REF!</v>
      </c>
      <c r="D1702" t="e">
        <f>#REF!</f>
        <v>#REF!</v>
      </c>
      <c r="E1702" t="e">
        <f>#REF!</f>
        <v>#REF!</v>
      </c>
      <c r="F1702" t="e">
        <f>#REF!</f>
        <v>#REF!</v>
      </c>
      <c r="G1702" t="e">
        <f>#REF!</f>
        <v>#REF!</v>
      </c>
      <c r="H1702" t="e">
        <f>#REF!</f>
        <v>#REF!</v>
      </c>
    </row>
    <row r="1703" spans="1:8">
      <c r="A1703" t="e">
        <f>#REF!</f>
        <v>#REF!</v>
      </c>
      <c r="B1703" t="e">
        <f>#REF!</f>
        <v>#REF!</v>
      </c>
      <c r="C1703" t="e">
        <f>#REF!</f>
        <v>#REF!</v>
      </c>
      <c r="D1703" t="e">
        <f>#REF!</f>
        <v>#REF!</v>
      </c>
      <c r="E1703" t="e">
        <f>#REF!</f>
        <v>#REF!</v>
      </c>
      <c r="F1703" t="e">
        <f>#REF!</f>
        <v>#REF!</v>
      </c>
      <c r="G1703" t="e">
        <f>#REF!</f>
        <v>#REF!</v>
      </c>
      <c r="H1703" t="e">
        <f>#REF!</f>
        <v>#REF!</v>
      </c>
    </row>
    <row r="1704" spans="1:8">
      <c r="A1704" t="e">
        <f>#REF!</f>
        <v>#REF!</v>
      </c>
      <c r="B1704" t="e">
        <f>#REF!</f>
        <v>#REF!</v>
      </c>
      <c r="C1704" t="e">
        <f>#REF!</f>
        <v>#REF!</v>
      </c>
      <c r="D1704" t="e">
        <f>#REF!</f>
        <v>#REF!</v>
      </c>
      <c r="E1704" t="e">
        <f>#REF!</f>
        <v>#REF!</v>
      </c>
      <c r="F1704" t="e">
        <f>#REF!</f>
        <v>#REF!</v>
      </c>
      <c r="G1704" t="e">
        <f>#REF!</f>
        <v>#REF!</v>
      </c>
      <c r="H1704" t="e">
        <f>#REF!</f>
        <v>#REF!</v>
      </c>
    </row>
    <row r="1705" spans="1:8">
      <c r="A1705" t="e">
        <f>#REF!</f>
        <v>#REF!</v>
      </c>
      <c r="B1705" t="e">
        <f>#REF!</f>
        <v>#REF!</v>
      </c>
      <c r="C1705" t="e">
        <f>#REF!</f>
        <v>#REF!</v>
      </c>
      <c r="D1705" t="e">
        <f>#REF!</f>
        <v>#REF!</v>
      </c>
      <c r="E1705" t="e">
        <f>#REF!</f>
        <v>#REF!</v>
      </c>
      <c r="F1705" t="e">
        <f>#REF!</f>
        <v>#REF!</v>
      </c>
      <c r="G1705" t="e">
        <f>#REF!</f>
        <v>#REF!</v>
      </c>
      <c r="H1705" t="e">
        <f>#REF!</f>
        <v>#REF!</v>
      </c>
    </row>
    <row r="1706" spans="1:8">
      <c r="A1706" t="e">
        <f>#REF!</f>
        <v>#REF!</v>
      </c>
      <c r="B1706" t="e">
        <f>#REF!</f>
        <v>#REF!</v>
      </c>
      <c r="C1706" t="e">
        <f>#REF!</f>
        <v>#REF!</v>
      </c>
      <c r="D1706" t="e">
        <f>#REF!</f>
        <v>#REF!</v>
      </c>
      <c r="E1706" t="e">
        <f>#REF!</f>
        <v>#REF!</v>
      </c>
      <c r="F1706" t="e">
        <f>#REF!</f>
        <v>#REF!</v>
      </c>
      <c r="G1706" t="e">
        <f>#REF!</f>
        <v>#REF!</v>
      </c>
      <c r="H1706" t="e">
        <f>#REF!</f>
        <v>#REF!</v>
      </c>
    </row>
    <row r="1707" spans="1:8">
      <c r="A1707" t="e">
        <f>#REF!</f>
        <v>#REF!</v>
      </c>
      <c r="B1707" t="e">
        <f>#REF!</f>
        <v>#REF!</v>
      </c>
      <c r="C1707" t="e">
        <f>#REF!</f>
        <v>#REF!</v>
      </c>
      <c r="D1707" t="e">
        <f>#REF!</f>
        <v>#REF!</v>
      </c>
      <c r="E1707" t="e">
        <f>#REF!</f>
        <v>#REF!</v>
      </c>
      <c r="F1707" t="e">
        <f>#REF!</f>
        <v>#REF!</v>
      </c>
      <c r="G1707" t="e">
        <f>#REF!</f>
        <v>#REF!</v>
      </c>
      <c r="H1707" t="e">
        <f>#REF!</f>
        <v>#REF!</v>
      </c>
    </row>
    <row r="1708" spans="1:8">
      <c r="A1708" t="e">
        <f>#REF!</f>
        <v>#REF!</v>
      </c>
      <c r="B1708" t="e">
        <f>#REF!</f>
        <v>#REF!</v>
      </c>
      <c r="C1708" t="e">
        <f>#REF!</f>
        <v>#REF!</v>
      </c>
      <c r="D1708" t="e">
        <f>#REF!</f>
        <v>#REF!</v>
      </c>
      <c r="E1708" t="e">
        <f>#REF!</f>
        <v>#REF!</v>
      </c>
      <c r="F1708" t="e">
        <f>#REF!</f>
        <v>#REF!</v>
      </c>
      <c r="G1708" t="e">
        <f>#REF!</f>
        <v>#REF!</v>
      </c>
      <c r="H1708" t="e">
        <f>#REF!</f>
        <v>#REF!</v>
      </c>
    </row>
    <row r="1709" spans="1:8">
      <c r="A1709" t="e">
        <f>#REF!</f>
        <v>#REF!</v>
      </c>
      <c r="B1709" t="e">
        <f>#REF!</f>
        <v>#REF!</v>
      </c>
      <c r="C1709" t="e">
        <f>#REF!</f>
        <v>#REF!</v>
      </c>
      <c r="D1709" t="e">
        <f>#REF!</f>
        <v>#REF!</v>
      </c>
      <c r="E1709" t="e">
        <f>#REF!</f>
        <v>#REF!</v>
      </c>
      <c r="F1709" t="e">
        <f>#REF!</f>
        <v>#REF!</v>
      </c>
      <c r="G1709" t="e">
        <f>#REF!</f>
        <v>#REF!</v>
      </c>
      <c r="H1709" t="e">
        <f>#REF!</f>
        <v>#REF!</v>
      </c>
    </row>
    <row r="1710" spans="1:8">
      <c r="A1710" t="e">
        <f>#REF!</f>
        <v>#REF!</v>
      </c>
      <c r="B1710" t="e">
        <f>#REF!</f>
        <v>#REF!</v>
      </c>
      <c r="C1710" t="e">
        <f>#REF!</f>
        <v>#REF!</v>
      </c>
      <c r="D1710" t="e">
        <f>#REF!</f>
        <v>#REF!</v>
      </c>
      <c r="E1710" t="e">
        <f>#REF!</f>
        <v>#REF!</v>
      </c>
      <c r="F1710" t="e">
        <f>#REF!</f>
        <v>#REF!</v>
      </c>
      <c r="G1710" t="e">
        <f>#REF!</f>
        <v>#REF!</v>
      </c>
      <c r="H1710" t="e">
        <f>#REF!</f>
        <v>#REF!</v>
      </c>
    </row>
    <row r="1711" spans="1:8">
      <c r="A1711" t="e">
        <f>#REF!</f>
        <v>#REF!</v>
      </c>
      <c r="B1711" t="e">
        <f>#REF!</f>
        <v>#REF!</v>
      </c>
      <c r="C1711" t="e">
        <f>#REF!</f>
        <v>#REF!</v>
      </c>
      <c r="D1711" t="e">
        <f>#REF!</f>
        <v>#REF!</v>
      </c>
      <c r="E1711" t="e">
        <f>#REF!</f>
        <v>#REF!</v>
      </c>
      <c r="F1711" t="e">
        <f>#REF!</f>
        <v>#REF!</v>
      </c>
      <c r="G1711" t="e">
        <f>#REF!</f>
        <v>#REF!</v>
      </c>
      <c r="H1711" t="e">
        <f>#REF!</f>
        <v>#REF!</v>
      </c>
    </row>
    <row r="1712" spans="1:8">
      <c r="A1712" t="e">
        <f>#REF!</f>
        <v>#REF!</v>
      </c>
      <c r="B1712" t="e">
        <f>#REF!</f>
        <v>#REF!</v>
      </c>
      <c r="C1712" t="e">
        <f>#REF!</f>
        <v>#REF!</v>
      </c>
      <c r="D1712" t="e">
        <f>#REF!</f>
        <v>#REF!</v>
      </c>
      <c r="E1712" t="e">
        <f>#REF!</f>
        <v>#REF!</v>
      </c>
      <c r="F1712" t="e">
        <f>#REF!</f>
        <v>#REF!</v>
      </c>
      <c r="G1712" t="e">
        <f>#REF!</f>
        <v>#REF!</v>
      </c>
      <c r="H1712" t="e">
        <f>#REF!</f>
        <v>#REF!</v>
      </c>
    </row>
    <row r="1713" spans="1:8">
      <c r="A1713" t="e">
        <f>#REF!</f>
        <v>#REF!</v>
      </c>
      <c r="B1713" t="e">
        <f>#REF!</f>
        <v>#REF!</v>
      </c>
      <c r="C1713" t="e">
        <f>#REF!</f>
        <v>#REF!</v>
      </c>
      <c r="D1713" t="e">
        <f>#REF!</f>
        <v>#REF!</v>
      </c>
      <c r="E1713" t="e">
        <f>#REF!</f>
        <v>#REF!</v>
      </c>
      <c r="F1713" t="e">
        <f>#REF!</f>
        <v>#REF!</v>
      </c>
      <c r="G1713" t="e">
        <f>#REF!</f>
        <v>#REF!</v>
      </c>
      <c r="H1713" t="e">
        <f>#REF!</f>
        <v>#REF!</v>
      </c>
    </row>
    <row r="1714" spans="1:8">
      <c r="A1714" t="e">
        <f>#REF!</f>
        <v>#REF!</v>
      </c>
      <c r="B1714" t="e">
        <f>#REF!</f>
        <v>#REF!</v>
      </c>
      <c r="C1714" t="e">
        <f>#REF!</f>
        <v>#REF!</v>
      </c>
      <c r="D1714" t="e">
        <f>#REF!</f>
        <v>#REF!</v>
      </c>
      <c r="E1714" t="e">
        <f>#REF!</f>
        <v>#REF!</v>
      </c>
      <c r="F1714" t="e">
        <f>#REF!</f>
        <v>#REF!</v>
      </c>
      <c r="G1714" t="e">
        <f>#REF!</f>
        <v>#REF!</v>
      </c>
      <c r="H1714" t="e">
        <f>#REF!</f>
        <v>#REF!</v>
      </c>
    </row>
    <row r="1715" spans="1:8">
      <c r="A1715" t="e">
        <f>#REF!</f>
        <v>#REF!</v>
      </c>
      <c r="B1715" t="e">
        <f>#REF!</f>
        <v>#REF!</v>
      </c>
      <c r="C1715" t="e">
        <f>#REF!</f>
        <v>#REF!</v>
      </c>
      <c r="D1715" t="e">
        <f>#REF!</f>
        <v>#REF!</v>
      </c>
      <c r="E1715" t="e">
        <f>#REF!</f>
        <v>#REF!</v>
      </c>
      <c r="F1715" t="e">
        <f>#REF!</f>
        <v>#REF!</v>
      </c>
      <c r="G1715" t="e">
        <f>#REF!</f>
        <v>#REF!</v>
      </c>
      <c r="H1715" t="e">
        <f>#REF!</f>
        <v>#REF!</v>
      </c>
    </row>
    <row r="1716" spans="1:8">
      <c r="A1716" t="e">
        <f>#REF!</f>
        <v>#REF!</v>
      </c>
      <c r="B1716" t="e">
        <f>#REF!</f>
        <v>#REF!</v>
      </c>
      <c r="C1716" t="e">
        <f>#REF!</f>
        <v>#REF!</v>
      </c>
      <c r="D1716" t="e">
        <f>#REF!</f>
        <v>#REF!</v>
      </c>
      <c r="E1716" t="e">
        <f>#REF!</f>
        <v>#REF!</v>
      </c>
      <c r="F1716" t="e">
        <f>#REF!</f>
        <v>#REF!</v>
      </c>
      <c r="G1716" t="e">
        <f>#REF!</f>
        <v>#REF!</v>
      </c>
      <c r="H1716" t="e">
        <f>#REF!</f>
        <v>#REF!</v>
      </c>
    </row>
    <row r="1717" spans="1:8">
      <c r="A1717" t="e">
        <f>#REF!</f>
        <v>#REF!</v>
      </c>
      <c r="B1717" t="e">
        <f>#REF!</f>
        <v>#REF!</v>
      </c>
      <c r="C1717" t="e">
        <f>#REF!</f>
        <v>#REF!</v>
      </c>
      <c r="D1717" t="e">
        <f>#REF!</f>
        <v>#REF!</v>
      </c>
      <c r="E1717" t="e">
        <f>#REF!</f>
        <v>#REF!</v>
      </c>
      <c r="F1717" t="e">
        <f>#REF!</f>
        <v>#REF!</v>
      </c>
      <c r="G1717" t="e">
        <f>#REF!</f>
        <v>#REF!</v>
      </c>
      <c r="H1717" t="e">
        <f>#REF!</f>
        <v>#REF!</v>
      </c>
    </row>
    <row r="1718" spans="1:8">
      <c r="A1718" t="e">
        <f>#REF!</f>
        <v>#REF!</v>
      </c>
      <c r="B1718" t="e">
        <f>#REF!</f>
        <v>#REF!</v>
      </c>
      <c r="C1718" t="e">
        <f>#REF!</f>
        <v>#REF!</v>
      </c>
      <c r="D1718" t="e">
        <f>#REF!</f>
        <v>#REF!</v>
      </c>
      <c r="E1718" t="e">
        <f>#REF!</f>
        <v>#REF!</v>
      </c>
      <c r="F1718" t="e">
        <f>#REF!</f>
        <v>#REF!</v>
      </c>
      <c r="G1718" t="e">
        <f>#REF!</f>
        <v>#REF!</v>
      </c>
      <c r="H1718" t="e">
        <f>#REF!</f>
        <v>#REF!</v>
      </c>
    </row>
    <row r="1719" spans="1:8">
      <c r="A1719" t="e">
        <f>#REF!</f>
        <v>#REF!</v>
      </c>
      <c r="B1719" t="e">
        <f>#REF!</f>
        <v>#REF!</v>
      </c>
      <c r="C1719" t="e">
        <f>#REF!</f>
        <v>#REF!</v>
      </c>
      <c r="D1719" t="e">
        <f>#REF!</f>
        <v>#REF!</v>
      </c>
      <c r="E1719" t="e">
        <f>#REF!</f>
        <v>#REF!</v>
      </c>
      <c r="F1719" t="e">
        <f>#REF!</f>
        <v>#REF!</v>
      </c>
      <c r="G1719" t="e">
        <f>#REF!</f>
        <v>#REF!</v>
      </c>
      <c r="H1719" t="e">
        <f>#REF!</f>
        <v>#REF!</v>
      </c>
    </row>
    <row r="1720" spans="1:8">
      <c r="A1720" t="e">
        <f>#REF!</f>
        <v>#REF!</v>
      </c>
      <c r="B1720" t="e">
        <f>#REF!</f>
        <v>#REF!</v>
      </c>
      <c r="C1720" t="e">
        <f>#REF!</f>
        <v>#REF!</v>
      </c>
      <c r="D1720" t="e">
        <f>#REF!</f>
        <v>#REF!</v>
      </c>
      <c r="E1720" t="e">
        <f>#REF!</f>
        <v>#REF!</v>
      </c>
      <c r="F1720" t="e">
        <f>#REF!</f>
        <v>#REF!</v>
      </c>
      <c r="G1720" t="e">
        <f>#REF!</f>
        <v>#REF!</v>
      </c>
      <c r="H1720" t="e">
        <f>#REF!</f>
        <v>#REF!</v>
      </c>
    </row>
    <row r="1721" spans="1:8">
      <c r="A1721" t="e">
        <f>#REF!</f>
        <v>#REF!</v>
      </c>
      <c r="B1721" t="e">
        <f>#REF!</f>
        <v>#REF!</v>
      </c>
      <c r="C1721" t="e">
        <f>#REF!</f>
        <v>#REF!</v>
      </c>
      <c r="D1721" t="e">
        <f>#REF!</f>
        <v>#REF!</v>
      </c>
      <c r="E1721" t="e">
        <f>#REF!</f>
        <v>#REF!</v>
      </c>
      <c r="F1721" t="e">
        <f>#REF!</f>
        <v>#REF!</v>
      </c>
      <c r="G1721" t="e">
        <f>#REF!</f>
        <v>#REF!</v>
      </c>
      <c r="H1721" t="e">
        <f>#REF!</f>
        <v>#REF!</v>
      </c>
    </row>
    <row r="1722" spans="1:8">
      <c r="A1722" t="e">
        <f>#REF!</f>
        <v>#REF!</v>
      </c>
      <c r="B1722" t="e">
        <f>#REF!</f>
        <v>#REF!</v>
      </c>
      <c r="C1722" t="e">
        <f>#REF!</f>
        <v>#REF!</v>
      </c>
      <c r="D1722" t="e">
        <f>#REF!</f>
        <v>#REF!</v>
      </c>
      <c r="E1722" t="e">
        <f>#REF!</f>
        <v>#REF!</v>
      </c>
      <c r="F1722" t="e">
        <f>#REF!</f>
        <v>#REF!</v>
      </c>
      <c r="G1722" t="e">
        <f>#REF!</f>
        <v>#REF!</v>
      </c>
      <c r="H1722" t="e">
        <f>#REF!</f>
        <v>#REF!</v>
      </c>
    </row>
    <row r="1723" spans="1:8">
      <c r="A1723" t="e">
        <f>#REF!</f>
        <v>#REF!</v>
      </c>
      <c r="B1723" t="e">
        <f>#REF!</f>
        <v>#REF!</v>
      </c>
      <c r="C1723" t="e">
        <f>#REF!</f>
        <v>#REF!</v>
      </c>
      <c r="D1723" t="e">
        <f>#REF!</f>
        <v>#REF!</v>
      </c>
      <c r="E1723" t="e">
        <f>#REF!</f>
        <v>#REF!</v>
      </c>
      <c r="F1723" t="e">
        <f>#REF!</f>
        <v>#REF!</v>
      </c>
      <c r="G1723" t="e">
        <f>#REF!</f>
        <v>#REF!</v>
      </c>
      <c r="H1723" t="e">
        <f>#REF!</f>
        <v>#REF!</v>
      </c>
    </row>
    <row r="1724" spans="1:8">
      <c r="A1724" t="e">
        <f>#REF!</f>
        <v>#REF!</v>
      </c>
      <c r="B1724" t="e">
        <f>#REF!</f>
        <v>#REF!</v>
      </c>
      <c r="C1724" t="e">
        <f>#REF!</f>
        <v>#REF!</v>
      </c>
      <c r="D1724" t="e">
        <f>#REF!</f>
        <v>#REF!</v>
      </c>
      <c r="E1724" t="e">
        <f>#REF!</f>
        <v>#REF!</v>
      </c>
      <c r="F1724" t="e">
        <f>#REF!</f>
        <v>#REF!</v>
      </c>
      <c r="G1724" t="e">
        <f>#REF!</f>
        <v>#REF!</v>
      </c>
      <c r="H1724" t="e">
        <f>#REF!</f>
        <v>#REF!</v>
      </c>
    </row>
    <row r="1725" spans="1:8">
      <c r="A1725" t="e">
        <f>#REF!</f>
        <v>#REF!</v>
      </c>
      <c r="B1725" t="e">
        <f>#REF!</f>
        <v>#REF!</v>
      </c>
      <c r="C1725" t="e">
        <f>#REF!</f>
        <v>#REF!</v>
      </c>
      <c r="D1725" t="e">
        <f>#REF!</f>
        <v>#REF!</v>
      </c>
      <c r="E1725" t="e">
        <f>#REF!</f>
        <v>#REF!</v>
      </c>
      <c r="F1725" t="e">
        <f>#REF!</f>
        <v>#REF!</v>
      </c>
      <c r="G1725" t="e">
        <f>#REF!</f>
        <v>#REF!</v>
      </c>
      <c r="H1725" t="e">
        <f>#REF!</f>
        <v>#REF!</v>
      </c>
    </row>
    <row r="1726" spans="1:8">
      <c r="A1726" t="e">
        <f>#REF!</f>
        <v>#REF!</v>
      </c>
      <c r="B1726" t="e">
        <f>#REF!</f>
        <v>#REF!</v>
      </c>
      <c r="C1726" t="e">
        <f>#REF!</f>
        <v>#REF!</v>
      </c>
      <c r="D1726" t="e">
        <f>#REF!</f>
        <v>#REF!</v>
      </c>
      <c r="E1726" t="e">
        <f>#REF!</f>
        <v>#REF!</v>
      </c>
      <c r="F1726" t="e">
        <f>#REF!</f>
        <v>#REF!</v>
      </c>
      <c r="G1726" t="e">
        <f>#REF!</f>
        <v>#REF!</v>
      </c>
      <c r="H1726" t="e">
        <f>#REF!</f>
        <v>#REF!</v>
      </c>
    </row>
    <row r="1727" spans="1:8">
      <c r="A1727" t="e">
        <f>#REF!</f>
        <v>#REF!</v>
      </c>
      <c r="B1727" t="e">
        <f>#REF!</f>
        <v>#REF!</v>
      </c>
      <c r="C1727" t="e">
        <f>#REF!</f>
        <v>#REF!</v>
      </c>
      <c r="D1727" t="e">
        <f>#REF!</f>
        <v>#REF!</v>
      </c>
      <c r="E1727" t="e">
        <f>#REF!</f>
        <v>#REF!</v>
      </c>
      <c r="F1727" t="e">
        <f>#REF!</f>
        <v>#REF!</v>
      </c>
      <c r="G1727" t="e">
        <f>#REF!</f>
        <v>#REF!</v>
      </c>
      <c r="H1727" t="e">
        <f>#REF!</f>
        <v>#REF!</v>
      </c>
    </row>
    <row r="1728" spans="1:8">
      <c r="A1728" t="e">
        <f>#REF!</f>
        <v>#REF!</v>
      </c>
      <c r="B1728" t="e">
        <f>#REF!</f>
        <v>#REF!</v>
      </c>
      <c r="C1728" t="e">
        <f>#REF!</f>
        <v>#REF!</v>
      </c>
      <c r="D1728" t="e">
        <f>#REF!</f>
        <v>#REF!</v>
      </c>
      <c r="E1728" t="e">
        <f>#REF!</f>
        <v>#REF!</v>
      </c>
      <c r="F1728" t="e">
        <f>#REF!</f>
        <v>#REF!</v>
      </c>
      <c r="G1728" t="e">
        <f>#REF!</f>
        <v>#REF!</v>
      </c>
      <c r="H1728" t="e">
        <f>#REF!</f>
        <v>#REF!</v>
      </c>
    </row>
    <row r="1729" spans="1:8">
      <c r="A1729" t="e">
        <f>#REF!</f>
        <v>#REF!</v>
      </c>
      <c r="B1729" t="e">
        <f>#REF!</f>
        <v>#REF!</v>
      </c>
      <c r="C1729" t="e">
        <f>#REF!</f>
        <v>#REF!</v>
      </c>
      <c r="D1729" t="e">
        <f>#REF!</f>
        <v>#REF!</v>
      </c>
      <c r="E1729" t="e">
        <f>#REF!</f>
        <v>#REF!</v>
      </c>
      <c r="F1729" t="e">
        <f>#REF!</f>
        <v>#REF!</v>
      </c>
      <c r="G1729" t="e">
        <f>#REF!</f>
        <v>#REF!</v>
      </c>
      <c r="H1729" t="e">
        <f>#REF!</f>
        <v>#REF!</v>
      </c>
    </row>
    <row r="1730" spans="1:8">
      <c r="A1730" t="e">
        <f>#REF!</f>
        <v>#REF!</v>
      </c>
      <c r="B1730" t="e">
        <f>#REF!</f>
        <v>#REF!</v>
      </c>
      <c r="C1730" t="e">
        <f>#REF!</f>
        <v>#REF!</v>
      </c>
      <c r="D1730" t="e">
        <f>#REF!</f>
        <v>#REF!</v>
      </c>
      <c r="E1730" t="e">
        <f>#REF!</f>
        <v>#REF!</v>
      </c>
      <c r="F1730" t="e">
        <f>#REF!</f>
        <v>#REF!</v>
      </c>
      <c r="G1730" t="e">
        <f>#REF!</f>
        <v>#REF!</v>
      </c>
      <c r="H1730" t="e">
        <f>#REF!</f>
        <v>#REF!</v>
      </c>
    </row>
    <row r="1731" spans="1:8">
      <c r="A1731" t="e">
        <f>#REF!</f>
        <v>#REF!</v>
      </c>
      <c r="B1731" t="e">
        <f>#REF!</f>
        <v>#REF!</v>
      </c>
      <c r="C1731" t="e">
        <f>#REF!</f>
        <v>#REF!</v>
      </c>
      <c r="D1731" t="e">
        <f>#REF!</f>
        <v>#REF!</v>
      </c>
      <c r="E1731" t="e">
        <f>#REF!</f>
        <v>#REF!</v>
      </c>
      <c r="F1731" t="e">
        <f>#REF!</f>
        <v>#REF!</v>
      </c>
      <c r="G1731" t="e">
        <f>#REF!</f>
        <v>#REF!</v>
      </c>
      <c r="H1731" t="e">
        <f>#REF!</f>
        <v>#REF!</v>
      </c>
    </row>
    <row r="1732" spans="1:8">
      <c r="A1732" t="e">
        <f>#REF!</f>
        <v>#REF!</v>
      </c>
      <c r="B1732" t="e">
        <f>#REF!</f>
        <v>#REF!</v>
      </c>
      <c r="C1732" t="e">
        <f>#REF!</f>
        <v>#REF!</v>
      </c>
      <c r="D1732" t="e">
        <f>#REF!</f>
        <v>#REF!</v>
      </c>
      <c r="E1732" t="e">
        <f>#REF!</f>
        <v>#REF!</v>
      </c>
      <c r="F1732" t="e">
        <f>#REF!</f>
        <v>#REF!</v>
      </c>
      <c r="G1732" t="e">
        <f>#REF!</f>
        <v>#REF!</v>
      </c>
      <c r="H1732" t="e">
        <f>#REF!</f>
        <v>#REF!</v>
      </c>
    </row>
    <row r="1733" spans="1:8">
      <c r="A1733" t="e">
        <f>#REF!</f>
        <v>#REF!</v>
      </c>
      <c r="B1733" t="e">
        <f>#REF!</f>
        <v>#REF!</v>
      </c>
      <c r="C1733" t="e">
        <f>#REF!</f>
        <v>#REF!</v>
      </c>
      <c r="D1733" t="e">
        <f>#REF!</f>
        <v>#REF!</v>
      </c>
      <c r="E1733" t="e">
        <f>#REF!</f>
        <v>#REF!</v>
      </c>
      <c r="F1733" t="e">
        <f>#REF!</f>
        <v>#REF!</v>
      </c>
      <c r="G1733" t="e">
        <f>#REF!</f>
        <v>#REF!</v>
      </c>
      <c r="H1733" t="e">
        <f>#REF!</f>
        <v>#REF!</v>
      </c>
    </row>
    <row r="1734" spans="1:8">
      <c r="A1734" t="e">
        <f>#REF!</f>
        <v>#REF!</v>
      </c>
      <c r="B1734" t="e">
        <f>#REF!</f>
        <v>#REF!</v>
      </c>
      <c r="C1734" t="e">
        <f>#REF!</f>
        <v>#REF!</v>
      </c>
      <c r="D1734" t="e">
        <f>#REF!</f>
        <v>#REF!</v>
      </c>
      <c r="E1734" t="e">
        <f>#REF!</f>
        <v>#REF!</v>
      </c>
      <c r="F1734" t="e">
        <f>#REF!</f>
        <v>#REF!</v>
      </c>
      <c r="G1734" t="e">
        <f>#REF!</f>
        <v>#REF!</v>
      </c>
      <c r="H1734" t="e">
        <f>#REF!</f>
        <v>#REF!</v>
      </c>
    </row>
    <row r="1735" spans="1:8">
      <c r="A1735" t="e">
        <f>#REF!</f>
        <v>#REF!</v>
      </c>
      <c r="B1735" t="e">
        <f>#REF!</f>
        <v>#REF!</v>
      </c>
      <c r="C1735" t="e">
        <f>#REF!</f>
        <v>#REF!</v>
      </c>
      <c r="D1735" t="e">
        <f>#REF!</f>
        <v>#REF!</v>
      </c>
      <c r="E1735" t="e">
        <f>#REF!</f>
        <v>#REF!</v>
      </c>
      <c r="F1735" t="e">
        <f>#REF!</f>
        <v>#REF!</v>
      </c>
      <c r="G1735" t="e">
        <f>#REF!</f>
        <v>#REF!</v>
      </c>
      <c r="H1735" t="e">
        <f>#REF!</f>
        <v>#REF!</v>
      </c>
    </row>
    <row r="1736" spans="1:8">
      <c r="A1736" t="e">
        <f>#REF!</f>
        <v>#REF!</v>
      </c>
      <c r="B1736" t="e">
        <f>#REF!</f>
        <v>#REF!</v>
      </c>
      <c r="C1736" t="e">
        <f>#REF!</f>
        <v>#REF!</v>
      </c>
      <c r="D1736" t="e">
        <f>#REF!</f>
        <v>#REF!</v>
      </c>
      <c r="E1736" t="e">
        <f>#REF!</f>
        <v>#REF!</v>
      </c>
      <c r="F1736" t="e">
        <f>#REF!</f>
        <v>#REF!</v>
      </c>
      <c r="G1736" t="e">
        <f>#REF!</f>
        <v>#REF!</v>
      </c>
      <c r="H1736" t="e">
        <f>#REF!</f>
        <v>#REF!</v>
      </c>
    </row>
    <row r="1737" spans="1:8">
      <c r="A1737" t="e">
        <f>#REF!</f>
        <v>#REF!</v>
      </c>
      <c r="B1737" t="e">
        <f>#REF!</f>
        <v>#REF!</v>
      </c>
      <c r="C1737" t="e">
        <f>#REF!</f>
        <v>#REF!</v>
      </c>
      <c r="D1737" t="e">
        <f>#REF!</f>
        <v>#REF!</v>
      </c>
      <c r="E1737" t="e">
        <f>#REF!</f>
        <v>#REF!</v>
      </c>
      <c r="F1737" t="e">
        <f>#REF!</f>
        <v>#REF!</v>
      </c>
      <c r="G1737" t="e">
        <f>#REF!</f>
        <v>#REF!</v>
      </c>
      <c r="H1737" t="e">
        <f>#REF!</f>
        <v>#REF!</v>
      </c>
    </row>
    <row r="1738" spans="1:8">
      <c r="A1738" t="e">
        <f>#REF!</f>
        <v>#REF!</v>
      </c>
      <c r="B1738" t="e">
        <f>#REF!</f>
        <v>#REF!</v>
      </c>
      <c r="C1738" t="e">
        <f>#REF!</f>
        <v>#REF!</v>
      </c>
      <c r="D1738" t="e">
        <f>#REF!</f>
        <v>#REF!</v>
      </c>
      <c r="E1738" t="e">
        <f>#REF!</f>
        <v>#REF!</v>
      </c>
      <c r="F1738" t="e">
        <f>#REF!</f>
        <v>#REF!</v>
      </c>
      <c r="G1738" t="e">
        <f>#REF!</f>
        <v>#REF!</v>
      </c>
      <c r="H1738" t="e">
        <f>#REF!</f>
        <v>#REF!</v>
      </c>
    </row>
    <row r="1739" spans="1:8">
      <c r="A1739" t="e">
        <f>#REF!</f>
        <v>#REF!</v>
      </c>
      <c r="B1739" t="e">
        <f>#REF!</f>
        <v>#REF!</v>
      </c>
      <c r="C1739" t="e">
        <f>#REF!</f>
        <v>#REF!</v>
      </c>
      <c r="D1739" t="e">
        <f>#REF!</f>
        <v>#REF!</v>
      </c>
      <c r="E1739" t="e">
        <f>#REF!</f>
        <v>#REF!</v>
      </c>
      <c r="F1739" t="e">
        <f>#REF!</f>
        <v>#REF!</v>
      </c>
      <c r="G1739" t="e">
        <f>#REF!</f>
        <v>#REF!</v>
      </c>
      <c r="H1739" t="e">
        <f>#REF!</f>
        <v>#REF!</v>
      </c>
    </row>
    <row r="1740" spans="1:8">
      <c r="A1740" t="e">
        <f>#REF!</f>
        <v>#REF!</v>
      </c>
      <c r="B1740" t="e">
        <f>#REF!</f>
        <v>#REF!</v>
      </c>
      <c r="C1740" t="e">
        <f>#REF!</f>
        <v>#REF!</v>
      </c>
      <c r="D1740" t="e">
        <f>#REF!</f>
        <v>#REF!</v>
      </c>
      <c r="E1740" t="e">
        <f>#REF!</f>
        <v>#REF!</v>
      </c>
      <c r="F1740" t="e">
        <f>#REF!</f>
        <v>#REF!</v>
      </c>
      <c r="G1740" t="e">
        <f>#REF!</f>
        <v>#REF!</v>
      </c>
      <c r="H1740" t="e">
        <f>#REF!</f>
        <v>#REF!</v>
      </c>
    </row>
    <row r="1741" spans="1:8">
      <c r="A1741" t="e">
        <f>#REF!</f>
        <v>#REF!</v>
      </c>
      <c r="B1741" t="e">
        <f>#REF!</f>
        <v>#REF!</v>
      </c>
      <c r="C1741" t="e">
        <f>#REF!</f>
        <v>#REF!</v>
      </c>
      <c r="D1741" t="e">
        <f>#REF!</f>
        <v>#REF!</v>
      </c>
      <c r="E1741" t="e">
        <f>#REF!</f>
        <v>#REF!</v>
      </c>
      <c r="F1741" t="e">
        <f>#REF!</f>
        <v>#REF!</v>
      </c>
      <c r="G1741" t="e">
        <f>#REF!</f>
        <v>#REF!</v>
      </c>
      <c r="H1741" t="e">
        <f>#REF!</f>
        <v>#REF!</v>
      </c>
    </row>
    <row r="1742" spans="1:8">
      <c r="A1742" t="e">
        <f>#REF!</f>
        <v>#REF!</v>
      </c>
      <c r="B1742" t="e">
        <f>#REF!</f>
        <v>#REF!</v>
      </c>
      <c r="C1742" t="e">
        <f>#REF!</f>
        <v>#REF!</v>
      </c>
      <c r="D1742" t="e">
        <f>#REF!</f>
        <v>#REF!</v>
      </c>
      <c r="E1742" t="e">
        <f>#REF!</f>
        <v>#REF!</v>
      </c>
      <c r="F1742" t="e">
        <f>#REF!</f>
        <v>#REF!</v>
      </c>
      <c r="G1742" t="e">
        <f>#REF!</f>
        <v>#REF!</v>
      </c>
      <c r="H1742" t="e">
        <f>#REF!</f>
        <v>#REF!</v>
      </c>
    </row>
    <row r="1743" spans="1:8">
      <c r="A1743" t="e">
        <f>#REF!</f>
        <v>#REF!</v>
      </c>
      <c r="B1743" t="e">
        <f>#REF!</f>
        <v>#REF!</v>
      </c>
      <c r="C1743" t="e">
        <f>#REF!</f>
        <v>#REF!</v>
      </c>
      <c r="D1743" t="e">
        <f>#REF!</f>
        <v>#REF!</v>
      </c>
      <c r="E1743" t="e">
        <f>#REF!</f>
        <v>#REF!</v>
      </c>
      <c r="F1743" t="e">
        <f>#REF!</f>
        <v>#REF!</v>
      </c>
      <c r="G1743" t="e">
        <f>#REF!</f>
        <v>#REF!</v>
      </c>
      <c r="H1743" t="e">
        <f>#REF!</f>
        <v>#REF!</v>
      </c>
    </row>
    <row r="1744" spans="1:8">
      <c r="A1744" t="e">
        <f>#REF!</f>
        <v>#REF!</v>
      </c>
      <c r="B1744" t="e">
        <f>#REF!</f>
        <v>#REF!</v>
      </c>
      <c r="C1744" t="e">
        <f>#REF!</f>
        <v>#REF!</v>
      </c>
      <c r="D1744" t="e">
        <f>#REF!</f>
        <v>#REF!</v>
      </c>
      <c r="E1744" t="e">
        <f>#REF!</f>
        <v>#REF!</v>
      </c>
      <c r="F1744" t="e">
        <f>#REF!</f>
        <v>#REF!</v>
      </c>
      <c r="G1744" t="e">
        <f>#REF!</f>
        <v>#REF!</v>
      </c>
      <c r="H1744" t="e">
        <f>#REF!</f>
        <v>#REF!</v>
      </c>
    </row>
    <row r="1745" spans="1:8">
      <c r="A1745" t="e">
        <f>#REF!</f>
        <v>#REF!</v>
      </c>
      <c r="B1745" t="e">
        <f>#REF!</f>
        <v>#REF!</v>
      </c>
      <c r="C1745" t="e">
        <f>#REF!</f>
        <v>#REF!</v>
      </c>
      <c r="D1745" t="e">
        <f>#REF!</f>
        <v>#REF!</v>
      </c>
      <c r="E1745" t="e">
        <f>#REF!</f>
        <v>#REF!</v>
      </c>
      <c r="F1745" t="e">
        <f>#REF!</f>
        <v>#REF!</v>
      </c>
      <c r="G1745" t="e">
        <f>#REF!</f>
        <v>#REF!</v>
      </c>
      <c r="H1745" t="e">
        <f>#REF!</f>
        <v>#REF!</v>
      </c>
    </row>
    <row r="1746" spans="1:8">
      <c r="A1746" t="e">
        <f>#REF!</f>
        <v>#REF!</v>
      </c>
      <c r="B1746" t="e">
        <f>#REF!</f>
        <v>#REF!</v>
      </c>
      <c r="C1746" t="e">
        <f>#REF!</f>
        <v>#REF!</v>
      </c>
      <c r="D1746" t="e">
        <f>#REF!</f>
        <v>#REF!</v>
      </c>
      <c r="E1746" t="e">
        <f>#REF!</f>
        <v>#REF!</v>
      </c>
      <c r="F1746" t="e">
        <f>#REF!</f>
        <v>#REF!</v>
      </c>
      <c r="G1746" t="e">
        <f>#REF!</f>
        <v>#REF!</v>
      </c>
      <c r="H1746" t="e">
        <f>#REF!</f>
        <v>#REF!</v>
      </c>
    </row>
    <row r="1747" spans="1:8">
      <c r="A1747" t="e">
        <f>#REF!</f>
        <v>#REF!</v>
      </c>
      <c r="B1747" t="e">
        <f>#REF!</f>
        <v>#REF!</v>
      </c>
      <c r="C1747" t="e">
        <f>#REF!</f>
        <v>#REF!</v>
      </c>
      <c r="D1747" t="e">
        <f>#REF!</f>
        <v>#REF!</v>
      </c>
      <c r="E1747" t="e">
        <f>#REF!</f>
        <v>#REF!</v>
      </c>
      <c r="F1747" t="e">
        <f>#REF!</f>
        <v>#REF!</v>
      </c>
      <c r="G1747" t="e">
        <f>#REF!</f>
        <v>#REF!</v>
      </c>
      <c r="H1747" t="e">
        <f>#REF!</f>
        <v>#REF!</v>
      </c>
    </row>
    <row r="1748" spans="1:8">
      <c r="A1748" t="e">
        <f>#REF!</f>
        <v>#REF!</v>
      </c>
      <c r="B1748" t="e">
        <f>#REF!</f>
        <v>#REF!</v>
      </c>
      <c r="C1748" t="e">
        <f>#REF!</f>
        <v>#REF!</v>
      </c>
      <c r="D1748" t="e">
        <f>#REF!</f>
        <v>#REF!</v>
      </c>
      <c r="E1748" t="e">
        <f>#REF!</f>
        <v>#REF!</v>
      </c>
      <c r="F1748" t="e">
        <f>#REF!</f>
        <v>#REF!</v>
      </c>
      <c r="G1748" t="e">
        <f>#REF!</f>
        <v>#REF!</v>
      </c>
      <c r="H1748" t="e">
        <f>#REF!</f>
        <v>#REF!</v>
      </c>
    </row>
    <row r="1749" spans="1:8">
      <c r="A1749" t="e">
        <f>#REF!</f>
        <v>#REF!</v>
      </c>
      <c r="B1749" t="e">
        <f>#REF!</f>
        <v>#REF!</v>
      </c>
      <c r="C1749" t="e">
        <f>#REF!</f>
        <v>#REF!</v>
      </c>
      <c r="D1749" t="e">
        <f>#REF!</f>
        <v>#REF!</v>
      </c>
      <c r="E1749" t="e">
        <f>#REF!</f>
        <v>#REF!</v>
      </c>
      <c r="F1749" t="e">
        <f>#REF!</f>
        <v>#REF!</v>
      </c>
      <c r="G1749" t="e">
        <f>#REF!</f>
        <v>#REF!</v>
      </c>
      <c r="H1749" t="e">
        <f>#REF!</f>
        <v>#REF!</v>
      </c>
    </row>
    <row r="1750" spans="1:8">
      <c r="A1750" t="e">
        <f>#REF!</f>
        <v>#REF!</v>
      </c>
      <c r="B1750" t="e">
        <f>#REF!</f>
        <v>#REF!</v>
      </c>
      <c r="C1750" t="e">
        <f>#REF!</f>
        <v>#REF!</v>
      </c>
      <c r="D1750" t="e">
        <f>#REF!</f>
        <v>#REF!</v>
      </c>
      <c r="E1750" t="e">
        <f>#REF!</f>
        <v>#REF!</v>
      </c>
      <c r="F1750" t="e">
        <f>#REF!</f>
        <v>#REF!</v>
      </c>
      <c r="G1750" t="e">
        <f>#REF!</f>
        <v>#REF!</v>
      </c>
      <c r="H1750" t="e">
        <f>#REF!</f>
        <v>#REF!</v>
      </c>
    </row>
    <row r="1751" spans="1:8">
      <c r="A1751" t="e">
        <f>#REF!</f>
        <v>#REF!</v>
      </c>
      <c r="B1751" t="e">
        <f>#REF!</f>
        <v>#REF!</v>
      </c>
      <c r="C1751" t="e">
        <f>#REF!</f>
        <v>#REF!</v>
      </c>
      <c r="D1751" t="e">
        <f>#REF!</f>
        <v>#REF!</v>
      </c>
      <c r="E1751" t="e">
        <f>#REF!</f>
        <v>#REF!</v>
      </c>
      <c r="F1751" t="e">
        <f>#REF!</f>
        <v>#REF!</v>
      </c>
      <c r="G1751" t="e">
        <f>#REF!</f>
        <v>#REF!</v>
      </c>
      <c r="H1751" t="e">
        <f>#REF!</f>
        <v>#REF!</v>
      </c>
    </row>
    <row r="1752" spans="1:8">
      <c r="A1752" t="e">
        <f>#REF!</f>
        <v>#REF!</v>
      </c>
      <c r="B1752" t="e">
        <f>#REF!</f>
        <v>#REF!</v>
      </c>
      <c r="C1752" t="e">
        <f>#REF!</f>
        <v>#REF!</v>
      </c>
      <c r="D1752" t="e">
        <f>#REF!</f>
        <v>#REF!</v>
      </c>
      <c r="E1752" t="e">
        <f>#REF!</f>
        <v>#REF!</v>
      </c>
      <c r="F1752" t="e">
        <f>#REF!</f>
        <v>#REF!</v>
      </c>
      <c r="G1752" t="e">
        <f>#REF!</f>
        <v>#REF!</v>
      </c>
      <c r="H1752" t="e">
        <f>#REF!</f>
        <v>#REF!</v>
      </c>
    </row>
    <row r="1753" spans="1:8">
      <c r="A1753" t="e">
        <f>#REF!</f>
        <v>#REF!</v>
      </c>
      <c r="B1753" t="e">
        <f>#REF!</f>
        <v>#REF!</v>
      </c>
      <c r="C1753" t="e">
        <f>#REF!</f>
        <v>#REF!</v>
      </c>
      <c r="D1753" t="e">
        <f>#REF!</f>
        <v>#REF!</v>
      </c>
      <c r="E1753" t="e">
        <f>#REF!</f>
        <v>#REF!</v>
      </c>
      <c r="F1753" t="e">
        <f>#REF!</f>
        <v>#REF!</v>
      </c>
      <c r="G1753" t="e">
        <f>#REF!</f>
        <v>#REF!</v>
      </c>
      <c r="H1753" t="e">
        <f>#REF!</f>
        <v>#REF!</v>
      </c>
    </row>
    <row r="1754" spans="1:8">
      <c r="A1754" t="e">
        <f>#REF!</f>
        <v>#REF!</v>
      </c>
      <c r="B1754" t="e">
        <f>#REF!</f>
        <v>#REF!</v>
      </c>
      <c r="C1754" t="e">
        <f>#REF!</f>
        <v>#REF!</v>
      </c>
      <c r="D1754" t="e">
        <f>#REF!</f>
        <v>#REF!</v>
      </c>
      <c r="E1754" t="e">
        <f>#REF!</f>
        <v>#REF!</v>
      </c>
      <c r="F1754" t="e">
        <f>#REF!</f>
        <v>#REF!</v>
      </c>
      <c r="G1754" t="e">
        <f>#REF!</f>
        <v>#REF!</v>
      </c>
      <c r="H1754" t="e">
        <f>#REF!</f>
        <v>#REF!</v>
      </c>
    </row>
    <row r="1755" spans="1:8">
      <c r="A1755" t="e">
        <f>#REF!</f>
        <v>#REF!</v>
      </c>
      <c r="B1755" t="e">
        <f>#REF!</f>
        <v>#REF!</v>
      </c>
      <c r="C1755" t="e">
        <f>#REF!</f>
        <v>#REF!</v>
      </c>
      <c r="D1755" t="e">
        <f>#REF!</f>
        <v>#REF!</v>
      </c>
      <c r="E1755" t="e">
        <f>#REF!</f>
        <v>#REF!</v>
      </c>
      <c r="F1755" t="e">
        <f>#REF!</f>
        <v>#REF!</v>
      </c>
      <c r="G1755" t="e">
        <f>#REF!</f>
        <v>#REF!</v>
      </c>
      <c r="H1755" t="e">
        <f>#REF!</f>
        <v>#REF!</v>
      </c>
    </row>
    <row r="1756" spans="1:8">
      <c r="A1756" t="e">
        <f>#REF!</f>
        <v>#REF!</v>
      </c>
      <c r="B1756" t="e">
        <f>#REF!</f>
        <v>#REF!</v>
      </c>
      <c r="C1756" t="e">
        <f>#REF!</f>
        <v>#REF!</v>
      </c>
      <c r="D1756" t="e">
        <f>#REF!</f>
        <v>#REF!</v>
      </c>
      <c r="E1756" t="e">
        <f>#REF!</f>
        <v>#REF!</v>
      </c>
      <c r="F1756" t="e">
        <f>#REF!</f>
        <v>#REF!</v>
      </c>
      <c r="G1756" t="e">
        <f>#REF!</f>
        <v>#REF!</v>
      </c>
      <c r="H1756" t="e">
        <f>#REF!</f>
        <v>#REF!</v>
      </c>
    </row>
    <row r="1757" spans="1:8">
      <c r="A1757" t="e">
        <f>#REF!</f>
        <v>#REF!</v>
      </c>
      <c r="B1757" t="e">
        <f>#REF!</f>
        <v>#REF!</v>
      </c>
      <c r="C1757" t="e">
        <f>#REF!</f>
        <v>#REF!</v>
      </c>
      <c r="D1757" t="e">
        <f>#REF!</f>
        <v>#REF!</v>
      </c>
      <c r="E1757" t="e">
        <f>#REF!</f>
        <v>#REF!</v>
      </c>
      <c r="F1757" t="e">
        <f>#REF!</f>
        <v>#REF!</v>
      </c>
      <c r="G1757" t="e">
        <f>#REF!</f>
        <v>#REF!</v>
      </c>
      <c r="H1757" t="e">
        <f>#REF!</f>
        <v>#REF!</v>
      </c>
    </row>
    <row r="1758" spans="1:8">
      <c r="A1758" t="e">
        <f>#REF!</f>
        <v>#REF!</v>
      </c>
      <c r="B1758" t="e">
        <f>#REF!</f>
        <v>#REF!</v>
      </c>
      <c r="C1758" t="e">
        <f>#REF!</f>
        <v>#REF!</v>
      </c>
      <c r="D1758" t="e">
        <f>#REF!</f>
        <v>#REF!</v>
      </c>
      <c r="E1758" t="e">
        <f>#REF!</f>
        <v>#REF!</v>
      </c>
      <c r="F1758" t="e">
        <f>#REF!</f>
        <v>#REF!</v>
      </c>
      <c r="G1758" t="e">
        <f>#REF!</f>
        <v>#REF!</v>
      </c>
      <c r="H1758" t="e">
        <f>#REF!</f>
        <v>#REF!</v>
      </c>
    </row>
    <row r="1759" spans="1:8">
      <c r="A1759" t="e">
        <f>#REF!</f>
        <v>#REF!</v>
      </c>
      <c r="B1759" t="e">
        <f>#REF!</f>
        <v>#REF!</v>
      </c>
      <c r="C1759" t="e">
        <f>#REF!</f>
        <v>#REF!</v>
      </c>
      <c r="D1759" t="e">
        <f>#REF!</f>
        <v>#REF!</v>
      </c>
      <c r="E1759" t="e">
        <f>#REF!</f>
        <v>#REF!</v>
      </c>
      <c r="F1759" t="e">
        <f>#REF!</f>
        <v>#REF!</v>
      </c>
      <c r="G1759" t="e">
        <f>#REF!</f>
        <v>#REF!</v>
      </c>
      <c r="H1759" t="e">
        <f>#REF!</f>
        <v>#REF!</v>
      </c>
    </row>
    <row r="1760" spans="1:8">
      <c r="A1760" t="e">
        <f>#REF!</f>
        <v>#REF!</v>
      </c>
      <c r="B1760" t="e">
        <f>#REF!</f>
        <v>#REF!</v>
      </c>
      <c r="C1760" t="e">
        <f>#REF!</f>
        <v>#REF!</v>
      </c>
      <c r="D1760" t="e">
        <f>#REF!</f>
        <v>#REF!</v>
      </c>
      <c r="E1760" t="e">
        <f>#REF!</f>
        <v>#REF!</v>
      </c>
      <c r="F1760" t="e">
        <f>#REF!</f>
        <v>#REF!</v>
      </c>
      <c r="G1760" t="e">
        <f>#REF!</f>
        <v>#REF!</v>
      </c>
      <c r="H1760" t="e">
        <f>#REF!</f>
        <v>#REF!</v>
      </c>
    </row>
    <row r="1761" spans="1:8">
      <c r="A1761" t="e">
        <f>#REF!</f>
        <v>#REF!</v>
      </c>
      <c r="B1761" t="e">
        <f>#REF!</f>
        <v>#REF!</v>
      </c>
      <c r="C1761" t="e">
        <f>#REF!</f>
        <v>#REF!</v>
      </c>
      <c r="D1761" t="e">
        <f>#REF!</f>
        <v>#REF!</v>
      </c>
      <c r="E1761" t="e">
        <f>#REF!</f>
        <v>#REF!</v>
      </c>
      <c r="F1761" t="e">
        <f>#REF!</f>
        <v>#REF!</v>
      </c>
      <c r="G1761" t="e">
        <f>#REF!</f>
        <v>#REF!</v>
      </c>
      <c r="H1761" t="e">
        <f>#REF!</f>
        <v>#REF!</v>
      </c>
    </row>
    <row r="1762" spans="1:8">
      <c r="A1762" t="e">
        <f>#REF!</f>
        <v>#REF!</v>
      </c>
      <c r="B1762" t="e">
        <f>#REF!</f>
        <v>#REF!</v>
      </c>
      <c r="C1762" t="e">
        <f>#REF!</f>
        <v>#REF!</v>
      </c>
      <c r="D1762" t="e">
        <f>#REF!</f>
        <v>#REF!</v>
      </c>
      <c r="E1762" t="e">
        <f>#REF!</f>
        <v>#REF!</v>
      </c>
      <c r="F1762" t="e">
        <f>#REF!</f>
        <v>#REF!</v>
      </c>
      <c r="G1762" t="e">
        <f>#REF!</f>
        <v>#REF!</v>
      </c>
      <c r="H1762" t="e">
        <f>#REF!</f>
        <v>#REF!</v>
      </c>
    </row>
    <row r="1763" spans="1:8">
      <c r="A1763" t="e">
        <f>#REF!</f>
        <v>#REF!</v>
      </c>
      <c r="B1763" t="e">
        <f>#REF!</f>
        <v>#REF!</v>
      </c>
      <c r="C1763" t="e">
        <f>#REF!</f>
        <v>#REF!</v>
      </c>
      <c r="D1763" t="e">
        <f>#REF!</f>
        <v>#REF!</v>
      </c>
      <c r="E1763" t="e">
        <f>#REF!</f>
        <v>#REF!</v>
      </c>
      <c r="F1763" t="e">
        <f>#REF!</f>
        <v>#REF!</v>
      </c>
      <c r="G1763" t="e">
        <f>#REF!</f>
        <v>#REF!</v>
      </c>
      <c r="H1763" t="e">
        <f>#REF!</f>
        <v>#REF!</v>
      </c>
    </row>
    <row r="1764" spans="1:8">
      <c r="A1764" t="e">
        <f>#REF!</f>
        <v>#REF!</v>
      </c>
      <c r="B1764" t="e">
        <f>#REF!</f>
        <v>#REF!</v>
      </c>
      <c r="C1764" t="e">
        <f>#REF!</f>
        <v>#REF!</v>
      </c>
      <c r="D1764" t="e">
        <f>#REF!</f>
        <v>#REF!</v>
      </c>
      <c r="E1764" t="e">
        <f>#REF!</f>
        <v>#REF!</v>
      </c>
      <c r="F1764" t="e">
        <f>#REF!</f>
        <v>#REF!</v>
      </c>
      <c r="G1764" t="e">
        <f>#REF!</f>
        <v>#REF!</v>
      </c>
      <c r="H1764" t="e">
        <f>#REF!</f>
        <v>#REF!</v>
      </c>
    </row>
    <row r="1765" spans="1:8">
      <c r="A1765" t="e">
        <f>#REF!</f>
        <v>#REF!</v>
      </c>
      <c r="B1765" t="e">
        <f>#REF!</f>
        <v>#REF!</v>
      </c>
      <c r="C1765" t="e">
        <f>#REF!</f>
        <v>#REF!</v>
      </c>
      <c r="D1765" t="e">
        <f>#REF!</f>
        <v>#REF!</v>
      </c>
      <c r="E1765" t="e">
        <f>#REF!</f>
        <v>#REF!</v>
      </c>
      <c r="F1765" t="e">
        <f>#REF!</f>
        <v>#REF!</v>
      </c>
      <c r="G1765" t="e">
        <f>#REF!</f>
        <v>#REF!</v>
      </c>
      <c r="H1765" t="e">
        <f>#REF!</f>
        <v>#REF!</v>
      </c>
    </row>
    <row r="1766" spans="1:8">
      <c r="A1766" t="e">
        <f>#REF!</f>
        <v>#REF!</v>
      </c>
      <c r="B1766" t="e">
        <f>#REF!</f>
        <v>#REF!</v>
      </c>
      <c r="C1766" t="e">
        <f>#REF!</f>
        <v>#REF!</v>
      </c>
      <c r="D1766" t="e">
        <f>#REF!</f>
        <v>#REF!</v>
      </c>
      <c r="E1766" t="e">
        <f>#REF!</f>
        <v>#REF!</v>
      </c>
      <c r="F1766" t="e">
        <f>#REF!</f>
        <v>#REF!</v>
      </c>
      <c r="G1766" t="e">
        <f>#REF!</f>
        <v>#REF!</v>
      </c>
      <c r="H1766" t="e">
        <f>#REF!</f>
        <v>#REF!</v>
      </c>
    </row>
    <row r="1767" spans="1:8">
      <c r="A1767" t="e">
        <f>#REF!</f>
        <v>#REF!</v>
      </c>
      <c r="B1767" t="e">
        <f>#REF!</f>
        <v>#REF!</v>
      </c>
      <c r="C1767" t="e">
        <f>#REF!</f>
        <v>#REF!</v>
      </c>
      <c r="D1767" t="e">
        <f>#REF!</f>
        <v>#REF!</v>
      </c>
      <c r="E1767" t="e">
        <f>#REF!</f>
        <v>#REF!</v>
      </c>
      <c r="F1767" t="e">
        <f>#REF!</f>
        <v>#REF!</v>
      </c>
      <c r="G1767" t="e">
        <f>#REF!</f>
        <v>#REF!</v>
      </c>
      <c r="H1767" t="e">
        <f>#REF!</f>
        <v>#REF!</v>
      </c>
    </row>
    <row r="1768" spans="1:8">
      <c r="A1768" t="e">
        <f>#REF!</f>
        <v>#REF!</v>
      </c>
      <c r="B1768" t="e">
        <f>#REF!</f>
        <v>#REF!</v>
      </c>
      <c r="C1768" t="e">
        <f>#REF!</f>
        <v>#REF!</v>
      </c>
      <c r="D1768" t="e">
        <f>#REF!</f>
        <v>#REF!</v>
      </c>
      <c r="E1768" t="e">
        <f>#REF!</f>
        <v>#REF!</v>
      </c>
      <c r="F1768" t="e">
        <f>#REF!</f>
        <v>#REF!</v>
      </c>
      <c r="G1768" t="e">
        <f>#REF!</f>
        <v>#REF!</v>
      </c>
      <c r="H1768" t="e">
        <f>#REF!</f>
        <v>#REF!</v>
      </c>
    </row>
    <row r="1769" spans="1:8">
      <c r="A1769" t="e">
        <f>#REF!</f>
        <v>#REF!</v>
      </c>
      <c r="B1769" t="e">
        <f>#REF!</f>
        <v>#REF!</v>
      </c>
      <c r="C1769" t="e">
        <f>#REF!</f>
        <v>#REF!</v>
      </c>
      <c r="D1769" t="e">
        <f>#REF!</f>
        <v>#REF!</v>
      </c>
      <c r="E1769" t="e">
        <f>#REF!</f>
        <v>#REF!</v>
      </c>
      <c r="F1769" t="e">
        <f>#REF!</f>
        <v>#REF!</v>
      </c>
      <c r="G1769" t="e">
        <f>#REF!</f>
        <v>#REF!</v>
      </c>
      <c r="H1769" t="e">
        <f>#REF!</f>
        <v>#REF!</v>
      </c>
    </row>
    <row r="1770" spans="1:8">
      <c r="A1770" t="e">
        <f>#REF!</f>
        <v>#REF!</v>
      </c>
      <c r="B1770" t="e">
        <f>#REF!</f>
        <v>#REF!</v>
      </c>
      <c r="C1770" t="e">
        <f>#REF!</f>
        <v>#REF!</v>
      </c>
      <c r="D1770" t="e">
        <f>#REF!</f>
        <v>#REF!</v>
      </c>
      <c r="E1770" t="e">
        <f>#REF!</f>
        <v>#REF!</v>
      </c>
      <c r="F1770" t="e">
        <f>#REF!</f>
        <v>#REF!</v>
      </c>
      <c r="G1770" t="e">
        <f>#REF!</f>
        <v>#REF!</v>
      </c>
      <c r="H1770" t="e">
        <f>#REF!</f>
        <v>#REF!</v>
      </c>
    </row>
    <row r="1771" spans="1:8">
      <c r="A1771" t="e">
        <f>#REF!</f>
        <v>#REF!</v>
      </c>
      <c r="B1771" t="e">
        <f>#REF!</f>
        <v>#REF!</v>
      </c>
      <c r="C1771" t="e">
        <f>#REF!</f>
        <v>#REF!</v>
      </c>
      <c r="D1771" t="e">
        <f>#REF!</f>
        <v>#REF!</v>
      </c>
      <c r="E1771" t="e">
        <f>#REF!</f>
        <v>#REF!</v>
      </c>
      <c r="F1771" t="e">
        <f>#REF!</f>
        <v>#REF!</v>
      </c>
      <c r="G1771" t="e">
        <f>#REF!</f>
        <v>#REF!</v>
      </c>
      <c r="H1771" t="e">
        <f>#REF!</f>
        <v>#REF!</v>
      </c>
    </row>
    <row r="1772" spans="1:8">
      <c r="A1772" t="e">
        <f>#REF!</f>
        <v>#REF!</v>
      </c>
      <c r="B1772" t="e">
        <f>#REF!</f>
        <v>#REF!</v>
      </c>
      <c r="C1772" t="e">
        <f>#REF!</f>
        <v>#REF!</v>
      </c>
      <c r="D1772" t="e">
        <f>#REF!</f>
        <v>#REF!</v>
      </c>
      <c r="E1772" t="e">
        <f>#REF!</f>
        <v>#REF!</v>
      </c>
      <c r="F1772" t="e">
        <f>#REF!</f>
        <v>#REF!</v>
      </c>
      <c r="G1772" t="e">
        <f>#REF!</f>
        <v>#REF!</v>
      </c>
      <c r="H1772" t="e">
        <f>#REF!</f>
        <v>#REF!</v>
      </c>
    </row>
    <row r="1773" spans="1:8">
      <c r="A1773" t="e">
        <f>#REF!</f>
        <v>#REF!</v>
      </c>
      <c r="B1773" t="e">
        <f>#REF!</f>
        <v>#REF!</v>
      </c>
      <c r="C1773" t="e">
        <f>#REF!</f>
        <v>#REF!</v>
      </c>
      <c r="D1773" t="e">
        <f>#REF!</f>
        <v>#REF!</v>
      </c>
      <c r="E1773" t="e">
        <f>#REF!</f>
        <v>#REF!</v>
      </c>
      <c r="F1773" t="e">
        <f>#REF!</f>
        <v>#REF!</v>
      </c>
      <c r="G1773" t="e">
        <f>#REF!</f>
        <v>#REF!</v>
      </c>
      <c r="H1773" t="e">
        <f>#REF!</f>
        <v>#REF!</v>
      </c>
    </row>
    <row r="1774" spans="1:8">
      <c r="A1774" t="e">
        <f>#REF!</f>
        <v>#REF!</v>
      </c>
      <c r="B1774" t="e">
        <f>#REF!</f>
        <v>#REF!</v>
      </c>
      <c r="C1774" t="e">
        <f>#REF!</f>
        <v>#REF!</v>
      </c>
      <c r="D1774" t="e">
        <f>#REF!</f>
        <v>#REF!</v>
      </c>
      <c r="E1774" t="e">
        <f>#REF!</f>
        <v>#REF!</v>
      </c>
      <c r="F1774" t="e">
        <f>#REF!</f>
        <v>#REF!</v>
      </c>
      <c r="G1774" t="e">
        <f>#REF!</f>
        <v>#REF!</v>
      </c>
      <c r="H1774" t="e">
        <f>#REF!</f>
        <v>#REF!</v>
      </c>
    </row>
    <row r="1775" spans="1:8">
      <c r="A1775" t="e">
        <f>#REF!</f>
        <v>#REF!</v>
      </c>
      <c r="B1775" t="e">
        <f>#REF!</f>
        <v>#REF!</v>
      </c>
      <c r="C1775" t="e">
        <f>#REF!</f>
        <v>#REF!</v>
      </c>
      <c r="D1775" t="e">
        <f>#REF!</f>
        <v>#REF!</v>
      </c>
      <c r="E1775" t="e">
        <f>#REF!</f>
        <v>#REF!</v>
      </c>
      <c r="F1775" t="e">
        <f>#REF!</f>
        <v>#REF!</v>
      </c>
      <c r="G1775" t="e">
        <f>#REF!</f>
        <v>#REF!</v>
      </c>
      <c r="H1775" t="e">
        <f>#REF!</f>
        <v>#REF!</v>
      </c>
    </row>
    <row r="1776" spans="1:8">
      <c r="A1776" t="e">
        <f>#REF!</f>
        <v>#REF!</v>
      </c>
      <c r="B1776" t="e">
        <f>#REF!</f>
        <v>#REF!</v>
      </c>
      <c r="C1776" t="e">
        <f>#REF!</f>
        <v>#REF!</v>
      </c>
      <c r="D1776" t="e">
        <f>#REF!</f>
        <v>#REF!</v>
      </c>
      <c r="E1776" t="e">
        <f>#REF!</f>
        <v>#REF!</v>
      </c>
      <c r="F1776" t="e">
        <f>#REF!</f>
        <v>#REF!</v>
      </c>
      <c r="G1776" t="e">
        <f>#REF!</f>
        <v>#REF!</v>
      </c>
      <c r="H1776" t="e">
        <f>#REF!</f>
        <v>#REF!</v>
      </c>
    </row>
    <row r="1777" spans="1:8">
      <c r="A1777" t="e">
        <f>#REF!</f>
        <v>#REF!</v>
      </c>
      <c r="B1777" t="e">
        <f>#REF!</f>
        <v>#REF!</v>
      </c>
      <c r="C1777" t="e">
        <f>#REF!</f>
        <v>#REF!</v>
      </c>
      <c r="D1777" t="e">
        <f>#REF!</f>
        <v>#REF!</v>
      </c>
      <c r="E1777" t="e">
        <f>#REF!</f>
        <v>#REF!</v>
      </c>
      <c r="F1777" t="e">
        <f>#REF!</f>
        <v>#REF!</v>
      </c>
      <c r="G1777" t="e">
        <f>#REF!</f>
        <v>#REF!</v>
      </c>
      <c r="H1777" t="e">
        <f>#REF!</f>
        <v>#REF!</v>
      </c>
    </row>
    <row r="1778" spans="1:8">
      <c r="A1778" t="e">
        <f>#REF!</f>
        <v>#REF!</v>
      </c>
      <c r="B1778" t="e">
        <f>#REF!</f>
        <v>#REF!</v>
      </c>
      <c r="C1778" t="e">
        <f>#REF!</f>
        <v>#REF!</v>
      </c>
      <c r="D1778" t="e">
        <f>#REF!</f>
        <v>#REF!</v>
      </c>
      <c r="E1778" t="e">
        <f>#REF!</f>
        <v>#REF!</v>
      </c>
      <c r="F1778" t="e">
        <f>#REF!</f>
        <v>#REF!</v>
      </c>
      <c r="G1778" t="e">
        <f>#REF!</f>
        <v>#REF!</v>
      </c>
      <c r="H1778" t="e">
        <f>#REF!</f>
        <v>#REF!</v>
      </c>
    </row>
    <row r="1779" spans="1:8">
      <c r="A1779" t="e">
        <f>#REF!</f>
        <v>#REF!</v>
      </c>
      <c r="B1779" t="e">
        <f>#REF!</f>
        <v>#REF!</v>
      </c>
      <c r="C1779" t="e">
        <f>#REF!</f>
        <v>#REF!</v>
      </c>
      <c r="D1779" t="e">
        <f>#REF!</f>
        <v>#REF!</v>
      </c>
      <c r="E1779" t="e">
        <f>#REF!</f>
        <v>#REF!</v>
      </c>
      <c r="F1779" t="e">
        <f>#REF!</f>
        <v>#REF!</v>
      </c>
      <c r="G1779" t="e">
        <f>#REF!</f>
        <v>#REF!</v>
      </c>
      <c r="H1779" t="e">
        <f>#REF!</f>
        <v>#REF!</v>
      </c>
    </row>
    <row r="1780" spans="1:8">
      <c r="A1780" t="e">
        <f>#REF!</f>
        <v>#REF!</v>
      </c>
      <c r="B1780" t="e">
        <f>#REF!</f>
        <v>#REF!</v>
      </c>
      <c r="C1780" t="e">
        <f>#REF!</f>
        <v>#REF!</v>
      </c>
      <c r="D1780" t="e">
        <f>#REF!</f>
        <v>#REF!</v>
      </c>
      <c r="E1780" t="e">
        <f>#REF!</f>
        <v>#REF!</v>
      </c>
      <c r="F1780" t="e">
        <f>#REF!</f>
        <v>#REF!</v>
      </c>
      <c r="G1780" t="e">
        <f>#REF!</f>
        <v>#REF!</v>
      </c>
      <c r="H1780" t="e">
        <f>#REF!</f>
        <v>#REF!</v>
      </c>
    </row>
    <row r="1781" spans="1:8">
      <c r="A1781" t="e">
        <f>#REF!</f>
        <v>#REF!</v>
      </c>
      <c r="B1781" t="e">
        <f>#REF!</f>
        <v>#REF!</v>
      </c>
      <c r="C1781" t="e">
        <f>#REF!</f>
        <v>#REF!</v>
      </c>
      <c r="D1781" t="e">
        <f>#REF!</f>
        <v>#REF!</v>
      </c>
      <c r="E1781" t="e">
        <f>#REF!</f>
        <v>#REF!</v>
      </c>
      <c r="F1781" t="e">
        <f>#REF!</f>
        <v>#REF!</v>
      </c>
      <c r="G1781" t="e">
        <f>#REF!</f>
        <v>#REF!</v>
      </c>
      <c r="H1781" t="e">
        <f>#REF!</f>
        <v>#REF!</v>
      </c>
    </row>
    <row r="1782" spans="1:8">
      <c r="A1782" t="e">
        <f>#REF!</f>
        <v>#REF!</v>
      </c>
      <c r="B1782" t="e">
        <f>#REF!</f>
        <v>#REF!</v>
      </c>
      <c r="C1782" t="e">
        <f>#REF!</f>
        <v>#REF!</v>
      </c>
      <c r="D1782" t="e">
        <f>#REF!</f>
        <v>#REF!</v>
      </c>
      <c r="E1782" t="e">
        <f>#REF!</f>
        <v>#REF!</v>
      </c>
      <c r="F1782" t="e">
        <f>#REF!</f>
        <v>#REF!</v>
      </c>
      <c r="G1782" t="e">
        <f>#REF!</f>
        <v>#REF!</v>
      </c>
      <c r="H1782" t="e">
        <f>#REF!</f>
        <v>#REF!</v>
      </c>
    </row>
    <row r="1783" spans="1:8">
      <c r="A1783" t="e">
        <f>#REF!</f>
        <v>#REF!</v>
      </c>
      <c r="B1783" t="e">
        <f>#REF!</f>
        <v>#REF!</v>
      </c>
      <c r="C1783" t="e">
        <f>#REF!</f>
        <v>#REF!</v>
      </c>
      <c r="D1783" t="e">
        <f>#REF!</f>
        <v>#REF!</v>
      </c>
      <c r="E1783" t="e">
        <f>#REF!</f>
        <v>#REF!</v>
      </c>
      <c r="F1783" t="e">
        <f>#REF!</f>
        <v>#REF!</v>
      </c>
      <c r="G1783" t="e">
        <f>#REF!</f>
        <v>#REF!</v>
      </c>
      <c r="H1783" t="e">
        <f>#REF!</f>
        <v>#REF!</v>
      </c>
    </row>
    <row r="1784" spans="1:8">
      <c r="A1784" t="e">
        <f>#REF!</f>
        <v>#REF!</v>
      </c>
      <c r="B1784" t="e">
        <f>#REF!</f>
        <v>#REF!</v>
      </c>
      <c r="C1784" t="e">
        <f>#REF!</f>
        <v>#REF!</v>
      </c>
      <c r="D1784" t="e">
        <f>#REF!</f>
        <v>#REF!</v>
      </c>
      <c r="E1784" t="e">
        <f>#REF!</f>
        <v>#REF!</v>
      </c>
      <c r="F1784" t="e">
        <f>#REF!</f>
        <v>#REF!</v>
      </c>
      <c r="G1784" t="e">
        <f>#REF!</f>
        <v>#REF!</v>
      </c>
      <c r="H1784" t="e">
        <f>#REF!</f>
        <v>#REF!</v>
      </c>
    </row>
    <row r="1785" spans="1:8">
      <c r="A1785" t="e">
        <f>#REF!</f>
        <v>#REF!</v>
      </c>
      <c r="B1785" t="e">
        <f>#REF!</f>
        <v>#REF!</v>
      </c>
      <c r="C1785" t="e">
        <f>#REF!</f>
        <v>#REF!</v>
      </c>
      <c r="D1785" t="e">
        <f>#REF!</f>
        <v>#REF!</v>
      </c>
      <c r="E1785" t="e">
        <f>#REF!</f>
        <v>#REF!</v>
      </c>
      <c r="F1785" t="e">
        <f>#REF!</f>
        <v>#REF!</v>
      </c>
      <c r="G1785" t="e">
        <f>#REF!</f>
        <v>#REF!</v>
      </c>
      <c r="H1785" t="e">
        <f>#REF!</f>
        <v>#REF!</v>
      </c>
    </row>
    <row r="1786" spans="1:8">
      <c r="A1786" t="e">
        <f>#REF!</f>
        <v>#REF!</v>
      </c>
      <c r="B1786" t="e">
        <f>#REF!</f>
        <v>#REF!</v>
      </c>
      <c r="C1786" t="e">
        <f>#REF!</f>
        <v>#REF!</v>
      </c>
      <c r="D1786" t="e">
        <f>#REF!</f>
        <v>#REF!</v>
      </c>
      <c r="E1786" t="e">
        <f>#REF!</f>
        <v>#REF!</v>
      </c>
      <c r="F1786" t="e">
        <f>#REF!</f>
        <v>#REF!</v>
      </c>
      <c r="G1786" t="e">
        <f>#REF!</f>
        <v>#REF!</v>
      </c>
      <c r="H1786" t="e">
        <f>#REF!</f>
        <v>#REF!</v>
      </c>
    </row>
    <row r="1787" spans="1:8">
      <c r="A1787" t="e">
        <f>#REF!</f>
        <v>#REF!</v>
      </c>
      <c r="B1787" t="e">
        <f>#REF!</f>
        <v>#REF!</v>
      </c>
      <c r="C1787" t="e">
        <f>#REF!</f>
        <v>#REF!</v>
      </c>
      <c r="D1787" t="e">
        <f>#REF!</f>
        <v>#REF!</v>
      </c>
      <c r="E1787" t="e">
        <f>#REF!</f>
        <v>#REF!</v>
      </c>
      <c r="F1787" t="e">
        <f>#REF!</f>
        <v>#REF!</v>
      </c>
      <c r="G1787" t="e">
        <f>#REF!</f>
        <v>#REF!</v>
      </c>
      <c r="H1787" t="e">
        <f>#REF!</f>
        <v>#REF!</v>
      </c>
    </row>
    <row r="1788" spans="1:8">
      <c r="A1788" t="e">
        <f>#REF!</f>
        <v>#REF!</v>
      </c>
      <c r="B1788" t="e">
        <f>#REF!</f>
        <v>#REF!</v>
      </c>
      <c r="C1788" t="e">
        <f>#REF!</f>
        <v>#REF!</v>
      </c>
      <c r="D1788" t="e">
        <f>#REF!</f>
        <v>#REF!</v>
      </c>
      <c r="E1788" t="e">
        <f>#REF!</f>
        <v>#REF!</v>
      </c>
      <c r="F1788" t="e">
        <f>#REF!</f>
        <v>#REF!</v>
      </c>
      <c r="G1788" t="e">
        <f>#REF!</f>
        <v>#REF!</v>
      </c>
      <c r="H1788" t="e">
        <f>#REF!</f>
        <v>#REF!</v>
      </c>
    </row>
    <row r="1789" spans="1:8">
      <c r="A1789" t="e">
        <f>#REF!</f>
        <v>#REF!</v>
      </c>
      <c r="B1789" t="e">
        <f>#REF!</f>
        <v>#REF!</v>
      </c>
      <c r="C1789" t="e">
        <f>#REF!</f>
        <v>#REF!</v>
      </c>
      <c r="D1789" t="e">
        <f>#REF!</f>
        <v>#REF!</v>
      </c>
      <c r="E1789" t="e">
        <f>#REF!</f>
        <v>#REF!</v>
      </c>
      <c r="F1789" t="e">
        <f>#REF!</f>
        <v>#REF!</v>
      </c>
      <c r="G1789" t="e">
        <f>#REF!</f>
        <v>#REF!</v>
      </c>
      <c r="H1789" t="e">
        <f>#REF!</f>
        <v>#REF!</v>
      </c>
    </row>
    <row r="1790" spans="1:8">
      <c r="A1790" t="e">
        <f>#REF!</f>
        <v>#REF!</v>
      </c>
      <c r="B1790" t="e">
        <f>#REF!</f>
        <v>#REF!</v>
      </c>
      <c r="C1790" t="e">
        <f>#REF!</f>
        <v>#REF!</v>
      </c>
      <c r="D1790" t="e">
        <f>#REF!</f>
        <v>#REF!</v>
      </c>
      <c r="E1790" t="e">
        <f>#REF!</f>
        <v>#REF!</v>
      </c>
      <c r="F1790" t="e">
        <f>#REF!</f>
        <v>#REF!</v>
      </c>
      <c r="G1790" t="e">
        <f>#REF!</f>
        <v>#REF!</v>
      </c>
      <c r="H1790" t="e">
        <f>#REF!</f>
        <v>#REF!</v>
      </c>
    </row>
    <row r="1791" spans="1:8">
      <c r="A1791" t="e">
        <f>#REF!</f>
        <v>#REF!</v>
      </c>
      <c r="B1791" t="e">
        <f>#REF!</f>
        <v>#REF!</v>
      </c>
      <c r="C1791" t="e">
        <f>#REF!</f>
        <v>#REF!</v>
      </c>
      <c r="D1791" t="e">
        <f>#REF!</f>
        <v>#REF!</v>
      </c>
      <c r="E1791" t="e">
        <f>#REF!</f>
        <v>#REF!</v>
      </c>
      <c r="F1791" t="e">
        <f>#REF!</f>
        <v>#REF!</v>
      </c>
      <c r="G1791" t="e">
        <f>#REF!</f>
        <v>#REF!</v>
      </c>
      <c r="H1791" t="e">
        <f>#REF!</f>
        <v>#REF!</v>
      </c>
    </row>
    <row r="1792" spans="1:8">
      <c r="A1792" t="e">
        <f>#REF!</f>
        <v>#REF!</v>
      </c>
      <c r="B1792" t="e">
        <f>#REF!</f>
        <v>#REF!</v>
      </c>
      <c r="C1792" t="e">
        <f>#REF!</f>
        <v>#REF!</v>
      </c>
      <c r="D1792" t="e">
        <f>#REF!</f>
        <v>#REF!</v>
      </c>
      <c r="E1792" t="e">
        <f>#REF!</f>
        <v>#REF!</v>
      </c>
      <c r="F1792" t="e">
        <f>#REF!</f>
        <v>#REF!</v>
      </c>
      <c r="G1792" t="e">
        <f>#REF!</f>
        <v>#REF!</v>
      </c>
      <c r="H1792" t="e">
        <f>#REF!</f>
        <v>#REF!</v>
      </c>
    </row>
    <row r="1793" spans="1:8">
      <c r="A1793" t="e">
        <f>#REF!</f>
        <v>#REF!</v>
      </c>
      <c r="B1793" t="e">
        <f>#REF!</f>
        <v>#REF!</v>
      </c>
      <c r="C1793" t="e">
        <f>#REF!</f>
        <v>#REF!</v>
      </c>
      <c r="D1793" t="e">
        <f>#REF!</f>
        <v>#REF!</v>
      </c>
      <c r="E1793" t="e">
        <f>#REF!</f>
        <v>#REF!</v>
      </c>
      <c r="F1793" t="e">
        <f>#REF!</f>
        <v>#REF!</v>
      </c>
      <c r="G1793" t="e">
        <f>#REF!</f>
        <v>#REF!</v>
      </c>
      <c r="H1793" t="e">
        <f>#REF!</f>
        <v>#REF!</v>
      </c>
    </row>
    <row r="1794" spans="1:8">
      <c r="A1794" t="e">
        <f>#REF!</f>
        <v>#REF!</v>
      </c>
      <c r="B1794" t="e">
        <f>#REF!</f>
        <v>#REF!</v>
      </c>
      <c r="C1794" t="e">
        <f>#REF!</f>
        <v>#REF!</v>
      </c>
      <c r="D1794" t="e">
        <f>#REF!</f>
        <v>#REF!</v>
      </c>
      <c r="E1794" t="e">
        <f>#REF!</f>
        <v>#REF!</v>
      </c>
      <c r="F1794" t="e">
        <f>#REF!</f>
        <v>#REF!</v>
      </c>
      <c r="G1794" t="e">
        <f>#REF!</f>
        <v>#REF!</v>
      </c>
      <c r="H1794" t="e">
        <f>#REF!</f>
        <v>#REF!</v>
      </c>
    </row>
    <row r="1795" spans="1:8">
      <c r="A1795" t="e">
        <f>#REF!</f>
        <v>#REF!</v>
      </c>
      <c r="B1795" t="e">
        <f>#REF!</f>
        <v>#REF!</v>
      </c>
      <c r="C1795" t="e">
        <f>#REF!</f>
        <v>#REF!</v>
      </c>
      <c r="D1795" t="e">
        <f>#REF!</f>
        <v>#REF!</v>
      </c>
      <c r="E1795" t="e">
        <f>#REF!</f>
        <v>#REF!</v>
      </c>
      <c r="F1795" t="e">
        <f>#REF!</f>
        <v>#REF!</v>
      </c>
      <c r="G1795" t="e">
        <f>#REF!</f>
        <v>#REF!</v>
      </c>
      <c r="H1795" t="e">
        <f>#REF!</f>
        <v>#REF!</v>
      </c>
    </row>
    <row r="1796" spans="1:8">
      <c r="A1796" t="e">
        <f>#REF!</f>
        <v>#REF!</v>
      </c>
      <c r="B1796" t="e">
        <f>#REF!</f>
        <v>#REF!</v>
      </c>
      <c r="C1796" t="e">
        <f>#REF!</f>
        <v>#REF!</v>
      </c>
      <c r="D1796" t="e">
        <f>#REF!</f>
        <v>#REF!</v>
      </c>
      <c r="E1796" t="e">
        <f>#REF!</f>
        <v>#REF!</v>
      </c>
      <c r="F1796" t="e">
        <f>#REF!</f>
        <v>#REF!</v>
      </c>
      <c r="G1796" t="e">
        <f>#REF!</f>
        <v>#REF!</v>
      </c>
      <c r="H1796" t="e">
        <f>#REF!</f>
        <v>#REF!</v>
      </c>
    </row>
    <row r="1797" spans="1:8">
      <c r="A1797" t="e">
        <f>#REF!</f>
        <v>#REF!</v>
      </c>
      <c r="B1797" t="e">
        <f>#REF!</f>
        <v>#REF!</v>
      </c>
      <c r="C1797" t="e">
        <f>#REF!</f>
        <v>#REF!</v>
      </c>
      <c r="D1797" t="e">
        <f>#REF!</f>
        <v>#REF!</v>
      </c>
      <c r="E1797" t="e">
        <f>#REF!</f>
        <v>#REF!</v>
      </c>
      <c r="F1797" t="e">
        <f>#REF!</f>
        <v>#REF!</v>
      </c>
      <c r="G1797" t="e">
        <f>#REF!</f>
        <v>#REF!</v>
      </c>
      <c r="H1797" t="e">
        <f>#REF!</f>
        <v>#REF!</v>
      </c>
    </row>
    <row r="1798" spans="1:8">
      <c r="A1798" t="e">
        <f>#REF!</f>
        <v>#REF!</v>
      </c>
      <c r="B1798" t="e">
        <f>#REF!</f>
        <v>#REF!</v>
      </c>
      <c r="C1798" t="e">
        <f>#REF!</f>
        <v>#REF!</v>
      </c>
      <c r="D1798" t="e">
        <f>#REF!</f>
        <v>#REF!</v>
      </c>
      <c r="E1798" t="e">
        <f>#REF!</f>
        <v>#REF!</v>
      </c>
      <c r="F1798" t="e">
        <f>#REF!</f>
        <v>#REF!</v>
      </c>
      <c r="G1798" t="e">
        <f>#REF!</f>
        <v>#REF!</v>
      </c>
      <c r="H1798" t="e">
        <f>#REF!</f>
        <v>#REF!</v>
      </c>
    </row>
    <row r="1799" spans="1:8">
      <c r="A1799" t="e">
        <f>#REF!</f>
        <v>#REF!</v>
      </c>
      <c r="B1799" t="e">
        <f>#REF!</f>
        <v>#REF!</v>
      </c>
      <c r="C1799" t="e">
        <f>#REF!</f>
        <v>#REF!</v>
      </c>
      <c r="D1799" t="e">
        <f>#REF!</f>
        <v>#REF!</v>
      </c>
      <c r="E1799" t="e">
        <f>#REF!</f>
        <v>#REF!</v>
      </c>
      <c r="F1799" t="e">
        <f>#REF!</f>
        <v>#REF!</v>
      </c>
      <c r="G1799" t="e">
        <f>#REF!</f>
        <v>#REF!</v>
      </c>
      <c r="H1799" t="e">
        <f>#REF!</f>
        <v>#REF!</v>
      </c>
    </row>
    <row r="1800" spans="1:8">
      <c r="A1800" t="e">
        <f>#REF!</f>
        <v>#REF!</v>
      </c>
      <c r="B1800" t="e">
        <f>#REF!</f>
        <v>#REF!</v>
      </c>
      <c r="C1800" t="e">
        <f>#REF!</f>
        <v>#REF!</v>
      </c>
      <c r="D1800" t="e">
        <f>#REF!</f>
        <v>#REF!</v>
      </c>
      <c r="E1800" t="e">
        <f>#REF!</f>
        <v>#REF!</v>
      </c>
      <c r="F1800" t="e">
        <f>#REF!</f>
        <v>#REF!</v>
      </c>
      <c r="G1800" t="e">
        <f>#REF!</f>
        <v>#REF!</v>
      </c>
      <c r="H1800" t="e">
        <f>#REF!</f>
        <v>#REF!</v>
      </c>
    </row>
    <row r="1801" spans="1:8">
      <c r="A1801" t="e">
        <f>#REF!</f>
        <v>#REF!</v>
      </c>
      <c r="B1801" t="e">
        <f>#REF!</f>
        <v>#REF!</v>
      </c>
      <c r="C1801" t="e">
        <f>#REF!</f>
        <v>#REF!</v>
      </c>
      <c r="D1801" t="e">
        <f>#REF!</f>
        <v>#REF!</v>
      </c>
      <c r="E1801" t="e">
        <f>#REF!</f>
        <v>#REF!</v>
      </c>
      <c r="F1801" t="e">
        <f>#REF!</f>
        <v>#REF!</v>
      </c>
      <c r="G1801" t="e">
        <f>#REF!</f>
        <v>#REF!</v>
      </c>
      <c r="H1801" t="e">
        <f>#REF!</f>
        <v>#REF!</v>
      </c>
    </row>
    <row r="1802" spans="1:8">
      <c r="A1802" t="e">
        <f>#REF!</f>
        <v>#REF!</v>
      </c>
      <c r="B1802" t="e">
        <f>#REF!</f>
        <v>#REF!</v>
      </c>
      <c r="C1802" t="e">
        <f>#REF!</f>
        <v>#REF!</v>
      </c>
      <c r="D1802" t="e">
        <f>#REF!</f>
        <v>#REF!</v>
      </c>
      <c r="E1802" t="e">
        <f>#REF!</f>
        <v>#REF!</v>
      </c>
      <c r="F1802" t="e">
        <f>#REF!</f>
        <v>#REF!</v>
      </c>
      <c r="G1802" t="e">
        <f>#REF!</f>
        <v>#REF!</v>
      </c>
      <c r="H1802" t="e">
        <f>#REF!</f>
        <v>#REF!</v>
      </c>
    </row>
    <row r="1803" spans="1:8">
      <c r="A1803" t="e">
        <f>#REF!</f>
        <v>#REF!</v>
      </c>
      <c r="B1803" t="e">
        <f>#REF!</f>
        <v>#REF!</v>
      </c>
      <c r="C1803" t="e">
        <f>#REF!</f>
        <v>#REF!</v>
      </c>
      <c r="D1803" t="e">
        <f>#REF!</f>
        <v>#REF!</v>
      </c>
      <c r="E1803" t="e">
        <f>#REF!</f>
        <v>#REF!</v>
      </c>
      <c r="F1803" t="e">
        <f>#REF!</f>
        <v>#REF!</v>
      </c>
      <c r="G1803" t="e">
        <f>#REF!</f>
        <v>#REF!</v>
      </c>
      <c r="H1803" t="e">
        <f>#REF!</f>
        <v>#REF!</v>
      </c>
    </row>
    <row r="1804" spans="1:8">
      <c r="A1804" t="e">
        <f>#REF!</f>
        <v>#REF!</v>
      </c>
      <c r="B1804" t="e">
        <f>#REF!</f>
        <v>#REF!</v>
      </c>
      <c r="C1804" t="e">
        <f>#REF!</f>
        <v>#REF!</v>
      </c>
      <c r="D1804" t="e">
        <f>#REF!</f>
        <v>#REF!</v>
      </c>
      <c r="E1804" t="e">
        <f>#REF!</f>
        <v>#REF!</v>
      </c>
      <c r="F1804" t="e">
        <f>#REF!</f>
        <v>#REF!</v>
      </c>
      <c r="G1804" t="e">
        <f>#REF!</f>
        <v>#REF!</v>
      </c>
      <c r="H1804" t="e">
        <f>#REF!</f>
        <v>#REF!</v>
      </c>
    </row>
    <row r="1805" spans="1:8">
      <c r="A1805" t="e">
        <f>#REF!</f>
        <v>#REF!</v>
      </c>
      <c r="B1805" t="e">
        <f>#REF!</f>
        <v>#REF!</v>
      </c>
      <c r="C1805" t="e">
        <f>#REF!</f>
        <v>#REF!</v>
      </c>
      <c r="D1805" t="e">
        <f>#REF!</f>
        <v>#REF!</v>
      </c>
      <c r="E1805" t="e">
        <f>#REF!</f>
        <v>#REF!</v>
      </c>
      <c r="F1805" t="e">
        <f>#REF!</f>
        <v>#REF!</v>
      </c>
      <c r="G1805" t="e">
        <f>#REF!</f>
        <v>#REF!</v>
      </c>
      <c r="H1805" t="e">
        <f>#REF!</f>
        <v>#REF!</v>
      </c>
    </row>
    <row r="1806" spans="1:8">
      <c r="A1806" t="e">
        <f>#REF!</f>
        <v>#REF!</v>
      </c>
      <c r="B1806" t="e">
        <f>#REF!</f>
        <v>#REF!</v>
      </c>
      <c r="C1806" t="e">
        <f>#REF!</f>
        <v>#REF!</v>
      </c>
      <c r="D1806" t="e">
        <f>#REF!</f>
        <v>#REF!</v>
      </c>
      <c r="E1806" t="e">
        <f>#REF!</f>
        <v>#REF!</v>
      </c>
      <c r="F1806" t="e">
        <f>#REF!</f>
        <v>#REF!</v>
      </c>
      <c r="G1806" t="e">
        <f>#REF!</f>
        <v>#REF!</v>
      </c>
      <c r="H1806" t="e">
        <f>#REF!</f>
        <v>#REF!</v>
      </c>
    </row>
    <row r="1807" spans="1:8">
      <c r="A1807" t="e">
        <f>#REF!</f>
        <v>#REF!</v>
      </c>
      <c r="B1807" t="e">
        <f>#REF!</f>
        <v>#REF!</v>
      </c>
      <c r="C1807" t="e">
        <f>#REF!</f>
        <v>#REF!</v>
      </c>
      <c r="D1807" t="e">
        <f>#REF!</f>
        <v>#REF!</v>
      </c>
      <c r="E1807" t="e">
        <f>#REF!</f>
        <v>#REF!</v>
      </c>
      <c r="F1807" t="e">
        <f>#REF!</f>
        <v>#REF!</v>
      </c>
      <c r="G1807" t="e">
        <f>#REF!</f>
        <v>#REF!</v>
      </c>
      <c r="H1807" t="e">
        <f>#REF!</f>
        <v>#REF!</v>
      </c>
    </row>
    <row r="1808" spans="1:8">
      <c r="A1808" t="e">
        <f>#REF!</f>
        <v>#REF!</v>
      </c>
      <c r="B1808" t="e">
        <f>#REF!</f>
        <v>#REF!</v>
      </c>
      <c r="C1808" t="e">
        <f>#REF!</f>
        <v>#REF!</v>
      </c>
      <c r="D1808" t="e">
        <f>#REF!</f>
        <v>#REF!</v>
      </c>
      <c r="E1808" t="e">
        <f>#REF!</f>
        <v>#REF!</v>
      </c>
      <c r="F1808" t="e">
        <f>#REF!</f>
        <v>#REF!</v>
      </c>
      <c r="G1808" t="e">
        <f>#REF!</f>
        <v>#REF!</v>
      </c>
      <c r="H1808" t="e">
        <f>#REF!</f>
        <v>#REF!</v>
      </c>
    </row>
    <row r="1809" spans="1:8">
      <c r="A1809" t="e">
        <f>#REF!</f>
        <v>#REF!</v>
      </c>
      <c r="B1809" t="e">
        <f>#REF!</f>
        <v>#REF!</v>
      </c>
      <c r="C1809" t="e">
        <f>#REF!</f>
        <v>#REF!</v>
      </c>
      <c r="D1809" t="e">
        <f>#REF!</f>
        <v>#REF!</v>
      </c>
      <c r="E1809" t="e">
        <f>#REF!</f>
        <v>#REF!</v>
      </c>
      <c r="F1809" t="e">
        <f>#REF!</f>
        <v>#REF!</v>
      </c>
      <c r="G1809" t="e">
        <f>#REF!</f>
        <v>#REF!</v>
      </c>
      <c r="H1809" t="e">
        <f>#REF!</f>
        <v>#REF!</v>
      </c>
    </row>
    <row r="1810" spans="1:8">
      <c r="A1810" t="e">
        <f>#REF!</f>
        <v>#REF!</v>
      </c>
      <c r="B1810" t="e">
        <f>#REF!</f>
        <v>#REF!</v>
      </c>
      <c r="C1810" t="e">
        <f>#REF!</f>
        <v>#REF!</v>
      </c>
      <c r="D1810" t="e">
        <f>#REF!</f>
        <v>#REF!</v>
      </c>
      <c r="E1810" t="e">
        <f>#REF!</f>
        <v>#REF!</v>
      </c>
      <c r="F1810" t="e">
        <f>#REF!</f>
        <v>#REF!</v>
      </c>
      <c r="G1810" t="e">
        <f>#REF!</f>
        <v>#REF!</v>
      </c>
      <c r="H1810" t="e">
        <f>#REF!</f>
        <v>#REF!</v>
      </c>
    </row>
    <row r="1811" spans="1:8">
      <c r="A1811" t="e">
        <f>#REF!</f>
        <v>#REF!</v>
      </c>
      <c r="B1811" t="e">
        <f>#REF!</f>
        <v>#REF!</v>
      </c>
      <c r="C1811" t="e">
        <f>#REF!</f>
        <v>#REF!</v>
      </c>
      <c r="D1811" t="e">
        <f>#REF!</f>
        <v>#REF!</v>
      </c>
      <c r="E1811" t="e">
        <f>#REF!</f>
        <v>#REF!</v>
      </c>
      <c r="F1811" t="e">
        <f>#REF!</f>
        <v>#REF!</v>
      </c>
      <c r="G1811" t="e">
        <f>#REF!</f>
        <v>#REF!</v>
      </c>
      <c r="H1811" t="e">
        <f>#REF!</f>
        <v>#REF!</v>
      </c>
    </row>
    <row r="1812" spans="1:8">
      <c r="A1812" t="e">
        <f>#REF!</f>
        <v>#REF!</v>
      </c>
      <c r="B1812" t="e">
        <f>#REF!</f>
        <v>#REF!</v>
      </c>
      <c r="C1812" t="e">
        <f>#REF!</f>
        <v>#REF!</v>
      </c>
      <c r="D1812" t="e">
        <f>#REF!</f>
        <v>#REF!</v>
      </c>
      <c r="E1812" t="e">
        <f>#REF!</f>
        <v>#REF!</v>
      </c>
      <c r="F1812" t="e">
        <f>#REF!</f>
        <v>#REF!</v>
      </c>
      <c r="G1812" t="e">
        <f>#REF!</f>
        <v>#REF!</v>
      </c>
      <c r="H1812" t="e">
        <f>#REF!</f>
        <v>#REF!</v>
      </c>
    </row>
    <row r="1813" spans="1:8">
      <c r="A1813" t="e">
        <f>#REF!</f>
        <v>#REF!</v>
      </c>
      <c r="B1813" t="e">
        <f>#REF!</f>
        <v>#REF!</v>
      </c>
      <c r="C1813" t="e">
        <f>#REF!</f>
        <v>#REF!</v>
      </c>
      <c r="D1813" t="e">
        <f>#REF!</f>
        <v>#REF!</v>
      </c>
      <c r="E1813" t="e">
        <f>#REF!</f>
        <v>#REF!</v>
      </c>
      <c r="F1813" t="e">
        <f>#REF!</f>
        <v>#REF!</v>
      </c>
      <c r="G1813" t="e">
        <f>#REF!</f>
        <v>#REF!</v>
      </c>
      <c r="H1813" t="e">
        <f>#REF!</f>
        <v>#REF!</v>
      </c>
    </row>
    <row r="1814" spans="1:8">
      <c r="A1814" t="e">
        <f>#REF!</f>
        <v>#REF!</v>
      </c>
      <c r="B1814" t="e">
        <f>#REF!</f>
        <v>#REF!</v>
      </c>
      <c r="C1814" t="e">
        <f>#REF!</f>
        <v>#REF!</v>
      </c>
      <c r="D1814" t="e">
        <f>#REF!</f>
        <v>#REF!</v>
      </c>
      <c r="E1814" t="e">
        <f>#REF!</f>
        <v>#REF!</v>
      </c>
      <c r="F1814" t="e">
        <f>#REF!</f>
        <v>#REF!</v>
      </c>
      <c r="G1814" t="e">
        <f>#REF!</f>
        <v>#REF!</v>
      </c>
      <c r="H1814" t="e">
        <f>#REF!</f>
        <v>#REF!</v>
      </c>
    </row>
    <row r="1815" spans="1:8">
      <c r="A1815" t="e">
        <f>#REF!</f>
        <v>#REF!</v>
      </c>
      <c r="B1815" t="e">
        <f>#REF!</f>
        <v>#REF!</v>
      </c>
      <c r="C1815" t="e">
        <f>#REF!</f>
        <v>#REF!</v>
      </c>
      <c r="D1815" t="e">
        <f>#REF!</f>
        <v>#REF!</v>
      </c>
      <c r="E1815" t="e">
        <f>#REF!</f>
        <v>#REF!</v>
      </c>
      <c r="F1815" t="e">
        <f>#REF!</f>
        <v>#REF!</v>
      </c>
      <c r="G1815" t="e">
        <f>#REF!</f>
        <v>#REF!</v>
      </c>
      <c r="H1815" t="e">
        <f>#REF!</f>
        <v>#REF!</v>
      </c>
    </row>
    <row r="1816" spans="1:8">
      <c r="A1816" t="e">
        <f>#REF!</f>
        <v>#REF!</v>
      </c>
      <c r="B1816" t="e">
        <f>#REF!</f>
        <v>#REF!</v>
      </c>
      <c r="C1816" t="e">
        <f>#REF!</f>
        <v>#REF!</v>
      </c>
      <c r="D1816" t="e">
        <f>#REF!</f>
        <v>#REF!</v>
      </c>
      <c r="E1816" t="e">
        <f>#REF!</f>
        <v>#REF!</v>
      </c>
      <c r="F1816" t="e">
        <f>#REF!</f>
        <v>#REF!</v>
      </c>
      <c r="G1816" t="e">
        <f>#REF!</f>
        <v>#REF!</v>
      </c>
      <c r="H1816" t="e">
        <f>#REF!</f>
        <v>#REF!</v>
      </c>
    </row>
    <row r="1817" spans="1:8">
      <c r="A1817" t="e">
        <f>#REF!</f>
        <v>#REF!</v>
      </c>
      <c r="B1817" t="e">
        <f>#REF!</f>
        <v>#REF!</v>
      </c>
      <c r="C1817" t="e">
        <f>#REF!</f>
        <v>#REF!</v>
      </c>
      <c r="D1817" t="e">
        <f>#REF!</f>
        <v>#REF!</v>
      </c>
      <c r="E1817" t="e">
        <f>#REF!</f>
        <v>#REF!</v>
      </c>
      <c r="F1817" t="e">
        <f>#REF!</f>
        <v>#REF!</v>
      </c>
      <c r="G1817" t="e">
        <f>#REF!</f>
        <v>#REF!</v>
      </c>
      <c r="H1817" t="e">
        <f>#REF!</f>
        <v>#REF!</v>
      </c>
    </row>
    <row r="1818" spans="1:8">
      <c r="A1818" t="e">
        <f>#REF!</f>
        <v>#REF!</v>
      </c>
      <c r="B1818" t="e">
        <f>#REF!</f>
        <v>#REF!</v>
      </c>
      <c r="C1818" t="e">
        <f>#REF!</f>
        <v>#REF!</v>
      </c>
      <c r="D1818" t="e">
        <f>#REF!</f>
        <v>#REF!</v>
      </c>
      <c r="E1818" t="e">
        <f>#REF!</f>
        <v>#REF!</v>
      </c>
      <c r="F1818" t="e">
        <f>#REF!</f>
        <v>#REF!</v>
      </c>
      <c r="G1818" t="e">
        <f>#REF!</f>
        <v>#REF!</v>
      </c>
      <c r="H1818" t="e">
        <f>#REF!</f>
        <v>#REF!</v>
      </c>
    </row>
    <row r="1819" spans="1:8">
      <c r="A1819" t="e">
        <f>#REF!</f>
        <v>#REF!</v>
      </c>
      <c r="B1819" t="e">
        <f>#REF!</f>
        <v>#REF!</v>
      </c>
      <c r="C1819" t="e">
        <f>#REF!</f>
        <v>#REF!</v>
      </c>
      <c r="D1819" t="e">
        <f>#REF!</f>
        <v>#REF!</v>
      </c>
      <c r="E1819" t="e">
        <f>#REF!</f>
        <v>#REF!</v>
      </c>
      <c r="F1819" t="e">
        <f>#REF!</f>
        <v>#REF!</v>
      </c>
      <c r="G1819" t="e">
        <f>#REF!</f>
        <v>#REF!</v>
      </c>
      <c r="H1819" t="e">
        <f>#REF!</f>
        <v>#REF!</v>
      </c>
    </row>
    <row r="1820" spans="1:8">
      <c r="A1820" t="e">
        <f>#REF!</f>
        <v>#REF!</v>
      </c>
      <c r="B1820" t="e">
        <f>#REF!</f>
        <v>#REF!</v>
      </c>
      <c r="C1820" t="e">
        <f>#REF!</f>
        <v>#REF!</v>
      </c>
      <c r="D1820" t="e">
        <f>#REF!</f>
        <v>#REF!</v>
      </c>
      <c r="E1820" t="e">
        <f>#REF!</f>
        <v>#REF!</v>
      </c>
      <c r="F1820" t="e">
        <f>#REF!</f>
        <v>#REF!</v>
      </c>
      <c r="G1820" t="e">
        <f>#REF!</f>
        <v>#REF!</v>
      </c>
      <c r="H1820" t="e">
        <f>#REF!</f>
        <v>#REF!</v>
      </c>
    </row>
    <row r="1821" spans="1:8">
      <c r="A1821" t="e">
        <f>#REF!</f>
        <v>#REF!</v>
      </c>
      <c r="B1821" t="e">
        <f>#REF!</f>
        <v>#REF!</v>
      </c>
      <c r="C1821" t="e">
        <f>#REF!</f>
        <v>#REF!</v>
      </c>
      <c r="D1821" t="e">
        <f>#REF!</f>
        <v>#REF!</v>
      </c>
      <c r="E1821" t="e">
        <f>#REF!</f>
        <v>#REF!</v>
      </c>
      <c r="F1821" t="e">
        <f>#REF!</f>
        <v>#REF!</v>
      </c>
      <c r="G1821" t="e">
        <f>#REF!</f>
        <v>#REF!</v>
      </c>
      <c r="H1821" t="e">
        <f>#REF!</f>
        <v>#REF!</v>
      </c>
    </row>
    <row r="1822" spans="1:8">
      <c r="A1822" t="e">
        <f>#REF!</f>
        <v>#REF!</v>
      </c>
      <c r="B1822" t="e">
        <f>#REF!</f>
        <v>#REF!</v>
      </c>
      <c r="C1822" t="e">
        <f>#REF!</f>
        <v>#REF!</v>
      </c>
      <c r="D1822" t="e">
        <f>#REF!</f>
        <v>#REF!</v>
      </c>
      <c r="E1822" t="e">
        <f>#REF!</f>
        <v>#REF!</v>
      </c>
      <c r="F1822" t="e">
        <f>#REF!</f>
        <v>#REF!</v>
      </c>
      <c r="G1822" t="e">
        <f>#REF!</f>
        <v>#REF!</v>
      </c>
      <c r="H1822" t="e">
        <f>#REF!</f>
        <v>#REF!</v>
      </c>
    </row>
    <row r="1823" spans="1:8">
      <c r="A1823" t="e">
        <f>#REF!</f>
        <v>#REF!</v>
      </c>
      <c r="B1823" t="e">
        <f>#REF!</f>
        <v>#REF!</v>
      </c>
      <c r="C1823" t="e">
        <f>#REF!</f>
        <v>#REF!</v>
      </c>
      <c r="D1823" t="e">
        <f>#REF!</f>
        <v>#REF!</v>
      </c>
      <c r="E1823" t="e">
        <f>#REF!</f>
        <v>#REF!</v>
      </c>
      <c r="F1823" t="e">
        <f>#REF!</f>
        <v>#REF!</v>
      </c>
      <c r="G1823" t="e">
        <f>#REF!</f>
        <v>#REF!</v>
      </c>
      <c r="H1823" t="e">
        <f>#REF!</f>
        <v>#REF!</v>
      </c>
    </row>
    <row r="1824" spans="1:8">
      <c r="A1824" t="e">
        <f>#REF!</f>
        <v>#REF!</v>
      </c>
      <c r="B1824" t="e">
        <f>#REF!</f>
        <v>#REF!</v>
      </c>
      <c r="C1824" t="e">
        <f>#REF!</f>
        <v>#REF!</v>
      </c>
      <c r="D1824" t="e">
        <f>#REF!</f>
        <v>#REF!</v>
      </c>
      <c r="E1824" t="e">
        <f>#REF!</f>
        <v>#REF!</v>
      </c>
      <c r="F1824" t="e">
        <f>#REF!</f>
        <v>#REF!</v>
      </c>
      <c r="G1824" t="e">
        <f>#REF!</f>
        <v>#REF!</v>
      </c>
      <c r="H1824" t="e">
        <f>#REF!</f>
        <v>#REF!</v>
      </c>
    </row>
    <row r="1825" spans="1:8">
      <c r="A1825" t="e">
        <f>#REF!</f>
        <v>#REF!</v>
      </c>
      <c r="B1825" t="e">
        <f>#REF!</f>
        <v>#REF!</v>
      </c>
      <c r="C1825" t="e">
        <f>#REF!</f>
        <v>#REF!</v>
      </c>
      <c r="D1825" t="e">
        <f>#REF!</f>
        <v>#REF!</v>
      </c>
      <c r="E1825" t="e">
        <f>#REF!</f>
        <v>#REF!</v>
      </c>
      <c r="F1825" t="e">
        <f>#REF!</f>
        <v>#REF!</v>
      </c>
      <c r="G1825" t="e">
        <f>#REF!</f>
        <v>#REF!</v>
      </c>
      <c r="H1825" t="e">
        <f>#REF!</f>
        <v>#REF!</v>
      </c>
    </row>
    <row r="1826" spans="1:8">
      <c r="A1826" t="e">
        <f>#REF!</f>
        <v>#REF!</v>
      </c>
      <c r="B1826" t="e">
        <f>#REF!</f>
        <v>#REF!</v>
      </c>
      <c r="C1826" t="e">
        <f>#REF!</f>
        <v>#REF!</v>
      </c>
      <c r="D1826" t="e">
        <f>#REF!</f>
        <v>#REF!</v>
      </c>
      <c r="E1826" t="e">
        <f>#REF!</f>
        <v>#REF!</v>
      </c>
      <c r="F1826" t="e">
        <f>#REF!</f>
        <v>#REF!</v>
      </c>
      <c r="G1826" t="e">
        <f>#REF!</f>
        <v>#REF!</v>
      </c>
      <c r="H1826" t="e">
        <f>#REF!</f>
        <v>#REF!</v>
      </c>
    </row>
    <row r="1827" spans="1:8">
      <c r="A1827" t="e">
        <f>#REF!</f>
        <v>#REF!</v>
      </c>
      <c r="B1827" t="e">
        <f>#REF!</f>
        <v>#REF!</v>
      </c>
      <c r="C1827" t="e">
        <f>#REF!</f>
        <v>#REF!</v>
      </c>
      <c r="D1827" t="e">
        <f>#REF!</f>
        <v>#REF!</v>
      </c>
      <c r="E1827" t="e">
        <f>#REF!</f>
        <v>#REF!</v>
      </c>
      <c r="F1827" t="e">
        <f>#REF!</f>
        <v>#REF!</v>
      </c>
      <c r="G1827" t="e">
        <f>#REF!</f>
        <v>#REF!</v>
      </c>
      <c r="H1827" t="e">
        <f>#REF!</f>
        <v>#REF!</v>
      </c>
    </row>
    <row r="1828" spans="1:8">
      <c r="A1828" t="e">
        <f>#REF!</f>
        <v>#REF!</v>
      </c>
      <c r="B1828" t="e">
        <f>#REF!</f>
        <v>#REF!</v>
      </c>
      <c r="C1828" t="e">
        <f>#REF!</f>
        <v>#REF!</v>
      </c>
      <c r="D1828" t="e">
        <f>#REF!</f>
        <v>#REF!</v>
      </c>
      <c r="E1828" t="e">
        <f>#REF!</f>
        <v>#REF!</v>
      </c>
      <c r="F1828" t="e">
        <f>#REF!</f>
        <v>#REF!</v>
      </c>
      <c r="G1828" t="e">
        <f>#REF!</f>
        <v>#REF!</v>
      </c>
      <c r="H1828" t="e">
        <f>#REF!</f>
        <v>#REF!</v>
      </c>
    </row>
    <row r="1829" spans="1:8">
      <c r="A1829" t="e">
        <f>#REF!</f>
        <v>#REF!</v>
      </c>
      <c r="B1829" t="e">
        <f>#REF!</f>
        <v>#REF!</v>
      </c>
      <c r="C1829" t="e">
        <f>#REF!</f>
        <v>#REF!</v>
      </c>
      <c r="D1829" t="e">
        <f>#REF!</f>
        <v>#REF!</v>
      </c>
      <c r="E1829" t="e">
        <f>#REF!</f>
        <v>#REF!</v>
      </c>
      <c r="F1829" t="e">
        <f>#REF!</f>
        <v>#REF!</v>
      </c>
      <c r="G1829" t="e">
        <f>#REF!</f>
        <v>#REF!</v>
      </c>
      <c r="H1829" t="e">
        <f>#REF!</f>
        <v>#REF!</v>
      </c>
    </row>
    <row r="1830" spans="1:8">
      <c r="A1830" t="e">
        <f>#REF!</f>
        <v>#REF!</v>
      </c>
      <c r="B1830" t="e">
        <f>#REF!</f>
        <v>#REF!</v>
      </c>
      <c r="C1830" t="e">
        <f>#REF!</f>
        <v>#REF!</v>
      </c>
      <c r="D1830" t="e">
        <f>#REF!</f>
        <v>#REF!</v>
      </c>
      <c r="E1830" t="e">
        <f>#REF!</f>
        <v>#REF!</v>
      </c>
      <c r="F1830" t="e">
        <f>#REF!</f>
        <v>#REF!</v>
      </c>
      <c r="G1830" t="e">
        <f>#REF!</f>
        <v>#REF!</v>
      </c>
      <c r="H1830" t="e">
        <f>#REF!</f>
        <v>#REF!</v>
      </c>
    </row>
    <row r="1831" spans="1:8">
      <c r="A1831" t="e">
        <f>#REF!</f>
        <v>#REF!</v>
      </c>
      <c r="B1831" t="e">
        <f>#REF!</f>
        <v>#REF!</v>
      </c>
      <c r="C1831" t="e">
        <f>#REF!</f>
        <v>#REF!</v>
      </c>
      <c r="D1831" t="e">
        <f>#REF!</f>
        <v>#REF!</v>
      </c>
      <c r="E1831" t="e">
        <f>#REF!</f>
        <v>#REF!</v>
      </c>
      <c r="F1831" t="e">
        <f>#REF!</f>
        <v>#REF!</v>
      </c>
      <c r="G1831" t="e">
        <f>#REF!</f>
        <v>#REF!</v>
      </c>
      <c r="H1831" t="e">
        <f>#REF!</f>
        <v>#REF!</v>
      </c>
    </row>
    <row r="1832" spans="1:8">
      <c r="A1832" t="e">
        <f>#REF!</f>
        <v>#REF!</v>
      </c>
      <c r="B1832" t="e">
        <f>#REF!</f>
        <v>#REF!</v>
      </c>
      <c r="C1832" t="e">
        <f>#REF!</f>
        <v>#REF!</v>
      </c>
      <c r="D1832" t="e">
        <f>#REF!</f>
        <v>#REF!</v>
      </c>
      <c r="E1832" t="e">
        <f>#REF!</f>
        <v>#REF!</v>
      </c>
      <c r="F1832" t="e">
        <f>#REF!</f>
        <v>#REF!</v>
      </c>
      <c r="G1832" t="e">
        <f>#REF!</f>
        <v>#REF!</v>
      </c>
      <c r="H1832" t="e">
        <f>#REF!</f>
        <v>#REF!</v>
      </c>
    </row>
    <row r="1833" spans="1:8">
      <c r="A1833" t="e">
        <f>#REF!</f>
        <v>#REF!</v>
      </c>
      <c r="B1833" t="e">
        <f>#REF!</f>
        <v>#REF!</v>
      </c>
      <c r="C1833" t="e">
        <f>#REF!</f>
        <v>#REF!</v>
      </c>
      <c r="D1833" t="e">
        <f>#REF!</f>
        <v>#REF!</v>
      </c>
      <c r="E1833" t="e">
        <f>#REF!</f>
        <v>#REF!</v>
      </c>
      <c r="F1833" t="e">
        <f>#REF!</f>
        <v>#REF!</v>
      </c>
      <c r="G1833" t="e">
        <f>#REF!</f>
        <v>#REF!</v>
      </c>
      <c r="H1833" t="e">
        <f>#REF!</f>
        <v>#REF!</v>
      </c>
    </row>
    <row r="1834" spans="1:8">
      <c r="A1834" t="e">
        <f>#REF!</f>
        <v>#REF!</v>
      </c>
      <c r="B1834" t="e">
        <f>#REF!</f>
        <v>#REF!</v>
      </c>
      <c r="C1834" t="e">
        <f>#REF!</f>
        <v>#REF!</v>
      </c>
      <c r="D1834" t="e">
        <f>#REF!</f>
        <v>#REF!</v>
      </c>
      <c r="E1834" t="e">
        <f>#REF!</f>
        <v>#REF!</v>
      </c>
      <c r="F1834" t="e">
        <f>#REF!</f>
        <v>#REF!</v>
      </c>
      <c r="G1834" t="e">
        <f>#REF!</f>
        <v>#REF!</v>
      </c>
      <c r="H1834" t="e">
        <f>#REF!</f>
        <v>#REF!</v>
      </c>
    </row>
    <row r="1835" spans="1:8">
      <c r="A1835" t="e">
        <f>#REF!</f>
        <v>#REF!</v>
      </c>
      <c r="B1835" t="e">
        <f>#REF!</f>
        <v>#REF!</v>
      </c>
      <c r="C1835" t="e">
        <f>#REF!</f>
        <v>#REF!</v>
      </c>
      <c r="D1835" t="e">
        <f>#REF!</f>
        <v>#REF!</v>
      </c>
      <c r="E1835" t="e">
        <f>#REF!</f>
        <v>#REF!</v>
      </c>
      <c r="F1835" t="e">
        <f>#REF!</f>
        <v>#REF!</v>
      </c>
      <c r="G1835" t="e">
        <f>#REF!</f>
        <v>#REF!</v>
      </c>
      <c r="H1835" t="e">
        <f>#REF!</f>
        <v>#REF!</v>
      </c>
    </row>
    <row r="1836" spans="1:8">
      <c r="A1836" t="e">
        <f>#REF!</f>
        <v>#REF!</v>
      </c>
      <c r="B1836" t="e">
        <f>#REF!</f>
        <v>#REF!</v>
      </c>
      <c r="C1836" t="e">
        <f>#REF!</f>
        <v>#REF!</v>
      </c>
      <c r="D1836" t="e">
        <f>#REF!</f>
        <v>#REF!</v>
      </c>
      <c r="E1836" t="e">
        <f>#REF!</f>
        <v>#REF!</v>
      </c>
      <c r="F1836" t="e">
        <f>#REF!</f>
        <v>#REF!</v>
      </c>
      <c r="G1836" t="e">
        <f>#REF!</f>
        <v>#REF!</v>
      </c>
      <c r="H1836" t="e">
        <f>#REF!</f>
        <v>#REF!</v>
      </c>
    </row>
    <row r="1837" spans="1:8">
      <c r="A1837" t="e">
        <f>#REF!</f>
        <v>#REF!</v>
      </c>
      <c r="B1837" t="e">
        <f>#REF!</f>
        <v>#REF!</v>
      </c>
      <c r="C1837" t="e">
        <f>#REF!</f>
        <v>#REF!</v>
      </c>
      <c r="D1837" t="e">
        <f>#REF!</f>
        <v>#REF!</v>
      </c>
      <c r="E1837" t="e">
        <f>#REF!</f>
        <v>#REF!</v>
      </c>
      <c r="F1837" t="e">
        <f>#REF!</f>
        <v>#REF!</v>
      </c>
      <c r="G1837" t="e">
        <f>#REF!</f>
        <v>#REF!</v>
      </c>
      <c r="H1837" t="e">
        <f>#REF!</f>
        <v>#REF!</v>
      </c>
    </row>
    <row r="1838" spans="1:8">
      <c r="A1838" t="e">
        <f>#REF!</f>
        <v>#REF!</v>
      </c>
      <c r="B1838" t="e">
        <f>#REF!</f>
        <v>#REF!</v>
      </c>
      <c r="C1838" t="e">
        <f>#REF!</f>
        <v>#REF!</v>
      </c>
      <c r="D1838" t="e">
        <f>#REF!</f>
        <v>#REF!</v>
      </c>
      <c r="E1838" t="e">
        <f>#REF!</f>
        <v>#REF!</v>
      </c>
      <c r="F1838" t="e">
        <f>#REF!</f>
        <v>#REF!</v>
      </c>
      <c r="G1838" t="e">
        <f>#REF!</f>
        <v>#REF!</v>
      </c>
      <c r="H1838" t="e">
        <f>#REF!</f>
        <v>#REF!</v>
      </c>
    </row>
    <row r="1839" spans="1:8">
      <c r="A1839" t="e">
        <f>#REF!</f>
        <v>#REF!</v>
      </c>
      <c r="B1839" t="e">
        <f>#REF!</f>
        <v>#REF!</v>
      </c>
      <c r="C1839" t="e">
        <f>#REF!</f>
        <v>#REF!</v>
      </c>
      <c r="D1839" t="e">
        <f>#REF!</f>
        <v>#REF!</v>
      </c>
      <c r="E1839" t="e">
        <f>#REF!</f>
        <v>#REF!</v>
      </c>
      <c r="F1839" t="e">
        <f>#REF!</f>
        <v>#REF!</v>
      </c>
      <c r="G1839" t="e">
        <f>#REF!</f>
        <v>#REF!</v>
      </c>
      <c r="H1839" t="e">
        <f>#REF!</f>
        <v>#REF!</v>
      </c>
    </row>
    <row r="1840" spans="1:8">
      <c r="A1840" t="e">
        <f>#REF!</f>
        <v>#REF!</v>
      </c>
      <c r="B1840" t="e">
        <f>#REF!</f>
        <v>#REF!</v>
      </c>
      <c r="C1840" t="e">
        <f>#REF!</f>
        <v>#REF!</v>
      </c>
      <c r="D1840" t="e">
        <f>#REF!</f>
        <v>#REF!</v>
      </c>
      <c r="E1840" t="e">
        <f>#REF!</f>
        <v>#REF!</v>
      </c>
      <c r="F1840" t="e">
        <f>#REF!</f>
        <v>#REF!</v>
      </c>
      <c r="G1840" t="e">
        <f>#REF!</f>
        <v>#REF!</v>
      </c>
      <c r="H1840" t="e">
        <f>#REF!</f>
        <v>#REF!</v>
      </c>
    </row>
    <row r="1841" spans="1:8">
      <c r="A1841" t="e">
        <f>#REF!</f>
        <v>#REF!</v>
      </c>
      <c r="B1841" t="e">
        <f>#REF!</f>
        <v>#REF!</v>
      </c>
      <c r="C1841" t="e">
        <f>#REF!</f>
        <v>#REF!</v>
      </c>
      <c r="D1841" t="e">
        <f>#REF!</f>
        <v>#REF!</v>
      </c>
      <c r="E1841" t="e">
        <f>#REF!</f>
        <v>#REF!</v>
      </c>
      <c r="F1841" t="e">
        <f>#REF!</f>
        <v>#REF!</v>
      </c>
      <c r="G1841" t="e">
        <f>#REF!</f>
        <v>#REF!</v>
      </c>
      <c r="H1841" t="e">
        <f>#REF!</f>
        <v>#REF!</v>
      </c>
    </row>
    <row r="1842" spans="1:8">
      <c r="A1842" t="e">
        <f>#REF!</f>
        <v>#REF!</v>
      </c>
      <c r="B1842" t="e">
        <f>#REF!</f>
        <v>#REF!</v>
      </c>
      <c r="C1842" t="e">
        <f>#REF!</f>
        <v>#REF!</v>
      </c>
      <c r="D1842" t="e">
        <f>#REF!</f>
        <v>#REF!</v>
      </c>
      <c r="E1842" t="e">
        <f>#REF!</f>
        <v>#REF!</v>
      </c>
      <c r="F1842" t="e">
        <f>#REF!</f>
        <v>#REF!</v>
      </c>
      <c r="G1842" t="e">
        <f>#REF!</f>
        <v>#REF!</v>
      </c>
      <c r="H1842" t="e">
        <f>#REF!</f>
        <v>#REF!</v>
      </c>
    </row>
    <row r="1843" spans="1:8">
      <c r="A1843" t="e">
        <f>#REF!</f>
        <v>#REF!</v>
      </c>
      <c r="B1843" t="e">
        <f>#REF!</f>
        <v>#REF!</v>
      </c>
      <c r="C1843" t="e">
        <f>#REF!</f>
        <v>#REF!</v>
      </c>
      <c r="D1843" t="e">
        <f>#REF!</f>
        <v>#REF!</v>
      </c>
      <c r="E1843" t="e">
        <f>#REF!</f>
        <v>#REF!</v>
      </c>
      <c r="F1843" t="e">
        <f>#REF!</f>
        <v>#REF!</v>
      </c>
      <c r="G1843" t="e">
        <f>#REF!</f>
        <v>#REF!</v>
      </c>
      <c r="H1843" t="e">
        <f>#REF!</f>
        <v>#REF!</v>
      </c>
    </row>
    <row r="1844" spans="1:8">
      <c r="A1844" t="e">
        <f>#REF!</f>
        <v>#REF!</v>
      </c>
      <c r="B1844" t="e">
        <f>#REF!</f>
        <v>#REF!</v>
      </c>
      <c r="C1844" t="e">
        <f>#REF!</f>
        <v>#REF!</v>
      </c>
      <c r="D1844" t="e">
        <f>#REF!</f>
        <v>#REF!</v>
      </c>
      <c r="E1844" t="e">
        <f>#REF!</f>
        <v>#REF!</v>
      </c>
      <c r="F1844" t="e">
        <f>#REF!</f>
        <v>#REF!</v>
      </c>
      <c r="G1844" t="e">
        <f>#REF!</f>
        <v>#REF!</v>
      </c>
      <c r="H1844" t="e">
        <f>#REF!</f>
        <v>#REF!</v>
      </c>
    </row>
    <row r="1845" spans="1:8">
      <c r="A1845" t="e">
        <f>#REF!</f>
        <v>#REF!</v>
      </c>
      <c r="B1845" t="e">
        <f>#REF!</f>
        <v>#REF!</v>
      </c>
      <c r="C1845" t="e">
        <f>#REF!</f>
        <v>#REF!</v>
      </c>
      <c r="D1845" t="e">
        <f>#REF!</f>
        <v>#REF!</v>
      </c>
      <c r="E1845" t="e">
        <f>#REF!</f>
        <v>#REF!</v>
      </c>
      <c r="F1845" t="e">
        <f>#REF!</f>
        <v>#REF!</v>
      </c>
      <c r="G1845" t="e">
        <f>#REF!</f>
        <v>#REF!</v>
      </c>
      <c r="H1845" t="e">
        <f>#REF!</f>
        <v>#REF!</v>
      </c>
    </row>
    <row r="1846" spans="1:8">
      <c r="A1846" t="e">
        <f>#REF!</f>
        <v>#REF!</v>
      </c>
      <c r="B1846" t="e">
        <f>#REF!</f>
        <v>#REF!</v>
      </c>
      <c r="C1846" t="e">
        <f>#REF!</f>
        <v>#REF!</v>
      </c>
      <c r="D1846" t="e">
        <f>#REF!</f>
        <v>#REF!</v>
      </c>
      <c r="E1846" t="e">
        <f>#REF!</f>
        <v>#REF!</v>
      </c>
      <c r="F1846" t="e">
        <f>#REF!</f>
        <v>#REF!</v>
      </c>
      <c r="G1846" t="e">
        <f>#REF!</f>
        <v>#REF!</v>
      </c>
      <c r="H1846" t="e">
        <f>#REF!</f>
        <v>#REF!</v>
      </c>
    </row>
    <row r="1847" spans="1:8">
      <c r="A1847" t="e">
        <f>#REF!</f>
        <v>#REF!</v>
      </c>
      <c r="B1847" t="e">
        <f>#REF!</f>
        <v>#REF!</v>
      </c>
      <c r="C1847" t="e">
        <f>#REF!</f>
        <v>#REF!</v>
      </c>
      <c r="D1847" t="e">
        <f>#REF!</f>
        <v>#REF!</v>
      </c>
      <c r="E1847" t="e">
        <f>#REF!</f>
        <v>#REF!</v>
      </c>
      <c r="F1847" t="e">
        <f>#REF!</f>
        <v>#REF!</v>
      </c>
      <c r="G1847" t="e">
        <f>#REF!</f>
        <v>#REF!</v>
      </c>
      <c r="H1847" t="e">
        <f>#REF!</f>
        <v>#REF!</v>
      </c>
    </row>
    <row r="1848" spans="1:8">
      <c r="A1848" t="e">
        <f>#REF!</f>
        <v>#REF!</v>
      </c>
      <c r="B1848" t="e">
        <f>#REF!</f>
        <v>#REF!</v>
      </c>
      <c r="C1848" t="e">
        <f>#REF!</f>
        <v>#REF!</v>
      </c>
      <c r="D1848" t="e">
        <f>#REF!</f>
        <v>#REF!</v>
      </c>
      <c r="E1848" t="e">
        <f>#REF!</f>
        <v>#REF!</v>
      </c>
      <c r="F1848" t="e">
        <f>#REF!</f>
        <v>#REF!</v>
      </c>
      <c r="G1848" t="e">
        <f>#REF!</f>
        <v>#REF!</v>
      </c>
      <c r="H1848" t="e">
        <f>#REF!</f>
        <v>#REF!</v>
      </c>
    </row>
    <row r="1849" spans="1:8">
      <c r="A1849" t="e">
        <f>#REF!</f>
        <v>#REF!</v>
      </c>
      <c r="B1849" t="e">
        <f>#REF!</f>
        <v>#REF!</v>
      </c>
      <c r="C1849" t="e">
        <f>#REF!</f>
        <v>#REF!</v>
      </c>
      <c r="D1849" t="e">
        <f>#REF!</f>
        <v>#REF!</v>
      </c>
      <c r="E1849" t="e">
        <f>#REF!</f>
        <v>#REF!</v>
      </c>
      <c r="F1849" t="e">
        <f>#REF!</f>
        <v>#REF!</v>
      </c>
      <c r="G1849" t="e">
        <f>#REF!</f>
        <v>#REF!</v>
      </c>
      <c r="H1849" t="e">
        <f>#REF!</f>
        <v>#REF!</v>
      </c>
    </row>
    <row r="1850" spans="1:8">
      <c r="A1850" t="e">
        <f>#REF!</f>
        <v>#REF!</v>
      </c>
      <c r="B1850" t="e">
        <f>#REF!</f>
        <v>#REF!</v>
      </c>
      <c r="C1850" t="e">
        <f>#REF!</f>
        <v>#REF!</v>
      </c>
      <c r="D1850" t="e">
        <f>#REF!</f>
        <v>#REF!</v>
      </c>
      <c r="E1850" t="e">
        <f>#REF!</f>
        <v>#REF!</v>
      </c>
      <c r="F1850" t="e">
        <f>#REF!</f>
        <v>#REF!</v>
      </c>
      <c r="G1850" t="e">
        <f>#REF!</f>
        <v>#REF!</v>
      </c>
      <c r="H1850" t="e">
        <f>#REF!</f>
        <v>#REF!</v>
      </c>
    </row>
    <row r="1851" spans="1:8">
      <c r="A1851" t="e">
        <f>#REF!</f>
        <v>#REF!</v>
      </c>
      <c r="B1851" t="e">
        <f>#REF!</f>
        <v>#REF!</v>
      </c>
      <c r="C1851" t="e">
        <f>#REF!</f>
        <v>#REF!</v>
      </c>
      <c r="D1851" t="e">
        <f>#REF!</f>
        <v>#REF!</v>
      </c>
      <c r="E1851" t="e">
        <f>#REF!</f>
        <v>#REF!</v>
      </c>
      <c r="F1851" t="e">
        <f>#REF!</f>
        <v>#REF!</v>
      </c>
      <c r="G1851" t="e">
        <f>#REF!</f>
        <v>#REF!</v>
      </c>
      <c r="H1851" t="e">
        <f>#REF!</f>
        <v>#REF!</v>
      </c>
    </row>
    <row r="1852" spans="1:8">
      <c r="A1852" t="e">
        <f>#REF!</f>
        <v>#REF!</v>
      </c>
      <c r="B1852" t="e">
        <f>#REF!</f>
        <v>#REF!</v>
      </c>
      <c r="C1852" t="e">
        <f>#REF!</f>
        <v>#REF!</v>
      </c>
      <c r="D1852" t="e">
        <f>#REF!</f>
        <v>#REF!</v>
      </c>
      <c r="E1852" t="e">
        <f>#REF!</f>
        <v>#REF!</v>
      </c>
      <c r="F1852" t="e">
        <f>#REF!</f>
        <v>#REF!</v>
      </c>
      <c r="G1852" t="e">
        <f>#REF!</f>
        <v>#REF!</v>
      </c>
      <c r="H1852" t="e">
        <f>#REF!</f>
        <v>#REF!</v>
      </c>
    </row>
    <row r="1853" spans="1:8">
      <c r="A1853" t="e">
        <f>#REF!</f>
        <v>#REF!</v>
      </c>
      <c r="B1853" t="e">
        <f>#REF!</f>
        <v>#REF!</v>
      </c>
      <c r="C1853" t="e">
        <f>#REF!</f>
        <v>#REF!</v>
      </c>
      <c r="D1853" t="e">
        <f>#REF!</f>
        <v>#REF!</v>
      </c>
      <c r="E1853" t="e">
        <f>#REF!</f>
        <v>#REF!</v>
      </c>
      <c r="F1853" t="e">
        <f>#REF!</f>
        <v>#REF!</v>
      </c>
      <c r="G1853" t="e">
        <f>#REF!</f>
        <v>#REF!</v>
      </c>
      <c r="H1853" t="e">
        <f>#REF!</f>
        <v>#REF!</v>
      </c>
    </row>
    <row r="1854" spans="1:8">
      <c r="A1854" t="e">
        <f>#REF!</f>
        <v>#REF!</v>
      </c>
      <c r="B1854" t="e">
        <f>#REF!</f>
        <v>#REF!</v>
      </c>
      <c r="C1854" t="e">
        <f>#REF!</f>
        <v>#REF!</v>
      </c>
      <c r="D1854" t="e">
        <f>#REF!</f>
        <v>#REF!</v>
      </c>
      <c r="E1854" t="e">
        <f>#REF!</f>
        <v>#REF!</v>
      </c>
      <c r="F1854" t="e">
        <f>#REF!</f>
        <v>#REF!</v>
      </c>
      <c r="G1854" t="e">
        <f>#REF!</f>
        <v>#REF!</v>
      </c>
      <c r="H1854" t="e">
        <f>#REF!</f>
        <v>#REF!</v>
      </c>
    </row>
    <row r="1855" spans="1:8">
      <c r="A1855" t="e">
        <f>#REF!</f>
        <v>#REF!</v>
      </c>
      <c r="B1855" t="e">
        <f>#REF!</f>
        <v>#REF!</v>
      </c>
      <c r="C1855" t="e">
        <f>#REF!</f>
        <v>#REF!</v>
      </c>
      <c r="D1855" t="e">
        <f>#REF!</f>
        <v>#REF!</v>
      </c>
      <c r="E1855" t="e">
        <f>#REF!</f>
        <v>#REF!</v>
      </c>
      <c r="F1855" t="e">
        <f>#REF!</f>
        <v>#REF!</v>
      </c>
      <c r="G1855" t="e">
        <f>#REF!</f>
        <v>#REF!</v>
      </c>
      <c r="H1855" t="e">
        <f>#REF!</f>
        <v>#REF!</v>
      </c>
    </row>
    <row r="1856" spans="1:8">
      <c r="A1856" t="e">
        <f>#REF!</f>
        <v>#REF!</v>
      </c>
      <c r="B1856" t="e">
        <f>#REF!</f>
        <v>#REF!</v>
      </c>
      <c r="C1856" t="e">
        <f>#REF!</f>
        <v>#REF!</v>
      </c>
      <c r="D1856" t="e">
        <f>#REF!</f>
        <v>#REF!</v>
      </c>
      <c r="E1856" t="e">
        <f>#REF!</f>
        <v>#REF!</v>
      </c>
      <c r="F1856" t="e">
        <f>#REF!</f>
        <v>#REF!</v>
      </c>
      <c r="G1856" t="e">
        <f>#REF!</f>
        <v>#REF!</v>
      </c>
      <c r="H1856" t="e">
        <f>#REF!</f>
        <v>#REF!</v>
      </c>
    </row>
    <row r="1857" spans="1:8">
      <c r="A1857" t="e">
        <f>#REF!</f>
        <v>#REF!</v>
      </c>
      <c r="B1857" t="e">
        <f>#REF!</f>
        <v>#REF!</v>
      </c>
      <c r="C1857" t="e">
        <f>#REF!</f>
        <v>#REF!</v>
      </c>
      <c r="D1857" t="e">
        <f>#REF!</f>
        <v>#REF!</v>
      </c>
      <c r="E1857" t="e">
        <f>#REF!</f>
        <v>#REF!</v>
      </c>
      <c r="F1857" t="e">
        <f>#REF!</f>
        <v>#REF!</v>
      </c>
      <c r="G1857" t="e">
        <f>#REF!</f>
        <v>#REF!</v>
      </c>
      <c r="H1857" t="e">
        <f>#REF!</f>
        <v>#REF!</v>
      </c>
    </row>
    <row r="1858" spans="1:8">
      <c r="A1858" t="e">
        <f>#REF!</f>
        <v>#REF!</v>
      </c>
      <c r="B1858" t="e">
        <f>#REF!</f>
        <v>#REF!</v>
      </c>
      <c r="C1858" t="e">
        <f>#REF!</f>
        <v>#REF!</v>
      </c>
      <c r="D1858" t="e">
        <f>#REF!</f>
        <v>#REF!</v>
      </c>
      <c r="E1858" t="e">
        <f>#REF!</f>
        <v>#REF!</v>
      </c>
      <c r="F1858" t="e">
        <f>#REF!</f>
        <v>#REF!</v>
      </c>
      <c r="G1858" t="e">
        <f>#REF!</f>
        <v>#REF!</v>
      </c>
      <c r="H1858" t="e">
        <f>#REF!</f>
        <v>#REF!</v>
      </c>
    </row>
    <row r="1859" spans="1:8">
      <c r="A1859" t="e">
        <f>#REF!</f>
        <v>#REF!</v>
      </c>
      <c r="B1859" t="e">
        <f>#REF!</f>
        <v>#REF!</v>
      </c>
      <c r="C1859" t="e">
        <f>#REF!</f>
        <v>#REF!</v>
      </c>
      <c r="D1859" t="e">
        <f>#REF!</f>
        <v>#REF!</v>
      </c>
      <c r="E1859" t="e">
        <f>#REF!</f>
        <v>#REF!</v>
      </c>
      <c r="F1859" t="e">
        <f>#REF!</f>
        <v>#REF!</v>
      </c>
      <c r="G1859" t="e">
        <f>#REF!</f>
        <v>#REF!</v>
      </c>
      <c r="H1859" t="e">
        <f>#REF!</f>
        <v>#REF!</v>
      </c>
    </row>
    <row r="1860" spans="1:8">
      <c r="A1860" t="e">
        <f>#REF!</f>
        <v>#REF!</v>
      </c>
      <c r="B1860" t="e">
        <f>#REF!</f>
        <v>#REF!</v>
      </c>
      <c r="C1860" t="e">
        <f>#REF!</f>
        <v>#REF!</v>
      </c>
      <c r="D1860" t="e">
        <f>#REF!</f>
        <v>#REF!</v>
      </c>
      <c r="E1860" t="e">
        <f>#REF!</f>
        <v>#REF!</v>
      </c>
      <c r="F1860" t="e">
        <f>#REF!</f>
        <v>#REF!</v>
      </c>
      <c r="G1860" t="e">
        <f>#REF!</f>
        <v>#REF!</v>
      </c>
      <c r="H1860" t="e">
        <f>#REF!</f>
        <v>#REF!</v>
      </c>
    </row>
    <row r="1861" spans="1:8">
      <c r="A1861" t="e">
        <f>#REF!</f>
        <v>#REF!</v>
      </c>
      <c r="B1861" t="e">
        <f>#REF!</f>
        <v>#REF!</v>
      </c>
      <c r="C1861" t="e">
        <f>#REF!</f>
        <v>#REF!</v>
      </c>
      <c r="D1861" t="e">
        <f>#REF!</f>
        <v>#REF!</v>
      </c>
      <c r="E1861" t="e">
        <f>#REF!</f>
        <v>#REF!</v>
      </c>
      <c r="F1861" t="e">
        <f>#REF!</f>
        <v>#REF!</v>
      </c>
      <c r="G1861" t="e">
        <f>#REF!</f>
        <v>#REF!</v>
      </c>
      <c r="H1861" t="e">
        <f>#REF!</f>
        <v>#REF!</v>
      </c>
    </row>
    <row r="1862" spans="1:8">
      <c r="A1862" t="e">
        <f>#REF!</f>
        <v>#REF!</v>
      </c>
      <c r="B1862" t="e">
        <f>#REF!</f>
        <v>#REF!</v>
      </c>
      <c r="C1862" t="e">
        <f>#REF!</f>
        <v>#REF!</v>
      </c>
      <c r="D1862" t="e">
        <f>#REF!</f>
        <v>#REF!</v>
      </c>
      <c r="E1862" t="e">
        <f>#REF!</f>
        <v>#REF!</v>
      </c>
      <c r="F1862" t="e">
        <f>#REF!</f>
        <v>#REF!</v>
      </c>
      <c r="G1862" t="e">
        <f>#REF!</f>
        <v>#REF!</v>
      </c>
      <c r="H1862" t="e">
        <f>#REF!</f>
        <v>#REF!</v>
      </c>
    </row>
    <row r="1863" spans="1:8">
      <c r="A1863" t="e">
        <f>#REF!</f>
        <v>#REF!</v>
      </c>
      <c r="B1863" t="e">
        <f>#REF!</f>
        <v>#REF!</v>
      </c>
      <c r="C1863" t="e">
        <f>#REF!</f>
        <v>#REF!</v>
      </c>
      <c r="D1863" t="e">
        <f>#REF!</f>
        <v>#REF!</v>
      </c>
      <c r="E1863" t="e">
        <f>#REF!</f>
        <v>#REF!</v>
      </c>
      <c r="F1863" t="e">
        <f>#REF!</f>
        <v>#REF!</v>
      </c>
      <c r="G1863" t="e">
        <f>#REF!</f>
        <v>#REF!</v>
      </c>
      <c r="H1863" t="e">
        <f>#REF!</f>
        <v>#REF!</v>
      </c>
    </row>
    <row r="1864" spans="1:8">
      <c r="A1864" t="e">
        <f>#REF!</f>
        <v>#REF!</v>
      </c>
      <c r="B1864" t="e">
        <f>#REF!</f>
        <v>#REF!</v>
      </c>
      <c r="C1864" t="e">
        <f>#REF!</f>
        <v>#REF!</v>
      </c>
      <c r="D1864" t="e">
        <f>#REF!</f>
        <v>#REF!</v>
      </c>
      <c r="E1864" t="e">
        <f>#REF!</f>
        <v>#REF!</v>
      </c>
      <c r="F1864" t="e">
        <f>#REF!</f>
        <v>#REF!</v>
      </c>
      <c r="G1864" t="e">
        <f>#REF!</f>
        <v>#REF!</v>
      </c>
      <c r="H1864" t="e">
        <f>#REF!</f>
        <v>#REF!</v>
      </c>
    </row>
    <row r="1865" spans="1:8">
      <c r="A1865" t="e">
        <f>#REF!</f>
        <v>#REF!</v>
      </c>
      <c r="B1865" t="e">
        <f>#REF!</f>
        <v>#REF!</v>
      </c>
      <c r="C1865" t="e">
        <f>#REF!</f>
        <v>#REF!</v>
      </c>
      <c r="D1865" t="e">
        <f>#REF!</f>
        <v>#REF!</v>
      </c>
      <c r="E1865" t="e">
        <f>#REF!</f>
        <v>#REF!</v>
      </c>
      <c r="F1865" t="e">
        <f>#REF!</f>
        <v>#REF!</v>
      </c>
      <c r="G1865" t="e">
        <f>#REF!</f>
        <v>#REF!</v>
      </c>
      <c r="H1865" t="e">
        <f>#REF!</f>
        <v>#REF!</v>
      </c>
    </row>
    <row r="1866" spans="1:8">
      <c r="A1866" t="e">
        <f>#REF!</f>
        <v>#REF!</v>
      </c>
      <c r="B1866" t="e">
        <f>#REF!</f>
        <v>#REF!</v>
      </c>
      <c r="C1866" t="e">
        <f>#REF!</f>
        <v>#REF!</v>
      </c>
      <c r="D1866" t="e">
        <f>#REF!</f>
        <v>#REF!</v>
      </c>
      <c r="E1866" t="e">
        <f>#REF!</f>
        <v>#REF!</v>
      </c>
      <c r="F1866" t="e">
        <f>#REF!</f>
        <v>#REF!</v>
      </c>
      <c r="G1866" t="e">
        <f>#REF!</f>
        <v>#REF!</v>
      </c>
      <c r="H1866" t="e">
        <f>#REF!</f>
        <v>#REF!</v>
      </c>
    </row>
    <row r="1867" spans="1:8">
      <c r="A1867" t="e">
        <f>#REF!</f>
        <v>#REF!</v>
      </c>
      <c r="B1867" t="e">
        <f>#REF!</f>
        <v>#REF!</v>
      </c>
      <c r="C1867" t="e">
        <f>#REF!</f>
        <v>#REF!</v>
      </c>
      <c r="D1867" t="e">
        <f>#REF!</f>
        <v>#REF!</v>
      </c>
      <c r="E1867" t="e">
        <f>#REF!</f>
        <v>#REF!</v>
      </c>
      <c r="F1867" t="e">
        <f>#REF!</f>
        <v>#REF!</v>
      </c>
      <c r="G1867" t="e">
        <f>#REF!</f>
        <v>#REF!</v>
      </c>
      <c r="H1867" t="e">
        <f>#REF!</f>
        <v>#REF!</v>
      </c>
    </row>
    <row r="1868" spans="1:8">
      <c r="A1868" t="e">
        <f>#REF!</f>
        <v>#REF!</v>
      </c>
      <c r="B1868" t="e">
        <f>#REF!</f>
        <v>#REF!</v>
      </c>
      <c r="C1868" t="e">
        <f>#REF!</f>
        <v>#REF!</v>
      </c>
      <c r="D1868" t="e">
        <f>#REF!</f>
        <v>#REF!</v>
      </c>
      <c r="E1868" t="e">
        <f>#REF!</f>
        <v>#REF!</v>
      </c>
      <c r="F1868" t="e">
        <f>#REF!</f>
        <v>#REF!</v>
      </c>
      <c r="G1868" t="e">
        <f>#REF!</f>
        <v>#REF!</v>
      </c>
      <c r="H1868" t="e">
        <f>#REF!</f>
        <v>#REF!</v>
      </c>
    </row>
    <row r="1869" spans="1:8">
      <c r="A1869" t="e">
        <f>#REF!</f>
        <v>#REF!</v>
      </c>
      <c r="B1869" t="e">
        <f>#REF!</f>
        <v>#REF!</v>
      </c>
      <c r="C1869" t="e">
        <f>#REF!</f>
        <v>#REF!</v>
      </c>
      <c r="D1869" t="e">
        <f>#REF!</f>
        <v>#REF!</v>
      </c>
      <c r="E1869" t="e">
        <f>#REF!</f>
        <v>#REF!</v>
      </c>
      <c r="F1869" t="e">
        <f>#REF!</f>
        <v>#REF!</v>
      </c>
      <c r="G1869" t="e">
        <f>#REF!</f>
        <v>#REF!</v>
      </c>
      <c r="H1869" t="e">
        <f>#REF!</f>
        <v>#REF!</v>
      </c>
    </row>
    <row r="1870" spans="1:8">
      <c r="A1870" t="e">
        <f>#REF!</f>
        <v>#REF!</v>
      </c>
      <c r="B1870" t="e">
        <f>#REF!</f>
        <v>#REF!</v>
      </c>
      <c r="C1870" t="e">
        <f>#REF!</f>
        <v>#REF!</v>
      </c>
      <c r="D1870" t="e">
        <f>#REF!</f>
        <v>#REF!</v>
      </c>
      <c r="E1870" t="e">
        <f>#REF!</f>
        <v>#REF!</v>
      </c>
      <c r="F1870" t="e">
        <f>#REF!</f>
        <v>#REF!</v>
      </c>
      <c r="G1870" t="e">
        <f>#REF!</f>
        <v>#REF!</v>
      </c>
      <c r="H1870" t="e">
        <f>#REF!</f>
        <v>#REF!</v>
      </c>
    </row>
    <row r="1871" spans="1:8">
      <c r="A1871" t="e">
        <f>#REF!</f>
        <v>#REF!</v>
      </c>
      <c r="B1871" t="e">
        <f>#REF!</f>
        <v>#REF!</v>
      </c>
      <c r="C1871" t="e">
        <f>#REF!</f>
        <v>#REF!</v>
      </c>
      <c r="D1871" t="e">
        <f>#REF!</f>
        <v>#REF!</v>
      </c>
      <c r="E1871" t="e">
        <f>#REF!</f>
        <v>#REF!</v>
      </c>
      <c r="F1871" t="e">
        <f>#REF!</f>
        <v>#REF!</v>
      </c>
      <c r="G1871" t="e">
        <f>#REF!</f>
        <v>#REF!</v>
      </c>
      <c r="H1871" t="e">
        <f>#REF!</f>
        <v>#REF!</v>
      </c>
    </row>
    <row r="1872" spans="1:8">
      <c r="A1872" t="e">
        <f>#REF!</f>
        <v>#REF!</v>
      </c>
      <c r="B1872" t="e">
        <f>#REF!</f>
        <v>#REF!</v>
      </c>
      <c r="C1872" t="e">
        <f>#REF!</f>
        <v>#REF!</v>
      </c>
      <c r="D1872" t="e">
        <f>#REF!</f>
        <v>#REF!</v>
      </c>
      <c r="E1872" t="e">
        <f>#REF!</f>
        <v>#REF!</v>
      </c>
      <c r="F1872" t="e">
        <f>#REF!</f>
        <v>#REF!</v>
      </c>
      <c r="G1872" t="e">
        <f>#REF!</f>
        <v>#REF!</v>
      </c>
      <c r="H1872" t="e">
        <f>#REF!</f>
        <v>#REF!</v>
      </c>
    </row>
    <row r="1873" spans="1:8">
      <c r="A1873" t="e">
        <f>#REF!</f>
        <v>#REF!</v>
      </c>
      <c r="B1873" t="e">
        <f>#REF!</f>
        <v>#REF!</v>
      </c>
      <c r="C1873" t="e">
        <f>#REF!</f>
        <v>#REF!</v>
      </c>
      <c r="D1873" t="e">
        <f>#REF!</f>
        <v>#REF!</v>
      </c>
      <c r="E1873" t="e">
        <f>#REF!</f>
        <v>#REF!</v>
      </c>
      <c r="F1873" t="e">
        <f>#REF!</f>
        <v>#REF!</v>
      </c>
      <c r="G1873" t="e">
        <f>#REF!</f>
        <v>#REF!</v>
      </c>
      <c r="H1873" t="e">
        <f>#REF!</f>
        <v>#REF!</v>
      </c>
    </row>
    <row r="1874" spans="1:8">
      <c r="A1874" t="e">
        <f>#REF!</f>
        <v>#REF!</v>
      </c>
      <c r="B1874" t="e">
        <f>#REF!</f>
        <v>#REF!</v>
      </c>
      <c r="C1874" t="e">
        <f>#REF!</f>
        <v>#REF!</v>
      </c>
      <c r="D1874" t="e">
        <f>#REF!</f>
        <v>#REF!</v>
      </c>
      <c r="E1874" t="e">
        <f>#REF!</f>
        <v>#REF!</v>
      </c>
      <c r="F1874" t="e">
        <f>#REF!</f>
        <v>#REF!</v>
      </c>
      <c r="G1874" t="e">
        <f>#REF!</f>
        <v>#REF!</v>
      </c>
      <c r="H1874" t="e">
        <f>#REF!</f>
        <v>#REF!</v>
      </c>
    </row>
    <row r="1875" spans="1:8">
      <c r="A1875" t="e">
        <f>#REF!</f>
        <v>#REF!</v>
      </c>
      <c r="B1875" t="e">
        <f>#REF!</f>
        <v>#REF!</v>
      </c>
      <c r="C1875" t="e">
        <f>#REF!</f>
        <v>#REF!</v>
      </c>
      <c r="D1875" t="e">
        <f>#REF!</f>
        <v>#REF!</v>
      </c>
      <c r="E1875" t="e">
        <f>#REF!</f>
        <v>#REF!</v>
      </c>
      <c r="F1875" t="e">
        <f>#REF!</f>
        <v>#REF!</v>
      </c>
      <c r="G1875" t="e">
        <f>#REF!</f>
        <v>#REF!</v>
      </c>
      <c r="H1875" t="e">
        <f>#REF!</f>
        <v>#REF!</v>
      </c>
    </row>
    <row r="1876" spans="1:8">
      <c r="A1876" t="e">
        <f>#REF!</f>
        <v>#REF!</v>
      </c>
      <c r="B1876" t="e">
        <f>#REF!</f>
        <v>#REF!</v>
      </c>
      <c r="C1876" t="e">
        <f>#REF!</f>
        <v>#REF!</v>
      </c>
      <c r="D1876" t="e">
        <f>#REF!</f>
        <v>#REF!</v>
      </c>
      <c r="E1876" t="e">
        <f>#REF!</f>
        <v>#REF!</v>
      </c>
      <c r="F1876" t="e">
        <f>#REF!</f>
        <v>#REF!</v>
      </c>
      <c r="G1876" t="e">
        <f>#REF!</f>
        <v>#REF!</v>
      </c>
      <c r="H1876" t="e">
        <f>#REF!</f>
        <v>#REF!</v>
      </c>
    </row>
    <row r="1877" spans="1:8">
      <c r="A1877" t="e">
        <f>#REF!</f>
        <v>#REF!</v>
      </c>
      <c r="B1877" t="e">
        <f>#REF!</f>
        <v>#REF!</v>
      </c>
      <c r="C1877" t="e">
        <f>#REF!</f>
        <v>#REF!</v>
      </c>
      <c r="D1877" t="e">
        <f>#REF!</f>
        <v>#REF!</v>
      </c>
      <c r="E1877" t="e">
        <f>#REF!</f>
        <v>#REF!</v>
      </c>
      <c r="F1877" t="e">
        <f>#REF!</f>
        <v>#REF!</v>
      </c>
      <c r="G1877" t="e">
        <f>#REF!</f>
        <v>#REF!</v>
      </c>
      <c r="H1877" t="e">
        <f>#REF!</f>
        <v>#REF!</v>
      </c>
    </row>
    <row r="1878" spans="1:8">
      <c r="A1878" t="e">
        <f>#REF!</f>
        <v>#REF!</v>
      </c>
      <c r="B1878" t="e">
        <f>#REF!</f>
        <v>#REF!</v>
      </c>
      <c r="C1878" t="e">
        <f>#REF!</f>
        <v>#REF!</v>
      </c>
      <c r="D1878" t="e">
        <f>#REF!</f>
        <v>#REF!</v>
      </c>
      <c r="E1878" t="e">
        <f>#REF!</f>
        <v>#REF!</v>
      </c>
      <c r="F1878" t="e">
        <f>#REF!</f>
        <v>#REF!</v>
      </c>
      <c r="G1878" t="e">
        <f>#REF!</f>
        <v>#REF!</v>
      </c>
      <c r="H1878" t="e">
        <f>#REF!</f>
        <v>#REF!</v>
      </c>
    </row>
    <row r="1879" spans="1:8">
      <c r="A1879" t="e">
        <f>#REF!</f>
        <v>#REF!</v>
      </c>
      <c r="B1879" t="e">
        <f>#REF!</f>
        <v>#REF!</v>
      </c>
      <c r="C1879" t="e">
        <f>#REF!</f>
        <v>#REF!</v>
      </c>
      <c r="D1879" t="e">
        <f>#REF!</f>
        <v>#REF!</v>
      </c>
      <c r="E1879" t="e">
        <f>#REF!</f>
        <v>#REF!</v>
      </c>
      <c r="F1879" t="e">
        <f>#REF!</f>
        <v>#REF!</v>
      </c>
      <c r="G1879" t="e">
        <f>#REF!</f>
        <v>#REF!</v>
      </c>
      <c r="H1879" t="e">
        <f>#REF!</f>
        <v>#REF!</v>
      </c>
    </row>
    <row r="1880" spans="1:8">
      <c r="A1880" t="e">
        <f>#REF!</f>
        <v>#REF!</v>
      </c>
      <c r="B1880" t="e">
        <f>#REF!</f>
        <v>#REF!</v>
      </c>
      <c r="C1880" t="e">
        <f>#REF!</f>
        <v>#REF!</v>
      </c>
      <c r="D1880" t="e">
        <f>#REF!</f>
        <v>#REF!</v>
      </c>
      <c r="E1880" t="e">
        <f>#REF!</f>
        <v>#REF!</v>
      </c>
      <c r="F1880" t="e">
        <f>#REF!</f>
        <v>#REF!</v>
      </c>
      <c r="G1880" t="e">
        <f>#REF!</f>
        <v>#REF!</v>
      </c>
      <c r="H1880" t="e">
        <f>#REF!</f>
        <v>#REF!</v>
      </c>
    </row>
    <row r="1881" spans="1:8">
      <c r="A1881" t="e">
        <f>#REF!</f>
        <v>#REF!</v>
      </c>
      <c r="B1881" t="e">
        <f>#REF!</f>
        <v>#REF!</v>
      </c>
      <c r="C1881" t="e">
        <f>#REF!</f>
        <v>#REF!</v>
      </c>
      <c r="D1881" t="e">
        <f>#REF!</f>
        <v>#REF!</v>
      </c>
      <c r="E1881" t="e">
        <f>#REF!</f>
        <v>#REF!</v>
      </c>
      <c r="F1881" t="e">
        <f>#REF!</f>
        <v>#REF!</v>
      </c>
      <c r="G1881" t="e">
        <f>#REF!</f>
        <v>#REF!</v>
      </c>
      <c r="H1881" t="e">
        <f>#REF!</f>
        <v>#REF!</v>
      </c>
    </row>
    <row r="1882" spans="1:8">
      <c r="A1882" t="e">
        <f>#REF!</f>
        <v>#REF!</v>
      </c>
      <c r="B1882" t="e">
        <f>#REF!</f>
        <v>#REF!</v>
      </c>
      <c r="C1882" t="e">
        <f>#REF!</f>
        <v>#REF!</v>
      </c>
      <c r="D1882" t="e">
        <f>#REF!</f>
        <v>#REF!</v>
      </c>
      <c r="E1882" t="e">
        <f>#REF!</f>
        <v>#REF!</v>
      </c>
      <c r="F1882" t="e">
        <f>#REF!</f>
        <v>#REF!</v>
      </c>
      <c r="G1882" t="e">
        <f>#REF!</f>
        <v>#REF!</v>
      </c>
      <c r="H1882" t="e">
        <f>#REF!</f>
        <v>#REF!</v>
      </c>
    </row>
    <row r="1883" spans="1:8">
      <c r="A1883" t="e">
        <f>#REF!</f>
        <v>#REF!</v>
      </c>
      <c r="B1883" t="e">
        <f>#REF!</f>
        <v>#REF!</v>
      </c>
      <c r="C1883" t="e">
        <f>#REF!</f>
        <v>#REF!</v>
      </c>
      <c r="D1883" t="e">
        <f>#REF!</f>
        <v>#REF!</v>
      </c>
      <c r="E1883" t="e">
        <f>#REF!</f>
        <v>#REF!</v>
      </c>
      <c r="F1883" t="e">
        <f>#REF!</f>
        <v>#REF!</v>
      </c>
      <c r="G1883" t="e">
        <f>#REF!</f>
        <v>#REF!</v>
      </c>
      <c r="H1883" t="e">
        <f>#REF!</f>
        <v>#REF!</v>
      </c>
    </row>
    <row r="1884" spans="1:8">
      <c r="A1884" t="e">
        <f>#REF!</f>
        <v>#REF!</v>
      </c>
      <c r="B1884" t="e">
        <f>#REF!</f>
        <v>#REF!</v>
      </c>
      <c r="C1884" t="e">
        <f>#REF!</f>
        <v>#REF!</v>
      </c>
      <c r="D1884" t="e">
        <f>#REF!</f>
        <v>#REF!</v>
      </c>
      <c r="E1884" t="e">
        <f>#REF!</f>
        <v>#REF!</v>
      </c>
      <c r="F1884" t="e">
        <f>#REF!</f>
        <v>#REF!</v>
      </c>
      <c r="G1884" t="e">
        <f>#REF!</f>
        <v>#REF!</v>
      </c>
      <c r="H1884" t="e">
        <f>#REF!</f>
        <v>#REF!</v>
      </c>
    </row>
    <row r="1885" spans="1:8">
      <c r="A1885" t="e">
        <f>#REF!</f>
        <v>#REF!</v>
      </c>
      <c r="B1885" t="e">
        <f>#REF!</f>
        <v>#REF!</v>
      </c>
      <c r="C1885" t="e">
        <f>#REF!</f>
        <v>#REF!</v>
      </c>
      <c r="D1885" t="e">
        <f>#REF!</f>
        <v>#REF!</v>
      </c>
      <c r="E1885" t="e">
        <f>#REF!</f>
        <v>#REF!</v>
      </c>
      <c r="F1885" t="e">
        <f>#REF!</f>
        <v>#REF!</v>
      </c>
      <c r="G1885" t="e">
        <f>#REF!</f>
        <v>#REF!</v>
      </c>
      <c r="H1885" t="e">
        <f>#REF!</f>
        <v>#REF!</v>
      </c>
    </row>
    <row r="1886" spans="1:8">
      <c r="A1886" t="e">
        <f>#REF!</f>
        <v>#REF!</v>
      </c>
      <c r="B1886" t="e">
        <f>#REF!</f>
        <v>#REF!</v>
      </c>
      <c r="C1886" t="e">
        <f>#REF!</f>
        <v>#REF!</v>
      </c>
      <c r="D1886" t="e">
        <f>#REF!</f>
        <v>#REF!</v>
      </c>
      <c r="E1886" t="e">
        <f>#REF!</f>
        <v>#REF!</v>
      </c>
      <c r="F1886" t="e">
        <f>#REF!</f>
        <v>#REF!</v>
      </c>
      <c r="G1886" t="e">
        <f>#REF!</f>
        <v>#REF!</v>
      </c>
      <c r="H1886" t="e">
        <f>#REF!</f>
        <v>#REF!</v>
      </c>
    </row>
    <row r="1887" spans="1:8">
      <c r="A1887" t="e">
        <f>#REF!</f>
        <v>#REF!</v>
      </c>
      <c r="B1887" t="e">
        <f>#REF!</f>
        <v>#REF!</v>
      </c>
      <c r="C1887" t="e">
        <f>#REF!</f>
        <v>#REF!</v>
      </c>
      <c r="D1887" t="e">
        <f>#REF!</f>
        <v>#REF!</v>
      </c>
      <c r="E1887" t="e">
        <f>#REF!</f>
        <v>#REF!</v>
      </c>
      <c r="F1887" t="e">
        <f>#REF!</f>
        <v>#REF!</v>
      </c>
      <c r="G1887" t="e">
        <f>#REF!</f>
        <v>#REF!</v>
      </c>
      <c r="H1887" t="e">
        <f>#REF!</f>
        <v>#REF!</v>
      </c>
    </row>
    <row r="1888" spans="1:8">
      <c r="A1888" t="e">
        <f>#REF!</f>
        <v>#REF!</v>
      </c>
      <c r="B1888" t="e">
        <f>#REF!</f>
        <v>#REF!</v>
      </c>
      <c r="C1888" t="e">
        <f>#REF!</f>
        <v>#REF!</v>
      </c>
      <c r="D1888" t="e">
        <f>#REF!</f>
        <v>#REF!</v>
      </c>
      <c r="E1888" t="e">
        <f>#REF!</f>
        <v>#REF!</v>
      </c>
      <c r="F1888" t="e">
        <f>#REF!</f>
        <v>#REF!</v>
      </c>
      <c r="G1888" t="e">
        <f>#REF!</f>
        <v>#REF!</v>
      </c>
      <c r="H1888" t="e">
        <f>#REF!</f>
        <v>#REF!</v>
      </c>
    </row>
    <row r="1889" spans="1:8">
      <c r="A1889" t="e">
        <f>#REF!</f>
        <v>#REF!</v>
      </c>
      <c r="B1889" t="e">
        <f>#REF!</f>
        <v>#REF!</v>
      </c>
      <c r="C1889" t="e">
        <f>#REF!</f>
        <v>#REF!</v>
      </c>
      <c r="D1889" t="e">
        <f>#REF!</f>
        <v>#REF!</v>
      </c>
      <c r="E1889" t="e">
        <f>#REF!</f>
        <v>#REF!</v>
      </c>
      <c r="F1889" t="e">
        <f>#REF!</f>
        <v>#REF!</v>
      </c>
      <c r="G1889" t="e">
        <f>#REF!</f>
        <v>#REF!</v>
      </c>
      <c r="H1889" t="e">
        <f>#REF!</f>
        <v>#REF!</v>
      </c>
    </row>
    <row r="1890" spans="1:8">
      <c r="A1890" t="e">
        <f>#REF!</f>
        <v>#REF!</v>
      </c>
      <c r="B1890" t="e">
        <f>#REF!</f>
        <v>#REF!</v>
      </c>
      <c r="C1890" t="e">
        <f>#REF!</f>
        <v>#REF!</v>
      </c>
      <c r="D1890" t="e">
        <f>#REF!</f>
        <v>#REF!</v>
      </c>
      <c r="E1890" t="e">
        <f>#REF!</f>
        <v>#REF!</v>
      </c>
      <c r="F1890" t="e">
        <f>#REF!</f>
        <v>#REF!</v>
      </c>
      <c r="G1890" t="e">
        <f>#REF!</f>
        <v>#REF!</v>
      </c>
      <c r="H1890" t="e">
        <f>#REF!</f>
        <v>#REF!</v>
      </c>
    </row>
    <row r="1891" spans="1:8">
      <c r="A1891" t="e">
        <f>#REF!</f>
        <v>#REF!</v>
      </c>
      <c r="B1891" t="e">
        <f>#REF!</f>
        <v>#REF!</v>
      </c>
      <c r="C1891" t="e">
        <f>#REF!</f>
        <v>#REF!</v>
      </c>
      <c r="D1891" t="e">
        <f>#REF!</f>
        <v>#REF!</v>
      </c>
      <c r="E1891" t="e">
        <f>#REF!</f>
        <v>#REF!</v>
      </c>
      <c r="F1891" t="e">
        <f>#REF!</f>
        <v>#REF!</v>
      </c>
      <c r="G1891" t="e">
        <f>#REF!</f>
        <v>#REF!</v>
      </c>
      <c r="H1891" t="e">
        <f>#REF!</f>
        <v>#REF!</v>
      </c>
    </row>
    <row r="1892" spans="1:8">
      <c r="A1892" t="e">
        <f>#REF!</f>
        <v>#REF!</v>
      </c>
      <c r="B1892" t="e">
        <f>#REF!</f>
        <v>#REF!</v>
      </c>
      <c r="C1892" t="e">
        <f>#REF!</f>
        <v>#REF!</v>
      </c>
      <c r="D1892" t="e">
        <f>#REF!</f>
        <v>#REF!</v>
      </c>
      <c r="E1892" t="e">
        <f>#REF!</f>
        <v>#REF!</v>
      </c>
      <c r="F1892" t="e">
        <f>#REF!</f>
        <v>#REF!</v>
      </c>
      <c r="G1892" t="e">
        <f>#REF!</f>
        <v>#REF!</v>
      </c>
      <c r="H1892" t="e">
        <f>#REF!</f>
        <v>#REF!</v>
      </c>
    </row>
    <row r="1893" spans="1:8">
      <c r="A1893" t="e">
        <f>#REF!</f>
        <v>#REF!</v>
      </c>
      <c r="B1893" t="e">
        <f>#REF!</f>
        <v>#REF!</v>
      </c>
      <c r="C1893" t="e">
        <f>#REF!</f>
        <v>#REF!</v>
      </c>
      <c r="D1893" t="e">
        <f>#REF!</f>
        <v>#REF!</v>
      </c>
      <c r="E1893" t="e">
        <f>#REF!</f>
        <v>#REF!</v>
      </c>
      <c r="F1893" t="e">
        <f>#REF!</f>
        <v>#REF!</v>
      </c>
      <c r="G1893" t="e">
        <f>#REF!</f>
        <v>#REF!</v>
      </c>
      <c r="H1893" t="e">
        <f>#REF!</f>
        <v>#REF!</v>
      </c>
    </row>
    <row r="1894" spans="1:8">
      <c r="A1894" t="e">
        <f>#REF!</f>
        <v>#REF!</v>
      </c>
      <c r="B1894" t="e">
        <f>#REF!</f>
        <v>#REF!</v>
      </c>
      <c r="C1894" t="e">
        <f>#REF!</f>
        <v>#REF!</v>
      </c>
      <c r="D1894" t="e">
        <f>#REF!</f>
        <v>#REF!</v>
      </c>
      <c r="E1894" t="e">
        <f>#REF!</f>
        <v>#REF!</v>
      </c>
      <c r="F1894" t="e">
        <f>#REF!</f>
        <v>#REF!</v>
      </c>
      <c r="G1894" t="e">
        <f>#REF!</f>
        <v>#REF!</v>
      </c>
      <c r="H1894" t="e">
        <f>#REF!</f>
        <v>#REF!</v>
      </c>
    </row>
    <row r="1895" spans="1:8">
      <c r="A1895" t="e">
        <f>#REF!</f>
        <v>#REF!</v>
      </c>
      <c r="B1895" t="e">
        <f>#REF!</f>
        <v>#REF!</v>
      </c>
      <c r="C1895" t="e">
        <f>#REF!</f>
        <v>#REF!</v>
      </c>
      <c r="D1895" t="e">
        <f>#REF!</f>
        <v>#REF!</v>
      </c>
      <c r="E1895" t="e">
        <f>#REF!</f>
        <v>#REF!</v>
      </c>
      <c r="F1895" t="e">
        <f>#REF!</f>
        <v>#REF!</v>
      </c>
      <c r="G1895" t="e">
        <f>#REF!</f>
        <v>#REF!</v>
      </c>
      <c r="H1895" t="e">
        <f>#REF!</f>
        <v>#REF!</v>
      </c>
    </row>
    <row r="1896" spans="1:8">
      <c r="A1896" t="e">
        <f>#REF!</f>
        <v>#REF!</v>
      </c>
      <c r="B1896" t="e">
        <f>#REF!</f>
        <v>#REF!</v>
      </c>
      <c r="C1896" t="e">
        <f>#REF!</f>
        <v>#REF!</v>
      </c>
      <c r="D1896" t="e">
        <f>#REF!</f>
        <v>#REF!</v>
      </c>
      <c r="E1896" t="e">
        <f>#REF!</f>
        <v>#REF!</v>
      </c>
      <c r="F1896" t="e">
        <f>#REF!</f>
        <v>#REF!</v>
      </c>
      <c r="G1896" t="e">
        <f>#REF!</f>
        <v>#REF!</v>
      </c>
      <c r="H1896" t="e">
        <f>#REF!</f>
        <v>#REF!</v>
      </c>
    </row>
    <row r="1897" spans="1:8">
      <c r="A1897" t="e">
        <f>#REF!</f>
        <v>#REF!</v>
      </c>
      <c r="B1897" t="e">
        <f>#REF!</f>
        <v>#REF!</v>
      </c>
      <c r="C1897" t="e">
        <f>#REF!</f>
        <v>#REF!</v>
      </c>
      <c r="D1897" t="e">
        <f>#REF!</f>
        <v>#REF!</v>
      </c>
      <c r="E1897" t="e">
        <f>#REF!</f>
        <v>#REF!</v>
      </c>
      <c r="F1897" t="e">
        <f>#REF!</f>
        <v>#REF!</v>
      </c>
      <c r="G1897" t="e">
        <f>#REF!</f>
        <v>#REF!</v>
      </c>
      <c r="H1897" t="e">
        <f>#REF!</f>
        <v>#REF!</v>
      </c>
    </row>
    <row r="1898" spans="1:8">
      <c r="A1898" t="e">
        <f>#REF!</f>
        <v>#REF!</v>
      </c>
      <c r="B1898" t="e">
        <f>#REF!</f>
        <v>#REF!</v>
      </c>
      <c r="C1898" t="e">
        <f>#REF!</f>
        <v>#REF!</v>
      </c>
      <c r="D1898" t="e">
        <f>#REF!</f>
        <v>#REF!</v>
      </c>
      <c r="E1898" t="e">
        <f>#REF!</f>
        <v>#REF!</v>
      </c>
      <c r="F1898" t="e">
        <f>#REF!</f>
        <v>#REF!</v>
      </c>
      <c r="G1898" t="e">
        <f>#REF!</f>
        <v>#REF!</v>
      </c>
      <c r="H1898" t="e">
        <f>#REF!</f>
        <v>#REF!</v>
      </c>
    </row>
    <row r="1899" spans="1:8">
      <c r="A1899" t="e">
        <f>#REF!</f>
        <v>#REF!</v>
      </c>
      <c r="B1899" t="e">
        <f>#REF!</f>
        <v>#REF!</v>
      </c>
      <c r="C1899" t="e">
        <f>#REF!</f>
        <v>#REF!</v>
      </c>
      <c r="D1899" t="e">
        <f>#REF!</f>
        <v>#REF!</v>
      </c>
      <c r="E1899" t="e">
        <f>#REF!</f>
        <v>#REF!</v>
      </c>
      <c r="F1899" t="e">
        <f>#REF!</f>
        <v>#REF!</v>
      </c>
      <c r="G1899" t="e">
        <f>#REF!</f>
        <v>#REF!</v>
      </c>
      <c r="H1899" t="e">
        <f>#REF!</f>
        <v>#REF!</v>
      </c>
    </row>
    <row r="1900" spans="1:8">
      <c r="A1900" t="e">
        <f>#REF!</f>
        <v>#REF!</v>
      </c>
      <c r="B1900" t="e">
        <f>#REF!</f>
        <v>#REF!</v>
      </c>
      <c r="C1900" t="e">
        <f>#REF!</f>
        <v>#REF!</v>
      </c>
      <c r="D1900" t="e">
        <f>#REF!</f>
        <v>#REF!</v>
      </c>
      <c r="E1900" t="e">
        <f>#REF!</f>
        <v>#REF!</v>
      </c>
      <c r="F1900" t="e">
        <f>#REF!</f>
        <v>#REF!</v>
      </c>
      <c r="G1900" t="e">
        <f>#REF!</f>
        <v>#REF!</v>
      </c>
      <c r="H1900" t="e">
        <f>#REF!</f>
        <v>#REF!</v>
      </c>
    </row>
    <row r="1901" spans="1:8">
      <c r="A1901" t="e">
        <f>#REF!</f>
        <v>#REF!</v>
      </c>
      <c r="B1901" t="e">
        <f>#REF!</f>
        <v>#REF!</v>
      </c>
      <c r="C1901" t="e">
        <f>#REF!</f>
        <v>#REF!</v>
      </c>
      <c r="D1901" t="e">
        <f>#REF!</f>
        <v>#REF!</v>
      </c>
      <c r="E1901" t="e">
        <f>#REF!</f>
        <v>#REF!</v>
      </c>
      <c r="F1901" t="e">
        <f>#REF!</f>
        <v>#REF!</v>
      </c>
      <c r="G1901" t="e">
        <f>#REF!</f>
        <v>#REF!</v>
      </c>
      <c r="H1901" t="e">
        <f>#REF!</f>
        <v>#REF!</v>
      </c>
    </row>
    <row r="1902" spans="1:8">
      <c r="A1902" t="e">
        <f>#REF!</f>
        <v>#REF!</v>
      </c>
      <c r="B1902" t="e">
        <f>#REF!</f>
        <v>#REF!</v>
      </c>
      <c r="C1902" t="e">
        <f>#REF!</f>
        <v>#REF!</v>
      </c>
      <c r="D1902" t="e">
        <f>#REF!</f>
        <v>#REF!</v>
      </c>
      <c r="E1902" t="e">
        <f>#REF!</f>
        <v>#REF!</v>
      </c>
      <c r="F1902" t="e">
        <f>#REF!</f>
        <v>#REF!</v>
      </c>
      <c r="G1902" t="e">
        <f>#REF!</f>
        <v>#REF!</v>
      </c>
      <c r="H1902" t="e">
        <f>#REF!</f>
        <v>#REF!</v>
      </c>
    </row>
    <row r="1903" spans="1:8">
      <c r="A1903" t="e">
        <f>#REF!</f>
        <v>#REF!</v>
      </c>
      <c r="B1903" t="e">
        <f>#REF!</f>
        <v>#REF!</v>
      </c>
      <c r="C1903" t="e">
        <f>#REF!</f>
        <v>#REF!</v>
      </c>
      <c r="D1903" t="e">
        <f>#REF!</f>
        <v>#REF!</v>
      </c>
      <c r="E1903" t="e">
        <f>#REF!</f>
        <v>#REF!</v>
      </c>
      <c r="F1903" t="e">
        <f>#REF!</f>
        <v>#REF!</v>
      </c>
      <c r="G1903" t="e">
        <f>#REF!</f>
        <v>#REF!</v>
      </c>
      <c r="H1903" t="e">
        <f>#REF!</f>
        <v>#REF!</v>
      </c>
    </row>
    <row r="1904" spans="1:8">
      <c r="A1904" t="e">
        <f>#REF!</f>
        <v>#REF!</v>
      </c>
      <c r="B1904" t="e">
        <f>#REF!</f>
        <v>#REF!</v>
      </c>
      <c r="C1904" t="e">
        <f>#REF!</f>
        <v>#REF!</v>
      </c>
      <c r="D1904" t="e">
        <f>#REF!</f>
        <v>#REF!</v>
      </c>
      <c r="E1904" t="e">
        <f>#REF!</f>
        <v>#REF!</v>
      </c>
      <c r="F1904" t="e">
        <f>#REF!</f>
        <v>#REF!</v>
      </c>
      <c r="G1904" t="e">
        <f>#REF!</f>
        <v>#REF!</v>
      </c>
      <c r="H1904" t="e">
        <f>#REF!</f>
        <v>#REF!</v>
      </c>
    </row>
    <row r="1905" spans="1:8">
      <c r="A1905" t="e">
        <f>#REF!</f>
        <v>#REF!</v>
      </c>
      <c r="B1905" t="e">
        <f>#REF!</f>
        <v>#REF!</v>
      </c>
      <c r="C1905" t="e">
        <f>#REF!</f>
        <v>#REF!</v>
      </c>
      <c r="D1905" t="e">
        <f>#REF!</f>
        <v>#REF!</v>
      </c>
      <c r="E1905" t="e">
        <f>#REF!</f>
        <v>#REF!</v>
      </c>
      <c r="F1905" t="e">
        <f>#REF!</f>
        <v>#REF!</v>
      </c>
      <c r="G1905" t="e">
        <f>#REF!</f>
        <v>#REF!</v>
      </c>
      <c r="H1905" t="e">
        <f>#REF!</f>
        <v>#REF!</v>
      </c>
    </row>
    <row r="1906" spans="1:8">
      <c r="A1906" t="e">
        <f>#REF!</f>
        <v>#REF!</v>
      </c>
      <c r="B1906" t="e">
        <f>#REF!</f>
        <v>#REF!</v>
      </c>
      <c r="C1906" t="e">
        <f>#REF!</f>
        <v>#REF!</v>
      </c>
      <c r="D1906" t="e">
        <f>#REF!</f>
        <v>#REF!</v>
      </c>
      <c r="E1906" t="e">
        <f>#REF!</f>
        <v>#REF!</v>
      </c>
      <c r="F1906" t="e">
        <f>#REF!</f>
        <v>#REF!</v>
      </c>
      <c r="G1906" t="e">
        <f>#REF!</f>
        <v>#REF!</v>
      </c>
      <c r="H1906" t="e">
        <f>#REF!</f>
        <v>#REF!</v>
      </c>
    </row>
    <row r="1907" spans="1:8">
      <c r="A1907" t="e">
        <f>#REF!</f>
        <v>#REF!</v>
      </c>
      <c r="B1907" t="e">
        <f>#REF!</f>
        <v>#REF!</v>
      </c>
      <c r="C1907" t="e">
        <f>#REF!</f>
        <v>#REF!</v>
      </c>
      <c r="D1907" t="e">
        <f>#REF!</f>
        <v>#REF!</v>
      </c>
      <c r="E1907" t="e">
        <f>#REF!</f>
        <v>#REF!</v>
      </c>
      <c r="F1907" t="e">
        <f>#REF!</f>
        <v>#REF!</v>
      </c>
      <c r="G1907" t="e">
        <f>#REF!</f>
        <v>#REF!</v>
      </c>
      <c r="H1907" t="e">
        <f>#REF!</f>
        <v>#REF!</v>
      </c>
    </row>
    <row r="1908" spans="1:8">
      <c r="A1908" t="e">
        <f>#REF!</f>
        <v>#REF!</v>
      </c>
      <c r="B1908" t="e">
        <f>#REF!</f>
        <v>#REF!</v>
      </c>
      <c r="C1908" t="e">
        <f>#REF!</f>
        <v>#REF!</v>
      </c>
      <c r="D1908" t="e">
        <f>#REF!</f>
        <v>#REF!</v>
      </c>
      <c r="E1908" t="e">
        <f>#REF!</f>
        <v>#REF!</v>
      </c>
      <c r="F1908" t="e">
        <f>#REF!</f>
        <v>#REF!</v>
      </c>
      <c r="G1908" t="e">
        <f>#REF!</f>
        <v>#REF!</v>
      </c>
      <c r="H1908" t="e">
        <f>#REF!</f>
        <v>#REF!</v>
      </c>
    </row>
    <row r="1909" spans="1:8">
      <c r="A1909" t="e">
        <f>#REF!</f>
        <v>#REF!</v>
      </c>
      <c r="B1909" t="e">
        <f>#REF!</f>
        <v>#REF!</v>
      </c>
      <c r="C1909" t="e">
        <f>#REF!</f>
        <v>#REF!</v>
      </c>
      <c r="D1909" t="e">
        <f>#REF!</f>
        <v>#REF!</v>
      </c>
      <c r="E1909" t="e">
        <f>#REF!</f>
        <v>#REF!</v>
      </c>
      <c r="F1909" t="e">
        <f>#REF!</f>
        <v>#REF!</v>
      </c>
      <c r="G1909" t="e">
        <f>#REF!</f>
        <v>#REF!</v>
      </c>
      <c r="H1909" t="e">
        <f>#REF!</f>
        <v>#REF!</v>
      </c>
    </row>
    <row r="1910" spans="1:8">
      <c r="A1910" t="e">
        <f>#REF!</f>
        <v>#REF!</v>
      </c>
      <c r="B1910" t="e">
        <f>#REF!</f>
        <v>#REF!</v>
      </c>
      <c r="C1910" t="e">
        <f>#REF!</f>
        <v>#REF!</v>
      </c>
      <c r="D1910" t="e">
        <f>#REF!</f>
        <v>#REF!</v>
      </c>
      <c r="E1910" t="e">
        <f>#REF!</f>
        <v>#REF!</v>
      </c>
      <c r="F1910" t="e">
        <f>#REF!</f>
        <v>#REF!</v>
      </c>
      <c r="G1910" t="e">
        <f>#REF!</f>
        <v>#REF!</v>
      </c>
      <c r="H1910" t="e">
        <f>#REF!</f>
        <v>#REF!</v>
      </c>
    </row>
    <row r="1911" spans="1:8">
      <c r="A1911" t="e">
        <f>#REF!</f>
        <v>#REF!</v>
      </c>
      <c r="B1911" t="e">
        <f>#REF!</f>
        <v>#REF!</v>
      </c>
      <c r="C1911" t="e">
        <f>#REF!</f>
        <v>#REF!</v>
      </c>
      <c r="D1911" t="e">
        <f>#REF!</f>
        <v>#REF!</v>
      </c>
      <c r="E1911" t="e">
        <f>#REF!</f>
        <v>#REF!</v>
      </c>
      <c r="F1911" t="e">
        <f>#REF!</f>
        <v>#REF!</v>
      </c>
      <c r="G1911" t="e">
        <f>#REF!</f>
        <v>#REF!</v>
      </c>
      <c r="H1911" t="e">
        <f>#REF!</f>
        <v>#REF!</v>
      </c>
    </row>
    <row r="1912" spans="1:8">
      <c r="A1912" t="e">
        <f>#REF!</f>
        <v>#REF!</v>
      </c>
      <c r="B1912" t="e">
        <f>#REF!</f>
        <v>#REF!</v>
      </c>
      <c r="C1912" t="e">
        <f>#REF!</f>
        <v>#REF!</v>
      </c>
      <c r="D1912" t="e">
        <f>#REF!</f>
        <v>#REF!</v>
      </c>
      <c r="E1912" t="e">
        <f>#REF!</f>
        <v>#REF!</v>
      </c>
      <c r="F1912" t="e">
        <f>#REF!</f>
        <v>#REF!</v>
      </c>
      <c r="G1912" t="e">
        <f>#REF!</f>
        <v>#REF!</v>
      </c>
      <c r="H1912" t="e">
        <f>#REF!</f>
        <v>#REF!</v>
      </c>
    </row>
    <row r="1913" spans="1:8">
      <c r="A1913" t="e">
        <f>#REF!</f>
        <v>#REF!</v>
      </c>
      <c r="B1913" t="e">
        <f>#REF!</f>
        <v>#REF!</v>
      </c>
      <c r="C1913" t="e">
        <f>#REF!</f>
        <v>#REF!</v>
      </c>
      <c r="D1913" t="e">
        <f>#REF!</f>
        <v>#REF!</v>
      </c>
      <c r="E1913" t="e">
        <f>#REF!</f>
        <v>#REF!</v>
      </c>
      <c r="F1913" t="e">
        <f>#REF!</f>
        <v>#REF!</v>
      </c>
      <c r="G1913" t="e">
        <f>#REF!</f>
        <v>#REF!</v>
      </c>
      <c r="H1913" t="e">
        <f>#REF!</f>
        <v>#REF!</v>
      </c>
    </row>
    <row r="1914" spans="1:8">
      <c r="A1914" t="e">
        <f>#REF!</f>
        <v>#REF!</v>
      </c>
      <c r="B1914" t="e">
        <f>#REF!</f>
        <v>#REF!</v>
      </c>
      <c r="C1914" t="e">
        <f>#REF!</f>
        <v>#REF!</v>
      </c>
      <c r="D1914" t="e">
        <f>#REF!</f>
        <v>#REF!</v>
      </c>
      <c r="E1914" t="e">
        <f>#REF!</f>
        <v>#REF!</v>
      </c>
      <c r="F1914" t="e">
        <f>#REF!</f>
        <v>#REF!</v>
      </c>
      <c r="G1914" t="e">
        <f>#REF!</f>
        <v>#REF!</v>
      </c>
      <c r="H1914" t="e">
        <f>#REF!</f>
        <v>#REF!</v>
      </c>
    </row>
    <row r="1915" spans="1:8">
      <c r="A1915" t="e">
        <f>#REF!</f>
        <v>#REF!</v>
      </c>
      <c r="B1915" t="e">
        <f>#REF!</f>
        <v>#REF!</v>
      </c>
      <c r="C1915" t="e">
        <f>#REF!</f>
        <v>#REF!</v>
      </c>
      <c r="D1915" t="e">
        <f>#REF!</f>
        <v>#REF!</v>
      </c>
      <c r="E1915" t="e">
        <f>#REF!</f>
        <v>#REF!</v>
      </c>
      <c r="F1915" t="e">
        <f>#REF!</f>
        <v>#REF!</v>
      </c>
      <c r="G1915" t="e">
        <f>#REF!</f>
        <v>#REF!</v>
      </c>
      <c r="H1915" t="e">
        <f>#REF!</f>
        <v>#REF!</v>
      </c>
    </row>
    <row r="1916" spans="1:8">
      <c r="A1916" t="e">
        <f>#REF!</f>
        <v>#REF!</v>
      </c>
      <c r="B1916" t="e">
        <f>#REF!</f>
        <v>#REF!</v>
      </c>
      <c r="C1916" t="e">
        <f>#REF!</f>
        <v>#REF!</v>
      </c>
      <c r="D1916" t="e">
        <f>#REF!</f>
        <v>#REF!</v>
      </c>
      <c r="E1916" t="e">
        <f>#REF!</f>
        <v>#REF!</v>
      </c>
      <c r="F1916" t="e">
        <f>#REF!</f>
        <v>#REF!</v>
      </c>
      <c r="G1916" t="e">
        <f>#REF!</f>
        <v>#REF!</v>
      </c>
      <c r="H1916" t="e">
        <f>#REF!</f>
        <v>#REF!</v>
      </c>
    </row>
    <row r="1917" spans="1:8">
      <c r="A1917" t="e">
        <f>#REF!</f>
        <v>#REF!</v>
      </c>
      <c r="B1917" t="e">
        <f>#REF!</f>
        <v>#REF!</v>
      </c>
      <c r="C1917" t="e">
        <f>#REF!</f>
        <v>#REF!</v>
      </c>
      <c r="D1917" t="e">
        <f>#REF!</f>
        <v>#REF!</v>
      </c>
      <c r="E1917" t="e">
        <f>#REF!</f>
        <v>#REF!</v>
      </c>
      <c r="F1917" t="e">
        <f>#REF!</f>
        <v>#REF!</v>
      </c>
      <c r="G1917" t="e">
        <f>#REF!</f>
        <v>#REF!</v>
      </c>
      <c r="H1917" t="e">
        <f>#REF!</f>
        <v>#REF!</v>
      </c>
    </row>
    <row r="1918" spans="1:8">
      <c r="A1918" t="e">
        <f>#REF!</f>
        <v>#REF!</v>
      </c>
      <c r="B1918" t="e">
        <f>#REF!</f>
        <v>#REF!</v>
      </c>
      <c r="C1918" t="e">
        <f>#REF!</f>
        <v>#REF!</v>
      </c>
      <c r="D1918" t="e">
        <f>#REF!</f>
        <v>#REF!</v>
      </c>
      <c r="E1918" t="e">
        <f>#REF!</f>
        <v>#REF!</v>
      </c>
      <c r="F1918" t="e">
        <f>#REF!</f>
        <v>#REF!</v>
      </c>
      <c r="G1918" t="e">
        <f>#REF!</f>
        <v>#REF!</v>
      </c>
      <c r="H1918" t="e">
        <f>#REF!</f>
        <v>#REF!</v>
      </c>
    </row>
    <row r="1919" spans="1:8">
      <c r="A1919" t="e">
        <f>#REF!</f>
        <v>#REF!</v>
      </c>
      <c r="B1919" t="e">
        <f>#REF!</f>
        <v>#REF!</v>
      </c>
      <c r="C1919" t="e">
        <f>#REF!</f>
        <v>#REF!</v>
      </c>
      <c r="D1919" t="e">
        <f>#REF!</f>
        <v>#REF!</v>
      </c>
      <c r="E1919" t="e">
        <f>#REF!</f>
        <v>#REF!</v>
      </c>
      <c r="F1919" t="e">
        <f>#REF!</f>
        <v>#REF!</v>
      </c>
      <c r="G1919" t="e">
        <f>#REF!</f>
        <v>#REF!</v>
      </c>
      <c r="H1919" t="e">
        <f>#REF!</f>
        <v>#REF!</v>
      </c>
    </row>
    <row r="1920" spans="1:8">
      <c r="A1920" t="e">
        <f>#REF!</f>
        <v>#REF!</v>
      </c>
      <c r="B1920" t="e">
        <f>#REF!</f>
        <v>#REF!</v>
      </c>
      <c r="C1920" t="e">
        <f>#REF!</f>
        <v>#REF!</v>
      </c>
      <c r="D1920" t="e">
        <f>#REF!</f>
        <v>#REF!</v>
      </c>
      <c r="E1920" t="e">
        <f>#REF!</f>
        <v>#REF!</v>
      </c>
      <c r="F1920" t="e">
        <f>#REF!</f>
        <v>#REF!</v>
      </c>
      <c r="G1920" t="e">
        <f>#REF!</f>
        <v>#REF!</v>
      </c>
      <c r="H1920" t="e">
        <f>#REF!</f>
        <v>#REF!</v>
      </c>
    </row>
    <row r="1921" spans="1:8">
      <c r="A1921" t="e">
        <f>#REF!</f>
        <v>#REF!</v>
      </c>
      <c r="B1921" t="e">
        <f>#REF!</f>
        <v>#REF!</v>
      </c>
      <c r="C1921" t="e">
        <f>#REF!</f>
        <v>#REF!</v>
      </c>
      <c r="D1921" t="e">
        <f>#REF!</f>
        <v>#REF!</v>
      </c>
      <c r="E1921" t="e">
        <f>#REF!</f>
        <v>#REF!</v>
      </c>
      <c r="F1921" t="e">
        <f>#REF!</f>
        <v>#REF!</v>
      </c>
      <c r="G1921" t="e">
        <f>#REF!</f>
        <v>#REF!</v>
      </c>
      <c r="H1921" t="e">
        <f>#REF!</f>
        <v>#REF!</v>
      </c>
    </row>
    <row r="1922" spans="1:8">
      <c r="A1922" t="e">
        <f>#REF!</f>
        <v>#REF!</v>
      </c>
      <c r="B1922" t="e">
        <f>#REF!</f>
        <v>#REF!</v>
      </c>
      <c r="C1922" t="e">
        <f>#REF!</f>
        <v>#REF!</v>
      </c>
      <c r="D1922" t="e">
        <f>#REF!</f>
        <v>#REF!</v>
      </c>
      <c r="E1922" t="e">
        <f>#REF!</f>
        <v>#REF!</v>
      </c>
      <c r="F1922" t="e">
        <f>#REF!</f>
        <v>#REF!</v>
      </c>
      <c r="G1922" t="e">
        <f>#REF!</f>
        <v>#REF!</v>
      </c>
      <c r="H1922" t="e">
        <f>#REF!</f>
        <v>#REF!</v>
      </c>
    </row>
    <row r="1923" spans="1:8">
      <c r="A1923" t="e">
        <f>#REF!</f>
        <v>#REF!</v>
      </c>
      <c r="B1923" t="e">
        <f>#REF!</f>
        <v>#REF!</v>
      </c>
      <c r="C1923" t="e">
        <f>#REF!</f>
        <v>#REF!</v>
      </c>
      <c r="D1923" t="e">
        <f>#REF!</f>
        <v>#REF!</v>
      </c>
      <c r="E1923" t="e">
        <f>#REF!</f>
        <v>#REF!</v>
      </c>
      <c r="F1923" t="e">
        <f>#REF!</f>
        <v>#REF!</v>
      </c>
      <c r="G1923" t="e">
        <f>#REF!</f>
        <v>#REF!</v>
      </c>
      <c r="H1923" t="e">
        <f>#REF!</f>
        <v>#REF!</v>
      </c>
    </row>
    <row r="1924" spans="1:8">
      <c r="A1924" t="e">
        <f>#REF!</f>
        <v>#REF!</v>
      </c>
      <c r="B1924" t="e">
        <f>#REF!</f>
        <v>#REF!</v>
      </c>
      <c r="C1924" t="e">
        <f>#REF!</f>
        <v>#REF!</v>
      </c>
      <c r="D1924" t="e">
        <f>#REF!</f>
        <v>#REF!</v>
      </c>
      <c r="E1924" t="e">
        <f>#REF!</f>
        <v>#REF!</v>
      </c>
      <c r="F1924" t="e">
        <f>#REF!</f>
        <v>#REF!</v>
      </c>
      <c r="G1924" t="e">
        <f>#REF!</f>
        <v>#REF!</v>
      </c>
      <c r="H1924" t="e">
        <f>#REF!</f>
        <v>#REF!</v>
      </c>
    </row>
    <row r="1925" spans="1:8">
      <c r="A1925" t="e">
        <f>#REF!</f>
        <v>#REF!</v>
      </c>
      <c r="B1925" t="e">
        <f>#REF!</f>
        <v>#REF!</v>
      </c>
      <c r="C1925" t="e">
        <f>#REF!</f>
        <v>#REF!</v>
      </c>
      <c r="D1925" t="e">
        <f>#REF!</f>
        <v>#REF!</v>
      </c>
      <c r="E1925" t="e">
        <f>#REF!</f>
        <v>#REF!</v>
      </c>
      <c r="F1925" t="e">
        <f>#REF!</f>
        <v>#REF!</v>
      </c>
      <c r="G1925" t="e">
        <f>#REF!</f>
        <v>#REF!</v>
      </c>
      <c r="H1925" t="e">
        <f>#REF!</f>
        <v>#REF!</v>
      </c>
    </row>
    <row r="1926" spans="1:8">
      <c r="A1926" t="e">
        <f>#REF!</f>
        <v>#REF!</v>
      </c>
      <c r="B1926" t="e">
        <f>#REF!</f>
        <v>#REF!</v>
      </c>
      <c r="C1926" t="e">
        <f>#REF!</f>
        <v>#REF!</v>
      </c>
      <c r="D1926" t="e">
        <f>#REF!</f>
        <v>#REF!</v>
      </c>
      <c r="E1926" t="e">
        <f>#REF!</f>
        <v>#REF!</v>
      </c>
      <c r="F1926" t="e">
        <f>#REF!</f>
        <v>#REF!</v>
      </c>
      <c r="G1926" t="e">
        <f>#REF!</f>
        <v>#REF!</v>
      </c>
      <c r="H1926" t="e">
        <f>#REF!</f>
        <v>#REF!</v>
      </c>
    </row>
    <row r="1927" spans="1:8">
      <c r="A1927" t="e">
        <f>#REF!</f>
        <v>#REF!</v>
      </c>
      <c r="B1927" t="e">
        <f>#REF!</f>
        <v>#REF!</v>
      </c>
      <c r="C1927" t="e">
        <f>#REF!</f>
        <v>#REF!</v>
      </c>
      <c r="D1927" t="e">
        <f>#REF!</f>
        <v>#REF!</v>
      </c>
      <c r="E1927" t="e">
        <f>#REF!</f>
        <v>#REF!</v>
      </c>
      <c r="F1927" t="e">
        <f>#REF!</f>
        <v>#REF!</v>
      </c>
      <c r="G1927" t="e">
        <f>#REF!</f>
        <v>#REF!</v>
      </c>
      <c r="H1927" t="e">
        <f>#REF!</f>
        <v>#REF!</v>
      </c>
    </row>
    <row r="1928" spans="1:8">
      <c r="A1928" t="e">
        <f>#REF!</f>
        <v>#REF!</v>
      </c>
      <c r="B1928" t="e">
        <f>#REF!</f>
        <v>#REF!</v>
      </c>
      <c r="C1928" t="e">
        <f>#REF!</f>
        <v>#REF!</v>
      </c>
      <c r="D1928" t="e">
        <f>#REF!</f>
        <v>#REF!</v>
      </c>
      <c r="E1928" t="e">
        <f>#REF!</f>
        <v>#REF!</v>
      </c>
      <c r="F1928" t="e">
        <f>#REF!</f>
        <v>#REF!</v>
      </c>
      <c r="G1928" t="e">
        <f>#REF!</f>
        <v>#REF!</v>
      </c>
      <c r="H1928" t="e">
        <f>#REF!</f>
        <v>#REF!</v>
      </c>
    </row>
    <row r="1929" spans="1:8">
      <c r="A1929" t="e">
        <f>#REF!</f>
        <v>#REF!</v>
      </c>
      <c r="B1929" t="e">
        <f>#REF!</f>
        <v>#REF!</v>
      </c>
      <c r="C1929" t="e">
        <f>#REF!</f>
        <v>#REF!</v>
      </c>
      <c r="D1929" t="e">
        <f>#REF!</f>
        <v>#REF!</v>
      </c>
      <c r="E1929" t="e">
        <f>#REF!</f>
        <v>#REF!</v>
      </c>
      <c r="F1929" t="e">
        <f>#REF!</f>
        <v>#REF!</v>
      </c>
      <c r="G1929" t="e">
        <f>#REF!</f>
        <v>#REF!</v>
      </c>
      <c r="H1929" t="e">
        <f>#REF!</f>
        <v>#REF!</v>
      </c>
    </row>
    <row r="1930" spans="1:8">
      <c r="A1930" t="e">
        <f>#REF!</f>
        <v>#REF!</v>
      </c>
      <c r="B1930" t="e">
        <f>#REF!</f>
        <v>#REF!</v>
      </c>
      <c r="C1930" t="e">
        <f>#REF!</f>
        <v>#REF!</v>
      </c>
      <c r="D1930" t="e">
        <f>#REF!</f>
        <v>#REF!</v>
      </c>
      <c r="E1930" t="e">
        <f>#REF!</f>
        <v>#REF!</v>
      </c>
      <c r="F1930" t="e">
        <f>#REF!</f>
        <v>#REF!</v>
      </c>
      <c r="G1930" t="e">
        <f>#REF!</f>
        <v>#REF!</v>
      </c>
      <c r="H1930" t="e">
        <f>#REF!</f>
        <v>#REF!</v>
      </c>
    </row>
    <row r="1931" spans="1:8">
      <c r="A1931" t="e">
        <f>#REF!</f>
        <v>#REF!</v>
      </c>
      <c r="B1931" t="e">
        <f>#REF!</f>
        <v>#REF!</v>
      </c>
      <c r="C1931" t="e">
        <f>#REF!</f>
        <v>#REF!</v>
      </c>
      <c r="D1931" t="e">
        <f>#REF!</f>
        <v>#REF!</v>
      </c>
      <c r="E1931" t="e">
        <f>#REF!</f>
        <v>#REF!</v>
      </c>
      <c r="F1931" t="e">
        <f>#REF!</f>
        <v>#REF!</v>
      </c>
      <c r="G1931" t="e">
        <f>#REF!</f>
        <v>#REF!</v>
      </c>
      <c r="H1931" t="e">
        <f>#REF!</f>
        <v>#REF!</v>
      </c>
    </row>
    <row r="1932" spans="1:8">
      <c r="A1932" t="e">
        <f>#REF!</f>
        <v>#REF!</v>
      </c>
      <c r="B1932" t="e">
        <f>#REF!</f>
        <v>#REF!</v>
      </c>
      <c r="C1932" t="e">
        <f>#REF!</f>
        <v>#REF!</v>
      </c>
      <c r="D1932" t="e">
        <f>#REF!</f>
        <v>#REF!</v>
      </c>
      <c r="E1932" t="e">
        <f>#REF!</f>
        <v>#REF!</v>
      </c>
      <c r="F1932" t="e">
        <f>#REF!</f>
        <v>#REF!</v>
      </c>
      <c r="G1932" t="e">
        <f>#REF!</f>
        <v>#REF!</v>
      </c>
      <c r="H1932" t="e">
        <f>#REF!</f>
        <v>#REF!</v>
      </c>
    </row>
    <row r="1933" spans="1:8">
      <c r="A1933" t="e">
        <f>#REF!</f>
        <v>#REF!</v>
      </c>
      <c r="B1933" t="e">
        <f>#REF!</f>
        <v>#REF!</v>
      </c>
      <c r="C1933" t="e">
        <f>#REF!</f>
        <v>#REF!</v>
      </c>
      <c r="D1933" t="e">
        <f>#REF!</f>
        <v>#REF!</v>
      </c>
      <c r="E1933" t="e">
        <f>#REF!</f>
        <v>#REF!</v>
      </c>
      <c r="F1933" t="e">
        <f>#REF!</f>
        <v>#REF!</v>
      </c>
      <c r="G1933" t="e">
        <f>#REF!</f>
        <v>#REF!</v>
      </c>
      <c r="H1933" t="e">
        <f>#REF!</f>
        <v>#REF!</v>
      </c>
    </row>
    <row r="1934" spans="1:8">
      <c r="A1934" t="e">
        <f>#REF!</f>
        <v>#REF!</v>
      </c>
      <c r="B1934" t="e">
        <f>#REF!</f>
        <v>#REF!</v>
      </c>
      <c r="C1934" t="e">
        <f>#REF!</f>
        <v>#REF!</v>
      </c>
      <c r="D1934" t="e">
        <f>#REF!</f>
        <v>#REF!</v>
      </c>
      <c r="E1934" t="e">
        <f>#REF!</f>
        <v>#REF!</v>
      </c>
      <c r="F1934" t="e">
        <f>#REF!</f>
        <v>#REF!</v>
      </c>
      <c r="G1934" t="e">
        <f>#REF!</f>
        <v>#REF!</v>
      </c>
      <c r="H1934" t="e">
        <f>#REF!</f>
        <v>#REF!</v>
      </c>
    </row>
    <row r="1935" spans="1:8">
      <c r="A1935" t="e">
        <f>#REF!</f>
        <v>#REF!</v>
      </c>
      <c r="B1935" t="e">
        <f>#REF!</f>
        <v>#REF!</v>
      </c>
      <c r="C1935" t="e">
        <f>#REF!</f>
        <v>#REF!</v>
      </c>
      <c r="D1935" t="e">
        <f>#REF!</f>
        <v>#REF!</v>
      </c>
      <c r="E1935" t="e">
        <f>#REF!</f>
        <v>#REF!</v>
      </c>
      <c r="F1935" t="e">
        <f>#REF!</f>
        <v>#REF!</v>
      </c>
      <c r="G1935" t="e">
        <f>#REF!</f>
        <v>#REF!</v>
      </c>
      <c r="H1935" t="e">
        <f>#REF!</f>
        <v>#REF!</v>
      </c>
    </row>
    <row r="1936" spans="1:8">
      <c r="A1936" t="e">
        <f>#REF!</f>
        <v>#REF!</v>
      </c>
      <c r="B1936" t="e">
        <f>#REF!</f>
        <v>#REF!</v>
      </c>
      <c r="C1936" t="e">
        <f>#REF!</f>
        <v>#REF!</v>
      </c>
      <c r="D1936" t="e">
        <f>#REF!</f>
        <v>#REF!</v>
      </c>
      <c r="E1936" t="e">
        <f>#REF!</f>
        <v>#REF!</v>
      </c>
      <c r="F1936" t="e">
        <f>#REF!</f>
        <v>#REF!</v>
      </c>
      <c r="G1936" t="e">
        <f>#REF!</f>
        <v>#REF!</v>
      </c>
      <c r="H1936" t="e">
        <f>#REF!</f>
        <v>#REF!</v>
      </c>
    </row>
    <row r="1937" spans="1:8">
      <c r="A1937" t="e">
        <f>#REF!</f>
        <v>#REF!</v>
      </c>
      <c r="B1937" t="e">
        <f>#REF!</f>
        <v>#REF!</v>
      </c>
      <c r="C1937" t="e">
        <f>#REF!</f>
        <v>#REF!</v>
      </c>
      <c r="D1937" t="e">
        <f>#REF!</f>
        <v>#REF!</v>
      </c>
      <c r="E1937" t="e">
        <f>#REF!</f>
        <v>#REF!</v>
      </c>
      <c r="F1937" t="e">
        <f>#REF!</f>
        <v>#REF!</v>
      </c>
      <c r="G1937" t="e">
        <f>#REF!</f>
        <v>#REF!</v>
      </c>
      <c r="H1937" t="e">
        <f>#REF!</f>
        <v>#REF!</v>
      </c>
    </row>
    <row r="1938" spans="1:8">
      <c r="A1938" t="e">
        <f>#REF!</f>
        <v>#REF!</v>
      </c>
      <c r="B1938" t="e">
        <f>#REF!</f>
        <v>#REF!</v>
      </c>
      <c r="C1938" t="e">
        <f>#REF!</f>
        <v>#REF!</v>
      </c>
      <c r="D1938" t="e">
        <f>#REF!</f>
        <v>#REF!</v>
      </c>
      <c r="E1938" t="e">
        <f>#REF!</f>
        <v>#REF!</v>
      </c>
      <c r="F1938" t="e">
        <f>#REF!</f>
        <v>#REF!</v>
      </c>
      <c r="G1938" t="e">
        <f>#REF!</f>
        <v>#REF!</v>
      </c>
      <c r="H1938" t="e">
        <f>#REF!</f>
        <v>#REF!</v>
      </c>
    </row>
    <row r="1939" spans="1:8">
      <c r="A1939" t="e">
        <f>#REF!</f>
        <v>#REF!</v>
      </c>
      <c r="B1939" t="e">
        <f>#REF!</f>
        <v>#REF!</v>
      </c>
      <c r="C1939" t="e">
        <f>#REF!</f>
        <v>#REF!</v>
      </c>
      <c r="D1939" t="e">
        <f>#REF!</f>
        <v>#REF!</v>
      </c>
      <c r="E1939" t="e">
        <f>#REF!</f>
        <v>#REF!</v>
      </c>
      <c r="F1939" t="e">
        <f>#REF!</f>
        <v>#REF!</v>
      </c>
      <c r="G1939" t="e">
        <f>#REF!</f>
        <v>#REF!</v>
      </c>
      <c r="H1939" t="e">
        <f>#REF!</f>
        <v>#REF!</v>
      </c>
    </row>
    <row r="1940" spans="1:8">
      <c r="A1940" t="e">
        <f>#REF!</f>
        <v>#REF!</v>
      </c>
      <c r="B1940" t="e">
        <f>#REF!</f>
        <v>#REF!</v>
      </c>
      <c r="C1940" t="e">
        <f>#REF!</f>
        <v>#REF!</v>
      </c>
      <c r="D1940" t="e">
        <f>#REF!</f>
        <v>#REF!</v>
      </c>
      <c r="E1940" t="e">
        <f>#REF!</f>
        <v>#REF!</v>
      </c>
      <c r="F1940" t="e">
        <f>#REF!</f>
        <v>#REF!</v>
      </c>
      <c r="G1940" t="e">
        <f>#REF!</f>
        <v>#REF!</v>
      </c>
      <c r="H1940" t="e">
        <f>#REF!</f>
        <v>#REF!</v>
      </c>
    </row>
    <row r="1941" spans="1:8">
      <c r="A1941" t="e">
        <f>#REF!</f>
        <v>#REF!</v>
      </c>
      <c r="B1941" t="e">
        <f>#REF!</f>
        <v>#REF!</v>
      </c>
      <c r="C1941" t="e">
        <f>#REF!</f>
        <v>#REF!</v>
      </c>
      <c r="D1941" t="e">
        <f>#REF!</f>
        <v>#REF!</v>
      </c>
      <c r="E1941" t="e">
        <f>#REF!</f>
        <v>#REF!</v>
      </c>
      <c r="F1941" t="e">
        <f>#REF!</f>
        <v>#REF!</v>
      </c>
      <c r="G1941" t="e">
        <f>#REF!</f>
        <v>#REF!</v>
      </c>
      <c r="H1941" t="e">
        <f>#REF!</f>
        <v>#REF!</v>
      </c>
    </row>
    <row r="1942" spans="1:8">
      <c r="A1942" t="e">
        <f>#REF!</f>
        <v>#REF!</v>
      </c>
      <c r="B1942" t="e">
        <f>#REF!</f>
        <v>#REF!</v>
      </c>
      <c r="C1942" t="e">
        <f>#REF!</f>
        <v>#REF!</v>
      </c>
      <c r="D1942" t="e">
        <f>#REF!</f>
        <v>#REF!</v>
      </c>
      <c r="E1942" t="e">
        <f>#REF!</f>
        <v>#REF!</v>
      </c>
      <c r="F1942" t="e">
        <f>#REF!</f>
        <v>#REF!</v>
      </c>
      <c r="G1942" t="e">
        <f>#REF!</f>
        <v>#REF!</v>
      </c>
      <c r="H1942" t="e">
        <f>#REF!</f>
        <v>#REF!</v>
      </c>
    </row>
    <row r="1943" spans="1:8">
      <c r="A1943" t="e">
        <f>#REF!</f>
        <v>#REF!</v>
      </c>
      <c r="B1943" t="e">
        <f>#REF!</f>
        <v>#REF!</v>
      </c>
      <c r="C1943" t="e">
        <f>#REF!</f>
        <v>#REF!</v>
      </c>
      <c r="D1943" t="e">
        <f>#REF!</f>
        <v>#REF!</v>
      </c>
      <c r="E1943" t="e">
        <f>#REF!</f>
        <v>#REF!</v>
      </c>
      <c r="F1943" t="e">
        <f>#REF!</f>
        <v>#REF!</v>
      </c>
      <c r="G1943" t="e">
        <f>#REF!</f>
        <v>#REF!</v>
      </c>
      <c r="H1943" t="e">
        <f>#REF!</f>
        <v>#REF!</v>
      </c>
    </row>
    <row r="1944" spans="1:8">
      <c r="A1944" t="e">
        <f>#REF!</f>
        <v>#REF!</v>
      </c>
      <c r="B1944" t="e">
        <f>#REF!</f>
        <v>#REF!</v>
      </c>
      <c r="C1944" t="e">
        <f>#REF!</f>
        <v>#REF!</v>
      </c>
      <c r="D1944" t="e">
        <f>#REF!</f>
        <v>#REF!</v>
      </c>
      <c r="E1944" t="e">
        <f>#REF!</f>
        <v>#REF!</v>
      </c>
      <c r="F1944" t="e">
        <f>#REF!</f>
        <v>#REF!</v>
      </c>
      <c r="G1944" t="e">
        <f>#REF!</f>
        <v>#REF!</v>
      </c>
      <c r="H1944" t="e">
        <f>#REF!</f>
        <v>#REF!</v>
      </c>
    </row>
    <row r="1945" spans="1:8">
      <c r="A1945" t="e">
        <f>#REF!</f>
        <v>#REF!</v>
      </c>
      <c r="B1945" t="e">
        <f>#REF!</f>
        <v>#REF!</v>
      </c>
      <c r="C1945" t="e">
        <f>#REF!</f>
        <v>#REF!</v>
      </c>
      <c r="D1945" t="e">
        <f>#REF!</f>
        <v>#REF!</v>
      </c>
      <c r="E1945" t="e">
        <f>#REF!</f>
        <v>#REF!</v>
      </c>
      <c r="F1945" t="e">
        <f>#REF!</f>
        <v>#REF!</v>
      </c>
      <c r="G1945" t="e">
        <f>#REF!</f>
        <v>#REF!</v>
      </c>
      <c r="H1945" t="e">
        <f>#REF!</f>
        <v>#REF!</v>
      </c>
    </row>
    <row r="1946" spans="1:8">
      <c r="A1946" t="e">
        <f>#REF!</f>
        <v>#REF!</v>
      </c>
      <c r="B1946" t="e">
        <f>#REF!</f>
        <v>#REF!</v>
      </c>
      <c r="C1946" t="e">
        <f>#REF!</f>
        <v>#REF!</v>
      </c>
      <c r="D1946" t="e">
        <f>#REF!</f>
        <v>#REF!</v>
      </c>
      <c r="E1946" t="e">
        <f>#REF!</f>
        <v>#REF!</v>
      </c>
      <c r="F1946" t="e">
        <f>#REF!</f>
        <v>#REF!</v>
      </c>
      <c r="G1946" t="e">
        <f>#REF!</f>
        <v>#REF!</v>
      </c>
      <c r="H1946" t="e">
        <f>#REF!</f>
        <v>#REF!</v>
      </c>
    </row>
    <row r="1947" spans="1:8">
      <c r="A1947" t="e">
        <f>#REF!</f>
        <v>#REF!</v>
      </c>
      <c r="B1947" t="e">
        <f>#REF!</f>
        <v>#REF!</v>
      </c>
      <c r="C1947" t="e">
        <f>#REF!</f>
        <v>#REF!</v>
      </c>
      <c r="D1947" t="e">
        <f>#REF!</f>
        <v>#REF!</v>
      </c>
      <c r="E1947" t="e">
        <f>#REF!</f>
        <v>#REF!</v>
      </c>
      <c r="F1947" t="e">
        <f>#REF!</f>
        <v>#REF!</v>
      </c>
      <c r="G1947" t="e">
        <f>#REF!</f>
        <v>#REF!</v>
      </c>
      <c r="H1947" t="e">
        <f>#REF!</f>
        <v>#REF!</v>
      </c>
    </row>
    <row r="1948" spans="1:8">
      <c r="A1948" t="e">
        <f>#REF!</f>
        <v>#REF!</v>
      </c>
      <c r="B1948" t="e">
        <f>#REF!</f>
        <v>#REF!</v>
      </c>
      <c r="C1948" t="e">
        <f>#REF!</f>
        <v>#REF!</v>
      </c>
      <c r="D1948" t="e">
        <f>#REF!</f>
        <v>#REF!</v>
      </c>
      <c r="E1948" t="e">
        <f>#REF!</f>
        <v>#REF!</v>
      </c>
      <c r="F1948" t="e">
        <f>#REF!</f>
        <v>#REF!</v>
      </c>
      <c r="G1948" t="e">
        <f>#REF!</f>
        <v>#REF!</v>
      </c>
      <c r="H1948" t="e">
        <f>#REF!</f>
        <v>#REF!</v>
      </c>
    </row>
    <row r="1949" spans="1:8">
      <c r="A1949" t="e">
        <f>#REF!</f>
        <v>#REF!</v>
      </c>
      <c r="B1949" t="e">
        <f>#REF!</f>
        <v>#REF!</v>
      </c>
      <c r="C1949" t="e">
        <f>#REF!</f>
        <v>#REF!</v>
      </c>
      <c r="D1949" t="e">
        <f>#REF!</f>
        <v>#REF!</v>
      </c>
      <c r="E1949" t="e">
        <f>#REF!</f>
        <v>#REF!</v>
      </c>
      <c r="F1949" t="e">
        <f>#REF!</f>
        <v>#REF!</v>
      </c>
      <c r="G1949" t="e">
        <f>#REF!</f>
        <v>#REF!</v>
      </c>
      <c r="H1949" t="e">
        <f>#REF!</f>
        <v>#REF!</v>
      </c>
    </row>
    <row r="1950" spans="1:8">
      <c r="A1950" t="e">
        <f>#REF!</f>
        <v>#REF!</v>
      </c>
      <c r="B1950" t="e">
        <f>#REF!</f>
        <v>#REF!</v>
      </c>
      <c r="C1950" t="e">
        <f>#REF!</f>
        <v>#REF!</v>
      </c>
      <c r="D1950" t="e">
        <f>#REF!</f>
        <v>#REF!</v>
      </c>
      <c r="E1950" t="e">
        <f>#REF!</f>
        <v>#REF!</v>
      </c>
      <c r="F1950" t="e">
        <f>#REF!</f>
        <v>#REF!</v>
      </c>
      <c r="G1950" t="e">
        <f>#REF!</f>
        <v>#REF!</v>
      </c>
      <c r="H1950" t="e">
        <f>#REF!</f>
        <v>#REF!</v>
      </c>
    </row>
    <row r="1951" spans="1:8">
      <c r="A1951" t="e">
        <f>#REF!</f>
        <v>#REF!</v>
      </c>
      <c r="B1951" t="e">
        <f>#REF!</f>
        <v>#REF!</v>
      </c>
      <c r="C1951" t="e">
        <f>#REF!</f>
        <v>#REF!</v>
      </c>
      <c r="D1951" t="e">
        <f>#REF!</f>
        <v>#REF!</v>
      </c>
      <c r="E1951" t="e">
        <f>#REF!</f>
        <v>#REF!</v>
      </c>
      <c r="F1951" t="e">
        <f>#REF!</f>
        <v>#REF!</v>
      </c>
      <c r="G1951" t="e">
        <f>#REF!</f>
        <v>#REF!</v>
      </c>
      <c r="H1951" t="e">
        <f>#REF!</f>
        <v>#REF!</v>
      </c>
    </row>
    <row r="1952" spans="1:8">
      <c r="A1952" t="e">
        <f>#REF!</f>
        <v>#REF!</v>
      </c>
      <c r="B1952" t="e">
        <f>#REF!</f>
        <v>#REF!</v>
      </c>
      <c r="C1952" t="e">
        <f>#REF!</f>
        <v>#REF!</v>
      </c>
      <c r="D1952" t="e">
        <f>#REF!</f>
        <v>#REF!</v>
      </c>
      <c r="E1952" t="e">
        <f>#REF!</f>
        <v>#REF!</v>
      </c>
      <c r="F1952" t="e">
        <f>#REF!</f>
        <v>#REF!</v>
      </c>
      <c r="G1952" t="e">
        <f>#REF!</f>
        <v>#REF!</v>
      </c>
      <c r="H1952" t="e">
        <f>#REF!</f>
        <v>#REF!</v>
      </c>
    </row>
    <row r="1953" spans="1:8">
      <c r="A1953" t="e">
        <f>#REF!</f>
        <v>#REF!</v>
      </c>
      <c r="B1953" t="e">
        <f>#REF!</f>
        <v>#REF!</v>
      </c>
      <c r="C1953" t="e">
        <f>#REF!</f>
        <v>#REF!</v>
      </c>
      <c r="D1953" t="e">
        <f>#REF!</f>
        <v>#REF!</v>
      </c>
      <c r="E1953" t="e">
        <f>#REF!</f>
        <v>#REF!</v>
      </c>
      <c r="F1953" t="e">
        <f>#REF!</f>
        <v>#REF!</v>
      </c>
      <c r="G1953" t="e">
        <f>#REF!</f>
        <v>#REF!</v>
      </c>
      <c r="H1953" t="e">
        <f>#REF!</f>
        <v>#REF!</v>
      </c>
    </row>
    <row r="1954" spans="1:8">
      <c r="A1954" t="e">
        <f>#REF!</f>
        <v>#REF!</v>
      </c>
      <c r="B1954" t="e">
        <f>#REF!</f>
        <v>#REF!</v>
      </c>
      <c r="C1954" t="e">
        <f>#REF!</f>
        <v>#REF!</v>
      </c>
      <c r="D1954" t="e">
        <f>#REF!</f>
        <v>#REF!</v>
      </c>
      <c r="E1954" t="e">
        <f>#REF!</f>
        <v>#REF!</v>
      </c>
      <c r="F1954" t="e">
        <f>#REF!</f>
        <v>#REF!</v>
      </c>
      <c r="G1954" t="e">
        <f>#REF!</f>
        <v>#REF!</v>
      </c>
      <c r="H1954" t="e">
        <f>#REF!</f>
        <v>#REF!</v>
      </c>
    </row>
    <row r="1955" spans="1:8">
      <c r="A1955" t="e">
        <f>#REF!</f>
        <v>#REF!</v>
      </c>
      <c r="B1955" t="e">
        <f>#REF!</f>
        <v>#REF!</v>
      </c>
      <c r="C1955" t="e">
        <f>#REF!</f>
        <v>#REF!</v>
      </c>
      <c r="D1955" t="e">
        <f>#REF!</f>
        <v>#REF!</v>
      </c>
      <c r="E1955" t="e">
        <f>#REF!</f>
        <v>#REF!</v>
      </c>
      <c r="F1955" t="e">
        <f>#REF!</f>
        <v>#REF!</v>
      </c>
      <c r="G1955" t="e">
        <f>#REF!</f>
        <v>#REF!</v>
      </c>
      <c r="H1955" t="e">
        <f>#REF!</f>
        <v>#REF!</v>
      </c>
    </row>
    <row r="1956" spans="1:8">
      <c r="A1956" t="e">
        <f>#REF!</f>
        <v>#REF!</v>
      </c>
      <c r="B1956" t="e">
        <f>#REF!</f>
        <v>#REF!</v>
      </c>
      <c r="C1956" t="e">
        <f>#REF!</f>
        <v>#REF!</v>
      </c>
      <c r="D1956" t="e">
        <f>#REF!</f>
        <v>#REF!</v>
      </c>
      <c r="E1956" t="e">
        <f>#REF!</f>
        <v>#REF!</v>
      </c>
      <c r="F1956" t="e">
        <f>#REF!</f>
        <v>#REF!</v>
      </c>
      <c r="G1956" t="e">
        <f>#REF!</f>
        <v>#REF!</v>
      </c>
      <c r="H1956" t="e">
        <f>#REF!</f>
        <v>#REF!</v>
      </c>
    </row>
    <row r="1957" spans="1:8">
      <c r="A1957" t="e">
        <f>#REF!</f>
        <v>#REF!</v>
      </c>
      <c r="B1957" t="e">
        <f>#REF!</f>
        <v>#REF!</v>
      </c>
      <c r="C1957" t="e">
        <f>#REF!</f>
        <v>#REF!</v>
      </c>
      <c r="D1957" t="e">
        <f>#REF!</f>
        <v>#REF!</v>
      </c>
      <c r="E1957" t="e">
        <f>#REF!</f>
        <v>#REF!</v>
      </c>
      <c r="F1957" t="e">
        <f>#REF!</f>
        <v>#REF!</v>
      </c>
      <c r="G1957" t="e">
        <f>#REF!</f>
        <v>#REF!</v>
      </c>
      <c r="H1957" t="e">
        <f>#REF!</f>
        <v>#REF!</v>
      </c>
    </row>
    <row r="1958" spans="1:8">
      <c r="A1958" t="e">
        <f>#REF!</f>
        <v>#REF!</v>
      </c>
      <c r="B1958" t="e">
        <f>#REF!</f>
        <v>#REF!</v>
      </c>
      <c r="C1958" t="e">
        <f>#REF!</f>
        <v>#REF!</v>
      </c>
      <c r="D1958" t="e">
        <f>#REF!</f>
        <v>#REF!</v>
      </c>
      <c r="E1958" t="e">
        <f>#REF!</f>
        <v>#REF!</v>
      </c>
      <c r="F1958" t="e">
        <f>#REF!</f>
        <v>#REF!</v>
      </c>
      <c r="G1958" t="e">
        <f>#REF!</f>
        <v>#REF!</v>
      </c>
      <c r="H1958" t="e">
        <f>#REF!</f>
        <v>#REF!</v>
      </c>
    </row>
    <row r="1959" spans="1:8">
      <c r="A1959" t="e">
        <f>#REF!</f>
        <v>#REF!</v>
      </c>
      <c r="B1959" t="e">
        <f>#REF!</f>
        <v>#REF!</v>
      </c>
      <c r="C1959" t="e">
        <f>#REF!</f>
        <v>#REF!</v>
      </c>
      <c r="D1959" t="e">
        <f>#REF!</f>
        <v>#REF!</v>
      </c>
      <c r="E1959" t="e">
        <f>#REF!</f>
        <v>#REF!</v>
      </c>
      <c r="F1959" t="e">
        <f>#REF!</f>
        <v>#REF!</v>
      </c>
      <c r="G1959" t="e">
        <f>#REF!</f>
        <v>#REF!</v>
      </c>
      <c r="H1959" t="e">
        <f>#REF!</f>
        <v>#REF!</v>
      </c>
    </row>
    <row r="1960" spans="1:8">
      <c r="A1960" t="e">
        <f>#REF!</f>
        <v>#REF!</v>
      </c>
      <c r="B1960" t="e">
        <f>#REF!</f>
        <v>#REF!</v>
      </c>
      <c r="C1960" t="e">
        <f>#REF!</f>
        <v>#REF!</v>
      </c>
      <c r="D1960" t="e">
        <f>#REF!</f>
        <v>#REF!</v>
      </c>
      <c r="E1960" t="e">
        <f>#REF!</f>
        <v>#REF!</v>
      </c>
      <c r="F1960" t="e">
        <f>#REF!</f>
        <v>#REF!</v>
      </c>
      <c r="G1960" t="e">
        <f>#REF!</f>
        <v>#REF!</v>
      </c>
      <c r="H1960" t="e">
        <f>#REF!</f>
        <v>#REF!</v>
      </c>
    </row>
    <row r="1961" spans="1:8">
      <c r="A1961" t="e">
        <f>#REF!</f>
        <v>#REF!</v>
      </c>
      <c r="B1961" t="e">
        <f>#REF!</f>
        <v>#REF!</v>
      </c>
      <c r="C1961" t="e">
        <f>#REF!</f>
        <v>#REF!</v>
      </c>
      <c r="D1961" t="e">
        <f>#REF!</f>
        <v>#REF!</v>
      </c>
      <c r="E1961" t="e">
        <f>#REF!</f>
        <v>#REF!</v>
      </c>
      <c r="F1961" t="e">
        <f>#REF!</f>
        <v>#REF!</v>
      </c>
      <c r="G1961" t="e">
        <f>#REF!</f>
        <v>#REF!</v>
      </c>
      <c r="H1961" t="e">
        <f>#REF!</f>
        <v>#REF!</v>
      </c>
    </row>
    <row r="1962" spans="1:8">
      <c r="A1962" t="e">
        <f>#REF!</f>
        <v>#REF!</v>
      </c>
      <c r="B1962" t="e">
        <f>#REF!</f>
        <v>#REF!</v>
      </c>
      <c r="C1962" t="e">
        <f>#REF!</f>
        <v>#REF!</v>
      </c>
      <c r="D1962" t="e">
        <f>#REF!</f>
        <v>#REF!</v>
      </c>
      <c r="E1962" t="e">
        <f>#REF!</f>
        <v>#REF!</v>
      </c>
      <c r="F1962" t="e">
        <f>#REF!</f>
        <v>#REF!</v>
      </c>
      <c r="G1962" t="e">
        <f>#REF!</f>
        <v>#REF!</v>
      </c>
      <c r="H1962" t="e">
        <f>#REF!</f>
        <v>#REF!</v>
      </c>
    </row>
    <row r="1963" spans="1:8">
      <c r="A1963" t="e">
        <f>#REF!</f>
        <v>#REF!</v>
      </c>
      <c r="B1963" t="e">
        <f>#REF!</f>
        <v>#REF!</v>
      </c>
      <c r="C1963" t="e">
        <f>#REF!</f>
        <v>#REF!</v>
      </c>
      <c r="D1963" t="e">
        <f>#REF!</f>
        <v>#REF!</v>
      </c>
      <c r="E1963" t="e">
        <f>#REF!</f>
        <v>#REF!</v>
      </c>
      <c r="F1963" t="e">
        <f>#REF!</f>
        <v>#REF!</v>
      </c>
      <c r="G1963" t="e">
        <f>#REF!</f>
        <v>#REF!</v>
      </c>
      <c r="H1963" t="e">
        <f>#REF!</f>
        <v>#REF!</v>
      </c>
    </row>
    <row r="1964" spans="1:8">
      <c r="A1964" t="e">
        <f>#REF!</f>
        <v>#REF!</v>
      </c>
      <c r="B1964" t="e">
        <f>#REF!</f>
        <v>#REF!</v>
      </c>
      <c r="C1964" t="e">
        <f>#REF!</f>
        <v>#REF!</v>
      </c>
      <c r="D1964" t="e">
        <f>#REF!</f>
        <v>#REF!</v>
      </c>
      <c r="E1964" t="e">
        <f>#REF!</f>
        <v>#REF!</v>
      </c>
      <c r="F1964" t="e">
        <f>#REF!</f>
        <v>#REF!</v>
      </c>
      <c r="G1964" t="e">
        <f>#REF!</f>
        <v>#REF!</v>
      </c>
      <c r="H1964" t="e">
        <f>#REF!</f>
        <v>#REF!</v>
      </c>
    </row>
    <row r="1965" spans="1:8">
      <c r="A1965" t="e">
        <f>#REF!</f>
        <v>#REF!</v>
      </c>
      <c r="B1965" t="e">
        <f>#REF!</f>
        <v>#REF!</v>
      </c>
      <c r="C1965" t="e">
        <f>#REF!</f>
        <v>#REF!</v>
      </c>
      <c r="D1965" t="e">
        <f>#REF!</f>
        <v>#REF!</v>
      </c>
      <c r="E1965" t="e">
        <f>#REF!</f>
        <v>#REF!</v>
      </c>
      <c r="F1965" t="e">
        <f>#REF!</f>
        <v>#REF!</v>
      </c>
      <c r="G1965" t="e">
        <f>#REF!</f>
        <v>#REF!</v>
      </c>
      <c r="H1965" t="e">
        <f>#REF!</f>
        <v>#REF!</v>
      </c>
    </row>
    <row r="1966" spans="1:8">
      <c r="A1966" t="e">
        <f>#REF!</f>
        <v>#REF!</v>
      </c>
      <c r="B1966" t="e">
        <f>#REF!</f>
        <v>#REF!</v>
      </c>
      <c r="C1966" t="e">
        <f>#REF!</f>
        <v>#REF!</v>
      </c>
      <c r="D1966" t="e">
        <f>#REF!</f>
        <v>#REF!</v>
      </c>
      <c r="E1966" t="e">
        <f>#REF!</f>
        <v>#REF!</v>
      </c>
      <c r="F1966" t="e">
        <f>#REF!</f>
        <v>#REF!</v>
      </c>
      <c r="G1966" t="e">
        <f>#REF!</f>
        <v>#REF!</v>
      </c>
      <c r="H1966" t="e">
        <f>#REF!</f>
        <v>#REF!</v>
      </c>
    </row>
    <row r="1967" spans="1:8">
      <c r="A1967" t="e">
        <f>#REF!</f>
        <v>#REF!</v>
      </c>
      <c r="B1967" t="e">
        <f>#REF!</f>
        <v>#REF!</v>
      </c>
      <c r="C1967" t="e">
        <f>#REF!</f>
        <v>#REF!</v>
      </c>
      <c r="D1967" t="e">
        <f>#REF!</f>
        <v>#REF!</v>
      </c>
      <c r="E1967" t="e">
        <f>#REF!</f>
        <v>#REF!</v>
      </c>
      <c r="F1967" t="e">
        <f>#REF!</f>
        <v>#REF!</v>
      </c>
      <c r="G1967" t="e">
        <f>#REF!</f>
        <v>#REF!</v>
      </c>
      <c r="H1967" t="e">
        <f>#REF!</f>
        <v>#REF!</v>
      </c>
    </row>
    <row r="1968" spans="1:8">
      <c r="A1968" t="e">
        <f>#REF!</f>
        <v>#REF!</v>
      </c>
      <c r="B1968" t="e">
        <f>#REF!</f>
        <v>#REF!</v>
      </c>
      <c r="C1968" t="e">
        <f>#REF!</f>
        <v>#REF!</v>
      </c>
      <c r="D1968" t="e">
        <f>#REF!</f>
        <v>#REF!</v>
      </c>
      <c r="E1968" t="e">
        <f>#REF!</f>
        <v>#REF!</v>
      </c>
      <c r="F1968" t="e">
        <f>#REF!</f>
        <v>#REF!</v>
      </c>
      <c r="G1968" t="e">
        <f>#REF!</f>
        <v>#REF!</v>
      </c>
      <c r="H1968" t="e">
        <f>#REF!</f>
        <v>#REF!</v>
      </c>
    </row>
    <row r="1969" spans="1:8">
      <c r="A1969" t="e">
        <f>#REF!</f>
        <v>#REF!</v>
      </c>
      <c r="B1969" t="e">
        <f>#REF!</f>
        <v>#REF!</v>
      </c>
      <c r="C1969" t="e">
        <f>#REF!</f>
        <v>#REF!</v>
      </c>
      <c r="D1969" t="e">
        <f>#REF!</f>
        <v>#REF!</v>
      </c>
      <c r="E1969" t="e">
        <f>#REF!</f>
        <v>#REF!</v>
      </c>
      <c r="F1969" t="e">
        <f>#REF!</f>
        <v>#REF!</v>
      </c>
      <c r="G1969" t="e">
        <f>#REF!</f>
        <v>#REF!</v>
      </c>
      <c r="H1969" t="e">
        <f>#REF!</f>
        <v>#REF!</v>
      </c>
    </row>
    <row r="1970" spans="1:8">
      <c r="A1970" t="e">
        <f>#REF!</f>
        <v>#REF!</v>
      </c>
      <c r="B1970" t="e">
        <f>#REF!</f>
        <v>#REF!</v>
      </c>
      <c r="C1970" t="e">
        <f>#REF!</f>
        <v>#REF!</v>
      </c>
      <c r="D1970" t="e">
        <f>#REF!</f>
        <v>#REF!</v>
      </c>
      <c r="E1970" t="e">
        <f>#REF!</f>
        <v>#REF!</v>
      </c>
      <c r="F1970" t="e">
        <f>#REF!</f>
        <v>#REF!</v>
      </c>
      <c r="G1970" t="e">
        <f>#REF!</f>
        <v>#REF!</v>
      </c>
      <c r="H1970" t="e">
        <f>#REF!</f>
        <v>#REF!</v>
      </c>
    </row>
    <row r="1971" spans="1:8">
      <c r="A1971" t="e">
        <f>#REF!</f>
        <v>#REF!</v>
      </c>
      <c r="B1971" t="e">
        <f>#REF!</f>
        <v>#REF!</v>
      </c>
      <c r="C1971" t="e">
        <f>#REF!</f>
        <v>#REF!</v>
      </c>
      <c r="D1971" t="e">
        <f>#REF!</f>
        <v>#REF!</v>
      </c>
      <c r="E1971" t="e">
        <f>#REF!</f>
        <v>#REF!</v>
      </c>
      <c r="F1971" t="e">
        <f>#REF!</f>
        <v>#REF!</v>
      </c>
      <c r="G1971" t="e">
        <f>#REF!</f>
        <v>#REF!</v>
      </c>
      <c r="H1971" t="e">
        <f>#REF!</f>
        <v>#REF!</v>
      </c>
    </row>
    <row r="1972" spans="1:8">
      <c r="A1972" t="e">
        <f>#REF!</f>
        <v>#REF!</v>
      </c>
      <c r="B1972" t="e">
        <f>#REF!</f>
        <v>#REF!</v>
      </c>
      <c r="C1972" t="e">
        <f>#REF!</f>
        <v>#REF!</v>
      </c>
      <c r="D1972" t="e">
        <f>#REF!</f>
        <v>#REF!</v>
      </c>
      <c r="E1972" t="e">
        <f>#REF!</f>
        <v>#REF!</v>
      </c>
      <c r="F1972" t="e">
        <f>#REF!</f>
        <v>#REF!</v>
      </c>
      <c r="G1972" t="e">
        <f>#REF!</f>
        <v>#REF!</v>
      </c>
      <c r="H1972" t="e">
        <f>#REF!</f>
        <v>#REF!</v>
      </c>
    </row>
    <row r="1973" spans="1:8">
      <c r="A1973" t="e">
        <f>#REF!</f>
        <v>#REF!</v>
      </c>
      <c r="B1973" t="e">
        <f>#REF!</f>
        <v>#REF!</v>
      </c>
      <c r="C1973" t="e">
        <f>#REF!</f>
        <v>#REF!</v>
      </c>
      <c r="D1973" t="e">
        <f>#REF!</f>
        <v>#REF!</v>
      </c>
      <c r="E1973" t="e">
        <f>#REF!</f>
        <v>#REF!</v>
      </c>
      <c r="F1973" t="e">
        <f>#REF!</f>
        <v>#REF!</v>
      </c>
      <c r="G1973" t="e">
        <f>#REF!</f>
        <v>#REF!</v>
      </c>
      <c r="H1973" t="e">
        <f>#REF!</f>
        <v>#REF!</v>
      </c>
    </row>
    <row r="1974" spans="1:8">
      <c r="A1974" t="e">
        <f>#REF!</f>
        <v>#REF!</v>
      </c>
      <c r="B1974" t="e">
        <f>#REF!</f>
        <v>#REF!</v>
      </c>
      <c r="C1974" t="e">
        <f>#REF!</f>
        <v>#REF!</v>
      </c>
      <c r="D1974" t="e">
        <f>#REF!</f>
        <v>#REF!</v>
      </c>
      <c r="E1974" t="e">
        <f>#REF!</f>
        <v>#REF!</v>
      </c>
      <c r="F1974" t="e">
        <f>#REF!</f>
        <v>#REF!</v>
      </c>
      <c r="G1974" t="e">
        <f>#REF!</f>
        <v>#REF!</v>
      </c>
      <c r="H1974" t="e">
        <f>#REF!</f>
        <v>#REF!</v>
      </c>
    </row>
    <row r="1975" spans="1:8">
      <c r="A1975" t="e">
        <f>#REF!</f>
        <v>#REF!</v>
      </c>
      <c r="B1975" t="e">
        <f>#REF!</f>
        <v>#REF!</v>
      </c>
      <c r="C1975" t="e">
        <f>#REF!</f>
        <v>#REF!</v>
      </c>
      <c r="D1975" t="e">
        <f>#REF!</f>
        <v>#REF!</v>
      </c>
      <c r="E1975" t="e">
        <f>#REF!</f>
        <v>#REF!</v>
      </c>
      <c r="F1975" t="e">
        <f>#REF!</f>
        <v>#REF!</v>
      </c>
      <c r="G1975" t="e">
        <f>#REF!</f>
        <v>#REF!</v>
      </c>
      <c r="H1975" t="e">
        <f>#REF!</f>
        <v>#REF!</v>
      </c>
    </row>
    <row r="1976" spans="1:8">
      <c r="A1976" t="e">
        <f>#REF!</f>
        <v>#REF!</v>
      </c>
      <c r="B1976" t="e">
        <f>#REF!</f>
        <v>#REF!</v>
      </c>
      <c r="C1976" t="e">
        <f>#REF!</f>
        <v>#REF!</v>
      </c>
      <c r="D1976" t="e">
        <f>#REF!</f>
        <v>#REF!</v>
      </c>
      <c r="E1976" t="e">
        <f>#REF!</f>
        <v>#REF!</v>
      </c>
      <c r="F1976" t="e">
        <f>#REF!</f>
        <v>#REF!</v>
      </c>
      <c r="G1976" t="e">
        <f>#REF!</f>
        <v>#REF!</v>
      </c>
      <c r="H1976" t="e">
        <f>#REF!</f>
        <v>#REF!</v>
      </c>
    </row>
    <row r="1977" spans="1:8">
      <c r="A1977" t="e">
        <f>#REF!</f>
        <v>#REF!</v>
      </c>
      <c r="B1977" t="e">
        <f>#REF!</f>
        <v>#REF!</v>
      </c>
      <c r="C1977" t="e">
        <f>#REF!</f>
        <v>#REF!</v>
      </c>
      <c r="D1977" t="e">
        <f>#REF!</f>
        <v>#REF!</v>
      </c>
      <c r="E1977" t="e">
        <f>#REF!</f>
        <v>#REF!</v>
      </c>
      <c r="F1977" t="e">
        <f>#REF!</f>
        <v>#REF!</v>
      </c>
      <c r="G1977" t="e">
        <f>#REF!</f>
        <v>#REF!</v>
      </c>
      <c r="H1977" t="e">
        <f>#REF!</f>
        <v>#REF!</v>
      </c>
    </row>
    <row r="1978" spans="1:8">
      <c r="A1978" t="e">
        <f>#REF!</f>
        <v>#REF!</v>
      </c>
      <c r="B1978" t="e">
        <f>#REF!</f>
        <v>#REF!</v>
      </c>
      <c r="C1978" t="e">
        <f>#REF!</f>
        <v>#REF!</v>
      </c>
      <c r="D1978" t="e">
        <f>#REF!</f>
        <v>#REF!</v>
      </c>
      <c r="E1978" t="e">
        <f>#REF!</f>
        <v>#REF!</v>
      </c>
      <c r="F1978" t="e">
        <f>#REF!</f>
        <v>#REF!</v>
      </c>
      <c r="G1978" t="e">
        <f>#REF!</f>
        <v>#REF!</v>
      </c>
      <c r="H1978" t="e">
        <f>#REF!</f>
        <v>#REF!</v>
      </c>
    </row>
    <row r="1979" spans="1:8">
      <c r="A1979" t="e">
        <f>#REF!</f>
        <v>#REF!</v>
      </c>
      <c r="B1979" t="e">
        <f>#REF!</f>
        <v>#REF!</v>
      </c>
      <c r="C1979" t="e">
        <f>#REF!</f>
        <v>#REF!</v>
      </c>
      <c r="D1979" t="e">
        <f>#REF!</f>
        <v>#REF!</v>
      </c>
      <c r="E1979" t="e">
        <f>#REF!</f>
        <v>#REF!</v>
      </c>
      <c r="F1979" t="e">
        <f>#REF!</f>
        <v>#REF!</v>
      </c>
      <c r="G1979" t="e">
        <f>#REF!</f>
        <v>#REF!</v>
      </c>
      <c r="H1979" t="e">
        <f>#REF!</f>
        <v>#REF!</v>
      </c>
    </row>
    <row r="1980" spans="1:8">
      <c r="A1980" t="e">
        <f>#REF!</f>
        <v>#REF!</v>
      </c>
      <c r="B1980" t="e">
        <f>#REF!</f>
        <v>#REF!</v>
      </c>
      <c r="C1980" t="e">
        <f>#REF!</f>
        <v>#REF!</v>
      </c>
      <c r="D1980" t="e">
        <f>#REF!</f>
        <v>#REF!</v>
      </c>
      <c r="E1980" t="e">
        <f>#REF!</f>
        <v>#REF!</v>
      </c>
      <c r="F1980" t="e">
        <f>#REF!</f>
        <v>#REF!</v>
      </c>
      <c r="G1980" t="e">
        <f>#REF!</f>
        <v>#REF!</v>
      </c>
      <c r="H1980" t="e">
        <f>#REF!</f>
        <v>#REF!</v>
      </c>
    </row>
    <row r="1981" spans="1:8">
      <c r="A1981" t="e">
        <f>#REF!</f>
        <v>#REF!</v>
      </c>
      <c r="B1981" t="e">
        <f>#REF!</f>
        <v>#REF!</v>
      </c>
      <c r="C1981" t="e">
        <f>#REF!</f>
        <v>#REF!</v>
      </c>
      <c r="D1981" t="e">
        <f>#REF!</f>
        <v>#REF!</v>
      </c>
      <c r="E1981" t="e">
        <f>#REF!</f>
        <v>#REF!</v>
      </c>
      <c r="F1981" t="e">
        <f>#REF!</f>
        <v>#REF!</v>
      </c>
      <c r="G1981" t="e">
        <f>#REF!</f>
        <v>#REF!</v>
      </c>
      <c r="H1981" t="e">
        <f>#REF!</f>
        <v>#REF!</v>
      </c>
    </row>
    <row r="1982" spans="1:8">
      <c r="A1982" t="e">
        <f>#REF!</f>
        <v>#REF!</v>
      </c>
      <c r="B1982" t="e">
        <f>#REF!</f>
        <v>#REF!</v>
      </c>
      <c r="C1982" t="e">
        <f>#REF!</f>
        <v>#REF!</v>
      </c>
      <c r="D1982" t="e">
        <f>#REF!</f>
        <v>#REF!</v>
      </c>
      <c r="E1982" t="e">
        <f>#REF!</f>
        <v>#REF!</v>
      </c>
      <c r="F1982" t="e">
        <f>#REF!</f>
        <v>#REF!</v>
      </c>
      <c r="G1982" t="e">
        <f>#REF!</f>
        <v>#REF!</v>
      </c>
      <c r="H1982" t="e">
        <f>#REF!</f>
        <v>#REF!</v>
      </c>
    </row>
    <row r="1983" spans="1:8">
      <c r="A1983" t="e">
        <f>#REF!</f>
        <v>#REF!</v>
      </c>
      <c r="B1983" t="e">
        <f>#REF!</f>
        <v>#REF!</v>
      </c>
      <c r="C1983" t="e">
        <f>#REF!</f>
        <v>#REF!</v>
      </c>
      <c r="D1983" t="e">
        <f>#REF!</f>
        <v>#REF!</v>
      </c>
      <c r="E1983" t="e">
        <f>#REF!</f>
        <v>#REF!</v>
      </c>
      <c r="F1983" t="e">
        <f>#REF!</f>
        <v>#REF!</v>
      </c>
      <c r="G1983" t="e">
        <f>#REF!</f>
        <v>#REF!</v>
      </c>
      <c r="H1983" t="e">
        <f>#REF!</f>
        <v>#REF!</v>
      </c>
    </row>
    <row r="1984" spans="1:8">
      <c r="A1984" t="e">
        <f>#REF!</f>
        <v>#REF!</v>
      </c>
      <c r="B1984" t="e">
        <f>#REF!</f>
        <v>#REF!</v>
      </c>
      <c r="C1984" t="e">
        <f>#REF!</f>
        <v>#REF!</v>
      </c>
      <c r="D1984" t="e">
        <f>#REF!</f>
        <v>#REF!</v>
      </c>
      <c r="E1984" t="e">
        <f>#REF!</f>
        <v>#REF!</v>
      </c>
      <c r="F1984" t="e">
        <f>#REF!</f>
        <v>#REF!</v>
      </c>
      <c r="G1984" t="e">
        <f>#REF!</f>
        <v>#REF!</v>
      </c>
      <c r="H1984" t="e">
        <f>#REF!</f>
        <v>#REF!</v>
      </c>
    </row>
    <row r="1985" spans="1:8">
      <c r="A1985" t="e">
        <f>#REF!</f>
        <v>#REF!</v>
      </c>
      <c r="B1985" t="e">
        <f>#REF!</f>
        <v>#REF!</v>
      </c>
      <c r="C1985" t="e">
        <f>#REF!</f>
        <v>#REF!</v>
      </c>
      <c r="D1985" t="e">
        <f>#REF!</f>
        <v>#REF!</v>
      </c>
      <c r="E1985" t="e">
        <f>#REF!</f>
        <v>#REF!</v>
      </c>
      <c r="F1985" t="e">
        <f>#REF!</f>
        <v>#REF!</v>
      </c>
      <c r="G1985" t="e">
        <f>#REF!</f>
        <v>#REF!</v>
      </c>
      <c r="H1985" t="e">
        <f>#REF!</f>
        <v>#REF!</v>
      </c>
    </row>
    <row r="1986" spans="1:8">
      <c r="A1986" t="e">
        <f>#REF!</f>
        <v>#REF!</v>
      </c>
      <c r="B1986" t="e">
        <f>#REF!</f>
        <v>#REF!</v>
      </c>
      <c r="C1986" t="e">
        <f>#REF!</f>
        <v>#REF!</v>
      </c>
      <c r="D1986" t="e">
        <f>#REF!</f>
        <v>#REF!</v>
      </c>
      <c r="E1986" t="e">
        <f>#REF!</f>
        <v>#REF!</v>
      </c>
      <c r="F1986" t="e">
        <f>#REF!</f>
        <v>#REF!</v>
      </c>
      <c r="G1986" t="e">
        <f>#REF!</f>
        <v>#REF!</v>
      </c>
      <c r="H1986" t="e">
        <f>#REF!</f>
        <v>#REF!</v>
      </c>
    </row>
    <row r="1987" spans="1:8">
      <c r="A1987" t="e">
        <f>#REF!</f>
        <v>#REF!</v>
      </c>
      <c r="B1987" t="e">
        <f>#REF!</f>
        <v>#REF!</v>
      </c>
      <c r="C1987" t="e">
        <f>#REF!</f>
        <v>#REF!</v>
      </c>
      <c r="D1987" t="e">
        <f>#REF!</f>
        <v>#REF!</v>
      </c>
      <c r="E1987" t="e">
        <f>#REF!</f>
        <v>#REF!</v>
      </c>
      <c r="F1987" t="e">
        <f>#REF!</f>
        <v>#REF!</v>
      </c>
      <c r="G1987" t="e">
        <f>#REF!</f>
        <v>#REF!</v>
      </c>
      <c r="H1987" t="e">
        <f>#REF!</f>
        <v>#REF!</v>
      </c>
    </row>
    <row r="1988" spans="1:8">
      <c r="A1988" t="e">
        <f>#REF!</f>
        <v>#REF!</v>
      </c>
      <c r="B1988" t="e">
        <f>#REF!</f>
        <v>#REF!</v>
      </c>
      <c r="C1988" t="e">
        <f>#REF!</f>
        <v>#REF!</v>
      </c>
      <c r="D1988" t="e">
        <f>#REF!</f>
        <v>#REF!</v>
      </c>
      <c r="E1988" t="e">
        <f>#REF!</f>
        <v>#REF!</v>
      </c>
      <c r="F1988" t="e">
        <f>#REF!</f>
        <v>#REF!</v>
      </c>
      <c r="G1988" t="e">
        <f>#REF!</f>
        <v>#REF!</v>
      </c>
      <c r="H1988" t="e">
        <f>#REF!</f>
        <v>#REF!</v>
      </c>
    </row>
    <row r="1989" spans="1:8">
      <c r="A1989" t="e">
        <f>#REF!</f>
        <v>#REF!</v>
      </c>
      <c r="B1989" t="e">
        <f>#REF!</f>
        <v>#REF!</v>
      </c>
      <c r="C1989" t="e">
        <f>#REF!</f>
        <v>#REF!</v>
      </c>
      <c r="D1989" t="e">
        <f>#REF!</f>
        <v>#REF!</v>
      </c>
      <c r="E1989" t="e">
        <f>#REF!</f>
        <v>#REF!</v>
      </c>
      <c r="F1989" t="e">
        <f>#REF!</f>
        <v>#REF!</v>
      </c>
      <c r="G1989" t="e">
        <f>#REF!</f>
        <v>#REF!</v>
      </c>
      <c r="H1989" t="e">
        <f>#REF!</f>
        <v>#REF!</v>
      </c>
    </row>
    <row r="1990" spans="1:8">
      <c r="A1990" t="e">
        <f>#REF!</f>
        <v>#REF!</v>
      </c>
      <c r="B1990" t="e">
        <f>#REF!</f>
        <v>#REF!</v>
      </c>
      <c r="C1990" t="e">
        <f>#REF!</f>
        <v>#REF!</v>
      </c>
      <c r="D1990" t="e">
        <f>#REF!</f>
        <v>#REF!</v>
      </c>
      <c r="E1990" t="e">
        <f>#REF!</f>
        <v>#REF!</v>
      </c>
      <c r="F1990" t="e">
        <f>#REF!</f>
        <v>#REF!</v>
      </c>
      <c r="G1990" t="e">
        <f>#REF!</f>
        <v>#REF!</v>
      </c>
      <c r="H1990" t="e">
        <f>#REF!</f>
        <v>#REF!</v>
      </c>
    </row>
    <row r="1991" spans="1:8">
      <c r="A1991" t="e">
        <f>#REF!</f>
        <v>#REF!</v>
      </c>
      <c r="B1991" t="e">
        <f>#REF!</f>
        <v>#REF!</v>
      </c>
      <c r="C1991" t="e">
        <f>#REF!</f>
        <v>#REF!</v>
      </c>
      <c r="D1991" t="e">
        <f>#REF!</f>
        <v>#REF!</v>
      </c>
      <c r="E1991" t="e">
        <f>#REF!</f>
        <v>#REF!</v>
      </c>
      <c r="F1991" t="e">
        <f>#REF!</f>
        <v>#REF!</v>
      </c>
      <c r="G1991" t="e">
        <f>#REF!</f>
        <v>#REF!</v>
      </c>
      <c r="H1991" t="e">
        <f>#REF!</f>
        <v>#REF!</v>
      </c>
    </row>
    <row r="1992" spans="1:8">
      <c r="A1992" t="e">
        <f>#REF!</f>
        <v>#REF!</v>
      </c>
      <c r="B1992" t="e">
        <f>#REF!</f>
        <v>#REF!</v>
      </c>
      <c r="C1992" t="e">
        <f>#REF!</f>
        <v>#REF!</v>
      </c>
      <c r="D1992" t="e">
        <f>#REF!</f>
        <v>#REF!</v>
      </c>
      <c r="E1992" t="e">
        <f>#REF!</f>
        <v>#REF!</v>
      </c>
      <c r="F1992" t="e">
        <f>#REF!</f>
        <v>#REF!</v>
      </c>
      <c r="G1992" t="e">
        <f>#REF!</f>
        <v>#REF!</v>
      </c>
      <c r="H1992" t="e">
        <f>#REF!</f>
        <v>#REF!</v>
      </c>
    </row>
    <row r="1993" spans="1:8">
      <c r="A1993" t="e">
        <f>#REF!</f>
        <v>#REF!</v>
      </c>
      <c r="B1993" t="e">
        <f>#REF!</f>
        <v>#REF!</v>
      </c>
      <c r="C1993" t="e">
        <f>#REF!</f>
        <v>#REF!</v>
      </c>
      <c r="D1993" t="e">
        <f>#REF!</f>
        <v>#REF!</v>
      </c>
      <c r="E1993" t="e">
        <f>#REF!</f>
        <v>#REF!</v>
      </c>
      <c r="F1993" t="e">
        <f>#REF!</f>
        <v>#REF!</v>
      </c>
      <c r="G1993" t="e">
        <f>#REF!</f>
        <v>#REF!</v>
      </c>
      <c r="H1993" t="e">
        <f>#REF!</f>
        <v>#REF!</v>
      </c>
    </row>
    <row r="1994" spans="1:8">
      <c r="A1994" t="e">
        <f>#REF!</f>
        <v>#REF!</v>
      </c>
      <c r="B1994" t="e">
        <f>#REF!</f>
        <v>#REF!</v>
      </c>
      <c r="C1994" t="e">
        <f>#REF!</f>
        <v>#REF!</v>
      </c>
      <c r="D1994" t="e">
        <f>#REF!</f>
        <v>#REF!</v>
      </c>
      <c r="E1994" t="e">
        <f>#REF!</f>
        <v>#REF!</v>
      </c>
      <c r="F1994" t="e">
        <f>#REF!</f>
        <v>#REF!</v>
      </c>
      <c r="G1994" t="e">
        <f>#REF!</f>
        <v>#REF!</v>
      </c>
      <c r="H1994" t="e">
        <f>#REF!</f>
        <v>#REF!</v>
      </c>
    </row>
    <row r="1995" spans="1:8">
      <c r="A1995" t="e">
        <f>#REF!</f>
        <v>#REF!</v>
      </c>
      <c r="B1995" t="e">
        <f>#REF!</f>
        <v>#REF!</v>
      </c>
      <c r="C1995" t="e">
        <f>#REF!</f>
        <v>#REF!</v>
      </c>
      <c r="D1995" t="e">
        <f>#REF!</f>
        <v>#REF!</v>
      </c>
      <c r="E1995" t="e">
        <f>#REF!</f>
        <v>#REF!</v>
      </c>
      <c r="F1995" t="e">
        <f>#REF!</f>
        <v>#REF!</v>
      </c>
      <c r="G1995" t="e">
        <f>#REF!</f>
        <v>#REF!</v>
      </c>
      <c r="H1995" t="e">
        <f>#REF!</f>
        <v>#REF!</v>
      </c>
    </row>
    <row r="1996" spans="1:8">
      <c r="A1996" t="e">
        <f>#REF!</f>
        <v>#REF!</v>
      </c>
      <c r="B1996" t="e">
        <f>#REF!</f>
        <v>#REF!</v>
      </c>
      <c r="C1996" t="e">
        <f>#REF!</f>
        <v>#REF!</v>
      </c>
      <c r="D1996" t="e">
        <f>#REF!</f>
        <v>#REF!</v>
      </c>
      <c r="E1996" t="e">
        <f>#REF!</f>
        <v>#REF!</v>
      </c>
      <c r="F1996" t="e">
        <f>#REF!</f>
        <v>#REF!</v>
      </c>
      <c r="G1996" t="e">
        <f>#REF!</f>
        <v>#REF!</v>
      </c>
      <c r="H1996" t="e">
        <f>#REF!</f>
        <v>#REF!</v>
      </c>
    </row>
    <row r="1997" spans="1:8">
      <c r="A1997" t="e">
        <f>#REF!</f>
        <v>#REF!</v>
      </c>
      <c r="B1997" t="e">
        <f>#REF!</f>
        <v>#REF!</v>
      </c>
      <c r="C1997" t="e">
        <f>#REF!</f>
        <v>#REF!</v>
      </c>
      <c r="D1997" t="e">
        <f>#REF!</f>
        <v>#REF!</v>
      </c>
      <c r="E1997" t="e">
        <f>#REF!</f>
        <v>#REF!</v>
      </c>
      <c r="F1997" t="e">
        <f>#REF!</f>
        <v>#REF!</v>
      </c>
      <c r="G1997" t="e">
        <f>#REF!</f>
        <v>#REF!</v>
      </c>
      <c r="H1997" t="e">
        <f>#REF!</f>
        <v>#REF!</v>
      </c>
    </row>
    <row r="1998" spans="1:8">
      <c r="A1998" t="e">
        <f>#REF!</f>
        <v>#REF!</v>
      </c>
      <c r="B1998" t="e">
        <f>#REF!</f>
        <v>#REF!</v>
      </c>
      <c r="C1998" t="e">
        <f>#REF!</f>
        <v>#REF!</v>
      </c>
      <c r="D1998" t="e">
        <f>#REF!</f>
        <v>#REF!</v>
      </c>
      <c r="E1998" t="e">
        <f>#REF!</f>
        <v>#REF!</v>
      </c>
      <c r="F1998" t="e">
        <f>#REF!</f>
        <v>#REF!</v>
      </c>
      <c r="G1998" t="e">
        <f>#REF!</f>
        <v>#REF!</v>
      </c>
      <c r="H1998" t="e">
        <f>#REF!</f>
        <v>#REF!</v>
      </c>
    </row>
    <row r="1999" spans="1:8">
      <c r="A1999" t="e">
        <f>#REF!</f>
        <v>#REF!</v>
      </c>
      <c r="B1999" t="e">
        <f>#REF!</f>
        <v>#REF!</v>
      </c>
      <c r="C1999" t="e">
        <f>#REF!</f>
        <v>#REF!</v>
      </c>
      <c r="D1999" t="e">
        <f>#REF!</f>
        <v>#REF!</v>
      </c>
      <c r="E1999" t="e">
        <f>#REF!</f>
        <v>#REF!</v>
      </c>
      <c r="F1999" t="e">
        <f>#REF!</f>
        <v>#REF!</v>
      </c>
      <c r="G1999" t="e">
        <f>#REF!</f>
        <v>#REF!</v>
      </c>
      <c r="H1999" t="e">
        <f>#REF!</f>
        <v>#REF!</v>
      </c>
    </row>
    <row r="2000" spans="1:8">
      <c r="A2000" t="e">
        <f>#REF!</f>
        <v>#REF!</v>
      </c>
      <c r="B2000" t="e">
        <f>#REF!</f>
        <v>#REF!</v>
      </c>
      <c r="C2000" t="e">
        <f>#REF!</f>
        <v>#REF!</v>
      </c>
      <c r="D2000" t="e">
        <f>#REF!</f>
        <v>#REF!</v>
      </c>
      <c r="E2000" t="e">
        <f>#REF!</f>
        <v>#REF!</v>
      </c>
      <c r="F2000" t="e">
        <f>#REF!</f>
        <v>#REF!</v>
      </c>
      <c r="G2000" t="e">
        <f>#REF!</f>
        <v>#REF!</v>
      </c>
      <c r="H2000" t="e">
        <f>#REF!</f>
        <v>#REF!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6"/>
  <sheetViews>
    <sheetView workbookViewId="0">
      <selection activeCell="D11" sqref="D11"/>
    </sheetView>
  </sheetViews>
  <sheetFormatPr defaultRowHeight="15"/>
  <cols>
    <col min="3" max="3" width="142" bestFit="1" customWidth="1"/>
    <col min="4" max="4" width="20.42578125" bestFit="1" customWidth="1"/>
  </cols>
  <sheetData>
    <row r="1" spans="1:7">
      <c r="A1" t="s">
        <v>55</v>
      </c>
      <c r="B1" t="s">
        <v>367</v>
      </c>
      <c r="C1" t="s">
        <v>56</v>
      </c>
      <c r="D1" t="s">
        <v>368</v>
      </c>
      <c r="E1" t="s">
        <v>369</v>
      </c>
      <c r="F1" t="s">
        <v>370</v>
      </c>
      <c r="G1" t="s">
        <v>371</v>
      </c>
    </row>
    <row r="2" spans="1:7">
      <c r="A2" t="s">
        <v>58</v>
      </c>
      <c r="B2" t="s">
        <v>7</v>
      </c>
      <c r="C2" t="s">
        <v>372</v>
      </c>
      <c r="D2" t="s">
        <v>373</v>
      </c>
      <c r="E2" s="5">
        <v>0</v>
      </c>
      <c r="F2" s="5">
        <v>0</v>
      </c>
      <c r="G2" s="5">
        <v>0</v>
      </c>
    </row>
    <row r="3" spans="1:7">
      <c r="A3" t="s">
        <v>60</v>
      </c>
      <c r="B3" t="s">
        <v>7</v>
      </c>
      <c r="C3" t="s">
        <v>61</v>
      </c>
      <c r="D3" t="s">
        <v>373</v>
      </c>
      <c r="E3" s="5">
        <v>0</v>
      </c>
      <c r="F3" s="5">
        <v>0</v>
      </c>
      <c r="G3" s="5">
        <v>0</v>
      </c>
    </row>
    <row r="4" spans="1:7">
      <c r="A4" t="s">
        <v>62</v>
      </c>
      <c r="B4" t="s">
        <v>7</v>
      </c>
      <c r="C4" t="s">
        <v>63</v>
      </c>
      <c r="D4" t="s">
        <v>373</v>
      </c>
      <c r="E4" s="5">
        <v>0</v>
      </c>
      <c r="F4" s="5">
        <v>0</v>
      </c>
      <c r="G4" s="5">
        <v>0</v>
      </c>
    </row>
    <row r="5" spans="1:7">
      <c r="A5" t="s">
        <v>64</v>
      </c>
      <c r="B5" t="s">
        <v>7</v>
      </c>
      <c r="C5" t="s">
        <v>65</v>
      </c>
      <c r="D5" t="s">
        <v>373</v>
      </c>
      <c r="E5" s="5">
        <v>0</v>
      </c>
      <c r="F5" s="5">
        <v>0</v>
      </c>
      <c r="G5" s="5">
        <v>0</v>
      </c>
    </row>
    <row r="6" spans="1:7">
      <c r="A6" t="s">
        <v>66</v>
      </c>
      <c r="B6" t="s">
        <v>11</v>
      </c>
      <c r="C6" t="s">
        <v>67</v>
      </c>
      <c r="D6" t="s">
        <v>374</v>
      </c>
      <c r="E6" s="5">
        <v>0</v>
      </c>
      <c r="F6" s="5">
        <v>0</v>
      </c>
      <c r="G6" s="5">
        <v>0</v>
      </c>
    </row>
    <row r="7" spans="1:7">
      <c r="A7" t="s">
        <v>68</v>
      </c>
      <c r="B7" t="s">
        <v>11</v>
      </c>
      <c r="C7" t="s">
        <v>69</v>
      </c>
      <c r="D7" t="s">
        <v>374</v>
      </c>
      <c r="E7" s="5">
        <v>0</v>
      </c>
      <c r="F7" s="5">
        <v>0</v>
      </c>
      <c r="G7" s="5">
        <v>0</v>
      </c>
    </row>
    <row r="8" spans="1:7">
      <c r="A8" t="s">
        <v>70</v>
      </c>
      <c r="B8" t="s">
        <v>14</v>
      </c>
      <c r="C8" t="s">
        <v>375</v>
      </c>
      <c r="D8" t="s">
        <v>376</v>
      </c>
      <c r="E8" s="5">
        <v>60</v>
      </c>
      <c r="F8" s="5">
        <v>0</v>
      </c>
      <c r="G8" s="5">
        <v>60</v>
      </c>
    </row>
    <row r="9" spans="1:7">
      <c r="A9" t="s">
        <v>72</v>
      </c>
      <c r="B9" t="s">
        <v>14</v>
      </c>
      <c r="C9" t="s">
        <v>73</v>
      </c>
      <c r="D9" t="s">
        <v>376</v>
      </c>
      <c r="E9" s="5">
        <v>60</v>
      </c>
      <c r="F9" s="5">
        <v>0</v>
      </c>
      <c r="G9" s="5">
        <v>60</v>
      </c>
    </row>
    <row r="10" spans="1:7">
      <c r="A10" t="s">
        <v>74</v>
      </c>
      <c r="B10" t="s">
        <v>14</v>
      </c>
      <c r="C10" t="s">
        <v>75</v>
      </c>
      <c r="D10" t="s">
        <v>376</v>
      </c>
      <c r="E10" s="5">
        <v>60</v>
      </c>
      <c r="F10" s="5">
        <v>0</v>
      </c>
      <c r="G10" s="5">
        <v>60</v>
      </c>
    </row>
    <row r="11" spans="1:7">
      <c r="A11" t="s">
        <v>76</v>
      </c>
      <c r="B11" t="s">
        <v>14</v>
      </c>
      <c r="C11" t="s">
        <v>77</v>
      </c>
      <c r="D11" t="s">
        <v>376</v>
      </c>
      <c r="E11" s="5">
        <v>0</v>
      </c>
      <c r="F11" s="5">
        <v>0</v>
      </c>
      <c r="G11" s="5">
        <v>0</v>
      </c>
    </row>
    <row r="12" spans="1:7">
      <c r="A12" t="s">
        <v>78</v>
      </c>
      <c r="B12" t="s">
        <v>14</v>
      </c>
      <c r="C12" t="s">
        <v>79</v>
      </c>
      <c r="D12" t="s">
        <v>376</v>
      </c>
      <c r="E12" s="5">
        <v>30</v>
      </c>
      <c r="F12" s="5">
        <v>0</v>
      </c>
      <c r="G12" s="5">
        <v>30</v>
      </c>
    </row>
    <row r="13" spans="1:7">
      <c r="A13" t="s">
        <v>80</v>
      </c>
      <c r="B13" t="s">
        <v>18</v>
      </c>
      <c r="C13" t="s">
        <v>81</v>
      </c>
      <c r="D13" t="s">
        <v>373</v>
      </c>
      <c r="E13" s="5">
        <v>100</v>
      </c>
      <c r="F13" s="5">
        <v>0</v>
      </c>
      <c r="G13" s="5">
        <v>100</v>
      </c>
    </row>
    <row r="14" spans="1:7">
      <c r="A14" t="s">
        <v>82</v>
      </c>
      <c r="B14" t="s">
        <v>18</v>
      </c>
      <c r="C14" t="s">
        <v>83</v>
      </c>
      <c r="D14" t="s">
        <v>373</v>
      </c>
      <c r="E14" s="5">
        <v>100</v>
      </c>
      <c r="F14" s="5">
        <v>0</v>
      </c>
      <c r="G14" s="5">
        <v>100</v>
      </c>
    </row>
    <row r="15" spans="1:7">
      <c r="A15" t="s">
        <v>84</v>
      </c>
      <c r="B15" t="s">
        <v>18</v>
      </c>
      <c r="C15" t="s">
        <v>85</v>
      </c>
      <c r="D15" t="s">
        <v>373</v>
      </c>
      <c r="E15" s="5">
        <v>100</v>
      </c>
      <c r="F15" s="5">
        <v>0</v>
      </c>
      <c r="G15" s="5">
        <v>100</v>
      </c>
    </row>
    <row r="16" spans="1:7">
      <c r="A16" t="s">
        <v>86</v>
      </c>
      <c r="B16" t="s">
        <v>18</v>
      </c>
      <c r="C16" t="s">
        <v>87</v>
      </c>
      <c r="D16" t="s">
        <v>373</v>
      </c>
      <c r="E16" s="5">
        <v>100</v>
      </c>
      <c r="F16" s="5">
        <v>0</v>
      </c>
      <c r="G16" s="5">
        <v>100</v>
      </c>
    </row>
    <row r="17" spans="1:7">
      <c r="A17" t="s">
        <v>88</v>
      </c>
      <c r="B17" t="s">
        <v>18</v>
      </c>
      <c r="C17" t="s">
        <v>89</v>
      </c>
      <c r="D17" t="s">
        <v>373</v>
      </c>
      <c r="E17" s="5">
        <v>100</v>
      </c>
      <c r="F17" s="5">
        <v>0</v>
      </c>
      <c r="G17" s="5">
        <v>100</v>
      </c>
    </row>
    <row r="18" spans="1:7">
      <c r="A18" t="s">
        <v>90</v>
      </c>
      <c r="B18" t="s">
        <v>18</v>
      </c>
      <c r="C18" t="s">
        <v>91</v>
      </c>
      <c r="D18" t="s">
        <v>373</v>
      </c>
      <c r="E18" s="5">
        <v>100</v>
      </c>
      <c r="F18" s="5">
        <v>0</v>
      </c>
      <c r="G18" s="5">
        <v>100</v>
      </c>
    </row>
    <row r="19" spans="1:7">
      <c r="A19" t="s">
        <v>92</v>
      </c>
      <c r="B19" t="s">
        <v>18</v>
      </c>
      <c r="C19" t="s">
        <v>93</v>
      </c>
      <c r="D19" t="s">
        <v>373</v>
      </c>
      <c r="E19" s="5">
        <v>100</v>
      </c>
      <c r="F19" s="5">
        <v>0</v>
      </c>
      <c r="G19" s="5">
        <v>100</v>
      </c>
    </row>
    <row r="20" spans="1:7">
      <c r="A20" t="s">
        <v>94</v>
      </c>
      <c r="B20" t="s">
        <v>18</v>
      </c>
      <c r="C20" t="s">
        <v>95</v>
      </c>
      <c r="D20" t="s">
        <v>373</v>
      </c>
      <c r="E20" s="5">
        <v>100</v>
      </c>
      <c r="F20" s="5">
        <v>0</v>
      </c>
      <c r="G20" s="5">
        <v>100</v>
      </c>
    </row>
    <row r="21" spans="1:7">
      <c r="A21" t="s">
        <v>96</v>
      </c>
      <c r="B21" t="s">
        <v>18</v>
      </c>
      <c r="C21" t="s">
        <v>97</v>
      </c>
      <c r="D21" t="s">
        <v>373</v>
      </c>
      <c r="E21" s="5">
        <v>100</v>
      </c>
      <c r="F21" s="5">
        <v>0</v>
      </c>
      <c r="G21" s="5">
        <v>100</v>
      </c>
    </row>
    <row r="22" spans="1:7">
      <c r="A22" t="s">
        <v>98</v>
      </c>
      <c r="B22" t="s">
        <v>18</v>
      </c>
      <c r="C22" t="s">
        <v>99</v>
      </c>
      <c r="D22" t="s">
        <v>373</v>
      </c>
      <c r="E22" s="5">
        <v>100</v>
      </c>
      <c r="F22" s="5">
        <v>0</v>
      </c>
      <c r="G22" s="5">
        <v>100</v>
      </c>
    </row>
    <row r="23" spans="1:7">
      <c r="A23" t="s">
        <v>100</v>
      </c>
      <c r="B23" t="s">
        <v>18</v>
      </c>
      <c r="C23" t="s">
        <v>101</v>
      </c>
      <c r="D23" t="s">
        <v>373</v>
      </c>
      <c r="E23" s="5">
        <v>100</v>
      </c>
      <c r="F23" s="5">
        <v>0</v>
      </c>
      <c r="G23" s="5">
        <v>100</v>
      </c>
    </row>
    <row r="24" spans="1:7">
      <c r="A24" t="s">
        <v>102</v>
      </c>
      <c r="B24" t="s">
        <v>18</v>
      </c>
      <c r="C24" t="s">
        <v>103</v>
      </c>
      <c r="D24" t="s">
        <v>373</v>
      </c>
      <c r="E24" s="5">
        <v>100</v>
      </c>
      <c r="F24" s="5">
        <v>0</v>
      </c>
      <c r="G24" s="5">
        <v>100</v>
      </c>
    </row>
    <row r="25" spans="1:7">
      <c r="A25" t="s">
        <v>104</v>
      </c>
      <c r="B25" t="s">
        <v>18</v>
      </c>
      <c r="C25" t="s">
        <v>105</v>
      </c>
      <c r="D25" t="s">
        <v>373</v>
      </c>
      <c r="E25" s="5">
        <v>100</v>
      </c>
      <c r="F25" s="5">
        <v>0</v>
      </c>
      <c r="G25" s="5">
        <v>100</v>
      </c>
    </row>
    <row r="26" spans="1:7">
      <c r="A26" t="s">
        <v>106</v>
      </c>
      <c r="B26" t="s">
        <v>18</v>
      </c>
      <c r="C26" t="s">
        <v>107</v>
      </c>
      <c r="D26" t="s">
        <v>373</v>
      </c>
      <c r="E26" s="5">
        <v>100</v>
      </c>
      <c r="F26" s="5">
        <v>0</v>
      </c>
      <c r="G26" s="5">
        <v>100</v>
      </c>
    </row>
    <row r="27" spans="1:7">
      <c r="A27" t="s">
        <v>108</v>
      </c>
      <c r="B27" t="s">
        <v>18</v>
      </c>
      <c r="C27" t="s">
        <v>109</v>
      </c>
      <c r="D27" t="s">
        <v>373</v>
      </c>
      <c r="E27" s="5">
        <v>100</v>
      </c>
      <c r="F27" s="5">
        <v>0</v>
      </c>
      <c r="G27" s="5">
        <v>100</v>
      </c>
    </row>
    <row r="28" spans="1:7">
      <c r="A28" t="s">
        <v>110</v>
      </c>
      <c r="B28" t="s">
        <v>18</v>
      </c>
      <c r="C28" t="s">
        <v>111</v>
      </c>
      <c r="D28" t="s">
        <v>373</v>
      </c>
      <c r="E28" s="5">
        <v>100</v>
      </c>
      <c r="F28" s="5">
        <v>0</v>
      </c>
      <c r="G28" s="5">
        <v>100</v>
      </c>
    </row>
    <row r="29" spans="1:7">
      <c r="A29" t="s">
        <v>112</v>
      </c>
      <c r="B29" t="s">
        <v>18</v>
      </c>
      <c r="C29" t="s">
        <v>113</v>
      </c>
      <c r="D29" t="s">
        <v>373</v>
      </c>
      <c r="E29" s="5">
        <v>100</v>
      </c>
      <c r="F29" s="5">
        <v>0</v>
      </c>
      <c r="G29" s="5">
        <v>100</v>
      </c>
    </row>
    <row r="30" spans="1:7">
      <c r="A30" t="s">
        <v>114</v>
      </c>
      <c r="B30" t="s">
        <v>18</v>
      </c>
      <c r="C30" t="s">
        <v>115</v>
      </c>
      <c r="D30" t="s">
        <v>373</v>
      </c>
      <c r="E30" s="5">
        <v>100</v>
      </c>
      <c r="F30" s="5">
        <v>0</v>
      </c>
      <c r="G30" s="5">
        <v>100</v>
      </c>
    </row>
    <row r="31" spans="1:7">
      <c r="A31" t="s">
        <v>116</v>
      </c>
      <c r="B31" t="s">
        <v>18</v>
      </c>
      <c r="C31" t="s">
        <v>117</v>
      </c>
      <c r="D31" t="s">
        <v>373</v>
      </c>
      <c r="E31" s="5">
        <v>100</v>
      </c>
      <c r="F31" s="5">
        <v>0</v>
      </c>
      <c r="G31" s="5">
        <v>100</v>
      </c>
    </row>
    <row r="32" spans="1:7">
      <c r="A32" t="s">
        <v>118</v>
      </c>
      <c r="B32" t="s">
        <v>18</v>
      </c>
      <c r="C32" t="s">
        <v>119</v>
      </c>
      <c r="D32" t="s">
        <v>373</v>
      </c>
      <c r="E32" s="5">
        <v>100</v>
      </c>
      <c r="F32" s="5">
        <v>0</v>
      </c>
      <c r="G32" s="5">
        <v>100</v>
      </c>
    </row>
    <row r="33" spans="1:7">
      <c r="A33" t="s">
        <v>120</v>
      </c>
      <c r="B33" t="s">
        <v>18</v>
      </c>
      <c r="C33" t="s">
        <v>121</v>
      </c>
      <c r="D33" t="s">
        <v>373</v>
      </c>
      <c r="E33" s="5">
        <v>100</v>
      </c>
      <c r="F33" s="5">
        <v>0</v>
      </c>
      <c r="G33" s="5">
        <v>100</v>
      </c>
    </row>
    <row r="34" spans="1:7">
      <c r="A34" t="s">
        <v>122</v>
      </c>
      <c r="B34" t="s">
        <v>18</v>
      </c>
      <c r="C34" t="s">
        <v>123</v>
      </c>
      <c r="D34" t="s">
        <v>373</v>
      </c>
      <c r="E34" s="5">
        <v>100</v>
      </c>
      <c r="F34" s="5">
        <v>0</v>
      </c>
      <c r="G34" s="5">
        <v>100</v>
      </c>
    </row>
    <row r="35" spans="1:7">
      <c r="A35" t="s">
        <v>124</v>
      </c>
      <c r="B35" t="s">
        <v>18</v>
      </c>
      <c r="C35" t="s">
        <v>125</v>
      </c>
      <c r="D35" t="s">
        <v>373</v>
      </c>
      <c r="E35" s="5">
        <v>100</v>
      </c>
      <c r="F35" s="5">
        <v>0</v>
      </c>
      <c r="G35" s="5">
        <v>100</v>
      </c>
    </row>
    <row r="36" spans="1:7">
      <c r="A36" t="s">
        <v>126</v>
      </c>
      <c r="B36" t="s">
        <v>18</v>
      </c>
      <c r="C36" t="s">
        <v>127</v>
      </c>
      <c r="D36" t="s">
        <v>373</v>
      </c>
      <c r="E36" s="5">
        <v>100</v>
      </c>
      <c r="F36" s="5">
        <v>0</v>
      </c>
      <c r="G36" s="5">
        <v>100</v>
      </c>
    </row>
    <row r="37" spans="1:7">
      <c r="A37" t="s">
        <v>128</v>
      </c>
      <c r="B37" t="s">
        <v>18</v>
      </c>
      <c r="C37" t="s">
        <v>129</v>
      </c>
      <c r="D37" t="s">
        <v>373</v>
      </c>
      <c r="E37" s="5">
        <v>60</v>
      </c>
      <c r="F37" s="5">
        <v>0</v>
      </c>
      <c r="G37" s="5">
        <v>100</v>
      </c>
    </row>
    <row r="38" spans="1:7">
      <c r="A38" t="s">
        <v>130</v>
      </c>
      <c r="B38" t="s">
        <v>18</v>
      </c>
      <c r="C38" t="s">
        <v>131</v>
      </c>
      <c r="D38" t="s">
        <v>373</v>
      </c>
      <c r="E38" s="5">
        <v>80</v>
      </c>
      <c r="F38" s="5">
        <v>0</v>
      </c>
      <c r="G38" s="5">
        <v>80</v>
      </c>
    </row>
    <row r="39" spans="1:7">
      <c r="A39" t="s">
        <v>132</v>
      </c>
      <c r="B39" t="s">
        <v>18</v>
      </c>
      <c r="C39" t="s">
        <v>133</v>
      </c>
      <c r="D39" t="s">
        <v>373</v>
      </c>
      <c r="E39" s="5">
        <v>70</v>
      </c>
      <c r="F39" s="5">
        <v>0</v>
      </c>
      <c r="G39" s="5">
        <v>70</v>
      </c>
    </row>
    <row r="40" spans="1:7">
      <c r="A40" t="s">
        <v>134</v>
      </c>
      <c r="B40" t="s">
        <v>18</v>
      </c>
      <c r="C40" t="s">
        <v>135</v>
      </c>
      <c r="D40" t="s">
        <v>373</v>
      </c>
      <c r="E40" s="5">
        <v>60</v>
      </c>
      <c r="F40" s="5">
        <v>0</v>
      </c>
      <c r="G40" s="5">
        <v>60</v>
      </c>
    </row>
    <row r="41" spans="1:7">
      <c r="A41" t="s">
        <v>136</v>
      </c>
      <c r="B41" t="s">
        <v>18</v>
      </c>
      <c r="C41" t="s">
        <v>137</v>
      </c>
      <c r="D41" t="s">
        <v>373</v>
      </c>
      <c r="E41" s="5">
        <v>60</v>
      </c>
      <c r="F41" s="5">
        <v>0</v>
      </c>
      <c r="G41" s="5">
        <v>60</v>
      </c>
    </row>
    <row r="42" spans="1:7">
      <c r="A42" t="s">
        <v>138</v>
      </c>
      <c r="B42" t="s">
        <v>18</v>
      </c>
      <c r="C42" t="s">
        <v>139</v>
      </c>
      <c r="D42" t="s">
        <v>373</v>
      </c>
      <c r="E42" s="5">
        <v>60</v>
      </c>
      <c r="F42" s="5">
        <v>0</v>
      </c>
      <c r="G42" s="5">
        <v>60</v>
      </c>
    </row>
    <row r="43" spans="1:7">
      <c r="A43" t="s">
        <v>140</v>
      </c>
      <c r="B43" t="s">
        <v>18</v>
      </c>
      <c r="C43" t="s">
        <v>141</v>
      </c>
      <c r="D43" t="s">
        <v>373</v>
      </c>
      <c r="E43" s="5">
        <v>60</v>
      </c>
      <c r="F43" s="5">
        <v>0</v>
      </c>
      <c r="G43" s="5">
        <v>60</v>
      </c>
    </row>
    <row r="44" spans="1:7">
      <c r="A44" t="s">
        <v>142</v>
      </c>
      <c r="B44" t="s">
        <v>18</v>
      </c>
      <c r="C44" t="s">
        <v>143</v>
      </c>
      <c r="D44" t="s">
        <v>373</v>
      </c>
      <c r="E44" s="5">
        <v>60</v>
      </c>
      <c r="F44" s="5">
        <v>0</v>
      </c>
      <c r="G44" s="5">
        <v>60</v>
      </c>
    </row>
    <row r="45" spans="1:7">
      <c r="A45" t="s">
        <v>144</v>
      </c>
      <c r="B45" t="s">
        <v>18</v>
      </c>
      <c r="C45" t="s">
        <v>145</v>
      </c>
      <c r="D45" t="s">
        <v>373</v>
      </c>
      <c r="E45" s="5">
        <v>60</v>
      </c>
      <c r="F45" s="5">
        <v>0</v>
      </c>
      <c r="G45" s="5">
        <v>60</v>
      </c>
    </row>
    <row r="46" spans="1:7">
      <c r="A46" t="s">
        <v>146</v>
      </c>
      <c r="B46" t="s">
        <v>18</v>
      </c>
      <c r="C46" t="s">
        <v>147</v>
      </c>
      <c r="D46" t="s">
        <v>373</v>
      </c>
      <c r="E46" s="5">
        <v>60</v>
      </c>
      <c r="F46" s="5">
        <v>0</v>
      </c>
      <c r="G46" s="5">
        <v>60</v>
      </c>
    </row>
    <row r="47" spans="1:7">
      <c r="A47" t="s">
        <v>148</v>
      </c>
      <c r="B47" t="s">
        <v>18</v>
      </c>
      <c r="C47" t="s">
        <v>149</v>
      </c>
      <c r="D47" t="s">
        <v>373</v>
      </c>
      <c r="E47" s="5">
        <v>60</v>
      </c>
      <c r="F47" s="5">
        <v>0</v>
      </c>
      <c r="G47" s="5">
        <v>60</v>
      </c>
    </row>
    <row r="48" spans="1:7">
      <c r="A48" t="s">
        <v>150</v>
      </c>
      <c r="B48" t="s">
        <v>18</v>
      </c>
      <c r="C48" t="s">
        <v>151</v>
      </c>
      <c r="D48" t="s">
        <v>373</v>
      </c>
      <c r="E48" s="5">
        <v>60</v>
      </c>
      <c r="F48" s="5">
        <v>0</v>
      </c>
      <c r="G48" s="5">
        <v>60</v>
      </c>
    </row>
    <row r="49" spans="1:7">
      <c r="A49" t="s">
        <v>152</v>
      </c>
      <c r="B49" t="s">
        <v>18</v>
      </c>
      <c r="C49" t="s">
        <v>153</v>
      </c>
      <c r="D49" t="s">
        <v>373</v>
      </c>
      <c r="E49" s="5">
        <v>60</v>
      </c>
      <c r="F49" s="5">
        <v>0</v>
      </c>
      <c r="G49" s="5">
        <v>60</v>
      </c>
    </row>
    <row r="50" spans="1:7">
      <c r="A50" t="s">
        <v>154</v>
      </c>
      <c r="B50" t="s">
        <v>18</v>
      </c>
      <c r="C50" t="s">
        <v>155</v>
      </c>
      <c r="D50" t="s">
        <v>373</v>
      </c>
      <c r="E50" s="5">
        <v>60</v>
      </c>
      <c r="F50" s="5">
        <v>0</v>
      </c>
      <c r="G50" s="5">
        <v>60</v>
      </c>
    </row>
    <row r="51" spans="1:7">
      <c r="A51" t="s">
        <v>156</v>
      </c>
      <c r="B51" t="s">
        <v>18</v>
      </c>
      <c r="C51" t="s">
        <v>157</v>
      </c>
      <c r="D51" t="s">
        <v>373</v>
      </c>
      <c r="E51" s="5">
        <v>60</v>
      </c>
      <c r="F51" s="5">
        <v>0</v>
      </c>
      <c r="G51" s="5">
        <v>60</v>
      </c>
    </row>
    <row r="52" spans="1:7">
      <c r="A52" t="s">
        <v>158</v>
      </c>
      <c r="B52" t="s">
        <v>18</v>
      </c>
      <c r="C52" t="s">
        <v>159</v>
      </c>
      <c r="D52" t="s">
        <v>373</v>
      </c>
      <c r="E52" s="5">
        <v>60</v>
      </c>
      <c r="F52" s="5">
        <v>0</v>
      </c>
      <c r="G52" s="5">
        <v>60</v>
      </c>
    </row>
    <row r="53" spans="1:7">
      <c r="A53" t="s">
        <v>160</v>
      </c>
      <c r="B53" t="s">
        <v>18</v>
      </c>
      <c r="C53" t="s">
        <v>161</v>
      </c>
      <c r="D53" t="s">
        <v>373</v>
      </c>
      <c r="E53" s="5">
        <v>60</v>
      </c>
      <c r="F53" s="5">
        <v>0</v>
      </c>
      <c r="G53" s="5">
        <v>60</v>
      </c>
    </row>
    <row r="54" spans="1:7">
      <c r="A54" t="s">
        <v>162</v>
      </c>
      <c r="B54" t="s">
        <v>18</v>
      </c>
      <c r="C54" t="s">
        <v>163</v>
      </c>
      <c r="D54" t="s">
        <v>373</v>
      </c>
      <c r="E54" s="5">
        <v>60</v>
      </c>
      <c r="F54" s="5">
        <v>0</v>
      </c>
      <c r="G54" s="5">
        <v>60</v>
      </c>
    </row>
    <row r="55" spans="1:7">
      <c r="A55" t="s">
        <v>164</v>
      </c>
      <c r="B55" t="s">
        <v>18</v>
      </c>
      <c r="C55" t="s">
        <v>165</v>
      </c>
      <c r="D55" t="s">
        <v>373</v>
      </c>
      <c r="E55" s="5">
        <v>60</v>
      </c>
      <c r="F55" s="5">
        <v>0</v>
      </c>
      <c r="G55" s="5">
        <v>60</v>
      </c>
    </row>
    <row r="56" spans="1:7">
      <c r="A56" t="s">
        <v>166</v>
      </c>
      <c r="B56" t="s">
        <v>18</v>
      </c>
      <c r="C56" t="s">
        <v>167</v>
      </c>
      <c r="D56" t="s">
        <v>373</v>
      </c>
      <c r="E56" s="5">
        <v>60</v>
      </c>
      <c r="F56" s="5">
        <v>0</v>
      </c>
      <c r="G56" s="5">
        <v>60</v>
      </c>
    </row>
    <row r="57" spans="1:7">
      <c r="A57" t="s">
        <v>168</v>
      </c>
      <c r="B57" t="s">
        <v>18</v>
      </c>
      <c r="C57" t="s">
        <v>169</v>
      </c>
      <c r="D57" t="s">
        <v>373</v>
      </c>
      <c r="E57" s="5">
        <v>60</v>
      </c>
      <c r="F57" s="5">
        <v>0</v>
      </c>
      <c r="G57" s="5">
        <v>60</v>
      </c>
    </row>
    <row r="58" spans="1:7">
      <c r="A58" t="s">
        <v>170</v>
      </c>
      <c r="B58" t="s">
        <v>18</v>
      </c>
      <c r="C58" t="s">
        <v>171</v>
      </c>
      <c r="D58" t="s">
        <v>373</v>
      </c>
      <c r="E58" s="5">
        <v>50</v>
      </c>
      <c r="F58" s="5">
        <v>0</v>
      </c>
      <c r="G58" s="5">
        <v>50</v>
      </c>
    </row>
    <row r="59" spans="1:7">
      <c r="A59" t="s">
        <v>172</v>
      </c>
      <c r="B59" t="s">
        <v>18</v>
      </c>
      <c r="C59" t="s">
        <v>173</v>
      </c>
      <c r="D59" t="s">
        <v>373</v>
      </c>
      <c r="E59" s="5">
        <v>40</v>
      </c>
      <c r="F59" s="5">
        <v>0</v>
      </c>
      <c r="G59" s="5">
        <v>40</v>
      </c>
    </row>
    <row r="60" spans="1:7">
      <c r="A60" t="s">
        <v>174</v>
      </c>
      <c r="B60" t="s">
        <v>18</v>
      </c>
      <c r="C60" t="s">
        <v>175</v>
      </c>
      <c r="D60" t="s">
        <v>373</v>
      </c>
      <c r="E60" s="5">
        <v>40</v>
      </c>
      <c r="F60" s="5">
        <v>0</v>
      </c>
      <c r="G60" s="5">
        <v>40</v>
      </c>
    </row>
    <row r="61" spans="1:7">
      <c r="A61" t="s">
        <v>176</v>
      </c>
      <c r="B61" t="s">
        <v>18</v>
      </c>
      <c r="C61" t="s">
        <v>177</v>
      </c>
      <c r="D61" t="s">
        <v>373</v>
      </c>
      <c r="E61" s="5">
        <v>40</v>
      </c>
      <c r="F61" s="5">
        <v>0</v>
      </c>
      <c r="G61" s="5">
        <v>40</v>
      </c>
    </row>
    <row r="62" spans="1:7">
      <c r="A62" t="s">
        <v>178</v>
      </c>
      <c r="B62" t="s">
        <v>18</v>
      </c>
      <c r="C62" t="s">
        <v>179</v>
      </c>
      <c r="D62" t="s">
        <v>373</v>
      </c>
      <c r="E62" s="5">
        <v>40</v>
      </c>
      <c r="F62" s="5">
        <v>0</v>
      </c>
      <c r="G62" s="5">
        <v>40</v>
      </c>
    </row>
    <row r="63" spans="1:7">
      <c r="A63" t="s">
        <v>180</v>
      </c>
      <c r="B63" t="s">
        <v>18</v>
      </c>
      <c r="C63" t="s">
        <v>181</v>
      </c>
      <c r="D63" t="s">
        <v>373</v>
      </c>
      <c r="E63" s="5">
        <v>40</v>
      </c>
      <c r="F63" s="5">
        <v>0</v>
      </c>
      <c r="G63" s="5">
        <v>40</v>
      </c>
    </row>
    <row r="64" spans="1:7">
      <c r="A64" t="s">
        <v>182</v>
      </c>
      <c r="B64" t="s">
        <v>18</v>
      </c>
      <c r="C64" t="s">
        <v>183</v>
      </c>
      <c r="D64" t="s">
        <v>373</v>
      </c>
      <c r="E64" s="5">
        <v>30</v>
      </c>
      <c r="F64" s="5">
        <v>0</v>
      </c>
      <c r="G64" s="5">
        <v>30</v>
      </c>
    </row>
    <row r="65" spans="1:7">
      <c r="A65" t="s">
        <v>184</v>
      </c>
      <c r="B65" t="s">
        <v>20</v>
      </c>
      <c r="C65" t="s">
        <v>185</v>
      </c>
      <c r="D65" t="s">
        <v>377</v>
      </c>
      <c r="E65" s="5">
        <v>0</v>
      </c>
      <c r="F65" s="5">
        <v>0</v>
      </c>
      <c r="G65" s="5">
        <v>0</v>
      </c>
    </row>
    <row r="66" spans="1:7">
      <c r="A66" t="s">
        <v>186</v>
      </c>
      <c r="B66" t="s">
        <v>20</v>
      </c>
      <c r="C66" t="s">
        <v>185</v>
      </c>
      <c r="D66" t="s">
        <v>377</v>
      </c>
      <c r="E66" s="5">
        <v>0</v>
      </c>
      <c r="F66" s="5">
        <v>0</v>
      </c>
      <c r="G66" s="5">
        <v>0</v>
      </c>
    </row>
    <row r="67" spans="1:7">
      <c r="A67" t="s">
        <v>187</v>
      </c>
      <c r="B67" t="s">
        <v>20</v>
      </c>
      <c r="C67" t="s">
        <v>188</v>
      </c>
      <c r="D67" t="s">
        <v>377</v>
      </c>
      <c r="E67" s="5">
        <v>0</v>
      </c>
      <c r="F67" s="5">
        <v>0</v>
      </c>
      <c r="G67" s="5">
        <v>0</v>
      </c>
    </row>
    <row r="68" spans="1:7">
      <c r="A68" t="s">
        <v>189</v>
      </c>
      <c r="B68" t="s">
        <v>23</v>
      </c>
      <c r="C68" t="s">
        <v>190</v>
      </c>
      <c r="D68" t="s">
        <v>377</v>
      </c>
      <c r="E68" s="5">
        <v>0</v>
      </c>
      <c r="F68" s="5">
        <v>0</v>
      </c>
      <c r="G68" s="5">
        <v>0</v>
      </c>
    </row>
    <row r="69" spans="1:7">
      <c r="A69" t="s">
        <v>191</v>
      </c>
      <c r="B69" t="s">
        <v>25</v>
      </c>
      <c r="C69" t="s">
        <v>192</v>
      </c>
      <c r="D69" t="s">
        <v>373</v>
      </c>
      <c r="E69" s="5">
        <v>0</v>
      </c>
      <c r="F69" s="5">
        <v>0</v>
      </c>
      <c r="G69" s="5">
        <v>0</v>
      </c>
    </row>
    <row r="70" spans="1:7">
      <c r="A70" t="s">
        <v>193</v>
      </c>
      <c r="B70" t="s">
        <v>28</v>
      </c>
      <c r="C70" t="s">
        <v>194</v>
      </c>
      <c r="D70" t="s">
        <v>373</v>
      </c>
      <c r="E70" s="5">
        <v>0</v>
      </c>
      <c r="F70" s="5">
        <v>0</v>
      </c>
      <c r="G70" s="5">
        <v>0</v>
      </c>
    </row>
    <row r="71" spans="1:7">
      <c r="A71" t="s">
        <v>195</v>
      </c>
      <c r="B71" t="s">
        <v>31</v>
      </c>
      <c r="C71" t="s">
        <v>196</v>
      </c>
      <c r="D71" t="s">
        <v>378</v>
      </c>
      <c r="E71" s="5">
        <v>0</v>
      </c>
      <c r="F71" s="5">
        <v>0</v>
      </c>
      <c r="G71" s="5">
        <v>0</v>
      </c>
    </row>
    <row r="72" spans="1:7">
      <c r="A72" t="s">
        <v>197</v>
      </c>
      <c r="B72" t="s">
        <v>31</v>
      </c>
      <c r="C72" t="s">
        <v>198</v>
      </c>
      <c r="D72" t="s">
        <v>378</v>
      </c>
      <c r="E72" s="5">
        <v>0</v>
      </c>
      <c r="F72" s="5">
        <v>0</v>
      </c>
      <c r="G72" s="5">
        <v>0</v>
      </c>
    </row>
    <row r="73" spans="1:7">
      <c r="A73" t="s">
        <v>199</v>
      </c>
      <c r="B73" t="s">
        <v>31</v>
      </c>
      <c r="C73" t="s">
        <v>200</v>
      </c>
      <c r="D73" t="s">
        <v>378</v>
      </c>
      <c r="E73" s="5">
        <v>0</v>
      </c>
      <c r="F73" s="5">
        <v>0</v>
      </c>
      <c r="G73" s="5">
        <v>0</v>
      </c>
    </row>
    <row r="74" spans="1:7">
      <c r="A74" t="s">
        <v>201</v>
      </c>
      <c r="B74" t="s">
        <v>31</v>
      </c>
      <c r="C74" t="s">
        <v>202</v>
      </c>
      <c r="D74" t="s">
        <v>378</v>
      </c>
      <c r="E74" s="5">
        <v>0</v>
      </c>
      <c r="F74" s="5">
        <v>0</v>
      </c>
      <c r="G74" s="5">
        <v>0</v>
      </c>
    </row>
    <row r="75" spans="1:7">
      <c r="A75" t="s">
        <v>203</v>
      </c>
      <c r="B75" t="s">
        <v>31</v>
      </c>
      <c r="C75" t="s">
        <v>204</v>
      </c>
      <c r="D75" t="s">
        <v>378</v>
      </c>
      <c r="E75" s="5">
        <v>0</v>
      </c>
      <c r="F75" s="5">
        <v>0</v>
      </c>
      <c r="G75" s="5">
        <v>0</v>
      </c>
    </row>
    <row r="76" spans="1:7">
      <c r="A76" t="s">
        <v>205</v>
      </c>
      <c r="B76" t="s">
        <v>31</v>
      </c>
      <c r="C76" t="s">
        <v>206</v>
      </c>
      <c r="D76" t="s">
        <v>378</v>
      </c>
      <c r="E76" s="5">
        <v>0</v>
      </c>
      <c r="F76" s="5">
        <v>0</v>
      </c>
      <c r="G76" s="5">
        <v>0</v>
      </c>
    </row>
    <row r="77" spans="1:7">
      <c r="A77" t="s">
        <v>207</v>
      </c>
      <c r="B77" t="s">
        <v>31</v>
      </c>
      <c r="C77" t="s">
        <v>208</v>
      </c>
      <c r="D77" t="s">
        <v>378</v>
      </c>
      <c r="E77" s="5">
        <v>0</v>
      </c>
      <c r="F77" s="5">
        <v>0</v>
      </c>
      <c r="G77" s="5">
        <v>0</v>
      </c>
    </row>
    <row r="78" spans="1:7">
      <c r="A78" t="s">
        <v>209</v>
      </c>
      <c r="B78" t="s">
        <v>31</v>
      </c>
      <c r="C78" t="s">
        <v>210</v>
      </c>
      <c r="D78" t="s">
        <v>378</v>
      </c>
      <c r="E78" s="5">
        <v>0</v>
      </c>
      <c r="F78" s="5">
        <v>0</v>
      </c>
      <c r="G78" s="5">
        <v>0</v>
      </c>
    </row>
    <row r="79" spans="1:7">
      <c r="A79" t="s">
        <v>211</v>
      </c>
      <c r="B79" t="s">
        <v>31</v>
      </c>
      <c r="C79" t="s">
        <v>212</v>
      </c>
      <c r="D79" t="s">
        <v>378</v>
      </c>
      <c r="E79" s="5">
        <v>0</v>
      </c>
      <c r="F79" s="5">
        <v>0</v>
      </c>
      <c r="G79" s="5">
        <v>0</v>
      </c>
    </row>
    <row r="80" spans="1:7">
      <c r="A80" t="s">
        <v>213</v>
      </c>
      <c r="B80" t="s">
        <v>31</v>
      </c>
      <c r="C80" t="s">
        <v>214</v>
      </c>
      <c r="D80" t="s">
        <v>378</v>
      </c>
      <c r="E80" s="5">
        <v>0</v>
      </c>
      <c r="F80" s="5">
        <v>0</v>
      </c>
      <c r="G80" s="5">
        <v>0</v>
      </c>
    </row>
    <row r="81" spans="1:7">
      <c r="A81" t="s">
        <v>215</v>
      </c>
      <c r="B81" t="s">
        <v>31</v>
      </c>
      <c r="C81" t="s">
        <v>216</v>
      </c>
      <c r="D81" t="s">
        <v>378</v>
      </c>
      <c r="E81" s="5">
        <v>0</v>
      </c>
      <c r="F81" s="5">
        <v>0</v>
      </c>
      <c r="G81" s="5">
        <v>0</v>
      </c>
    </row>
    <row r="82" spans="1:7">
      <c r="A82" t="s">
        <v>217</v>
      </c>
      <c r="B82" t="s">
        <v>31</v>
      </c>
      <c r="C82" t="s">
        <v>218</v>
      </c>
      <c r="D82" t="s">
        <v>378</v>
      </c>
      <c r="E82" s="5">
        <v>0</v>
      </c>
      <c r="F82" s="5">
        <v>0</v>
      </c>
      <c r="G82" s="5">
        <v>0</v>
      </c>
    </row>
    <row r="83" spans="1:7">
      <c r="A83" t="s">
        <v>219</v>
      </c>
      <c r="B83" t="s">
        <v>31</v>
      </c>
      <c r="C83" t="s">
        <v>220</v>
      </c>
      <c r="D83" t="s">
        <v>378</v>
      </c>
      <c r="E83" s="5">
        <v>0</v>
      </c>
      <c r="F83" s="5">
        <v>0</v>
      </c>
      <c r="G83" s="5">
        <v>0</v>
      </c>
    </row>
    <row r="84" spans="1:7">
      <c r="A84" t="s">
        <v>221</v>
      </c>
      <c r="B84" t="s">
        <v>31</v>
      </c>
      <c r="C84" t="s">
        <v>222</v>
      </c>
      <c r="D84" t="s">
        <v>378</v>
      </c>
      <c r="E84" s="5">
        <v>0</v>
      </c>
      <c r="F84" s="5">
        <v>0</v>
      </c>
      <c r="G84" s="5">
        <v>0</v>
      </c>
    </row>
    <row r="85" spans="1:7">
      <c r="A85" t="s">
        <v>223</v>
      </c>
      <c r="B85" t="s">
        <v>31</v>
      </c>
      <c r="C85" t="s">
        <v>224</v>
      </c>
      <c r="D85" t="s">
        <v>378</v>
      </c>
      <c r="E85" s="5">
        <v>0</v>
      </c>
      <c r="F85" s="5">
        <v>0</v>
      </c>
      <c r="G85" s="5">
        <v>0</v>
      </c>
    </row>
    <row r="86" spans="1:7">
      <c r="A86" t="s">
        <v>225</v>
      </c>
      <c r="B86" t="s">
        <v>31</v>
      </c>
      <c r="C86" t="s">
        <v>226</v>
      </c>
      <c r="D86" t="s">
        <v>378</v>
      </c>
      <c r="E86" s="5">
        <v>0</v>
      </c>
      <c r="F86" s="5">
        <v>0</v>
      </c>
      <c r="G86" s="5">
        <v>0</v>
      </c>
    </row>
    <row r="87" spans="1:7">
      <c r="A87" t="s">
        <v>227</v>
      </c>
      <c r="B87" t="s">
        <v>31</v>
      </c>
      <c r="C87" t="s">
        <v>228</v>
      </c>
      <c r="D87" t="s">
        <v>378</v>
      </c>
      <c r="E87" s="5">
        <v>0</v>
      </c>
      <c r="F87" s="5">
        <v>0</v>
      </c>
      <c r="G87" s="5">
        <v>0</v>
      </c>
    </row>
    <row r="88" spans="1:7">
      <c r="A88" t="s">
        <v>229</v>
      </c>
      <c r="B88" t="s">
        <v>31</v>
      </c>
      <c r="C88" t="s">
        <v>230</v>
      </c>
      <c r="D88" t="s">
        <v>378</v>
      </c>
      <c r="E88" s="5">
        <v>0</v>
      </c>
      <c r="F88" s="5">
        <v>0</v>
      </c>
      <c r="G88" s="5">
        <v>0</v>
      </c>
    </row>
    <row r="89" spans="1:7">
      <c r="A89" t="s">
        <v>231</v>
      </c>
      <c r="B89" t="s">
        <v>31</v>
      </c>
      <c r="C89" t="s">
        <v>232</v>
      </c>
      <c r="D89" t="s">
        <v>378</v>
      </c>
      <c r="E89" s="5">
        <v>0</v>
      </c>
      <c r="F89" s="5">
        <v>0</v>
      </c>
      <c r="G89" s="5">
        <v>0</v>
      </c>
    </row>
    <row r="90" spans="1:7">
      <c r="A90" t="s">
        <v>233</v>
      </c>
      <c r="B90" t="s">
        <v>31</v>
      </c>
      <c r="C90" t="s">
        <v>234</v>
      </c>
      <c r="D90" t="s">
        <v>378</v>
      </c>
      <c r="E90" s="5">
        <v>0</v>
      </c>
      <c r="F90" s="5">
        <v>0</v>
      </c>
      <c r="G90" s="5">
        <v>0</v>
      </c>
    </row>
    <row r="91" spans="1:7">
      <c r="A91" t="s">
        <v>235</v>
      </c>
      <c r="B91" t="s">
        <v>31</v>
      </c>
      <c r="C91" t="s">
        <v>236</v>
      </c>
      <c r="D91" t="s">
        <v>378</v>
      </c>
      <c r="E91" s="5">
        <v>0</v>
      </c>
      <c r="F91" s="5">
        <v>0</v>
      </c>
      <c r="G91" s="5">
        <v>0</v>
      </c>
    </row>
    <row r="92" spans="1:7">
      <c r="A92" t="s">
        <v>237</v>
      </c>
      <c r="B92" t="s">
        <v>31</v>
      </c>
      <c r="C92" t="s">
        <v>238</v>
      </c>
      <c r="D92" t="s">
        <v>378</v>
      </c>
      <c r="E92" s="5">
        <v>0</v>
      </c>
      <c r="F92" s="5">
        <v>0</v>
      </c>
      <c r="G92" s="5">
        <v>0</v>
      </c>
    </row>
    <row r="93" spans="1:7">
      <c r="A93" t="s">
        <v>239</v>
      </c>
      <c r="B93" t="s">
        <v>31</v>
      </c>
      <c r="C93" t="s">
        <v>240</v>
      </c>
      <c r="D93" t="s">
        <v>378</v>
      </c>
      <c r="E93" s="5">
        <v>0</v>
      </c>
      <c r="F93" s="5">
        <v>0</v>
      </c>
      <c r="G93" s="5">
        <v>0</v>
      </c>
    </row>
    <row r="94" spans="1:7">
      <c r="A94" t="s">
        <v>241</v>
      </c>
      <c r="B94" t="s">
        <v>31</v>
      </c>
      <c r="C94" t="s">
        <v>242</v>
      </c>
      <c r="D94" t="s">
        <v>378</v>
      </c>
      <c r="E94" s="5">
        <v>0</v>
      </c>
      <c r="F94" s="5">
        <v>0</v>
      </c>
      <c r="G94" s="5">
        <v>0</v>
      </c>
    </row>
    <row r="95" spans="1:7">
      <c r="A95" t="s">
        <v>243</v>
      </c>
      <c r="B95" t="s">
        <v>31</v>
      </c>
      <c r="C95" t="s">
        <v>244</v>
      </c>
      <c r="D95" t="s">
        <v>378</v>
      </c>
      <c r="E95" s="5">
        <v>0</v>
      </c>
      <c r="F95" s="5">
        <v>0</v>
      </c>
      <c r="G95" s="5">
        <v>0</v>
      </c>
    </row>
    <row r="96" spans="1:7">
      <c r="A96" t="s">
        <v>245</v>
      </c>
      <c r="B96" t="s">
        <v>31</v>
      </c>
      <c r="C96" t="s">
        <v>246</v>
      </c>
      <c r="D96" t="s">
        <v>378</v>
      </c>
      <c r="E96" s="5">
        <v>0</v>
      </c>
      <c r="F96" s="5">
        <v>0</v>
      </c>
      <c r="G96" s="5">
        <v>0</v>
      </c>
    </row>
    <row r="97" spans="1:7">
      <c r="A97" t="s">
        <v>247</v>
      </c>
      <c r="B97" t="s">
        <v>31</v>
      </c>
      <c r="C97" t="s">
        <v>248</v>
      </c>
      <c r="D97" t="s">
        <v>378</v>
      </c>
      <c r="E97" s="5">
        <v>0</v>
      </c>
      <c r="F97" s="5">
        <v>0</v>
      </c>
      <c r="G97" s="5">
        <v>0</v>
      </c>
    </row>
    <row r="98" spans="1:7">
      <c r="A98" t="s">
        <v>249</v>
      </c>
      <c r="B98" t="s">
        <v>31</v>
      </c>
      <c r="C98" t="s">
        <v>250</v>
      </c>
      <c r="D98" t="s">
        <v>378</v>
      </c>
      <c r="E98" s="5">
        <v>0</v>
      </c>
      <c r="F98" s="5">
        <v>0</v>
      </c>
      <c r="G98" s="5">
        <v>0</v>
      </c>
    </row>
    <row r="99" spans="1:7">
      <c r="A99" t="s">
        <v>251</v>
      </c>
      <c r="B99" t="s">
        <v>31</v>
      </c>
      <c r="C99" t="s">
        <v>252</v>
      </c>
      <c r="D99" t="s">
        <v>378</v>
      </c>
      <c r="E99" s="5">
        <v>0</v>
      </c>
      <c r="F99" s="5">
        <v>0</v>
      </c>
      <c r="G99" s="5">
        <v>0</v>
      </c>
    </row>
    <row r="100" spans="1:7">
      <c r="A100" t="s">
        <v>253</v>
      </c>
      <c r="B100" t="s">
        <v>31</v>
      </c>
      <c r="C100" t="s">
        <v>379</v>
      </c>
      <c r="D100" t="s">
        <v>378</v>
      </c>
      <c r="E100" s="5">
        <v>0</v>
      </c>
      <c r="F100" s="5">
        <v>0</v>
      </c>
      <c r="G100" s="5">
        <v>0</v>
      </c>
    </row>
    <row r="101" spans="1:7">
      <c r="A101" t="s">
        <v>255</v>
      </c>
      <c r="B101" t="s">
        <v>31</v>
      </c>
      <c r="C101" t="s">
        <v>256</v>
      </c>
      <c r="D101" t="s">
        <v>378</v>
      </c>
      <c r="E101" s="5">
        <v>0</v>
      </c>
      <c r="F101" s="5">
        <v>0</v>
      </c>
      <c r="G101" s="5">
        <v>0</v>
      </c>
    </row>
    <row r="102" spans="1:7">
      <c r="A102" t="s">
        <v>257</v>
      </c>
      <c r="B102" t="s">
        <v>31</v>
      </c>
      <c r="C102" t="s">
        <v>258</v>
      </c>
      <c r="D102" t="s">
        <v>378</v>
      </c>
      <c r="E102" s="5">
        <v>0</v>
      </c>
      <c r="F102" s="5">
        <v>0</v>
      </c>
      <c r="G102" s="5">
        <v>0</v>
      </c>
    </row>
    <row r="103" spans="1:7">
      <c r="A103" t="s">
        <v>259</v>
      </c>
      <c r="B103" t="s">
        <v>33</v>
      </c>
      <c r="C103" t="s">
        <v>260</v>
      </c>
      <c r="D103" t="s">
        <v>378</v>
      </c>
      <c r="E103" s="5">
        <v>0</v>
      </c>
      <c r="F103" s="5">
        <v>0</v>
      </c>
      <c r="G103" s="5">
        <v>0</v>
      </c>
    </row>
    <row r="104" spans="1:7">
      <c r="A104" t="s">
        <v>261</v>
      </c>
      <c r="B104" t="s">
        <v>35</v>
      </c>
      <c r="C104" t="s">
        <v>262</v>
      </c>
      <c r="D104" t="s">
        <v>373</v>
      </c>
      <c r="E104" s="5">
        <v>0</v>
      </c>
      <c r="F104" s="5">
        <v>0</v>
      </c>
      <c r="G104" s="5">
        <v>60</v>
      </c>
    </row>
    <row r="105" spans="1:7">
      <c r="A105" t="s">
        <v>263</v>
      </c>
      <c r="B105" t="s">
        <v>38</v>
      </c>
      <c r="C105" t="s">
        <v>264</v>
      </c>
      <c r="D105" t="s">
        <v>378</v>
      </c>
      <c r="E105" s="5">
        <v>0</v>
      </c>
      <c r="F105" s="5">
        <v>0</v>
      </c>
      <c r="G105" s="5">
        <v>0</v>
      </c>
    </row>
    <row r="106" spans="1:7">
      <c r="A106" t="s">
        <v>265</v>
      </c>
      <c r="B106" t="s">
        <v>38</v>
      </c>
      <c r="C106" t="s">
        <v>266</v>
      </c>
      <c r="D106" t="s">
        <v>378</v>
      </c>
      <c r="E106" s="5">
        <v>0</v>
      </c>
      <c r="F106" s="5">
        <v>0</v>
      </c>
      <c r="G106" s="5">
        <v>0</v>
      </c>
    </row>
    <row r="107" spans="1:7">
      <c r="A107" t="s">
        <v>267</v>
      </c>
      <c r="B107" t="s">
        <v>38</v>
      </c>
      <c r="C107" t="s">
        <v>268</v>
      </c>
      <c r="D107" t="s">
        <v>378</v>
      </c>
      <c r="E107" s="5">
        <v>0</v>
      </c>
      <c r="F107" s="5">
        <v>0</v>
      </c>
      <c r="G107" s="5">
        <v>0</v>
      </c>
    </row>
    <row r="108" spans="1:7">
      <c r="A108" t="s">
        <v>269</v>
      </c>
      <c r="B108" t="s">
        <v>38</v>
      </c>
      <c r="C108" t="s">
        <v>270</v>
      </c>
      <c r="D108" t="s">
        <v>378</v>
      </c>
      <c r="E108" s="5">
        <v>0</v>
      </c>
      <c r="F108" s="5">
        <v>0</v>
      </c>
      <c r="G108" s="5">
        <v>0</v>
      </c>
    </row>
    <row r="109" spans="1:7">
      <c r="A109" t="s">
        <v>271</v>
      </c>
      <c r="B109" t="s">
        <v>38</v>
      </c>
      <c r="C109" t="s">
        <v>272</v>
      </c>
      <c r="D109" t="s">
        <v>378</v>
      </c>
      <c r="E109" s="5">
        <v>0</v>
      </c>
      <c r="F109" s="5">
        <v>0</v>
      </c>
      <c r="G109" s="5">
        <v>0</v>
      </c>
    </row>
    <row r="110" spans="1:7">
      <c r="A110" t="s">
        <v>273</v>
      </c>
      <c r="B110" t="s">
        <v>38</v>
      </c>
      <c r="C110" t="s">
        <v>274</v>
      </c>
      <c r="D110" t="s">
        <v>378</v>
      </c>
      <c r="E110" s="5">
        <v>0</v>
      </c>
      <c r="F110" s="5">
        <v>0</v>
      </c>
      <c r="G110" s="5">
        <v>0</v>
      </c>
    </row>
    <row r="111" spans="1:7">
      <c r="A111" t="s">
        <v>275</v>
      </c>
      <c r="B111" t="s">
        <v>38</v>
      </c>
      <c r="C111" t="s">
        <v>276</v>
      </c>
      <c r="D111" t="s">
        <v>378</v>
      </c>
      <c r="E111" s="5">
        <v>0</v>
      </c>
      <c r="F111" s="5">
        <v>0</v>
      </c>
      <c r="G111" s="5">
        <v>0</v>
      </c>
    </row>
    <row r="112" spans="1:7">
      <c r="A112" t="s">
        <v>277</v>
      </c>
      <c r="B112" t="s">
        <v>38</v>
      </c>
      <c r="C112" t="s">
        <v>278</v>
      </c>
      <c r="D112" t="s">
        <v>378</v>
      </c>
      <c r="E112" s="5">
        <v>0</v>
      </c>
      <c r="F112" s="5">
        <v>0</v>
      </c>
      <c r="G112" s="5">
        <v>0</v>
      </c>
    </row>
    <row r="113" spans="1:7">
      <c r="A113" t="s">
        <v>279</v>
      </c>
      <c r="B113" t="s">
        <v>38</v>
      </c>
      <c r="C113" t="s">
        <v>280</v>
      </c>
      <c r="D113" t="s">
        <v>378</v>
      </c>
      <c r="E113" s="5">
        <v>0</v>
      </c>
      <c r="F113" s="5">
        <v>0</v>
      </c>
      <c r="G113" s="5">
        <v>0</v>
      </c>
    </row>
    <row r="114" spans="1:7">
      <c r="A114" t="s">
        <v>281</v>
      </c>
      <c r="B114" t="s">
        <v>38</v>
      </c>
      <c r="C114" t="s">
        <v>282</v>
      </c>
      <c r="D114" t="s">
        <v>378</v>
      </c>
      <c r="E114" s="5">
        <v>0</v>
      </c>
      <c r="F114" s="5">
        <v>0</v>
      </c>
      <c r="G114" s="5">
        <v>0</v>
      </c>
    </row>
    <row r="115" spans="1:7">
      <c r="A115" t="s">
        <v>283</v>
      </c>
      <c r="B115" t="s">
        <v>38</v>
      </c>
      <c r="C115" t="s">
        <v>284</v>
      </c>
      <c r="D115" t="s">
        <v>378</v>
      </c>
      <c r="E115" s="5">
        <v>0</v>
      </c>
      <c r="F115" s="5">
        <v>0</v>
      </c>
      <c r="G115" s="5">
        <v>0</v>
      </c>
    </row>
    <row r="116" spans="1:7">
      <c r="A116" t="s">
        <v>285</v>
      </c>
      <c r="B116" t="s">
        <v>38</v>
      </c>
      <c r="C116" t="s">
        <v>286</v>
      </c>
      <c r="D116" t="s">
        <v>378</v>
      </c>
      <c r="E116" s="5">
        <v>0</v>
      </c>
      <c r="F116" s="5">
        <v>0</v>
      </c>
      <c r="G116" s="5">
        <v>0</v>
      </c>
    </row>
    <row r="117" spans="1:7">
      <c r="A117" t="s">
        <v>287</v>
      </c>
      <c r="B117" t="s">
        <v>38</v>
      </c>
      <c r="C117" t="s">
        <v>288</v>
      </c>
      <c r="D117" t="s">
        <v>378</v>
      </c>
      <c r="E117" s="5">
        <v>0</v>
      </c>
      <c r="F117" s="5">
        <v>0</v>
      </c>
      <c r="G117" s="5">
        <v>0</v>
      </c>
    </row>
    <row r="118" spans="1:7">
      <c r="A118" t="s">
        <v>289</v>
      </c>
      <c r="B118" t="s">
        <v>38</v>
      </c>
      <c r="C118" t="s">
        <v>290</v>
      </c>
      <c r="D118" t="s">
        <v>378</v>
      </c>
      <c r="E118" s="5">
        <v>0</v>
      </c>
      <c r="F118" s="5">
        <v>0</v>
      </c>
      <c r="G118" s="5">
        <v>0</v>
      </c>
    </row>
    <row r="119" spans="1:7">
      <c r="A119" t="s">
        <v>291</v>
      </c>
      <c r="B119" t="s">
        <v>38</v>
      </c>
      <c r="C119" t="s">
        <v>292</v>
      </c>
      <c r="D119" t="s">
        <v>378</v>
      </c>
      <c r="E119" s="5">
        <v>0</v>
      </c>
      <c r="F119" s="5">
        <v>0</v>
      </c>
      <c r="G119" s="5">
        <v>0</v>
      </c>
    </row>
    <row r="120" spans="1:7">
      <c r="A120" t="s">
        <v>293</v>
      </c>
      <c r="B120" t="s">
        <v>38</v>
      </c>
      <c r="C120" t="s">
        <v>294</v>
      </c>
      <c r="D120" t="s">
        <v>378</v>
      </c>
      <c r="E120" s="5">
        <v>0</v>
      </c>
      <c r="F120" s="5">
        <v>0</v>
      </c>
      <c r="G120" s="5">
        <v>0</v>
      </c>
    </row>
    <row r="121" spans="1:7">
      <c r="A121" t="s">
        <v>295</v>
      </c>
      <c r="B121" t="s">
        <v>38</v>
      </c>
      <c r="C121" t="s">
        <v>296</v>
      </c>
      <c r="D121" t="s">
        <v>378</v>
      </c>
      <c r="E121" s="5">
        <v>0</v>
      </c>
      <c r="F121" s="5">
        <v>0</v>
      </c>
      <c r="G121" s="5">
        <v>0</v>
      </c>
    </row>
    <row r="122" spans="1:7">
      <c r="A122" t="s">
        <v>297</v>
      </c>
      <c r="B122" t="s">
        <v>38</v>
      </c>
      <c r="C122" t="s">
        <v>298</v>
      </c>
      <c r="D122" t="s">
        <v>378</v>
      </c>
      <c r="E122" s="5">
        <v>0</v>
      </c>
      <c r="F122" s="5">
        <v>0</v>
      </c>
      <c r="G122" s="5">
        <v>0</v>
      </c>
    </row>
    <row r="123" spans="1:7">
      <c r="A123" t="s">
        <v>299</v>
      </c>
      <c r="B123" t="s">
        <v>38</v>
      </c>
      <c r="C123" t="s">
        <v>300</v>
      </c>
      <c r="D123" t="s">
        <v>378</v>
      </c>
      <c r="E123" s="5">
        <v>0</v>
      </c>
      <c r="F123" s="5">
        <v>0</v>
      </c>
      <c r="G123" s="5">
        <v>0</v>
      </c>
    </row>
    <row r="124" spans="1:7">
      <c r="A124" t="s">
        <v>301</v>
      </c>
      <c r="B124" t="s">
        <v>38</v>
      </c>
      <c r="C124" t="s">
        <v>302</v>
      </c>
      <c r="D124" t="s">
        <v>378</v>
      </c>
      <c r="E124" s="5">
        <v>0</v>
      </c>
      <c r="F124" s="5">
        <v>0</v>
      </c>
      <c r="G124" s="5">
        <v>0</v>
      </c>
    </row>
    <row r="125" spans="1:7">
      <c r="A125" t="s">
        <v>303</v>
      </c>
      <c r="B125" t="s">
        <v>38</v>
      </c>
      <c r="C125" t="s">
        <v>304</v>
      </c>
      <c r="D125" t="s">
        <v>378</v>
      </c>
      <c r="E125" s="5">
        <v>0</v>
      </c>
      <c r="F125" s="5">
        <v>0</v>
      </c>
      <c r="G125" s="5">
        <v>0</v>
      </c>
    </row>
    <row r="126" spans="1:7">
      <c r="A126" t="s">
        <v>305</v>
      </c>
      <c r="B126" t="s">
        <v>40</v>
      </c>
      <c r="C126" t="s">
        <v>306</v>
      </c>
      <c r="D126" t="s">
        <v>373</v>
      </c>
      <c r="E126" s="5">
        <v>0</v>
      </c>
      <c r="F126" s="5">
        <v>0</v>
      </c>
      <c r="G126" s="5">
        <v>0</v>
      </c>
    </row>
    <row r="127" spans="1:7">
      <c r="A127" t="s">
        <v>307</v>
      </c>
      <c r="B127" t="s">
        <v>40</v>
      </c>
      <c r="C127" t="s">
        <v>308</v>
      </c>
      <c r="D127" t="s">
        <v>373</v>
      </c>
      <c r="E127" s="5">
        <v>0</v>
      </c>
      <c r="F127" s="5">
        <v>0</v>
      </c>
      <c r="G127" s="5">
        <v>0</v>
      </c>
    </row>
    <row r="128" spans="1:7">
      <c r="A128" t="s">
        <v>309</v>
      </c>
      <c r="B128" t="s">
        <v>40</v>
      </c>
      <c r="C128" t="s">
        <v>310</v>
      </c>
      <c r="D128" t="s">
        <v>373</v>
      </c>
      <c r="E128" s="5">
        <v>0</v>
      </c>
      <c r="F128" s="5">
        <v>0</v>
      </c>
      <c r="G128" s="5">
        <v>0</v>
      </c>
    </row>
    <row r="129" spans="1:7">
      <c r="A129" t="s">
        <v>311</v>
      </c>
      <c r="B129" t="s">
        <v>40</v>
      </c>
      <c r="C129" t="s">
        <v>312</v>
      </c>
      <c r="D129" t="s">
        <v>373</v>
      </c>
      <c r="E129" s="5">
        <v>0</v>
      </c>
      <c r="F129" s="5">
        <v>0</v>
      </c>
      <c r="G129" s="5">
        <v>0</v>
      </c>
    </row>
    <row r="130" spans="1:7">
      <c r="A130" t="s">
        <v>313</v>
      </c>
      <c r="B130" t="s">
        <v>40</v>
      </c>
      <c r="C130" t="s">
        <v>314</v>
      </c>
      <c r="D130" t="s">
        <v>373</v>
      </c>
      <c r="E130" s="5">
        <v>0</v>
      </c>
      <c r="F130" s="5">
        <v>0</v>
      </c>
      <c r="G130" s="5">
        <v>0</v>
      </c>
    </row>
    <row r="131" spans="1:7">
      <c r="A131" t="s">
        <v>315</v>
      </c>
      <c r="B131" t="s">
        <v>40</v>
      </c>
      <c r="C131" t="s">
        <v>316</v>
      </c>
      <c r="D131" t="s">
        <v>373</v>
      </c>
      <c r="E131" s="5">
        <v>0</v>
      </c>
      <c r="F131" s="5">
        <v>0</v>
      </c>
      <c r="G131" s="5">
        <v>0</v>
      </c>
    </row>
    <row r="132" spans="1:7">
      <c r="A132" t="s">
        <v>317</v>
      </c>
      <c r="B132" t="s">
        <v>43</v>
      </c>
      <c r="C132" t="s">
        <v>318</v>
      </c>
      <c r="D132" t="s">
        <v>378</v>
      </c>
      <c r="E132" s="5">
        <v>0</v>
      </c>
      <c r="F132" s="5">
        <v>0</v>
      </c>
      <c r="G132" s="5">
        <v>0</v>
      </c>
    </row>
    <row r="133" spans="1:7">
      <c r="A133" t="s">
        <v>319</v>
      </c>
      <c r="B133" t="s">
        <v>43</v>
      </c>
      <c r="C133" t="s">
        <v>320</v>
      </c>
      <c r="D133" t="s">
        <v>378</v>
      </c>
      <c r="E133" s="5">
        <v>0</v>
      </c>
      <c r="F133" s="5">
        <v>0</v>
      </c>
      <c r="G133" s="5">
        <v>0</v>
      </c>
    </row>
    <row r="134" spans="1:7">
      <c r="A134" t="s">
        <v>321</v>
      </c>
      <c r="B134" t="s">
        <v>46</v>
      </c>
      <c r="C134" t="s">
        <v>322</v>
      </c>
      <c r="D134" t="s">
        <v>378</v>
      </c>
      <c r="E134" s="5">
        <v>0</v>
      </c>
      <c r="F134" s="5">
        <v>0</v>
      </c>
      <c r="G134" s="5">
        <v>0</v>
      </c>
    </row>
    <row r="135" spans="1:7">
      <c r="A135" t="s">
        <v>323</v>
      </c>
      <c r="B135" t="s">
        <v>48</v>
      </c>
      <c r="C135" t="s">
        <v>324</v>
      </c>
      <c r="D135" t="s">
        <v>378</v>
      </c>
      <c r="E135" s="5">
        <v>0</v>
      </c>
      <c r="F135" s="5">
        <v>0</v>
      </c>
      <c r="G135" s="5">
        <v>0</v>
      </c>
    </row>
    <row r="136" spans="1:7">
      <c r="A136" t="s">
        <v>325</v>
      </c>
      <c r="B136" t="s">
        <v>48</v>
      </c>
      <c r="C136" t="s">
        <v>326</v>
      </c>
      <c r="D136" t="s">
        <v>378</v>
      </c>
      <c r="E136" s="5">
        <v>0</v>
      </c>
      <c r="F136" s="5">
        <v>0</v>
      </c>
      <c r="G136" s="5">
        <v>0</v>
      </c>
    </row>
    <row r="137" spans="1:7">
      <c r="A137" t="s">
        <v>327</v>
      </c>
      <c r="B137" t="s">
        <v>48</v>
      </c>
      <c r="C137" t="s">
        <v>328</v>
      </c>
      <c r="D137" t="s">
        <v>378</v>
      </c>
      <c r="E137" s="5">
        <v>0</v>
      </c>
      <c r="F137" s="5">
        <v>0</v>
      </c>
      <c r="G137" s="5">
        <v>0</v>
      </c>
    </row>
    <row r="138" spans="1:7">
      <c r="A138" t="s">
        <v>329</v>
      </c>
      <c r="B138" t="s">
        <v>50</v>
      </c>
      <c r="C138" t="s">
        <v>330</v>
      </c>
      <c r="D138" t="s">
        <v>378</v>
      </c>
      <c r="E138" s="5">
        <v>0</v>
      </c>
      <c r="F138" s="5">
        <v>0</v>
      </c>
      <c r="G138" s="5">
        <v>0</v>
      </c>
    </row>
    <row r="139" spans="1:7">
      <c r="A139" t="s">
        <v>331</v>
      </c>
      <c r="B139" t="s">
        <v>50</v>
      </c>
      <c r="C139" t="s">
        <v>332</v>
      </c>
      <c r="D139" t="s">
        <v>378</v>
      </c>
      <c r="E139" s="5">
        <v>0</v>
      </c>
      <c r="F139" s="5">
        <v>0</v>
      </c>
      <c r="G139" s="5">
        <v>0</v>
      </c>
    </row>
    <row r="140" spans="1:7">
      <c r="A140" t="s">
        <v>333</v>
      </c>
      <c r="B140" t="s">
        <v>50</v>
      </c>
      <c r="C140" t="s">
        <v>334</v>
      </c>
      <c r="D140" t="s">
        <v>378</v>
      </c>
      <c r="E140" s="5">
        <v>0</v>
      </c>
      <c r="F140" s="5">
        <v>0</v>
      </c>
      <c r="G140" s="5">
        <v>0</v>
      </c>
    </row>
    <row r="141" spans="1:7">
      <c r="A141" t="s">
        <v>335</v>
      </c>
      <c r="B141" t="s">
        <v>50</v>
      </c>
      <c r="C141" t="s">
        <v>336</v>
      </c>
      <c r="D141" t="s">
        <v>378</v>
      </c>
      <c r="E141" s="5">
        <v>0</v>
      </c>
      <c r="F141" s="5">
        <v>0</v>
      </c>
      <c r="G141" s="5">
        <v>0</v>
      </c>
    </row>
    <row r="142" spans="1:7">
      <c r="A142" t="s">
        <v>337</v>
      </c>
      <c r="B142" t="s">
        <v>50</v>
      </c>
      <c r="C142" t="s">
        <v>338</v>
      </c>
      <c r="D142" t="s">
        <v>378</v>
      </c>
      <c r="E142" s="5">
        <v>0</v>
      </c>
      <c r="F142" s="5">
        <v>0</v>
      </c>
      <c r="G142" s="5">
        <v>0</v>
      </c>
    </row>
    <row r="143" spans="1:7">
      <c r="A143" t="s">
        <v>339</v>
      </c>
      <c r="B143" t="s">
        <v>50</v>
      </c>
      <c r="C143" t="s">
        <v>340</v>
      </c>
      <c r="D143" t="s">
        <v>378</v>
      </c>
      <c r="E143" s="5">
        <v>0</v>
      </c>
      <c r="F143" s="5">
        <v>0</v>
      </c>
      <c r="G143" s="5">
        <v>0</v>
      </c>
    </row>
    <row r="144" spans="1:7">
      <c r="A144" t="s">
        <v>341</v>
      </c>
      <c r="B144" t="s">
        <v>50</v>
      </c>
      <c r="C144" t="s">
        <v>342</v>
      </c>
      <c r="D144" t="s">
        <v>378</v>
      </c>
      <c r="E144" s="5">
        <v>0</v>
      </c>
      <c r="F144" s="5">
        <v>0</v>
      </c>
      <c r="G144" s="5">
        <v>0</v>
      </c>
    </row>
    <row r="145" spans="1:7">
      <c r="A145" t="s">
        <v>343</v>
      </c>
      <c r="B145" t="s">
        <v>50</v>
      </c>
      <c r="C145" t="s">
        <v>344</v>
      </c>
      <c r="D145" t="s">
        <v>378</v>
      </c>
      <c r="E145" s="5">
        <v>0</v>
      </c>
      <c r="F145" s="5">
        <v>0</v>
      </c>
      <c r="G145" s="5">
        <v>0</v>
      </c>
    </row>
    <row r="146" spans="1:7">
      <c r="A146" t="s">
        <v>345</v>
      </c>
      <c r="B146" t="s">
        <v>52</v>
      </c>
      <c r="C146" t="s">
        <v>346</v>
      </c>
      <c r="D146" t="s">
        <v>373</v>
      </c>
      <c r="E146" s="5">
        <v>0</v>
      </c>
      <c r="F146" s="5">
        <v>0</v>
      </c>
      <c r="G146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2026-01-20T15:50:52Z</dcterms:created>
  <dcterms:modified xsi:type="dcterms:W3CDTF">2026-01-22T03:13:22Z</dcterms:modified>
  <cp:category/>
  <cp:contentStatus/>
</cp:coreProperties>
</file>